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Universe'!$A$1:$J$503</definedName>
    <definedName name="_xlnm._FilterDatabase" localSheetId="3" hidden="1">'Confluence Overlap'!$A$1:$K$102</definedName>
    <definedName name="_xlnm._FilterDatabase" localSheetId="4" hidden="1">'Monit Non Financial'!$A$1:$CE$427</definedName>
    <definedName name="_xlnm._FilterDatabase" localSheetId="5" hidden="1">'Monit Banks NBFC'!$A$1:$CA$77</definedName>
    <definedName name="_xlnm._FilterDatabase" localSheetId="6" hidden="1">'Scanner Non Financial'!$A$1:$CJ$17</definedName>
    <definedName name="_xlnm._FilterDatabase" localSheetId="7" hidden="1">'Scanner Banks NBFC'!$A$1:$CF$7</definedName>
    <definedName name="_xlnm._FilterDatabase" localSheetId="8" hidden="1">'Scan Match Non Financial'!$A$1:$CG$96</definedName>
    <definedName name="_xlnm._FilterDatabase" localSheetId="9" hidden="1">'Scan Match Banks NBFC'!$A$1:$CC$6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Friday, 19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2" customWidth="1" min="2" max="2"/>
    <col width="25" customWidth="1" min="3" max="3"/>
    <col width="41" customWidth="1" min="4" max="4"/>
    <col width="22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21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456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61</v>
      </c>
      <c r="G6" s="19" t="n">
        <v>13226.28</v>
      </c>
      <c r="H6" s="18" t="inlineStr">
        <is>
          <t>Potential Leader</t>
        </is>
      </c>
      <c r="J6" s="18" t="inlineStr">
        <is>
          <t>financials</t>
        </is>
      </c>
      <c r="K6" s="16" t="n">
        <v>223</v>
      </c>
      <c r="L6" s="16" t="n">
        <v>74</v>
      </c>
      <c r="M6" s="20" t="inlineStr">
        <is>
          <t>201.4%</t>
        </is>
      </c>
    </row>
    <row r="7">
      <c r="A7" s="16" t="n">
        <v>2</v>
      </c>
      <c r="B7" s="17" t="n">
        <v>444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59</v>
      </c>
      <c r="G7" s="19" t="n">
        <v>5109.08</v>
      </c>
      <c r="H7" s="18" t="inlineStr">
        <is>
          <t>Potential Leader</t>
        </is>
      </c>
      <c r="J7" s="18" t="inlineStr">
        <is>
          <t>telecom</t>
        </is>
      </c>
      <c r="K7" s="16" t="n">
        <v>12</v>
      </c>
      <c r="L7" s="16" t="n">
        <v>4</v>
      </c>
      <c r="M7" s="20" t="inlineStr">
        <is>
          <t>200.0%</t>
        </is>
      </c>
    </row>
    <row r="8">
      <c r="A8" s="16" t="n">
        <v>3</v>
      </c>
      <c r="B8" s="17" t="n">
        <v>444</v>
      </c>
      <c r="C8" s="17" t="inlineStr">
        <is>
          <t>DEEDEV</t>
        </is>
      </c>
      <c r="D8" s="18" t="inlineStr">
        <is>
          <t>DEE Development Engineers Ltd</t>
        </is>
      </c>
      <c r="E8" s="18" t="inlineStr">
        <is>
          <t>metals &amp; mining</t>
        </is>
      </c>
      <c r="F8" s="16" t="n">
        <v>59</v>
      </c>
      <c r="G8" s="19" t="n">
        <v>4945.4</v>
      </c>
      <c r="H8" s="18" t="inlineStr">
        <is>
          <t>Potential Leader</t>
        </is>
      </c>
      <c r="J8" s="18" t="inlineStr">
        <is>
          <t>transportation</t>
        </is>
      </c>
      <c r="K8" s="16" t="n">
        <v>37</v>
      </c>
      <c r="L8" s="16" t="n">
        <v>16</v>
      </c>
      <c r="M8" s="20" t="inlineStr">
        <is>
          <t>131.2%</t>
        </is>
      </c>
    </row>
    <row r="9">
      <c r="A9" s="16" t="n">
        <v>4</v>
      </c>
      <c r="B9" s="17" t="n">
        <v>438</v>
      </c>
      <c r="C9" s="17" t="inlineStr">
        <is>
          <t>ARVIND</t>
        </is>
      </c>
      <c r="D9" s="18" t="inlineStr">
        <is>
          <t>Arvind Limited</t>
        </is>
      </c>
      <c r="E9" s="18" t="inlineStr">
        <is>
          <t>textiles</t>
        </is>
      </c>
      <c r="F9" s="16" t="n">
        <v>58</v>
      </c>
      <c r="G9" s="19" t="n">
        <v>13384.88</v>
      </c>
      <c r="H9" s="18" t="inlineStr">
        <is>
          <t>Potential Leader</t>
        </is>
      </c>
      <c r="J9" s="18" t="inlineStr">
        <is>
          <t>media</t>
        </is>
      </c>
      <c r="K9" s="16" t="n">
        <v>9</v>
      </c>
      <c r="L9" s="16" t="n">
        <v>4</v>
      </c>
      <c r="M9" s="20" t="inlineStr">
        <is>
          <t>125.0%</t>
        </is>
      </c>
    </row>
    <row r="10">
      <c r="A10" s="16" t="n">
        <v>5</v>
      </c>
      <c r="B10" s="17" t="n">
        <v>438</v>
      </c>
      <c r="C10" s="17" t="inlineStr">
        <is>
          <t>NITINSPIN</t>
        </is>
      </c>
      <c r="D10" s="18" t="inlineStr">
        <is>
          <t>Nitin Spinners Limited</t>
        </is>
      </c>
      <c r="E10" s="18" t="inlineStr">
        <is>
          <t>textiles</t>
        </is>
      </c>
      <c r="F10" s="16" t="n">
        <v>58</v>
      </c>
      <c r="G10" s="19" t="n">
        <v>3153.94</v>
      </c>
      <c r="H10" s="18" t="inlineStr">
        <is>
          <t>Potential Leader</t>
        </is>
      </c>
      <c r="J10" s="18" t="inlineStr">
        <is>
          <t>realty</t>
        </is>
      </c>
      <c r="K10" s="16" t="n">
        <v>111</v>
      </c>
      <c r="L10" s="16" t="n">
        <v>57</v>
      </c>
      <c r="M10" s="20" t="inlineStr">
        <is>
          <t>94.7%</t>
        </is>
      </c>
    </row>
    <row r="11">
      <c r="A11" s="16" t="n">
        <v>6</v>
      </c>
      <c r="B11" s="17" t="n">
        <v>438</v>
      </c>
      <c r="C11" s="17" t="inlineStr">
        <is>
          <t>WELCORP</t>
        </is>
      </c>
      <c r="D11" s="18" t="inlineStr">
        <is>
          <t>Welspun Corp Limited</t>
        </is>
      </c>
      <c r="E11" s="18" t="inlineStr">
        <is>
          <t>industrials</t>
        </is>
      </c>
      <c r="F11" s="16" t="n">
        <v>58</v>
      </c>
      <c r="G11" s="19" t="n">
        <v>36862.1</v>
      </c>
      <c r="H11" s="18" t="inlineStr">
        <is>
          <t>Potential Leader</t>
        </is>
      </c>
      <c r="J11" s="18" t="inlineStr">
        <is>
          <t>bank</t>
        </is>
      </c>
      <c r="K11" s="16" t="n">
        <v>127</v>
      </c>
      <c r="L11" s="16" t="n">
        <v>66</v>
      </c>
      <c r="M11" s="20" t="inlineStr">
        <is>
          <t>92.4%</t>
        </is>
      </c>
    </row>
    <row r="12">
      <c r="A12" s="16" t="n">
        <v>7</v>
      </c>
      <c r="B12" s="17" t="n">
        <v>432</v>
      </c>
      <c r="C12" s="17" t="inlineStr">
        <is>
          <t>BAJAJCON</t>
        </is>
      </c>
      <c r="D12" s="18" t="inlineStr">
        <is>
          <t>Bajaj Consumer Care Ltd</t>
        </is>
      </c>
      <c r="E12" s="18" t="inlineStr">
        <is>
          <t>fmcg</t>
        </is>
      </c>
      <c r="F12" s="16" t="n">
        <v>57</v>
      </c>
      <c r="G12" s="19" t="n">
        <v>8104.87</v>
      </c>
      <c r="H12" s="18" t="inlineStr">
        <is>
          <t>Potential Leader</t>
        </is>
      </c>
      <c r="J12" s="18" t="inlineStr">
        <is>
          <t>metals &amp; mining</t>
        </is>
      </c>
      <c r="K12" s="16" t="n">
        <v>96</v>
      </c>
      <c r="L12" s="16" t="n">
        <v>50</v>
      </c>
      <c r="M12" s="20" t="inlineStr">
        <is>
          <t>92.0%</t>
        </is>
      </c>
    </row>
    <row r="13">
      <c r="A13" s="16" t="n">
        <v>8</v>
      </c>
      <c r="B13" s="17" t="n">
        <v>432</v>
      </c>
      <c r="C13" s="17" t="inlineStr">
        <is>
          <t>STLTECH</t>
        </is>
      </c>
      <c r="D13" s="18" t="inlineStr">
        <is>
          <t>Sterlite Technologies Limited</t>
        </is>
      </c>
      <c r="E13" s="18" t="inlineStr">
        <is>
          <t>industrials</t>
        </is>
      </c>
      <c r="F13" s="16" t="n">
        <v>57</v>
      </c>
      <c r="G13" s="19" t="n">
        <v>31591.94</v>
      </c>
      <c r="H13" s="18" t="inlineStr">
        <is>
          <t>Potential Leader</t>
        </is>
      </c>
      <c r="J13" s="18" t="inlineStr">
        <is>
          <t>industrials</t>
        </is>
      </c>
      <c r="K13" s="16" t="n">
        <v>338</v>
      </c>
      <c r="L13" s="16" t="n">
        <v>187</v>
      </c>
      <c r="M13" s="20" t="inlineStr">
        <is>
          <t>80.7%</t>
        </is>
      </c>
    </row>
    <row r="14">
      <c r="A14" s="16" t="n">
        <v>9</v>
      </c>
      <c r="B14" s="17" t="n">
        <v>432</v>
      </c>
      <c r="C14" s="17" t="inlineStr">
        <is>
          <t>STYLAMIND</t>
        </is>
      </c>
      <c r="D14" s="18" t="inlineStr">
        <is>
          <t>Stylam Industries Ltd</t>
        </is>
      </c>
      <c r="E14" s="18" t="inlineStr">
        <is>
          <t>building materials</t>
        </is>
      </c>
      <c r="F14" s="16" t="n">
        <v>57</v>
      </c>
      <c r="G14" s="19" t="n">
        <v>5614.72</v>
      </c>
      <c r="H14" s="18" t="inlineStr">
        <is>
          <t>Potential Leader</t>
        </is>
      </c>
      <c r="J14" s="18" t="inlineStr">
        <is>
          <t>building materials</t>
        </is>
      </c>
      <c r="K14" s="16" t="n">
        <v>65</v>
      </c>
      <c r="L14" s="16" t="n">
        <v>36</v>
      </c>
      <c r="M14" s="20" t="inlineStr">
        <is>
          <t>80.6%</t>
        </is>
      </c>
    </row>
    <row r="15">
      <c r="A15" s="16" t="n">
        <v>10</v>
      </c>
      <c r="B15" s="17" t="n">
        <v>420</v>
      </c>
      <c r="C15" s="17" t="inlineStr">
        <is>
          <t>ADANIGREEN</t>
        </is>
      </c>
      <c r="D15" s="18" t="inlineStr">
        <is>
          <t>Adani Green Energy Ltd</t>
        </is>
      </c>
      <c r="E15" s="18" t="inlineStr">
        <is>
          <t>power &amp; utilities</t>
        </is>
      </c>
      <c r="F15" s="16" t="n">
        <v>55</v>
      </c>
      <c r="G15" s="19" t="n">
        <v>248196.5</v>
      </c>
      <c r="H15" s="18" t="inlineStr">
        <is>
          <t>Potential Leader</t>
        </is>
      </c>
      <c r="J15" s="18" t="inlineStr">
        <is>
          <t>chemicals</t>
        </is>
      </c>
      <c r="K15" s="16" t="n">
        <v>123</v>
      </c>
      <c r="L15" s="16" t="n">
        <v>69</v>
      </c>
      <c r="M15" s="20" t="inlineStr">
        <is>
          <t>78.3%</t>
        </is>
      </c>
    </row>
    <row r="16">
      <c r="A16" s="16" t="n">
        <v>11</v>
      </c>
      <c r="B16" s="17" t="n">
        <v>420</v>
      </c>
      <c r="C16" s="17" t="inlineStr">
        <is>
          <t>APCOTEXIND</t>
        </is>
      </c>
      <c r="D16" s="18" t="inlineStr">
        <is>
          <t>Apcotex Industries Limited</t>
        </is>
      </c>
      <c r="E16" s="18" t="inlineStr">
        <is>
          <t>chemicals</t>
        </is>
      </c>
      <c r="F16" s="16" t="n">
        <v>55</v>
      </c>
      <c r="G16" s="19" t="n">
        <v>2728.34</v>
      </c>
      <c r="H16" s="18" t="inlineStr">
        <is>
          <t>Potential Leader</t>
        </is>
      </c>
      <c r="J16" s="18" t="inlineStr">
        <is>
          <t>services</t>
        </is>
      </c>
      <c r="K16" s="16" t="n">
        <v>73</v>
      </c>
      <c r="L16" s="16" t="n">
        <v>41</v>
      </c>
      <c r="M16" s="20" t="inlineStr">
        <is>
          <t>78.0%</t>
        </is>
      </c>
    </row>
    <row r="17">
      <c r="A17" s="16" t="n">
        <v>12</v>
      </c>
      <c r="B17" s="17" t="n">
        <v>420</v>
      </c>
      <c r="C17" s="17" t="inlineStr">
        <is>
          <t>SHILPAMED</t>
        </is>
      </c>
      <c r="D17" s="18" t="inlineStr">
        <is>
          <t>Shilpa Medicare Limited</t>
        </is>
      </c>
      <c r="E17" s="18" t="inlineStr">
        <is>
          <t>healthcare</t>
        </is>
      </c>
      <c r="F17" s="16" t="n">
        <v>55</v>
      </c>
      <c r="G17" s="19" t="n">
        <v>10670.94</v>
      </c>
      <c r="H17" s="18" t="inlineStr">
        <is>
          <t>Potential Leader</t>
        </is>
      </c>
      <c r="J17" s="18" t="inlineStr">
        <is>
          <t>consumer discretionary</t>
        </is>
      </c>
      <c r="K17" s="16" t="n">
        <v>151</v>
      </c>
      <c r="L17" s="16" t="n">
        <v>85</v>
      </c>
      <c r="M17" s="20" t="inlineStr">
        <is>
          <t>77.6%</t>
        </is>
      </c>
    </row>
    <row r="18">
      <c r="A18" s="16" t="n">
        <v>13</v>
      </c>
      <c r="B18" s="17" t="n">
        <v>408</v>
      </c>
      <c r="C18" s="17" t="inlineStr">
        <is>
          <t>BBOX</t>
        </is>
      </c>
      <c r="D18" s="18" t="inlineStr">
        <is>
          <t>Black Box Ltd</t>
        </is>
      </c>
      <c r="E18" s="18" t="inlineStr">
        <is>
          <t>i.t</t>
        </is>
      </c>
      <c r="F18" s="16" t="n">
        <v>53</v>
      </c>
      <c r="G18" s="19" t="n">
        <v>18495.01</v>
      </c>
      <c r="H18" s="18" t="inlineStr">
        <is>
          <t>Potential Leader</t>
        </is>
      </c>
      <c r="J18" s="18" t="inlineStr">
        <is>
          <t>aerospace &amp; defence</t>
        </is>
      </c>
      <c r="K18" s="16" t="n">
        <v>74</v>
      </c>
      <c r="L18" s="16" t="n">
        <v>49</v>
      </c>
      <c r="M18" s="20" t="inlineStr">
        <is>
          <t>51.0%</t>
        </is>
      </c>
    </row>
    <row r="19">
      <c r="A19" s="16" t="n">
        <v>14</v>
      </c>
      <c r="B19" s="17" t="n">
        <v>408</v>
      </c>
      <c r="C19" s="17" t="inlineStr">
        <is>
          <t>GVPIL</t>
        </is>
      </c>
      <c r="D19" s="18" t="inlineStr">
        <is>
          <t>GE Power India Ltd</t>
        </is>
      </c>
      <c r="E19" s="18" t="inlineStr">
        <is>
          <t>realty</t>
        </is>
      </c>
      <c r="F19" s="16" t="n">
        <v>53</v>
      </c>
      <c r="G19" s="19" t="n">
        <v>6739.22</v>
      </c>
      <c r="H19" s="18" t="inlineStr">
        <is>
          <t>Potential Leader</t>
        </is>
      </c>
      <c r="J19" s="18" t="inlineStr">
        <is>
          <t>power &amp; utilities</t>
        </is>
      </c>
      <c r="K19" s="16" t="n">
        <v>18</v>
      </c>
      <c r="L19" s="16" t="n">
        <v>12</v>
      </c>
      <c r="M19" s="20" t="inlineStr">
        <is>
          <t>50.0%</t>
        </is>
      </c>
    </row>
    <row r="20">
      <c r="A20" s="16" t="n">
        <v>15</v>
      </c>
      <c r="B20" s="17" t="n">
        <v>396</v>
      </c>
      <c r="C20" s="17" t="inlineStr">
        <is>
          <t>NINSYS</t>
        </is>
      </c>
      <c r="D20" s="18" t="inlineStr">
        <is>
          <t>NINtec Systems Ltd</t>
        </is>
      </c>
      <c r="E20" s="18" t="inlineStr">
        <is>
          <t>i.t</t>
        </is>
      </c>
      <c r="F20" s="16" t="n">
        <v>51</v>
      </c>
      <c r="G20" s="19" t="n">
        <v>1290.57</v>
      </c>
      <c r="H20" s="18" t="inlineStr">
        <is>
          <t>Potential Leader</t>
        </is>
      </c>
      <c r="J20" s="18" t="inlineStr">
        <is>
          <t>auto</t>
        </is>
      </c>
      <c r="K20" s="16" t="n">
        <v>159</v>
      </c>
      <c r="L20" s="16" t="n">
        <v>110</v>
      </c>
      <c r="M20" s="20" t="inlineStr">
        <is>
          <t>44.5%</t>
        </is>
      </c>
    </row>
    <row r="21">
      <c r="A21" s="16" t="n">
        <v>16</v>
      </c>
      <c r="B21" s="17" t="n">
        <v>396</v>
      </c>
      <c r="C21" s="17" t="inlineStr">
        <is>
          <t>POLYCAB</t>
        </is>
      </c>
      <c r="D21" s="18" t="inlineStr">
        <is>
          <t>Polycab India Ltd</t>
        </is>
      </c>
      <c r="E21" s="18" t="inlineStr">
        <is>
          <t>industrials</t>
        </is>
      </c>
      <c r="F21" s="16" t="n">
        <v>51</v>
      </c>
      <c r="G21" s="19" t="n">
        <v>149835.39</v>
      </c>
      <c r="H21" s="18" t="inlineStr">
        <is>
          <t>Potential Leader</t>
        </is>
      </c>
    </row>
    <row r="22">
      <c r="A22" s="16" t="n">
        <v>17</v>
      </c>
      <c r="B22" s="17" t="n">
        <v>390</v>
      </c>
      <c r="C22" s="17" t="inlineStr">
        <is>
          <t>NRBBEARING</t>
        </is>
      </c>
      <c r="D22" s="18" t="inlineStr">
        <is>
          <t>Nrb Bearing Limited</t>
        </is>
      </c>
      <c r="E22" s="18" t="inlineStr">
        <is>
          <t>industrials</t>
        </is>
      </c>
      <c r="F22" s="16" t="n">
        <v>50</v>
      </c>
      <c r="G22" s="19" t="n">
        <v>4068.81</v>
      </c>
      <c r="H22" s="18" t="inlineStr">
        <is>
          <t>Potential Leader</t>
        </is>
      </c>
    </row>
    <row r="23">
      <c r="A23" s="16" t="n">
        <v>18</v>
      </c>
      <c r="B23" s="17" t="n">
        <v>390</v>
      </c>
      <c r="C23" s="17" t="inlineStr">
        <is>
          <t>SIGMAADV</t>
        </is>
      </c>
      <c r="D23" s="18" t="inlineStr">
        <is>
          <t>Sigma Advanced System Ltd</t>
        </is>
      </c>
      <c r="E23" s="18" t="inlineStr">
        <is>
          <t>aerospace &amp; defence</t>
        </is>
      </c>
      <c r="F23" s="16" t="n">
        <v>50</v>
      </c>
      <c r="G23" s="19" t="n">
        <v>8812.870000000001</v>
      </c>
      <c r="H23" s="18" t="inlineStr">
        <is>
          <t>Potential Leader</t>
        </is>
      </c>
    </row>
    <row r="24">
      <c r="A24" s="16" t="n">
        <v>19</v>
      </c>
      <c r="B24" s="17" t="n">
        <v>390</v>
      </c>
      <c r="C24" s="17" t="inlineStr">
        <is>
          <t>TALBROAUTO</t>
        </is>
      </c>
      <c r="D24" s="18" t="inlineStr">
        <is>
          <t>Talbros Automotive Components Limited</t>
        </is>
      </c>
      <c r="E24" s="18" t="inlineStr">
        <is>
          <t>auto</t>
        </is>
      </c>
      <c r="F24" s="16" t="n">
        <v>50</v>
      </c>
      <c r="G24" s="19" t="n">
        <v>2185.49</v>
      </c>
      <c r="H24" s="18" t="inlineStr">
        <is>
          <t>Potential Leader</t>
        </is>
      </c>
    </row>
    <row r="25">
      <c r="A25" s="16" t="n">
        <v>20</v>
      </c>
      <c r="B25" s="17" t="n">
        <v>372</v>
      </c>
      <c r="C25" s="17" t="inlineStr">
        <is>
          <t>SIS</t>
        </is>
      </c>
      <c r="D25" s="18" t="inlineStr">
        <is>
          <t>Security &amp; Intelligence Services India</t>
        </is>
      </c>
      <c r="E25" s="18" t="inlineStr">
        <is>
          <t>miscellaneous</t>
        </is>
      </c>
      <c r="F25" s="16" t="n">
        <v>47</v>
      </c>
      <c r="G25" s="19" t="n">
        <v>5992.77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STEL</t>
        </is>
      </c>
      <c r="B30" s="18" t="inlineStr">
        <is>
          <t>Stel Holdings Limited</t>
        </is>
      </c>
      <c r="C30" s="18" t="inlineStr">
        <is>
          <t>financials</t>
        </is>
      </c>
      <c r="D30" s="16" t="n">
        <v>10</v>
      </c>
      <c r="E30" s="16" t="n">
        <v>0</v>
      </c>
      <c r="F30" s="19" t="n">
        <v>1108.99</v>
      </c>
      <c r="J30" s="17" t="inlineStr">
        <is>
          <t>SATIN</t>
        </is>
      </c>
      <c r="K30" s="18" t="inlineStr">
        <is>
          <t>financials</t>
        </is>
      </c>
      <c r="L30" s="19" t="n">
        <v>297</v>
      </c>
      <c r="M30" s="19" t="n">
        <v>2556.63</v>
      </c>
      <c r="N30" s="16" t="n">
        <v>29</v>
      </c>
    </row>
    <row r="31">
      <c r="A31" s="17" t="inlineStr">
        <is>
          <t>IDFCFIRSTB</t>
        </is>
      </c>
      <c r="B31" s="18" t="inlineStr">
        <is>
          <t>IDFC First Bank Ltd</t>
        </is>
      </c>
      <c r="C31" s="18" t="inlineStr">
        <is>
          <t>bank</t>
        </is>
      </c>
      <c r="D31" s="16" t="n">
        <v>9</v>
      </c>
      <c r="E31" s="16" t="n">
        <v>0</v>
      </c>
      <c r="F31" s="19" t="n">
        <v>67170.67</v>
      </c>
      <c r="J31" s="17" t="inlineStr">
        <is>
          <t>KTKBANK</t>
        </is>
      </c>
      <c r="K31" s="18" t="inlineStr">
        <is>
          <t>bank</t>
        </is>
      </c>
      <c r="L31" s="19" t="n">
        <v>295</v>
      </c>
      <c r="M31" s="19" t="n">
        <v>10508.52</v>
      </c>
      <c r="N31" s="16" t="n">
        <v>20</v>
      </c>
    </row>
    <row r="32">
      <c r="A32" s="17" t="inlineStr">
        <is>
          <t>NRL</t>
        </is>
      </c>
      <c r="B32" s="18" t="inlineStr">
        <is>
          <t>Nupur Recyclers Ltd</t>
        </is>
      </c>
      <c r="C32" s="18" t="inlineStr">
        <is>
          <t>services</t>
        </is>
      </c>
      <c r="D32" s="16" t="n">
        <v>9</v>
      </c>
      <c r="E32" s="16" t="n">
        <v>0</v>
      </c>
      <c r="F32" s="19" t="n">
        <v>546.34</v>
      </c>
      <c r="J32" s="17" t="inlineStr">
        <is>
          <t>BLUSPRING</t>
        </is>
      </c>
      <c r="K32" s="18" t="inlineStr">
        <is>
          <t>miscellaneous</t>
        </is>
      </c>
      <c r="L32" s="19" t="n">
        <v>288</v>
      </c>
      <c r="M32" s="19" t="n">
        <v>1704.43</v>
      </c>
      <c r="N32" s="16" t="n">
        <v>3</v>
      </c>
    </row>
    <row r="33">
      <c r="A33" s="17" t="inlineStr">
        <is>
          <t>STOVEKRAFT</t>
        </is>
      </c>
      <c r="B33" s="18" t="inlineStr">
        <is>
          <t>Stove Kraft Ltd</t>
        </is>
      </c>
      <c r="C33" s="18" t="inlineStr">
        <is>
          <t>consumer discretionary</t>
        </is>
      </c>
      <c r="D33" s="16" t="n">
        <v>9</v>
      </c>
      <c r="E33" s="16" t="n">
        <v>1</v>
      </c>
      <c r="F33" s="19" t="n">
        <v>2276.96</v>
      </c>
      <c r="J33" s="17" t="inlineStr">
        <is>
          <t>BAJAJCON</t>
        </is>
      </c>
      <c r="K33" s="18" t="inlineStr">
        <is>
          <t>fmcg</t>
        </is>
      </c>
      <c r="L33" s="19" t="n">
        <v>287</v>
      </c>
      <c r="M33" s="19" t="n">
        <v>8104.87</v>
      </c>
      <c r="N33" s="16" t="n">
        <v>30</v>
      </c>
    </row>
    <row r="34">
      <c r="A34" s="17" t="inlineStr">
        <is>
          <t>CERA</t>
        </is>
      </c>
      <c r="B34" s="18" t="inlineStr">
        <is>
          <t>Cera Sanitaryware Limited</t>
        </is>
      </c>
      <c r="C34" s="18" t="inlineStr">
        <is>
          <t>building materials</t>
        </is>
      </c>
      <c r="D34" s="16" t="n">
        <v>9</v>
      </c>
      <c r="E34" s="16" t="n">
        <v>2</v>
      </c>
      <c r="F34" s="19" t="n">
        <v>7944.89</v>
      </c>
      <c r="J34" s="17" t="inlineStr">
        <is>
          <t>RBLBANK</t>
        </is>
      </c>
      <c r="K34" s="18" t="inlineStr">
        <is>
          <t>bank</t>
        </is>
      </c>
      <c r="L34" s="19" t="n">
        <v>285</v>
      </c>
      <c r="M34" s="19" t="n">
        <v>22823.76</v>
      </c>
      <c r="N34" s="16" t="n">
        <v>25</v>
      </c>
    </row>
    <row r="35">
      <c r="A35" s="17" t="inlineStr">
        <is>
          <t>OCCLLTD</t>
        </is>
      </c>
      <c r="B35" s="18" t="inlineStr">
        <is>
          <t>OCCL Ltd</t>
        </is>
      </c>
      <c r="C35" s="18" t="inlineStr">
        <is>
          <t>chemicals</t>
        </is>
      </c>
      <c r="D35" s="16" t="n">
        <v>9</v>
      </c>
      <c r="E35" s="16" t="n">
        <v>0</v>
      </c>
      <c r="F35" s="19" t="n">
        <v>640.41</v>
      </c>
      <c r="J35" s="17" t="inlineStr">
        <is>
          <t>TMB</t>
        </is>
      </c>
      <c r="K35" s="18" t="inlineStr">
        <is>
          <t>bank</t>
        </is>
      </c>
      <c r="L35" s="19" t="n">
        <v>285</v>
      </c>
      <c r="M35" s="19" t="n">
        <v>12360.91</v>
      </c>
      <c r="N35" s="16" t="n">
        <v>17</v>
      </c>
    </row>
    <row r="36">
      <c r="A36" s="17" t="inlineStr">
        <is>
          <t>GREENLAM</t>
        </is>
      </c>
      <c r="B36" s="18" t="inlineStr">
        <is>
          <t>Greenlam Industries Limited</t>
        </is>
      </c>
      <c r="C36" s="18" t="inlineStr">
        <is>
          <t>building materials</t>
        </is>
      </c>
      <c r="D36" s="16" t="n">
        <v>8</v>
      </c>
      <c r="E36" s="16" t="n">
        <v>1</v>
      </c>
      <c r="F36" s="19" t="n">
        <v>6520.3</v>
      </c>
      <c r="J36" s="17" t="inlineStr">
        <is>
          <t>RPTECH</t>
        </is>
      </c>
      <c r="K36" s="18" t="inlineStr">
        <is>
          <t>services</t>
        </is>
      </c>
      <c r="L36" s="19" t="n">
        <v>285</v>
      </c>
      <c r="M36" s="19" t="n">
        <v>4810.68</v>
      </c>
      <c r="N36" s="16" t="n">
        <v>28</v>
      </c>
    </row>
    <row r="37">
      <c r="A37" s="17" t="inlineStr">
        <is>
          <t>ELECTHERM</t>
        </is>
      </c>
      <c r="B37" s="18" t="inlineStr">
        <is>
          <t>Electrotherm (india) Limited</t>
        </is>
      </c>
      <c r="C37" s="18" t="inlineStr">
        <is>
          <t>metals &amp; mining</t>
        </is>
      </c>
      <c r="D37" s="16" t="n">
        <v>8</v>
      </c>
      <c r="E37" s="16" t="n">
        <v>1</v>
      </c>
      <c r="F37" s="19" t="n">
        <v>1378.14</v>
      </c>
      <c r="J37" s="17" t="inlineStr">
        <is>
          <t>SAKAR</t>
        </is>
      </c>
      <c r="K37" s="18" t="inlineStr">
        <is>
          <t>healthcare</t>
        </is>
      </c>
      <c r="L37" s="19" t="n">
        <v>285</v>
      </c>
      <c r="M37" s="19" t="n">
        <v>1770.87</v>
      </c>
      <c r="N37" s="16" t="n">
        <v>29</v>
      </c>
    </row>
    <row r="38">
      <c r="A38" s="17" t="inlineStr">
        <is>
          <t>UNIMECH</t>
        </is>
      </c>
      <c r="B38" s="18" t="inlineStr">
        <is>
          <t>Unimech Aerospace and Manufacturing Ltd</t>
        </is>
      </c>
      <c r="C38" s="18" t="inlineStr">
        <is>
          <t>aerospace &amp; defence</t>
        </is>
      </c>
      <c r="D38" s="16" t="n">
        <v>8</v>
      </c>
      <c r="E38" s="16" t="n">
        <v>0</v>
      </c>
      <c r="F38" s="19" t="n">
        <v>5765.39</v>
      </c>
      <c r="J38" s="17" t="inlineStr">
        <is>
          <t>STYLAMIND</t>
        </is>
      </c>
      <c r="K38" s="18" t="inlineStr">
        <is>
          <t>building materials</t>
        </is>
      </c>
      <c r="L38" s="19" t="n">
        <v>283</v>
      </c>
      <c r="M38" s="19" t="n">
        <v>5614.72</v>
      </c>
      <c r="N38" s="16" t="n">
        <v>30</v>
      </c>
    </row>
    <row r="39">
      <c r="A39" s="17" t="inlineStr">
        <is>
          <t>BELRISE</t>
        </is>
      </c>
      <c r="B39" s="18" t="inlineStr">
        <is>
          <t>Belrise Industries Ltd</t>
        </is>
      </c>
      <c r="C39" s="18" t="inlineStr">
        <is>
          <t>auto</t>
        </is>
      </c>
      <c r="D39" s="16" t="n">
        <v>8</v>
      </c>
      <c r="E39" s="16" t="n">
        <v>1</v>
      </c>
      <c r="F39" s="19" t="n">
        <v>21289.47</v>
      </c>
      <c r="J39" s="17" t="inlineStr">
        <is>
          <t>VENUSREM</t>
        </is>
      </c>
      <c r="K39" s="18" t="inlineStr">
        <is>
          <t>healthcare</t>
        </is>
      </c>
      <c r="L39" s="19" t="n">
        <v>282</v>
      </c>
      <c r="M39" s="19" t="n">
        <v>2324.65</v>
      </c>
      <c r="N39" s="16" t="n">
        <v>28</v>
      </c>
    </row>
    <row r="40">
      <c r="A40" s="17" t="inlineStr">
        <is>
          <t>DIFFNKG</t>
        </is>
      </c>
      <c r="B40" s="18" t="inlineStr">
        <is>
          <t>Diffusion Engineers Ltd</t>
        </is>
      </c>
      <c r="C40" s="18" t="inlineStr">
        <is>
          <t>industrials</t>
        </is>
      </c>
      <c r="D40" s="16" t="n">
        <v>8</v>
      </c>
      <c r="E40" s="16" t="n">
        <v>2</v>
      </c>
      <c r="F40" s="19" t="n">
        <v>1393.19</v>
      </c>
      <c r="J40" s="17" t="inlineStr">
        <is>
          <t>IBULLSLTD</t>
        </is>
      </c>
      <c r="K40" s="18" t="inlineStr">
        <is>
          <t>miscellaneous</t>
        </is>
      </c>
      <c r="L40" s="19" t="n">
        <v>280</v>
      </c>
      <c r="M40" s="19" t="n">
        <v>5869.06</v>
      </c>
      <c r="N40" s="16" t="n">
        <v>26</v>
      </c>
    </row>
    <row r="41">
      <c r="A41" s="17" t="inlineStr">
        <is>
          <t>BANKBARODA</t>
        </is>
      </c>
      <c r="B41" s="18" t="inlineStr">
        <is>
          <t>Bank Of Baroda Ltd</t>
        </is>
      </c>
      <c r="C41" s="18" t="inlineStr">
        <is>
          <t>bank</t>
        </is>
      </c>
      <c r="D41" s="16" t="n">
        <v>7</v>
      </c>
      <c r="E41" s="16" t="n">
        <v>1</v>
      </c>
      <c r="F41" s="19" t="n">
        <v>146349.55</v>
      </c>
      <c r="J41" s="17" t="inlineStr">
        <is>
          <t>GAYAPROJ</t>
        </is>
      </c>
      <c r="K41" s="18" t="inlineStr">
        <is>
          <t>realty</t>
        </is>
      </c>
      <c r="L41" s="19" t="n">
        <v>280</v>
      </c>
      <c r="M41" s="19" t="n">
        <v>732.5</v>
      </c>
      <c r="N41" s="16" t="n">
        <v>23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116.11</v>
      </c>
      <c r="D47" s="27" t="n">
        <v>260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31591.94</v>
      </c>
    </row>
    <row r="48">
      <c r="A48" s="16" t="n">
        <v>2</v>
      </c>
      <c r="B48" s="26" t="n">
        <v>99</v>
      </c>
      <c r="C48" s="27" t="n">
        <v>100.48</v>
      </c>
      <c r="D48" s="27" t="n">
        <v>265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8812.870000000001</v>
      </c>
    </row>
    <row r="49">
      <c r="A49" s="16" t="n">
        <v>3</v>
      </c>
      <c r="B49" s="26" t="n">
        <v>99</v>
      </c>
      <c r="C49" s="27" t="n">
        <v>94.59999999999999</v>
      </c>
      <c r="D49" s="27" t="n">
        <v>277</v>
      </c>
      <c r="E49" s="17" t="inlineStr">
        <is>
          <t>CUPID</t>
        </is>
      </c>
      <c r="F49" s="18" t="inlineStr">
        <is>
          <t>Cupid Limited</t>
        </is>
      </c>
      <c r="G49" s="18" t="inlineStr">
        <is>
          <t>fmcg</t>
        </is>
      </c>
      <c r="H49" s="19" t="n">
        <v>22750.31</v>
      </c>
    </row>
    <row r="50">
      <c r="A50" s="16" t="n">
        <v>4</v>
      </c>
      <c r="B50" s="26" t="n">
        <v>98</v>
      </c>
      <c r="C50" s="27" t="n">
        <v>80.73999999999999</v>
      </c>
      <c r="D50" s="27" t="n">
        <v>270</v>
      </c>
      <c r="E50" s="17" t="inlineStr">
        <is>
          <t>BHAGYANGR</t>
        </is>
      </c>
      <c r="F50" s="18" t="inlineStr">
        <is>
          <t>Bhagyanagar India</t>
        </is>
      </c>
      <c r="G50" s="18" t="inlineStr">
        <is>
          <t>power &amp; utilities</t>
        </is>
      </c>
      <c r="H50" s="19" t="n">
        <v>1207.65</v>
      </c>
    </row>
    <row r="51">
      <c r="A51" s="16" t="n">
        <v>5</v>
      </c>
      <c r="B51" s="26" t="n">
        <v>98</v>
      </c>
      <c r="C51" s="27" t="n">
        <v>78.52</v>
      </c>
      <c r="D51" s="27" t="n">
        <v>295</v>
      </c>
      <c r="E51" s="17" t="inlineStr">
        <is>
          <t>VMARCIND</t>
        </is>
      </c>
      <c r="F51" s="18" t="inlineStr">
        <is>
          <t>VMARCIND</t>
        </is>
      </c>
      <c r="G51" s="18" t="inlineStr">
        <is>
          <t>unknown</t>
        </is>
      </c>
      <c r="H51" s="19" t="n">
        <v>441.28</v>
      </c>
    </row>
    <row r="52">
      <c r="A52" s="16" t="n">
        <v>6</v>
      </c>
      <c r="B52" s="26" t="n">
        <v>98</v>
      </c>
      <c r="C52" s="27" t="n">
        <v>76.34999999999999</v>
      </c>
      <c r="D52" s="27" t="n">
        <v>258</v>
      </c>
      <c r="E52" s="17" t="inlineStr">
        <is>
          <t>SWANDEF</t>
        </is>
      </c>
      <c r="F52" s="18" t="inlineStr">
        <is>
          <t>Swan Defence and Heavy Industries Ltd</t>
        </is>
      </c>
      <c r="G52" s="18" t="inlineStr">
        <is>
          <t>transportation</t>
        </is>
      </c>
      <c r="H52" s="19" t="n">
        <v>10721.34</v>
      </c>
    </row>
    <row r="53">
      <c r="A53" s="16" t="n">
        <v>7</v>
      </c>
      <c r="B53" s="26" t="n">
        <v>98</v>
      </c>
      <c r="C53" s="27" t="n">
        <v>75.53</v>
      </c>
      <c r="D53" s="27" t="n">
        <v>255</v>
      </c>
      <c r="E53" s="17" t="inlineStr">
        <is>
          <t>HFCL</t>
        </is>
      </c>
      <c r="F53" s="18" t="inlineStr">
        <is>
          <t>HFCL Ltd</t>
        </is>
      </c>
      <c r="G53" s="18" t="inlineStr">
        <is>
          <t>telecom</t>
        </is>
      </c>
      <c r="H53" s="19" t="n">
        <v>30555.42</v>
      </c>
    </row>
    <row r="54">
      <c r="A54" s="16" t="n">
        <v>8</v>
      </c>
      <c r="B54" s="26" t="n">
        <v>98</v>
      </c>
      <c r="C54" s="27" t="n">
        <v>72.13</v>
      </c>
      <c r="D54" s="27" t="n">
        <v>280</v>
      </c>
      <c r="E54" s="17" t="inlineStr">
        <is>
          <t>MTARTECH</t>
        </is>
      </c>
      <c r="F54" s="18" t="inlineStr">
        <is>
          <t>MTAR Technologies Ltd</t>
        </is>
      </c>
      <c r="G54" s="18" t="inlineStr">
        <is>
          <t>aerospace &amp; defence</t>
        </is>
      </c>
      <c r="H54" s="19" t="n">
        <v>25547.38</v>
      </c>
    </row>
    <row r="55">
      <c r="A55" s="16" t="n">
        <v>9</v>
      </c>
      <c r="B55" s="26" t="n">
        <v>97</v>
      </c>
      <c r="C55" s="27" t="n">
        <v>71.3</v>
      </c>
      <c r="D55" s="27" t="n">
        <v>277</v>
      </c>
      <c r="E55" s="17" t="inlineStr">
        <is>
          <t>MODINSU</t>
        </is>
      </c>
      <c r="F55" s="18" t="inlineStr">
        <is>
          <t>Modern Insulators Limited</t>
        </is>
      </c>
      <c r="G55" s="18" t="inlineStr">
        <is>
          <t>Technology</t>
        </is>
      </c>
      <c r="H55" s="19" t="n">
        <v>2446.77</v>
      </c>
    </row>
    <row r="56">
      <c r="A56" s="16" t="n">
        <v>10</v>
      </c>
      <c r="B56" s="26" t="n">
        <v>97</v>
      </c>
      <c r="C56" s="27" t="n">
        <v>67.06999999999999</v>
      </c>
      <c r="D56" s="27" t="n">
        <v>272</v>
      </c>
      <c r="E56" s="17" t="inlineStr">
        <is>
          <t>GVPIL</t>
        </is>
      </c>
      <c r="F56" s="18" t="inlineStr">
        <is>
          <t>GE Power India Ltd</t>
        </is>
      </c>
      <c r="G56" s="18" t="inlineStr">
        <is>
          <t>realty</t>
        </is>
      </c>
      <c r="H56" s="19" t="n">
        <v>6739.22</v>
      </c>
    </row>
    <row r="57">
      <c r="A57" s="16" t="n">
        <v>11</v>
      </c>
      <c r="B57" s="26" t="n">
        <v>97</v>
      </c>
      <c r="C57" s="27" t="n">
        <v>66.06999999999999</v>
      </c>
      <c r="D57" s="27" t="n">
        <v>248</v>
      </c>
      <c r="E57" s="17" t="inlineStr">
        <is>
          <t>UFBL</t>
        </is>
      </c>
      <c r="F57" s="18" t="inlineStr">
        <is>
          <t>United Foodbrands Ltd</t>
        </is>
      </c>
      <c r="G57" s="18" t="inlineStr">
        <is>
          <t>consumer discretionary</t>
        </is>
      </c>
      <c r="H57" s="19" t="n">
        <v>2441.14</v>
      </c>
    </row>
    <row r="58">
      <c r="A58" s="16" t="n">
        <v>12</v>
      </c>
      <c r="B58" s="26" t="n">
        <v>97</v>
      </c>
      <c r="C58" s="27" t="n">
        <v>61.69</v>
      </c>
      <c r="D58" s="27" t="n">
        <v>277</v>
      </c>
      <c r="E58" s="17" t="inlineStr">
        <is>
          <t>BLISSGVS</t>
        </is>
      </c>
      <c r="F58" s="18" t="inlineStr">
        <is>
          <t>Bliss Gvs Pharma Limited</t>
        </is>
      </c>
      <c r="G58" s="18" t="inlineStr">
        <is>
          <t>healthcare</t>
        </is>
      </c>
      <c r="H58" s="19" t="n">
        <v>5109.08</v>
      </c>
    </row>
    <row r="59">
      <c r="A59" s="16" t="n">
        <v>13</v>
      </c>
      <c r="B59" s="26" t="n">
        <v>96</v>
      </c>
      <c r="C59" s="27" t="n">
        <v>58.53</v>
      </c>
      <c r="D59" s="27" t="n">
        <v>265</v>
      </c>
      <c r="E59" s="17" t="inlineStr">
        <is>
          <t>MODISONLTD</t>
        </is>
      </c>
      <c r="F59" s="18" t="inlineStr">
        <is>
          <t>Modison Ltd</t>
        </is>
      </c>
      <c r="G59" s="18" t="inlineStr">
        <is>
          <t>industrials</t>
        </is>
      </c>
      <c r="H59" s="19" t="n">
        <v>996.22</v>
      </c>
    </row>
    <row r="60">
      <c r="A60" s="16" t="n">
        <v>14</v>
      </c>
      <c r="B60" s="26" t="n">
        <v>96</v>
      </c>
      <c r="C60" s="27" t="n">
        <v>58.23</v>
      </c>
      <c r="D60" s="27" t="n">
        <v>282</v>
      </c>
      <c r="E60" s="17" t="inlineStr">
        <is>
          <t>VENUSREM</t>
        </is>
      </c>
      <c r="F60" s="18" t="inlineStr">
        <is>
          <t>Venus Remedies Limited</t>
        </is>
      </c>
      <c r="G60" s="18" t="inlineStr">
        <is>
          <t>healthcare</t>
        </is>
      </c>
      <c r="H60" s="19" t="n">
        <v>2324.65</v>
      </c>
    </row>
    <row r="61">
      <c r="A61" s="16" t="n">
        <v>15</v>
      </c>
      <c r="B61" s="26" t="n">
        <v>96</v>
      </c>
      <c r="C61" s="27" t="n">
        <v>57.75</v>
      </c>
      <c r="D61" s="27" t="n">
        <v>280</v>
      </c>
      <c r="E61" s="17" t="inlineStr">
        <is>
          <t>IBULLSLTD</t>
        </is>
      </c>
      <c r="F61" s="18" t="inlineStr">
        <is>
          <t>Indiabulls Limited</t>
        </is>
      </c>
      <c r="G61" s="18" t="inlineStr">
        <is>
          <t>miscellaneous</t>
        </is>
      </c>
      <c r="H61" s="19" t="n">
        <v>5869.06</v>
      </c>
    </row>
    <row r="62">
      <c r="A62" s="16" t="n">
        <v>16</v>
      </c>
      <c r="B62" s="26" t="n">
        <v>96</v>
      </c>
      <c r="C62" s="27" t="n">
        <v>51.59</v>
      </c>
      <c r="D62" s="27" t="n">
        <v>270</v>
      </c>
      <c r="E62" s="17" t="inlineStr">
        <is>
          <t>NINSYS</t>
        </is>
      </c>
      <c r="F62" s="18" t="inlineStr">
        <is>
          <t>NINtec Systems Ltd</t>
        </is>
      </c>
      <c r="G62" s="18" t="inlineStr">
        <is>
          <t>i.t</t>
        </is>
      </c>
      <c r="H62" s="19" t="n">
        <v>1290.57</v>
      </c>
    </row>
    <row r="63">
      <c r="A63" s="16" t="n">
        <v>17</v>
      </c>
      <c r="B63" s="26" t="n">
        <v>96</v>
      </c>
      <c r="C63" s="27" t="n">
        <v>50.88</v>
      </c>
      <c r="D63" s="27" t="n">
        <v>285</v>
      </c>
      <c r="E63" s="17" t="inlineStr">
        <is>
          <t>RPTECH</t>
        </is>
      </c>
      <c r="F63" s="18" t="inlineStr">
        <is>
          <t>Rashi Peripherals Ltd</t>
        </is>
      </c>
      <c r="G63" s="18" t="inlineStr">
        <is>
          <t>services</t>
        </is>
      </c>
      <c r="H63" s="19" t="n">
        <v>4810.68</v>
      </c>
    </row>
    <row r="64">
      <c r="A64" s="16" t="n">
        <v>18</v>
      </c>
      <c r="B64" s="26" t="n">
        <v>95</v>
      </c>
      <c r="C64" s="27" t="n">
        <v>49.95</v>
      </c>
      <c r="D64" s="27" t="n">
        <v>250</v>
      </c>
      <c r="E64" s="17" t="inlineStr">
        <is>
          <t>AEROFLEX</t>
        </is>
      </c>
      <c r="F64" s="18" t="inlineStr">
        <is>
          <t>Aeroflex Industries Ltd</t>
        </is>
      </c>
      <c r="G64" s="18" t="inlineStr">
        <is>
          <t>metals &amp; mining</t>
        </is>
      </c>
      <c r="H64" s="19" t="n">
        <v>6470.97</v>
      </c>
    </row>
    <row r="65">
      <c r="A65" s="16" t="n">
        <v>19</v>
      </c>
      <c r="B65" s="26" t="n">
        <v>95</v>
      </c>
      <c r="C65" s="27" t="n">
        <v>48.06</v>
      </c>
      <c r="D65" s="27" t="n">
        <v>288</v>
      </c>
      <c r="E65" s="17" t="inlineStr">
        <is>
          <t>BLUSPRING</t>
        </is>
      </c>
      <c r="F65" s="18" t="inlineStr">
        <is>
          <t>Bluspring Enterprises Ltd</t>
        </is>
      </c>
      <c r="G65" s="18" t="inlineStr">
        <is>
          <t>miscellaneous</t>
        </is>
      </c>
      <c r="H65" s="19" t="n">
        <v>1704.43</v>
      </c>
    </row>
    <row r="66">
      <c r="A66" s="16" t="n">
        <v>20</v>
      </c>
      <c r="B66" s="26" t="n">
        <v>95</v>
      </c>
      <c r="C66" s="27" t="n">
        <v>47.22</v>
      </c>
      <c r="D66" s="27" t="n">
        <v>287</v>
      </c>
      <c r="E66" s="17" t="inlineStr">
        <is>
          <t>BAJAJCON</t>
        </is>
      </c>
      <c r="F66" s="18" t="inlineStr">
        <is>
          <t>Bajaj Consumer Care Ltd</t>
        </is>
      </c>
      <c r="G66" s="18" t="inlineStr">
        <is>
          <t>fmcg</t>
        </is>
      </c>
      <c r="H66" s="19" t="n">
        <v>8104.87</v>
      </c>
    </row>
    <row r="67">
      <c r="A67" s="16" t="n">
        <v>21</v>
      </c>
      <c r="B67" s="26" t="n">
        <v>95</v>
      </c>
      <c r="C67" s="27" t="n">
        <v>46.47</v>
      </c>
      <c r="D67" s="27" t="n">
        <v>265</v>
      </c>
      <c r="E67" s="17" t="inlineStr">
        <is>
          <t>CEMPRO</t>
        </is>
      </c>
      <c r="F67" s="18" t="inlineStr">
        <is>
          <t>Cemindia Projects Ltd</t>
        </is>
      </c>
      <c r="G67" s="18" t="inlineStr">
        <is>
          <t>realty</t>
        </is>
      </c>
      <c r="H67" s="19" t="n">
        <v>20483.95</v>
      </c>
    </row>
    <row r="68">
      <c r="A68" s="16" t="n">
        <v>22</v>
      </c>
      <c r="B68" s="26" t="n">
        <v>95</v>
      </c>
      <c r="C68" s="27" t="n">
        <v>45.54</v>
      </c>
      <c r="D68" s="27" t="n">
        <v>252</v>
      </c>
      <c r="E68" s="17" t="inlineStr">
        <is>
          <t>SASKEN</t>
        </is>
      </c>
      <c r="F68" s="18" t="inlineStr">
        <is>
          <t>Sasken Communication Technologies Limited</t>
        </is>
      </c>
      <c r="G68" s="18" t="inlineStr">
        <is>
          <t>i.t</t>
        </is>
      </c>
      <c r="H68" s="19" t="n">
        <v>4021.23</v>
      </c>
    </row>
    <row r="69">
      <c r="A69" s="16" t="n">
        <v>23</v>
      </c>
      <c r="B69" s="28" t="n">
        <v>94</v>
      </c>
      <c r="C69" s="27" t="n">
        <v>44.65</v>
      </c>
      <c r="D69" s="27" t="n">
        <v>265</v>
      </c>
      <c r="E69" s="17" t="inlineStr">
        <is>
          <t>PARAS</t>
        </is>
      </c>
      <c r="F69" s="18" t="inlineStr">
        <is>
          <t>Paras Defence and Space Technologies Ltd</t>
        </is>
      </c>
      <c r="G69" s="18" t="inlineStr">
        <is>
          <t>aerospace &amp; defence</t>
        </is>
      </c>
      <c r="H69" s="19" t="n">
        <v>10559.36</v>
      </c>
    </row>
    <row r="70">
      <c r="A70" s="16" t="n">
        <v>24</v>
      </c>
      <c r="B70" s="28" t="n">
        <v>94</v>
      </c>
      <c r="C70" s="27" t="n">
        <v>43.36</v>
      </c>
      <c r="D70" s="27" t="n">
        <v>268</v>
      </c>
      <c r="E70" s="17" t="inlineStr">
        <is>
          <t>IDEAFORGE</t>
        </is>
      </c>
      <c r="F70" s="18" t="inlineStr">
        <is>
          <t>Ideaforge Technology Ltd</t>
        </is>
      </c>
      <c r="G70" s="18" t="inlineStr">
        <is>
          <t>aerospace &amp; defence</t>
        </is>
      </c>
      <c r="H70" s="19" t="n">
        <v>3980.3</v>
      </c>
    </row>
    <row r="71">
      <c r="A71" s="16" t="n">
        <v>25</v>
      </c>
      <c r="B71" s="28" t="n">
        <v>94</v>
      </c>
      <c r="C71" s="27" t="n">
        <v>43.24</v>
      </c>
      <c r="D71" s="27" t="n">
        <v>258</v>
      </c>
      <c r="E71" s="17" t="inlineStr">
        <is>
          <t>HITECHCORP</t>
        </is>
      </c>
      <c r="F71" s="18" t="inlineStr">
        <is>
          <t>Hitech Corporation</t>
        </is>
      </c>
      <c r="G71" s="18" t="inlineStr">
        <is>
          <t>industrials</t>
        </is>
      </c>
      <c r="H71" s="19" t="n">
        <v>532.14</v>
      </c>
    </row>
    <row r="72">
      <c r="A72" s="16" t="n">
        <v>26</v>
      </c>
      <c r="B72" s="28" t="n">
        <v>94</v>
      </c>
      <c r="C72" s="27" t="n">
        <v>42.27</v>
      </c>
      <c r="D72" s="27" t="n">
        <v>255</v>
      </c>
      <c r="E72" s="17" t="inlineStr">
        <is>
          <t>JAYBARMARU</t>
        </is>
      </c>
      <c r="F72" s="18" t="inlineStr">
        <is>
          <t>Jay Bharat Maruti Limited</t>
        </is>
      </c>
      <c r="G72" s="18" t="inlineStr">
        <is>
          <t>auto</t>
        </is>
      </c>
      <c r="H72" s="19" t="n">
        <v>1870.45</v>
      </c>
    </row>
    <row r="73">
      <c r="A73" s="16" t="n">
        <v>27</v>
      </c>
      <c r="B73" s="28" t="n">
        <v>94</v>
      </c>
      <c r="C73" s="27" t="n">
        <v>42.27</v>
      </c>
      <c r="D73" s="27" t="n">
        <v>235</v>
      </c>
      <c r="E73" s="17" t="inlineStr">
        <is>
          <t>BBOX</t>
        </is>
      </c>
      <c r="F73" s="18" t="inlineStr">
        <is>
          <t>Black Box Ltd</t>
        </is>
      </c>
      <c r="G73" s="18" t="inlineStr">
        <is>
          <t>i.t</t>
        </is>
      </c>
      <c r="H73" s="19" t="n">
        <v>18495.01</v>
      </c>
    </row>
    <row r="74">
      <c r="A74" s="16" t="n">
        <v>28</v>
      </c>
      <c r="B74" s="28" t="n">
        <v>93</v>
      </c>
      <c r="C74" s="27" t="n">
        <v>41.29</v>
      </c>
      <c r="D74" s="27" t="n">
        <v>243</v>
      </c>
      <c r="E74" s="17" t="inlineStr">
        <is>
          <t>VINDHYATEL</t>
        </is>
      </c>
      <c r="F74" s="18" t="inlineStr">
        <is>
          <t>Vindhya Telelinks Limited</t>
        </is>
      </c>
      <c r="G74" s="18" t="inlineStr">
        <is>
          <t>realty</t>
        </is>
      </c>
      <c r="H74" s="19" t="n">
        <v>2582.9</v>
      </c>
    </row>
    <row r="75">
      <c r="A75" s="16" t="n">
        <v>29</v>
      </c>
      <c r="B75" s="28" t="n">
        <v>93</v>
      </c>
      <c r="C75" s="27" t="n">
        <v>40.22</v>
      </c>
      <c r="D75" s="27" t="n">
        <v>280</v>
      </c>
      <c r="E75" s="17" t="inlineStr">
        <is>
          <t>GAYAPROJ</t>
        </is>
      </c>
      <c r="F75" s="18" t="inlineStr">
        <is>
          <t>Gayatri Projects Limited</t>
        </is>
      </c>
      <c r="G75" s="18" t="inlineStr">
        <is>
          <t>realty</t>
        </is>
      </c>
      <c r="H75" s="19" t="n">
        <v>732.5</v>
      </c>
    </row>
    <row r="76">
      <c r="A76" s="16" t="n">
        <v>30</v>
      </c>
      <c r="B76" s="28" t="n">
        <v>93</v>
      </c>
      <c r="C76" s="27" t="n">
        <v>39.89</v>
      </c>
      <c r="D76" s="27" t="n">
        <v>265</v>
      </c>
      <c r="E76" s="17" t="inlineStr">
        <is>
          <t>SYRMA</t>
        </is>
      </c>
      <c r="F76" s="18" t="inlineStr">
        <is>
          <t>Syrma SGS Technology Ltd</t>
        </is>
      </c>
      <c r="G76" s="18" t="inlineStr">
        <is>
          <t>consumer discretionary</t>
        </is>
      </c>
      <c r="H76" s="19" t="n">
        <v>25970.41</v>
      </c>
    </row>
    <row r="77">
      <c r="A77" s="16" t="n">
        <v>31</v>
      </c>
      <c r="B77" s="28" t="n">
        <v>93</v>
      </c>
      <c r="C77" s="27" t="n">
        <v>39.54</v>
      </c>
      <c r="D77" s="27" t="n">
        <v>280</v>
      </c>
      <c r="E77" s="17" t="inlineStr">
        <is>
          <t>THANGAMAYL</t>
        </is>
      </c>
      <c r="F77" s="18" t="inlineStr">
        <is>
          <t>Thangamayil Jewellery Limited</t>
        </is>
      </c>
      <c r="G77" s="18" t="inlineStr">
        <is>
          <t>consumer discretionary</t>
        </is>
      </c>
      <c r="H77" s="19" t="n">
        <v>16895.25</v>
      </c>
    </row>
    <row r="78">
      <c r="A78" s="16" t="n">
        <v>32</v>
      </c>
      <c r="B78" s="28" t="n">
        <v>92</v>
      </c>
      <c r="C78" s="27" t="n">
        <v>39.09</v>
      </c>
      <c r="D78" s="27" t="n">
        <v>260</v>
      </c>
      <c r="E78" s="17" t="inlineStr">
        <is>
          <t>KERNEX</t>
        </is>
      </c>
      <c r="F78" s="18" t="inlineStr">
        <is>
          <t>Kernex Microsystems (india) Limited</t>
        </is>
      </c>
      <c r="G78" s="18" t="inlineStr">
        <is>
          <t>consumer discretionary</t>
        </is>
      </c>
      <c r="H78" s="19" t="n">
        <v>3491.04</v>
      </c>
    </row>
    <row r="79">
      <c r="A79" s="16" t="n">
        <v>33</v>
      </c>
      <c r="B79" s="28" t="n">
        <v>92</v>
      </c>
      <c r="C79" s="27" t="n">
        <v>38.76</v>
      </c>
      <c r="D79" s="27" t="n">
        <v>240</v>
      </c>
      <c r="E79" s="17" t="inlineStr">
        <is>
          <t>LLOYDSENGG</t>
        </is>
      </c>
      <c r="F79" s="18" t="inlineStr">
        <is>
          <t>Lloyds Engineering Works Ltd</t>
        </is>
      </c>
      <c r="G79" s="18" t="inlineStr">
        <is>
          <t>industrials</t>
        </is>
      </c>
      <c r="H79" s="19" t="n">
        <v>12545.18</v>
      </c>
    </row>
    <row r="80">
      <c r="A80" s="16" t="n">
        <v>34</v>
      </c>
      <c r="B80" s="28" t="n">
        <v>92</v>
      </c>
      <c r="C80" s="27" t="n">
        <v>38.66</v>
      </c>
      <c r="D80" s="27" t="n">
        <v>262</v>
      </c>
      <c r="E80" s="17" t="inlineStr">
        <is>
          <t>SENORES</t>
        </is>
      </c>
      <c r="F80" s="18" t="inlineStr">
        <is>
          <t>Senores Pharmaceuticals Ltd</t>
        </is>
      </c>
      <c r="G80" s="18" t="inlineStr">
        <is>
          <t>healthcare</t>
        </is>
      </c>
      <c r="H80" s="19" t="n">
        <v>6057.89</v>
      </c>
    </row>
    <row r="81">
      <c r="A81" s="16" t="n">
        <v>35</v>
      </c>
      <c r="B81" s="28" t="n">
        <v>92</v>
      </c>
      <c r="C81" s="27" t="n">
        <v>37.09</v>
      </c>
      <c r="D81" s="27" t="n">
        <v>270</v>
      </c>
      <c r="E81" s="17" t="inlineStr">
        <is>
          <t>TIMEX</t>
        </is>
      </c>
      <c r="F81" s="18" t="inlineStr">
        <is>
          <t>Timex Group India Limited</t>
        </is>
      </c>
      <c r="G81" s="18" t="inlineStr">
        <is>
          <t>Consumer Cyclical</t>
        </is>
      </c>
      <c r="H81" s="19" t="n">
        <v>5233.25</v>
      </c>
    </row>
    <row r="82">
      <c r="A82" s="16" t="n">
        <v>36</v>
      </c>
      <c r="B82" s="28" t="n">
        <v>92</v>
      </c>
      <c r="C82" s="27" t="n">
        <v>36.93</v>
      </c>
      <c r="D82" s="27" t="n">
        <v>262</v>
      </c>
      <c r="E82" s="17" t="inlineStr">
        <is>
          <t>SPARC</t>
        </is>
      </c>
      <c r="F82" s="18" t="inlineStr">
        <is>
          <t>Sun Pharma Advanced Research Company Limited</t>
        </is>
      </c>
      <c r="G82" s="18" t="inlineStr">
        <is>
          <t>healthcare</t>
        </is>
      </c>
      <c r="H82" s="19" t="n">
        <v>7868.67</v>
      </c>
    </row>
    <row r="83">
      <c r="A83" s="16" t="n">
        <v>37</v>
      </c>
      <c r="B83" s="28" t="n">
        <v>91</v>
      </c>
      <c r="C83" s="27" t="n">
        <v>36.8</v>
      </c>
      <c r="D83" s="27" t="n">
        <v>265</v>
      </c>
      <c r="E83" s="17" t="inlineStr">
        <is>
          <t>RATEGAIN</t>
        </is>
      </c>
      <c r="F83" s="18" t="inlineStr">
        <is>
          <t>Rategain Travel Technologies Ltd</t>
        </is>
      </c>
      <c r="G83" s="18" t="inlineStr">
        <is>
          <t>i.t</t>
        </is>
      </c>
      <c r="H83" s="19" t="n">
        <v>10504.91</v>
      </c>
    </row>
    <row r="84">
      <c r="A84" s="16" t="n">
        <v>38</v>
      </c>
      <c r="B84" s="28" t="n">
        <v>91</v>
      </c>
      <c r="C84" s="27" t="n">
        <v>36.67</v>
      </c>
      <c r="D84" s="27" t="n">
        <v>260</v>
      </c>
      <c r="E84" s="17" t="inlineStr">
        <is>
          <t>WALCHANNAG</t>
        </is>
      </c>
      <c r="F84" s="18" t="inlineStr">
        <is>
          <t>Walchandnagar Industries Limited</t>
        </is>
      </c>
      <c r="G84" s="18" t="inlineStr">
        <is>
          <t>industrials</t>
        </is>
      </c>
      <c r="H84" s="19" t="n">
        <v>2044.42</v>
      </c>
    </row>
    <row r="85">
      <c r="A85" s="16" t="n">
        <v>39</v>
      </c>
      <c r="B85" s="28" t="n">
        <v>91</v>
      </c>
      <c r="C85" s="27" t="n">
        <v>36.35</v>
      </c>
      <c r="D85" s="27" t="n">
        <v>265</v>
      </c>
      <c r="E85" s="17" t="inlineStr">
        <is>
          <t>AVALON</t>
        </is>
      </c>
      <c r="F85" s="18" t="inlineStr">
        <is>
          <t>Avalon Technologies Ltd</t>
        </is>
      </c>
      <c r="G85" s="18" t="inlineStr">
        <is>
          <t>consumer discretionary</t>
        </is>
      </c>
      <c r="H85" s="19" t="n">
        <v>11719.46</v>
      </c>
    </row>
    <row r="86">
      <c r="A86" s="16" t="n">
        <v>40</v>
      </c>
      <c r="B86" s="28" t="n">
        <v>91</v>
      </c>
      <c r="C86" s="27" t="n">
        <v>36.21</v>
      </c>
      <c r="D86" s="27" t="n">
        <v>253</v>
      </c>
      <c r="E86" s="17" t="inlineStr">
        <is>
          <t>QPOWER</t>
        </is>
      </c>
      <c r="F86" s="18" t="inlineStr">
        <is>
          <t>Quality Power Electrical Equipments Ltd</t>
        </is>
      </c>
      <c r="G86" s="18" t="inlineStr">
        <is>
          <t>industrials</t>
        </is>
      </c>
      <c r="H86" s="19" t="n">
        <v>10142.85</v>
      </c>
    </row>
    <row r="87">
      <c r="A87" s="16" t="n">
        <v>41</v>
      </c>
      <c r="B87" s="28" t="n">
        <v>91</v>
      </c>
      <c r="C87" s="27" t="n">
        <v>36.2</v>
      </c>
      <c r="D87" s="27" t="n">
        <v>248</v>
      </c>
      <c r="E87" s="17" t="inlineStr">
        <is>
          <t>PARACABLES</t>
        </is>
      </c>
      <c r="F87" s="18" t="inlineStr">
        <is>
          <t>Paramount Communications Limited</t>
        </is>
      </c>
      <c r="G87" s="18" t="inlineStr">
        <is>
          <t>industrials</t>
        </is>
      </c>
      <c r="H87" s="19" t="n">
        <v>2130.97</v>
      </c>
    </row>
    <row r="88">
      <c r="A88" s="16" t="n">
        <v>42</v>
      </c>
      <c r="B88" s="28" t="n">
        <v>90</v>
      </c>
      <c r="C88" s="27" t="n">
        <v>35.85</v>
      </c>
      <c r="D88" s="27" t="n">
        <v>178</v>
      </c>
      <c r="E88" s="17" t="inlineStr">
        <is>
          <t>BALAMINES</t>
        </is>
      </c>
      <c r="F88" s="18" t="inlineStr">
        <is>
          <t>Balaji Amines Limited</t>
        </is>
      </c>
      <c r="G88" s="18" t="inlineStr">
        <is>
          <t>chemicals</t>
        </is>
      </c>
      <c r="H88" s="19" t="n">
        <v>7159</v>
      </c>
    </row>
    <row r="89">
      <c r="A89" s="16" t="n">
        <v>43</v>
      </c>
      <c r="B89" s="28" t="n">
        <v>90</v>
      </c>
      <c r="C89" s="27" t="n">
        <v>35.54</v>
      </c>
      <c r="D89" s="27" t="n">
        <v>250</v>
      </c>
      <c r="E89" s="17" t="inlineStr">
        <is>
          <t>FCL</t>
        </is>
      </c>
      <c r="F89" s="18" t="inlineStr">
        <is>
          <t>Fineotex Chemical Limited</t>
        </is>
      </c>
      <c r="G89" s="18" t="inlineStr">
        <is>
          <t>chemicals</t>
        </is>
      </c>
      <c r="H89" s="19" t="n">
        <v>5059.76</v>
      </c>
    </row>
    <row r="90">
      <c r="A90" s="16" t="n">
        <v>44</v>
      </c>
      <c r="B90" s="28" t="n">
        <v>90</v>
      </c>
      <c r="C90" s="27" t="n">
        <v>35.06</v>
      </c>
      <c r="D90" s="27" t="n">
        <v>255</v>
      </c>
      <c r="E90" s="17" t="inlineStr">
        <is>
          <t>RPEL</t>
        </is>
      </c>
      <c r="F90" s="18" t="inlineStr">
        <is>
          <t>Raghav Productivity Enhancers Ltd</t>
        </is>
      </c>
      <c r="G90" s="18" t="inlineStr">
        <is>
          <t>building materials</t>
        </is>
      </c>
      <c r="H90" s="19" t="n">
        <v>5462.38</v>
      </c>
    </row>
    <row r="91">
      <c r="A91" s="16" t="n">
        <v>45</v>
      </c>
      <c r="B91" s="28" t="n">
        <v>90</v>
      </c>
      <c r="C91" s="27" t="n">
        <v>35</v>
      </c>
      <c r="D91" s="27" t="n">
        <v>277</v>
      </c>
      <c r="E91" s="17" t="inlineStr">
        <is>
          <t>KPL</t>
        </is>
      </c>
      <c r="F91" s="18" t="inlineStr">
        <is>
          <t>Kwality Pharmaceuticals Limited</t>
        </is>
      </c>
      <c r="G91" s="18" t="inlineStr">
        <is>
          <t>Healthcare</t>
        </is>
      </c>
      <c r="H91" s="19" t="n">
        <v>2576.25</v>
      </c>
    </row>
    <row r="92">
      <c r="A92" s="16" t="n">
        <v>46</v>
      </c>
      <c r="B92" s="28" t="n">
        <v>90</v>
      </c>
      <c r="C92" s="27" t="n">
        <v>34.92</v>
      </c>
      <c r="D92" s="27" t="n">
        <v>250</v>
      </c>
      <c r="E92" s="17" t="inlineStr">
        <is>
          <t>JNKINDIA</t>
        </is>
      </c>
      <c r="F92" s="18" t="inlineStr">
        <is>
          <t>JNK India Ltd</t>
        </is>
      </c>
      <c r="G92" s="18" t="inlineStr">
        <is>
          <t>realty</t>
        </is>
      </c>
      <c r="H92" s="19" t="n">
        <v>2613.05</v>
      </c>
    </row>
    <row r="93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RELTD</t>
        </is>
      </c>
      <c r="B2" s="30" t="inlineStr">
        <is>
          <t>Ravindra Energy Ltd</t>
        </is>
      </c>
      <c r="C2" s="30" t="inlineStr">
        <is>
          <t>industrials</t>
        </is>
      </c>
      <c r="D2" s="30" t="inlineStr">
        <is>
          <t>electric equipment</t>
        </is>
      </c>
      <c r="E2" s="30" t="inlineStr">
        <is>
          <t>smallcap</t>
        </is>
      </c>
      <c r="F2" s="30" t="n">
        <v>2571.48</v>
      </c>
      <c r="G2" s="30" t="n">
        <v>170.75</v>
      </c>
      <c r="H2" s="30" t="n">
        <v>18.61</v>
      </c>
      <c r="I2" s="30" t="n">
        <v>8980426</v>
      </c>
      <c r="J2" s="30" t="inlineStr">
        <is>
          <t>504341</t>
        </is>
      </c>
    </row>
    <row r="3">
      <c r="A3" s="30" t="inlineStr">
        <is>
          <t>PANAMAPET</t>
        </is>
      </c>
      <c r="B3" s="30" t="inlineStr">
        <is>
          <t>Panama Petrochem Limited</t>
        </is>
      </c>
      <c r="C3" s="30" t="inlineStr">
        <is>
          <t>energy</t>
        </is>
      </c>
      <c r="D3" s="30" t="inlineStr">
        <is>
          <t>petrochemicals</t>
        </is>
      </c>
      <c r="E3" s="30" t="inlineStr">
        <is>
          <t>smallcap</t>
        </is>
      </c>
      <c r="F3" s="30" t="n">
        <v>2469.65</v>
      </c>
      <c r="G3" s="30" t="n">
        <v>483.25</v>
      </c>
      <c r="H3" s="30" t="n">
        <v>18.37</v>
      </c>
      <c r="I3" s="30" t="n">
        <v>10473948</v>
      </c>
      <c r="J3" s="30" t="inlineStr">
        <is>
          <t>524820</t>
        </is>
      </c>
    </row>
    <row r="4">
      <c r="A4" s="30" t="inlineStr">
        <is>
          <t>GARFIBRES</t>
        </is>
      </c>
      <c r="B4" s="30" t="inlineStr">
        <is>
          <t>Garware Technical Fibres Ltd</t>
        </is>
      </c>
      <c r="C4" s="30" t="inlineStr">
        <is>
          <t>textiles</t>
        </is>
      </c>
      <c r="D4" s="30" t="inlineStr">
        <is>
          <t>textiles - products</t>
        </is>
      </c>
      <c r="E4" s="30" t="inlineStr">
        <is>
          <t>midcap</t>
        </is>
      </c>
      <c r="F4" s="30" t="n">
        <v>6924.79</v>
      </c>
      <c r="G4" s="30" t="n">
        <v>796.4</v>
      </c>
      <c r="H4" s="30" t="n">
        <v>14.16</v>
      </c>
      <c r="I4" s="30" t="n">
        <v>4899596</v>
      </c>
      <c r="J4" s="30" t="inlineStr">
        <is>
          <t>509557</t>
        </is>
      </c>
    </row>
    <row r="5">
      <c r="A5" s="30" t="inlineStr">
        <is>
          <t>RML</t>
        </is>
      </c>
      <c r="B5" s="30" t="inlineStr">
        <is>
          <t>Rane (madras) Limited</t>
        </is>
      </c>
      <c r="C5" s="30" t="inlineStr">
        <is>
          <t>auto</t>
        </is>
      </c>
      <c r="D5" s="30" t="inlineStr">
        <is>
          <t>auto ancillaries</t>
        </is>
      </c>
      <c r="E5" s="30" t="inlineStr">
        <is>
          <t>smallcap</t>
        </is>
      </c>
      <c r="F5" s="30" t="n">
        <v>2727.09</v>
      </c>
      <c r="G5" s="30" t="n">
        <v>1121.15</v>
      </c>
      <c r="H5" s="30" t="n">
        <v>13.62</v>
      </c>
      <c r="I5" s="30" t="n">
        <v>2085525</v>
      </c>
      <c r="J5" s="30" t="inlineStr">
        <is>
          <t>532661</t>
        </is>
      </c>
    </row>
    <row r="6">
      <c r="A6" s="30" t="inlineStr">
        <is>
          <t>ESAFSFB</t>
        </is>
      </c>
      <c r="B6" s="30" t="inlineStr">
        <is>
          <t>ESAF Small Finance Bank Ltd</t>
        </is>
      </c>
      <c r="C6" s="30" t="inlineStr">
        <is>
          <t>bank</t>
        </is>
      </c>
      <c r="D6" s="30" t="inlineStr">
        <is>
          <t>banks - private sector</t>
        </is>
      </c>
      <c r="E6" s="30" t="inlineStr">
        <is>
          <t>smallcap</t>
        </is>
      </c>
      <c r="F6" s="30" t="n">
        <v>1651.15</v>
      </c>
      <c r="G6" s="30" t="n">
        <v>36.33</v>
      </c>
      <c r="H6" s="30" t="n">
        <v>13.46</v>
      </c>
      <c r="I6" s="30" t="n">
        <v>20668329</v>
      </c>
      <c r="J6" s="30" t="inlineStr">
        <is>
          <t>544020</t>
        </is>
      </c>
    </row>
    <row r="7">
      <c r="A7" s="30" t="inlineStr">
        <is>
          <t>NIACL</t>
        </is>
      </c>
      <c r="B7" s="30" t="inlineStr">
        <is>
          <t>New India Assurance Company Ltd</t>
        </is>
      </c>
      <c r="C7" s="30" t="inlineStr">
        <is>
          <t>financials</t>
        </is>
      </c>
      <c r="D7" s="30" t="inlineStr">
        <is>
          <t>finance &amp; investments</t>
        </is>
      </c>
      <c r="E7" s="30" t="inlineStr">
        <is>
          <t>largecap</t>
        </is>
      </c>
      <c r="F7" s="30" t="n">
        <v>29444.82</v>
      </c>
      <c r="G7" s="30" t="n">
        <v>202.31</v>
      </c>
      <c r="H7" s="30" t="n">
        <v>13.23</v>
      </c>
      <c r="I7" s="30" t="n">
        <v>119622490</v>
      </c>
      <c r="J7" s="30" t="inlineStr">
        <is>
          <t>540769</t>
        </is>
      </c>
    </row>
    <row r="8">
      <c r="A8" s="30" t="inlineStr">
        <is>
          <t>MACPOWER</t>
        </is>
      </c>
      <c r="B8" s="30" t="inlineStr">
        <is>
          <t>Macpower CNC Machines Ltd</t>
        </is>
      </c>
      <c r="C8" s="30" t="inlineStr">
        <is>
          <t>industrials</t>
        </is>
      </c>
      <c r="D8" s="30" t="inlineStr">
        <is>
          <t>engineering</t>
        </is>
      </c>
      <c r="E8" s="30" t="inlineStr">
        <is>
          <t>midcap</t>
        </is>
      </c>
      <c r="F8" s="30" t="n">
        <v>8800.02</v>
      </c>
      <c r="G8" s="30" t="n">
        <v>1182.05</v>
      </c>
      <c r="H8" s="30" t="n">
        <v>12.36</v>
      </c>
      <c r="I8" s="30" t="n">
        <v>209582</v>
      </c>
      <c r="J8" s="30" t="inlineStr">
        <is>
          <t>535057</t>
        </is>
      </c>
    </row>
    <row r="9">
      <c r="A9" s="30" t="inlineStr">
        <is>
          <t>SPAL</t>
        </is>
      </c>
      <c r="B9" s="30" t="inlineStr">
        <is>
          <t>S. P. Apparels Limited</t>
        </is>
      </c>
      <c r="C9" s="30" t="inlineStr">
        <is>
          <t>consumer discretionary</t>
        </is>
      </c>
      <c r="D9" s="30" t="inlineStr">
        <is>
          <t>textiles - products</t>
        </is>
      </c>
      <c r="E9" s="30" t="inlineStr">
        <is>
          <t>smallcap</t>
        </is>
      </c>
      <c r="F9" s="30" t="n">
        <v>2315.17</v>
      </c>
      <c r="G9" s="30" t="n">
        <v>1028.4</v>
      </c>
      <c r="H9" s="30" t="n">
        <v>11.67</v>
      </c>
      <c r="I9" s="30" t="n">
        <v>2021580</v>
      </c>
      <c r="J9" s="30" t="inlineStr">
        <is>
          <t>540048</t>
        </is>
      </c>
    </row>
    <row r="10">
      <c r="A10" s="30" t="inlineStr">
        <is>
          <t>INDSWFTLAB</t>
        </is>
      </c>
      <c r="B10" s="30" t="inlineStr">
        <is>
          <t>Ind-swift Laboratories Limited</t>
        </is>
      </c>
      <c r="C10" s="30" t="inlineStr">
        <is>
          <t>healthcare</t>
        </is>
      </c>
      <c r="D10" s="30" t="inlineStr">
        <is>
          <t>pharmaceuticals - indian - bulk drugs &amp; formln</t>
        </is>
      </c>
      <c r="E10" s="30" t="inlineStr">
        <is>
          <t>smallcap</t>
        </is>
      </c>
      <c r="F10" s="30" t="n">
        <v>1464.76</v>
      </c>
      <c r="G10" s="30" t="n">
        <v>187.38</v>
      </c>
      <c r="H10" s="30" t="n">
        <v>11.09</v>
      </c>
      <c r="I10" s="30" t="n">
        <v>4532691</v>
      </c>
      <c r="J10" s="30" t="inlineStr">
        <is>
          <t>532305</t>
        </is>
      </c>
    </row>
    <row r="11">
      <c r="A11" s="30" t="inlineStr">
        <is>
          <t>SBC</t>
        </is>
      </c>
      <c r="B11" s="30" t="inlineStr">
        <is>
          <t>SBC Exports Ltd</t>
        </is>
      </c>
      <c r="C11" s="30" t="inlineStr">
        <is>
          <t>textiles</t>
        </is>
      </c>
      <c r="D11" s="30" t="inlineStr">
        <is>
          <t>textiles - products</t>
        </is>
      </c>
      <c r="E11" s="30" t="inlineStr">
        <is>
          <t>smallcap</t>
        </is>
      </c>
      <c r="F11" s="30" t="n">
        <v>1899.05</v>
      </c>
      <c r="G11" s="30" t="n">
        <v>43.59</v>
      </c>
      <c r="H11" s="30" t="n">
        <v>9.300000000000001</v>
      </c>
      <c r="I11" s="30" t="n">
        <v>59439267</v>
      </c>
      <c r="J11" s="30" t="inlineStr">
        <is>
          <t>542725</t>
        </is>
      </c>
    </row>
    <row r="12">
      <c r="A12" s="30" t="inlineStr">
        <is>
          <t>AEROENTER</t>
        </is>
      </c>
      <c r="B12" s="30" t="inlineStr">
        <is>
          <t>Aeroflex Enterprises Ltd</t>
        </is>
      </c>
      <c r="C12" s="30" t="inlineStr">
        <is>
          <t>metals &amp; mining</t>
        </is>
      </c>
      <c r="D12" s="30" t="inlineStr">
        <is>
          <t>steel - medium / small</t>
        </is>
      </c>
      <c r="E12" s="30" t="inlineStr">
        <is>
          <t>smallcap</t>
        </is>
      </c>
      <c r="F12" s="30" t="n">
        <v>1407</v>
      </c>
      <c r="G12" s="30" t="n">
        <v>135.87</v>
      </c>
      <c r="H12" s="30" t="n">
        <v>9.199999999999999</v>
      </c>
      <c r="I12" s="30" t="n">
        <v>6427192</v>
      </c>
      <c r="J12" s="30" t="inlineStr">
        <is>
          <t>511076</t>
        </is>
      </c>
    </row>
    <row r="13">
      <c r="A13" s="30" t="inlineStr">
        <is>
          <t>BERGEPAINT</t>
        </is>
      </c>
      <c r="B13" s="30" t="inlineStr">
        <is>
          <t>Berger Paints (i) Limited</t>
        </is>
      </c>
      <c r="C13" s="30" t="inlineStr">
        <is>
          <t>building materials</t>
        </is>
      </c>
      <c r="D13" s="30" t="inlineStr">
        <is>
          <t>paints / varnishes</t>
        </is>
      </c>
      <c r="E13" s="30" t="inlineStr">
        <is>
          <t>largecap</t>
        </is>
      </c>
      <c r="F13" s="30" t="n">
        <v>58888.97</v>
      </c>
      <c r="G13" s="30" t="n">
        <v>550.7</v>
      </c>
      <c r="H13" s="30" t="n">
        <v>9.039999999999999</v>
      </c>
      <c r="I13" s="30" t="n">
        <v>7790257</v>
      </c>
      <c r="J13" s="30" t="inlineStr">
        <is>
          <t>509480</t>
        </is>
      </c>
    </row>
    <row r="14">
      <c r="A14" s="30" t="inlineStr">
        <is>
          <t>VINDHYATEL</t>
        </is>
      </c>
      <c r="B14" s="30" t="inlineStr">
        <is>
          <t>Vindhya Telelinks Limited</t>
        </is>
      </c>
      <c r="C14" s="30" t="inlineStr">
        <is>
          <t>realty</t>
        </is>
      </c>
      <c r="D14" s="30" t="inlineStr">
        <is>
          <t>construction</t>
        </is>
      </c>
      <c r="E14" s="30" t="inlineStr">
        <is>
          <t>smallcap</t>
        </is>
      </c>
      <c r="F14" s="30" t="n">
        <v>2582.9</v>
      </c>
      <c r="G14" s="30" t="n">
        <v>2374.1</v>
      </c>
      <c r="H14" s="30" t="n">
        <v>8.93</v>
      </c>
      <c r="I14" s="30" t="n">
        <v>217681</v>
      </c>
      <c r="J14" s="30" t="inlineStr">
        <is>
          <t>517015</t>
        </is>
      </c>
    </row>
    <row r="15">
      <c r="A15" s="30" t="inlineStr">
        <is>
          <t>WABAG</t>
        </is>
      </c>
      <c r="B15" s="30" t="inlineStr">
        <is>
          <t>Va Tech Wabag Limited</t>
        </is>
      </c>
      <c r="C15" s="30" t="inlineStr">
        <is>
          <t>realty</t>
        </is>
      </c>
      <c r="D15" s="30" t="inlineStr">
        <is>
          <t>engineering - turnkey services</t>
        </is>
      </c>
      <c r="E15" s="30" t="inlineStr">
        <is>
          <t>midcap</t>
        </is>
      </c>
      <c r="F15" s="30" t="n">
        <v>11351.56</v>
      </c>
      <c r="G15" s="30" t="n">
        <v>1983.6</v>
      </c>
      <c r="H15" s="30" t="n">
        <v>8.880000000000001</v>
      </c>
      <c r="I15" s="30" t="n">
        <v>2889807</v>
      </c>
      <c r="J15" s="30" t="inlineStr">
        <is>
          <t>533269</t>
        </is>
      </c>
    </row>
    <row r="16">
      <c r="A16" s="30" t="inlineStr">
        <is>
          <t>THELEELA</t>
        </is>
      </c>
      <c r="B16" s="30" t="inlineStr">
        <is>
          <t>Leela Palaces Hotels &amp; Resorts Ltd</t>
        </is>
      </c>
      <c r="C16" s="30" t="inlineStr">
        <is>
          <t>services</t>
        </is>
      </c>
      <c r="D16" s="30" t="inlineStr">
        <is>
          <t>hotels</t>
        </is>
      </c>
      <c r="E16" s="30" t="inlineStr">
        <is>
          <t>midcap</t>
        </is>
      </c>
      <c r="F16" s="30" t="n">
        <v>15281.91</v>
      </c>
      <c r="G16" s="30" t="n">
        <v>494.2</v>
      </c>
      <c r="H16" s="30" t="n">
        <v>8</v>
      </c>
      <c r="I16" s="30" t="n">
        <v>3439293</v>
      </c>
      <c r="J16" s="30" t="inlineStr">
        <is>
          <t>544408</t>
        </is>
      </c>
    </row>
    <row r="17">
      <c r="A17" s="30" t="inlineStr">
        <is>
          <t>NELCO</t>
        </is>
      </c>
      <c r="B17" s="30" t="inlineStr">
        <is>
          <t>Nelco Limited</t>
        </is>
      </c>
      <c r="C17" s="30" t="inlineStr">
        <is>
          <t>telecom</t>
        </is>
      </c>
      <c r="D17" s="30" t="inlineStr">
        <is>
          <t>telecommunications - service provider</t>
        </is>
      </c>
      <c r="E17" s="30" t="inlineStr">
        <is>
          <t>smallcap</t>
        </is>
      </c>
      <c r="F17" s="30" t="n">
        <v>1989.54</v>
      </c>
      <c r="G17" s="30" t="n">
        <v>940.35</v>
      </c>
      <c r="H17" s="30" t="n">
        <v>7.85</v>
      </c>
      <c r="I17" s="30" t="n">
        <v>8378943</v>
      </c>
      <c r="J17" s="30" t="inlineStr">
        <is>
          <t>504112</t>
        </is>
      </c>
    </row>
    <row r="18">
      <c r="A18" s="30" t="inlineStr">
        <is>
          <t>BHAGCHEM</t>
        </is>
      </c>
      <c r="B18" s="30" t="inlineStr">
        <is>
          <t>Bhagiradha Chemicals &amp; Industries Ltd</t>
        </is>
      </c>
      <c r="C18" s="30" t="inlineStr">
        <is>
          <t>chemicals</t>
        </is>
      </c>
      <c r="D18" s="30" t="inlineStr">
        <is>
          <t>pesticides / agrochemicals - indian</t>
        </is>
      </c>
      <c r="E18" s="30" t="inlineStr">
        <is>
          <t>smallcap</t>
        </is>
      </c>
      <c r="F18" s="30" t="n">
        <v>3358.3</v>
      </c>
      <c r="G18" s="30" t="n">
        <v>279.26</v>
      </c>
      <c r="H18" s="30" t="n">
        <v>7.83</v>
      </c>
      <c r="I18" s="30" t="n">
        <v>4419217</v>
      </c>
      <c r="J18" s="30" t="inlineStr">
        <is>
          <t>531719</t>
        </is>
      </c>
    </row>
    <row r="19">
      <c r="A19" s="30" t="inlineStr">
        <is>
          <t>PARAS</t>
        </is>
      </c>
      <c r="B19" s="30" t="inlineStr">
        <is>
          <t>Paras Defence and Space Technologies Ltd</t>
        </is>
      </c>
      <c r="C19" s="30" t="inlineStr">
        <is>
          <t>aerospace &amp; defence</t>
        </is>
      </c>
      <c r="D19" s="30" t="inlineStr">
        <is>
          <t>engineering</t>
        </is>
      </c>
      <c r="E19" s="30" t="inlineStr">
        <is>
          <t>midcap</t>
        </is>
      </c>
      <c r="F19" s="30" t="n">
        <v>10559.36</v>
      </c>
      <c r="G19" s="30" t="n">
        <v>1408.65</v>
      </c>
      <c r="H19" s="30" t="n">
        <v>7.51</v>
      </c>
      <c r="I19" s="30" t="n">
        <v>19692749</v>
      </c>
      <c r="J19" s="30" t="inlineStr">
        <is>
          <t>543367</t>
        </is>
      </c>
    </row>
    <row r="20">
      <c r="A20" s="30" t="inlineStr">
        <is>
          <t>INDOAMIN</t>
        </is>
      </c>
      <c r="B20" s="30" t="inlineStr">
        <is>
          <t>Indo Amines Ltd</t>
        </is>
      </c>
      <c r="C20" s="30" t="inlineStr">
        <is>
          <t>chemicals</t>
        </is>
      </c>
      <c r="D20" s="30" t="inlineStr">
        <is>
          <t>chemicals</t>
        </is>
      </c>
      <c r="E20" s="30" t="inlineStr">
        <is>
          <t>smallcap</t>
        </is>
      </c>
      <c r="F20" s="30" t="n">
        <v>970.79</v>
      </c>
      <c r="G20" s="30" t="n">
        <v>143.55</v>
      </c>
      <c r="H20" s="30" t="n">
        <v>7.34</v>
      </c>
      <c r="I20" s="30" t="n">
        <v>1012071</v>
      </c>
      <c r="J20" s="30" t="inlineStr">
        <is>
          <t>524648</t>
        </is>
      </c>
    </row>
    <row r="21">
      <c r="A21" s="30" t="inlineStr">
        <is>
          <t>KIRLPNU</t>
        </is>
      </c>
      <c r="B21" s="30" t="inlineStr">
        <is>
          <t>Kirloskar Pneumatic Company Ltd</t>
        </is>
      </c>
      <c r="C21" s="30" t="inlineStr">
        <is>
          <t>industrials</t>
        </is>
      </c>
      <c r="D21" s="30" t="inlineStr">
        <is>
          <t>compressors / drilling equipment</t>
        </is>
      </c>
      <c r="E21" s="30" t="inlineStr">
        <is>
          <t>midcap</t>
        </is>
      </c>
      <c r="F21" s="30" t="n">
        <v>11874.36</v>
      </c>
      <c r="G21" s="30" t="n">
        <v>1950</v>
      </c>
      <c r="H21" s="30" t="n">
        <v>6.67</v>
      </c>
      <c r="I21" s="30" t="n">
        <v>727663</v>
      </c>
      <c r="J21" s="30" t="inlineStr">
        <is>
          <t>505283</t>
        </is>
      </c>
    </row>
    <row r="22">
      <c r="A22" s="30" t="inlineStr">
        <is>
          <t>PSPPROJECT</t>
        </is>
      </c>
      <c r="B22" s="30" t="inlineStr">
        <is>
          <t>PSP Projects Ltd</t>
        </is>
      </c>
      <c r="C22" s="30" t="inlineStr">
        <is>
          <t>realty</t>
        </is>
      </c>
      <c r="D22" s="30" t="inlineStr">
        <is>
          <t>construction</t>
        </is>
      </c>
      <c r="E22" s="30" t="inlineStr">
        <is>
          <t>smallcap</t>
        </is>
      </c>
      <c r="F22" s="30" t="n">
        <v>3611.96</v>
      </c>
      <c r="G22" s="30" t="n">
        <v>969.1</v>
      </c>
      <c r="H22" s="30" t="n">
        <v>6.36</v>
      </c>
      <c r="I22" s="30" t="n">
        <v>474690</v>
      </c>
      <c r="J22" s="30" t="inlineStr">
        <is>
          <t>540544</t>
        </is>
      </c>
    </row>
    <row r="23">
      <c r="A23" s="30" t="inlineStr">
        <is>
          <t>RITCO</t>
        </is>
      </c>
      <c r="B23" s="30" t="inlineStr">
        <is>
          <t>Ritco Logistics Ltd</t>
        </is>
      </c>
      <c r="C23" s="30" t="inlineStr">
        <is>
          <t>transportation</t>
        </is>
      </c>
      <c r="D23" s="30" t="inlineStr">
        <is>
          <t>miscellaneous</t>
        </is>
      </c>
      <c r="E23" s="30" t="inlineStr">
        <is>
          <t>smallcap</t>
        </is>
      </c>
      <c r="F23" s="30" t="n">
        <v>740.33</v>
      </c>
      <c r="G23" s="30" t="n">
        <v>274.65</v>
      </c>
      <c r="H23" s="30" t="n">
        <v>6.19</v>
      </c>
      <c r="I23" s="30" t="n">
        <v>836330</v>
      </c>
      <c r="J23" s="30" t="inlineStr">
        <is>
          <t>542383</t>
        </is>
      </c>
    </row>
    <row r="24">
      <c r="A24" s="30" t="inlineStr">
        <is>
          <t>CAPLIPOINT</t>
        </is>
      </c>
      <c r="B24" s="30" t="inlineStr">
        <is>
          <t>Caplin Point Laboratories Limited</t>
        </is>
      </c>
      <c r="C24" s="30" t="inlineStr">
        <is>
          <t>healthcare</t>
        </is>
      </c>
      <c r="D24" s="30" t="inlineStr">
        <is>
          <t>pharmaceuticals - indian - formulations</t>
        </is>
      </c>
      <c r="E24" s="30" t="inlineStr">
        <is>
          <t>midcap</t>
        </is>
      </c>
      <c r="F24" s="30" t="n">
        <v>17934.2</v>
      </c>
      <c r="G24" s="30" t="n">
        <v>2503.5</v>
      </c>
      <c r="H24" s="30" t="n">
        <v>6.11</v>
      </c>
      <c r="I24" s="30" t="n">
        <v>402481</v>
      </c>
      <c r="J24" s="30" t="inlineStr">
        <is>
          <t>524742</t>
        </is>
      </c>
    </row>
    <row r="25">
      <c r="A25" s="30" t="inlineStr">
        <is>
          <t>AADHARHFC</t>
        </is>
      </c>
      <c r="B25" s="30" t="inlineStr">
        <is>
          <t>Aadhar Housing Finance Ltd</t>
        </is>
      </c>
      <c r="C25" s="30" t="inlineStr">
        <is>
          <t>financials</t>
        </is>
      </c>
      <c r="D25" s="30" t="inlineStr">
        <is>
          <t>finance - housing</t>
        </is>
      </c>
      <c r="E25" s="30" t="inlineStr">
        <is>
          <t>largecap</t>
        </is>
      </c>
      <c r="F25" s="30" t="n">
        <v>21194.81</v>
      </c>
      <c r="G25" s="30" t="n">
        <v>515.1</v>
      </c>
      <c r="H25" s="30" t="n">
        <v>5.89</v>
      </c>
      <c r="I25" s="30" t="n">
        <v>3191119</v>
      </c>
      <c r="J25" s="30" t="inlineStr">
        <is>
          <t>544176</t>
        </is>
      </c>
    </row>
    <row r="26">
      <c r="A26" s="30" t="inlineStr">
        <is>
          <t>INOXINDIA</t>
        </is>
      </c>
      <c r="B26" s="30" t="inlineStr">
        <is>
          <t>Inox India Ltd</t>
        </is>
      </c>
      <c r="C26" s="30" t="inlineStr">
        <is>
          <t>industrials</t>
        </is>
      </c>
      <c r="D26" s="30" t="inlineStr">
        <is>
          <t>packaging</t>
        </is>
      </c>
      <c r="E26" s="30" t="inlineStr">
        <is>
          <t>midcap</t>
        </is>
      </c>
      <c r="F26" s="30" t="n">
        <v>16449.98</v>
      </c>
      <c r="G26" s="30" t="n">
        <v>1917.8</v>
      </c>
      <c r="H26" s="30" t="n">
        <v>5.82</v>
      </c>
      <c r="I26" s="30" t="n">
        <v>566528</v>
      </c>
      <c r="J26" s="30" t="inlineStr">
        <is>
          <t>544046</t>
        </is>
      </c>
    </row>
    <row r="27">
      <c r="A27" s="30" t="inlineStr">
        <is>
          <t>RBA</t>
        </is>
      </c>
      <c r="B27" s="30" t="inlineStr">
        <is>
          <t>Restaurant Brands Asia Ltd</t>
        </is>
      </c>
      <c r="C27" s="30" t="inlineStr">
        <is>
          <t>consumer discretionary</t>
        </is>
      </c>
      <c r="D27" s="30" t="inlineStr">
        <is>
          <t>hotels</t>
        </is>
      </c>
      <c r="E27" s="30" t="inlineStr">
        <is>
          <t>smallcap</t>
        </is>
      </c>
      <c r="F27" s="30" t="n">
        <v>4958.08</v>
      </c>
      <c r="G27" s="30" t="n">
        <v>73.67</v>
      </c>
      <c r="H27" s="30" t="n">
        <v>5.71</v>
      </c>
      <c r="I27" s="30" t="n">
        <v>77847711</v>
      </c>
      <c r="J27" s="30" t="inlineStr">
        <is>
          <t>543248</t>
        </is>
      </c>
    </row>
    <row r="28">
      <c r="A28" s="30" t="inlineStr">
        <is>
          <t>UNIMECH</t>
        </is>
      </c>
      <c r="B28" s="30" t="inlineStr">
        <is>
          <t>Unimech Aerospace and Manufacturing Ltd</t>
        </is>
      </c>
      <c r="C28" s="30" t="inlineStr">
        <is>
          <t>aerospace &amp; defence</t>
        </is>
      </c>
      <c r="D28" s="30" t="inlineStr">
        <is>
          <t>engineering</t>
        </is>
      </c>
      <c r="E28" s="30" t="inlineStr">
        <is>
          <t>midcap</t>
        </is>
      </c>
      <c r="F28" s="30" t="n">
        <v>5765.39</v>
      </c>
      <c r="G28" s="30" t="n">
        <v>1197.65</v>
      </c>
      <c r="H28" s="30" t="n">
        <v>5.65</v>
      </c>
      <c r="I28" s="30" t="n">
        <v>365512</v>
      </c>
      <c r="J28" s="30" t="inlineStr">
        <is>
          <t>544322</t>
        </is>
      </c>
    </row>
    <row r="29">
      <c r="A29" s="30" t="inlineStr">
        <is>
          <t>RATNAMANI</t>
        </is>
      </c>
      <c r="B29" s="30" t="inlineStr">
        <is>
          <t>Ratnamani Metals &amp; Tubes Limited</t>
        </is>
      </c>
      <c r="C29" s="30" t="inlineStr">
        <is>
          <t>industrials</t>
        </is>
      </c>
      <c r="D29" s="30" t="inlineStr">
        <is>
          <t>steel - medium / small</t>
        </is>
      </c>
      <c r="E29" s="30" t="inlineStr">
        <is>
          <t>midcap</t>
        </is>
      </c>
      <c r="F29" s="30" t="n">
        <v>18406.16</v>
      </c>
      <c r="G29" s="30" t="n">
        <v>2770.9</v>
      </c>
      <c r="H29" s="30" t="n">
        <v>5.52</v>
      </c>
      <c r="I29" s="30" t="n">
        <v>65426</v>
      </c>
      <c r="J29" s="30" t="inlineStr">
        <is>
          <t>520111</t>
        </is>
      </c>
    </row>
    <row r="30">
      <c r="A30" s="30" t="inlineStr">
        <is>
          <t>GVT&amp;D</t>
        </is>
      </c>
      <c r="B30" s="30" t="inlineStr">
        <is>
          <t>GE Vernova T&amp;D India Ltd</t>
        </is>
      </c>
      <c r="C30" s="30" t="inlineStr">
        <is>
          <t>industrials</t>
        </is>
      </c>
      <c r="D30" s="30" t="inlineStr">
        <is>
          <t>electric equipment</t>
        </is>
      </c>
      <c r="E30" s="30" t="inlineStr">
        <is>
          <t>largecap</t>
        </is>
      </c>
      <c r="F30" s="30" t="n">
        <v>134424.43</v>
      </c>
      <c r="G30" s="30" t="n">
        <v>5533.5</v>
      </c>
      <c r="H30" s="30" t="n">
        <v>5.4</v>
      </c>
      <c r="I30" s="30" t="n">
        <v>1247092</v>
      </c>
      <c r="J30" s="30" t="inlineStr">
        <is>
          <t>522275</t>
        </is>
      </c>
    </row>
    <row r="31">
      <c r="A31" s="30" t="inlineStr">
        <is>
          <t>TEJASNET</t>
        </is>
      </c>
      <c r="B31" s="30" t="inlineStr">
        <is>
          <t>Tejas Networks Ltd</t>
        </is>
      </c>
      <c r="C31" s="30" t="inlineStr">
        <is>
          <t>telecom</t>
        </is>
      </c>
      <c r="D31" s="30" t="inlineStr">
        <is>
          <t>telecommunications - equipment</t>
        </is>
      </c>
      <c r="E31" s="30" t="inlineStr">
        <is>
          <t>midcap</t>
        </is>
      </c>
      <c r="F31" s="30" t="n">
        <v>10667.18</v>
      </c>
      <c r="G31" s="30" t="n">
        <v>632.35</v>
      </c>
      <c r="H31" s="30" t="n">
        <v>5.37</v>
      </c>
      <c r="I31" s="30" t="n">
        <v>17342068</v>
      </c>
      <c r="J31" s="30" t="inlineStr">
        <is>
          <t>540595</t>
        </is>
      </c>
    </row>
    <row r="32">
      <c r="A32" s="30" t="inlineStr">
        <is>
          <t>JTLIND</t>
        </is>
      </c>
      <c r="B32" s="30" t="inlineStr">
        <is>
          <t>JTL Industries Ltd</t>
        </is>
      </c>
      <c r="C32" s="30" t="inlineStr">
        <is>
          <t>metals &amp; mining</t>
        </is>
      </c>
      <c r="D32" s="30" t="inlineStr">
        <is>
          <t>steel - medium / small</t>
        </is>
      </c>
      <c r="E32" s="30" t="inlineStr">
        <is>
          <t>smallcap</t>
        </is>
      </c>
      <c r="F32" s="30" t="n">
        <v>2959.12</v>
      </c>
      <c r="G32" s="30" t="n">
        <v>79.23</v>
      </c>
      <c r="H32" s="30" t="n">
        <v>5.25</v>
      </c>
      <c r="I32" s="30" t="n">
        <v>17539224</v>
      </c>
      <c r="J32" s="30" t="inlineStr">
        <is>
          <t>534600</t>
        </is>
      </c>
    </row>
    <row r="33">
      <c r="A33" s="30" t="inlineStr">
        <is>
          <t>PTCIL</t>
        </is>
      </c>
      <c r="B33" s="30" t="inlineStr">
        <is>
          <t>PTC Industries Ltd</t>
        </is>
      </c>
      <c r="C33" s="30" t="inlineStr">
        <is>
          <t>industrials</t>
        </is>
      </c>
      <c r="D33" s="30" t="inlineStr">
        <is>
          <t>castings &amp; forgings</t>
        </is>
      </c>
      <c r="E33" s="30" t="inlineStr">
        <is>
          <t>largecap</t>
        </is>
      </c>
      <c r="F33" s="30" t="n">
        <v>26117.02</v>
      </c>
      <c r="G33" s="30" t="n">
        <v>18333</v>
      </c>
      <c r="H33" s="30" t="n">
        <v>5.24</v>
      </c>
      <c r="I33" s="30" t="n">
        <v>46305</v>
      </c>
      <c r="J33" s="30" t="inlineStr">
        <is>
          <t>539006</t>
        </is>
      </c>
    </row>
    <row r="34">
      <c r="A34" s="30" t="inlineStr">
        <is>
          <t>OLECTRA</t>
        </is>
      </c>
      <c r="B34" s="30" t="inlineStr">
        <is>
          <t>Olectra Greentech Ltd</t>
        </is>
      </c>
      <c r="C34" s="30" t="inlineStr">
        <is>
          <t>auto</t>
        </is>
      </c>
      <c r="D34" s="30" t="inlineStr">
        <is>
          <t>automobiles - lcvs / hcvs</t>
        </is>
      </c>
      <c r="E34" s="30" t="inlineStr">
        <is>
          <t>midcap</t>
        </is>
      </c>
      <c r="F34" s="30" t="n">
        <v>11873.8</v>
      </c>
      <c r="G34" s="30" t="n">
        <v>1520.3</v>
      </c>
      <c r="H34" s="30" t="n">
        <v>5.09</v>
      </c>
      <c r="I34" s="30" t="n">
        <v>4118033</v>
      </c>
      <c r="J34" s="30" t="inlineStr">
        <is>
          <t>532439</t>
        </is>
      </c>
    </row>
    <row r="35">
      <c r="A35" s="30" t="inlineStr">
        <is>
          <t>GOODLUCK</t>
        </is>
      </c>
      <c r="B35" s="30" t="inlineStr">
        <is>
          <t>Goodluck India Limited</t>
        </is>
      </c>
      <c r="C35" s="30" t="inlineStr">
        <is>
          <t>metals &amp; mining</t>
        </is>
      </c>
      <c r="D35" s="30" t="inlineStr">
        <is>
          <t>steel - medium / small</t>
        </is>
      </c>
      <c r="E35" s="30" t="inlineStr">
        <is>
          <t>smallcap</t>
        </is>
      </c>
      <c r="F35" s="30" t="n">
        <v>4503.15</v>
      </c>
      <c r="G35" s="30" t="n">
        <v>1423.4</v>
      </c>
      <c r="H35" s="30" t="n">
        <v>5.06</v>
      </c>
      <c r="I35" s="30" t="n">
        <v>571773</v>
      </c>
      <c r="J35" s="30" t="inlineStr">
        <is>
          <t>530655</t>
        </is>
      </c>
    </row>
    <row r="36">
      <c r="A36" s="30" t="inlineStr">
        <is>
          <t>HFCL</t>
        </is>
      </c>
      <c r="B36" s="30" t="inlineStr">
        <is>
          <t>HFCL Ltd</t>
        </is>
      </c>
      <c r="C36" s="30" t="inlineStr">
        <is>
          <t>telecom</t>
        </is>
      </c>
      <c r="D36" s="30" t="inlineStr">
        <is>
          <t>cables - telephone</t>
        </is>
      </c>
      <c r="E36" s="30" t="inlineStr">
        <is>
          <t>largecap</t>
        </is>
      </c>
      <c r="F36" s="30" t="n">
        <v>30555.42</v>
      </c>
      <c r="G36" s="30" t="n">
        <v>209.61</v>
      </c>
      <c r="H36" s="30" t="n">
        <v>5</v>
      </c>
      <c r="I36" s="30" t="n">
        <v>26062936</v>
      </c>
      <c r="J36" s="30" t="inlineStr">
        <is>
          <t>500183</t>
        </is>
      </c>
    </row>
    <row r="37">
      <c r="A37" s="30" t="inlineStr">
        <is>
          <t>INDOTECH</t>
        </is>
      </c>
      <c r="B37" s="30" t="inlineStr">
        <is>
          <t>Indo Tech Transformers Limited</t>
        </is>
      </c>
      <c r="C37" s="30" t="inlineStr">
        <is>
          <t>industrials</t>
        </is>
      </c>
      <c r="D37" s="30" t="inlineStr">
        <is>
          <t>electric equipment</t>
        </is>
      </c>
      <c r="E37" s="30" t="inlineStr">
        <is>
          <t>smallcap</t>
        </is>
      </c>
      <c r="F37" s="30" t="n">
        <v>2710.33</v>
      </c>
      <c r="G37" s="30" t="n">
        <v>2679.7</v>
      </c>
      <c r="H37" s="30" t="n">
        <v>5</v>
      </c>
      <c r="I37" s="30" t="n">
        <v>11699</v>
      </c>
      <c r="J37" s="30" t="inlineStr">
        <is>
          <t>532717</t>
        </is>
      </c>
    </row>
    <row r="38">
      <c r="A38" s="30" t="inlineStr">
        <is>
          <t>KOPRAN</t>
        </is>
      </c>
      <c r="B38" s="30" t="inlineStr">
        <is>
          <t>Kopran Limited</t>
        </is>
      </c>
      <c r="C38" s="30" t="inlineStr">
        <is>
          <t>healthcare</t>
        </is>
      </c>
      <c r="D38" s="30" t="inlineStr">
        <is>
          <t>pharmaceuticals - indian - bulk drugs &amp; formln</t>
        </is>
      </c>
      <c r="E38" s="30" t="inlineStr">
        <is>
          <t>smallcap</t>
        </is>
      </c>
      <c r="F38" s="30" t="n">
        <v>892.22</v>
      </c>
      <c r="G38" s="30" t="n">
        <v>194.01</v>
      </c>
      <c r="H38" s="30" t="n">
        <v>5</v>
      </c>
      <c r="I38" s="30" t="n">
        <v>170382</v>
      </c>
      <c r="J38" s="30" t="inlineStr">
        <is>
          <t>524280</t>
        </is>
      </c>
    </row>
    <row r="39">
      <c r="A39" s="30" t="inlineStr">
        <is>
          <t>MSPL</t>
        </is>
      </c>
      <c r="B39" s="30" t="inlineStr">
        <is>
          <t>Msp Steel &amp; Power Limited</t>
        </is>
      </c>
      <c r="C39" s="30" t="inlineStr">
        <is>
          <t>metals &amp; mining</t>
        </is>
      </c>
      <c r="D39" s="30" t="inlineStr">
        <is>
          <t>steel - medium / small</t>
        </is>
      </c>
      <c r="E39" s="30" t="inlineStr">
        <is>
          <t>smallcap</t>
        </is>
      </c>
      <c r="F39" s="30" t="n">
        <v>2392.45</v>
      </c>
      <c r="G39" s="30" t="n">
        <v>44.32</v>
      </c>
      <c r="H39" s="30" t="n">
        <v>5</v>
      </c>
      <c r="I39" s="30" t="n">
        <v>5362185</v>
      </c>
      <c r="J39" s="30" t="inlineStr">
        <is>
          <t>532650</t>
        </is>
      </c>
    </row>
    <row r="40">
      <c r="A40" s="30" t="inlineStr">
        <is>
          <t>SIGMAADV</t>
        </is>
      </c>
      <c r="B40" s="30" t="inlineStr">
        <is>
          <t>Sigma Advanced System Ltd</t>
        </is>
      </c>
      <c r="C40" s="30" t="inlineStr">
        <is>
          <t>aerospace &amp; defence</t>
        </is>
      </c>
      <c r="D40" s="30" t="inlineStr">
        <is>
          <t>electronics - components</t>
        </is>
      </c>
      <c r="E40" s="30" t="inlineStr">
        <is>
          <t>midcap</t>
        </is>
      </c>
      <c r="F40" s="30" t="n">
        <v>8812.870000000001</v>
      </c>
      <c r="G40" s="30" t="n">
        <v>525.05</v>
      </c>
      <c r="H40" s="30" t="n">
        <v>5</v>
      </c>
      <c r="I40" s="30" t="n">
        <v>144015</v>
      </c>
      <c r="J40" s="30" t="inlineStr">
        <is>
          <t>532408</t>
        </is>
      </c>
    </row>
    <row r="41">
      <c r="A41" s="30" t="inlineStr">
        <is>
          <t>HMT</t>
        </is>
      </c>
      <c r="B41" s="30" t="inlineStr">
        <is>
          <t>Hmt Limited</t>
        </is>
      </c>
      <c r="C41" s="30" t="inlineStr">
        <is>
          <t>consumer discretionary</t>
        </is>
      </c>
      <c r="D41" s="30" t="inlineStr">
        <is>
          <t>miscellaneous</t>
        </is>
      </c>
      <c r="E41" s="30" t="inlineStr">
        <is>
          <t>midcap</t>
        </is>
      </c>
      <c r="F41" s="30" t="n">
        <v>7424.43</v>
      </c>
      <c r="G41" s="30" t="n">
        <v>64.73999999999999</v>
      </c>
      <c r="H41" s="30" t="n">
        <v>5</v>
      </c>
      <c r="I41" s="30" t="n">
        <v>7409</v>
      </c>
      <c r="J41" s="30" t="inlineStr">
        <is>
          <t>500191</t>
        </is>
      </c>
    </row>
    <row r="42">
      <c r="A42" s="30" t="inlineStr">
        <is>
          <t>GVPIL</t>
        </is>
      </c>
      <c r="B42" s="30" t="inlineStr">
        <is>
          <t>GE Power India Ltd</t>
        </is>
      </c>
      <c r="C42" s="30" t="inlineStr">
        <is>
          <t>realty</t>
        </is>
      </c>
      <c r="D42" s="30" t="inlineStr">
        <is>
          <t>engineering - turnkey services</t>
        </is>
      </c>
      <c r="E42" s="30" t="inlineStr">
        <is>
          <t>midcap</t>
        </is>
      </c>
      <c r="F42" s="30" t="n">
        <v>6739.22</v>
      </c>
      <c r="G42" s="30" t="n">
        <v>1052.55</v>
      </c>
      <c r="H42" s="30" t="n">
        <v>5</v>
      </c>
      <c r="I42" s="30" t="n">
        <v>429266</v>
      </c>
      <c r="J42" s="30" t="inlineStr">
        <is>
          <t>532309</t>
        </is>
      </c>
    </row>
    <row r="43">
      <c r="A43" s="30" t="inlineStr">
        <is>
          <t>CEMPRO</t>
        </is>
      </c>
      <c r="B43" s="30" t="inlineStr">
        <is>
          <t>Cemindia Projects Ltd</t>
        </is>
      </c>
      <c r="C43" s="30" t="inlineStr">
        <is>
          <t>realty</t>
        </is>
      </c>
      <c r="D43" s="30" t="inlineStr">
        <is>
          <t>construction</t>
        </is>
      </c>
      <c r="E43" s="30" t="inlineStr">
        <is>
          <t>largecap</t>
        </is>
      </c>
      <c r="F43" s="30" t="n">
        <v>20483.95</v>
      </c>
      <c r="G43" s="30" t="n">
        <v>1252</v>
      </c>
      <c r="H43" s="30" t="n">
        <v>5</v>
      </c>
      <c r="I43" s="30" t="n">
        <v>366853</v>
      </c>
      <c r="J43" s="30" t="inlineStr">
        <is>
          <t>509496</t>
        </is>
      </c>
    </row>
    <row r="44">
      <c r="A44" s="30" t="inlineStr">
        <is>
          <t>BIRLACABLE</t>
        </is>
      </c>
      <c r="B44" s="30" t="inlineStr">
        <is>
          <t>Birla Cable Limited</t>
        </is>
      </c>
      <c r="C44" s="30" t="inlineStr">
        <is>
          <t>industrials</t>
        </is>
      </c>
      <c r="D44" s="30" t="inlineStr">
        <is>
          <t>cables - telephone</t>
        </is>
      </c>
      <c r="E44" s="30" t="inlineStr">
        <is>
          <t>smallcap</t>
        </is>
      </c>
      <c r="F44" s="30" t="n">
        <v>649.59</v>
      </c>
      <c r="G44" s="30" t="n">
        <v>227.35</v>
      </c>
      <c r="H44" s="30" t="n">
        <v>5</v>
      </c>
      <c r="I44" s="30" t="n">
        <v>165630</v>
      </c>
      <c r="J44" s="30" t="inlineStr">
        <is>
          <t>500060</t>
        </is>
      </c>
    </row>
    <row r="45">
      <c r="A45" s="30" t="inlineStr">
        <is>
          <t>IBULLSLTD</t>
        </is>
      </c>
      <c r="B45" s="30" t="inlineStr">
        <is>
          <t>Indiabulls Limited</t>
        </is>
      </c>
      <c r="C45" s="30" t="inlineStr">
        <is>
          <t>miscellaneous</t>
        </is>
      </c>
      <c r="D45" s="30" t="inlineStr">
        <is>
          <t>diversified - medium / small</t>
        </is>
      </c>
      <c r="E45" s="30" t="inlineStr">
        <is>
          <t>midcap</t>
        </is>
      </c>
      <c r="F45" s="30" t="n">
        <v>5869.06</v>
      </c>
      <c r="G45" s="30" t="n">
        <v>26.51</v>
      </c>
      <c r="H45" s="30" t="n">
        <v>4.99</v>
      </c>
      <c r="I45" s="30" t="n">
        <v>7814526</v>
      </c>
      <c r="J45" s="30" t="inlineStr">
        <is>
          <t>533520</t>
        </is>
      </c>
    </row>
    <row r="46">
      <c r="A46" s="30" t="inlineStr">
        <is>
          <t>KANORICHEM</t>
        </is>
      </c>
      <c r="B46" s="30" t="inlineStr">
        <is>
          <t>Kanoria Chemicals &amp; Industries Limited</t>
        </is>
      </c>
      <c r="C46" s="30" t="inlineStr">
        <is>
          <t>chemicals</t>
        </is>
      </c>
      <c r="D46" s="30" t="inlineStr">
        <is>
          <t>chemicals</t>
        </is>
      </c>
      <c r="E46" s="30" t="inlineStr">
        <is>
          <t>smallcap</t>
        </is>
      </c>
      <c r="F46" s="30" t="n">
        <v>502.39</v>
      </c>
      <c r="G46" s="30" t="n">
        <v>120.72</v>
      </c>
      <c r="H46" s="30" t="n">
        <v>4.99</v>
      </c>
      <c r="I46" s="30" t="n">
        <v>120295</v>
      </c>
      <c r="J46" s="30" t="inlineStr">
        <is>
          <t>506525</t>
        </is>
      </c>
    </row>
    <row r="47">
      <c r="A47" s="30" t="inlineStr">
        <is>
          <t>MODISONLTD</t>
        </is>
      </c>
      <c r="B47" s="30" t="inlineStr">
        <is>
          <t>Modison Ltd</t>
        </is>
      </c>
      <c r="C47" s="30" t="inlineStr">
        <is>
          <t>industrials</t>
        </is>
      </c>
      <c r="D47" s="30" t="inlineStr">
        <is>
          <t>electric equipment</t>
        </is>
      </c>
      <c r="E47" s="30" t="inlineStr">
        <is>
          <t>smallcap</t>
        </is>
      </c>
      <c r="F47" s="30" t="n">
        <v>996.22</v>
      </c>
      <c r="G47" s="30" t="n">
        <v>322.15</v>
      </c>
      <c r="H47" s="30" t="n">
        <v>4.93</v>
      </c>
      <c r="I47" s="30" t="n">
        <v>152547</v>
      </c>
      <c r="J47" s="30" t="inlineStr">
        <is>
          <t>506261</t>
        </is>
      </c>
    </row>
    <row r="48">
      <c r="A48" s="30" t="inlineStr">
        <is>
          <t>AGARWALEYE</t>
        </is>
      </c>
      <c r="B48" s="30" t="inlineStr">
        <is>
          <t>Dr Agarwals Health Care Ltd</t>
        </is>
      </c>
      <c r="C48" s="30" t="inlineStr">
        <is>
          <t>healthcare</t>
        </is>
      </c>
      <c r="D48" s="30" t="inlineStr">
        <is>
          <t>healthcare</t>
        </is>
      </c>
      <c r="E48" s="30" t="inlineStr">
        <is>
          <t>midcap</t>
        </is>
      </c>
      <c r="F48" s="30" t="n">
        <v>14091.6</v>
      </c>
      <c r="G48" s="30" t="n">
        <v>466.65</v>
      </c>
      <c r="H48" s="30" t="n">
        <v>4.91</v>
      </c>
      <c r="I48" s="30" t="n">
        <v>307298</v>
      </c>
      <c r="J48" s="30" t="inlineStr">
        <is>
          <t>544350</t>
        </is>
      </c>
    </row>
    <row r="49">
      <c r="A49" s="30" t="inlineStr">
        <is>
          <t>GABRIEL</t>
        </is>
      </c>
      <c r="B49" s="30" t="inlineStr">
        <is>
          <t>Gabriel India Limited</t>
        </is>
      </c>
      <c r="C49" s="30" t="inlineStr">
        <is>
          <t>auto</t>
        </is>
      </c>
      <c r="D49" s="30" t="inlineStr">
        <is>
          <t>auto ancillaries</t>
        </is>
      </c>
      <c r="E49" s="30" t="inlineStr">
        <is>
          <t>midcap</t>
        </is>
      </c>
      <c r="F49" s="30" t="n">
        <v>16402.7</v>
      </c>
      <c r="G49" s="30" t="n">
        <v>1197.4</v>
      </c>
      <c r="H49" s="30" t="n">
        <v>4.86</v>
      </c>
      <c r="I49" s="30" t="n">
        <v>1368095</v>
      </c>
      <c r="J49" s="30" t="inlineStr">
        <is>
          <t>505714</t>
        </is>
      </c>
    </row>
    <row r="50">
      <c r="A50" s="30" t="inlineStr">
        <is>
          <t>ZIMLAB</t>
        </is>
      </c>
      <c r="B50" s="30" t="inlineStr">
        <is>
          <t>Zim Laboratories Ltd</t>
        </is>
      </c>
      <c r="C50" s="30" t="inlineStr">
        <is>
          <t>healthcare</t>
        </is>
      </c>
      <c r="D50" s="30" t="inlineStr">
        <is>
          <t>pharmaceuticals - indian - bulk drugs &amp; formln</t>
        </is>
      </c>
      <c r="E50" s="30" t="inlineStr">
        <is>
          <t>smallcap</t>
        </is>
      </c>
      <c r="F50" s="30" t="n">
        <v>609.74</v>
      </c>
      <c r="G50" s="30" t="n">
        <v>119.43</v>
      </c>
      <c r="H50" s="30" t="n">
        <v>4.79</v>
      </c>
      <c r="I50" s="30" t="n">
        <v>309307</v>
      </c>
      <c r="J50" s="30" t="inlineStr">
        <is>
          <t>541400</t>
        </is>
      </c>
    </row>
    <row r="51">
      <c r="A51" s="30" t="inlineStr">
        <is>
          <t>CERA</t>
        </is>
      </c>
      <c r="B51" s="30" t="inlineStr">
        <is>
          <t>Cera Sanitaryware Limited</t>
        </is>
      </c>
      <c r="C51" s="30" t="inlineStr">
        <is>
          <t>building materials</t>
        </is>
      </c>
      <c r="D51" s="30" t="inlineStr">
        <is>
          <t>ceramics - tiles / sanitaryware</t>
        </is>
      </c>
      <c r="E51" s="30" t="inlineStr">
        <is>
          <t>midcap</t>
        </is>
      </c>
      <c r="F51" s="30" t="n">
        <v>7944.89</v>
      </c>
      <c r="G51" s="30" t="n">
        <v>6448</v>
      </c>
      <c r="H51" s="30" t="n">
        <v>4.68</v>
      </c>
      <c r="I51" s="30" t="n">
        <v>54046</v>
      </c>
      <c r="J51" s="30" t="inlineStr">
        <is>
          <t>532443</t>
        </is>
      </c>
    </row>
    <row r="52">
      <c r="A52" s="30" t="inlineStr">
        <is>
          <t>PARACABLES</t>
        </is>
      </c>
      <c r="B52" s="30" t="inlineStr">
        <is>
          <t>Paramount Communications Limited</t>
        </is>
      </c>
      <c r="C52" s="30" t="inlineStr">
        <is>
          <t>industrials</t>
        </is>
      </c>
      <c r="D52" s="30" t="inlineStr">
        <is>
          <t>cables - power</t>
        </is>
      </c>
      <c r="E52" s="30" t="inlineStr">
        <is>
          <t>smallcap</t>
        </is>
      </c>
      <c r="F52" s="30" t="n">
        <v>2130.97</v>
      </c>
      <c r="G52" s="30" t="n">
        <v>73.06</v>
      </c>
      <c r="H52" s="30" t="n">
        <v>4.64</v>
      </c>
      <c r="I52" s="30" t="n">
        <v>7921488</v>
      </c>
      <c r="J52" s="30" t="inlineStr">
        <is>
          <t>530555</t>
        </is>
      </c>
    </row>
    <row r="53">
      <c r="A53" s="30" t="inlineStr">
        <is>
          <t>PREMEXPLN</t>
        </is>
      </c>
      <c r="B53" s="30" t="inlineStr">
        <is>
          <t>Premier Explosives Limited</t>
        </is>
      </c>
      <c r="C53" s="30" t="inlineStr">
        <is>
          <t>aerospace &amp; defence</t>
        </is>
      </c>
      <c r="D53" s="30" t="inlineStr">
        <is>
          <t>chemicals</t>
        </is>
      </c>
      <c r="E53" s="30" t="inlineStr">
        <is>
          <t>smallcap</t>
        </is>
      </c>
      <c r="F53" s="30" t="n">
        <v>3984.24</v>
      </c>
      <c r="G53" s="30" t="n">
        <v>775.3</v>
      </c>
      <c r="H53" s="30" t="n">
        <v>4.61</v>
      </c>
      <c r="I53" s="30" t="n">
        <v>2574942</v>
      </c>
      <c r="J53" s="30" t="inlineStr">
        <is>
          <t>526247</t>
        </is>
      </c>
    </row>
    <row r="54">
      <c r="A54" s="30" t="inlineStr">
        <is>
          <t>CUPID</t>
        </is>
      </c>
      <c r="B54" s="30" t="inlineStr">
        <is>
          <t>Cupid Limited</t>
        </is>
      </c>
      <c r="C54" s="30" t="inlineStr">
        <is>
          <t>fmcg</t>
        </is>
      </c>
      <c r="D54" s="30" t="inlineStr">
        <is>
          <t>personal care - indian</t>
        </is>
      </c>
      <c r="E54" s="30" t="inlineStr">
        <is>
          <t>largecap</t>
        </is>
      </c>
      <c r="F54" s="30" t="n">
        <v>22750.31</v>
      </c>
      <c r="G54" s="30" t="n">
        <v>176.92</v>
      </c>
      <c r="H54" s="30" t="n">
        <v>4.57</v>
      </c>
      <c r="I54" s="30" t="n">
        <v>32137212</v>
      </c>
      <c r="J54" s="30" t="inlineStr">
        <is>
          <t>530843</t>
        </is>
      </c>
    </row>
    <row r="55">
      <c r="A55" s="30" t="inlineStr">
        <is>
          <t>VIJAYA</t>
        </is>
      </c>
      <c r="B55" s="30" t="inlineStr">
        <is>
          <t>Vijaya Diagnostic Centre Ltd</t>
        </is>
      </c>
      <c r="C55" s="30" t="inlineStr">
        <is>
          <t>healthcare</t>
        </is>
      </c>
      <c r="D55" s="30" t="inlineStr">
        <is>
          <t>healthcare</t>
        </is>
      </c>
      <c r="E55" s="30" t="inlineStr">
        <is>
          <t>midcap</t>
        </is>
      </c>
      <c r="F55" s="30" t="n">
        <v>13434.2</v>
      </c>
      <c r="G55" s="30" t="n">
        <v>1364.2</v>
      </c>
      <c r="H55" s="30" t="n">
        <v>4.49</v>
      </c>
      <c r="I55" s="30" t="n">
        <v>327949</v>
      </c>
      <c r="J55" s="30" t="inlineStr">
        <is>
          <t>543350</t>
        </is>
      </c>
    </row>
    <row r="56">
      <c r="A56" s="30" t="inlineStr">
        <is>
          <t>GOKEX</t>
        </is>
      </c>
      <c r="B56" s="30" t="inlineStr">
        <is>
          <t>Gokaldas Exports Limited</t>
        </is>
      </c>
      <c r="C56" s="30" t="inlineStr">
        <is>
          <t>consumer discretionary</t>
        </is>
      </c>
      <c r="D56" s="30" t="inlineStr">
        <is>
          <t>textiles - products</t>
        </is>
      </c>
      <c r="E56" s="30" t="inlineStr">
        <is>
          <t>midcap</t>
        </is>
      </c>
      <c r="F56" s="30" t="n">
        <v>5743.32</v>
      </c>
      <c r="G56" s="30" t="n">
        <v>818.7</v>
      </c>
      <c r="H56" s="30" t="n">
        <v>4.41</v>
      </c>
      <c r="I56" s="30" t="n">
        <v>3078701</v>
      </c>
      <c r="J56" s="30" t="inlineStr">
        <is>
          <t>532630</t>
        </is>
      </c>
    </row>
    <row r="57">
      <c r="A57" s="30" t="inlineStr">
        <is>
          <t>VENUSPIPES</t>
        </is>
      </c>
      <c r="B57" s="30" t="inlineStr">
        <is>
          <t>Venus Pipes &amp; Tubes Ltd</t>
        </is>
      </c>
      <c r="C57" s="30" t="inlineStr">
        <is>
          <t>metals &amp; mining</t>
        </is>
      </c>
      <c r="D57" s="30" t="inlineStr">
        <is>
          <t>steel - medium / small</t>
        </is>
      </c>
      <c r="E57" s="30" t="inlineStr">
        <is>
          <t>smallcap</t>
        </is>
      </c>
      <c r="F57" s="30" t="n">
        <v>3070.96</v>
      </c>
      <c r="G57" s="30" t="n">
        <v>1546.1</v>
      </c>
      <c r="H57" s="30" t="n">
        <v>4.3</v>
      </c>
      <c r="I57" s="30" t="n">
        <v>616396</v>
      </c>
      <c r="J57" s="30" t="inlineStr">
        <is>
          <t>543528</t>
        </is>
      </c>
    </row>
    <row r="58">
      <c r="A58" s="30" t="inlineStr">
        <is>
          <t>CARERATING</t>
        </is>
      </c>
      <c r="B58" s="30" t="inlineStr">
        <is>
          <t>CARE Ratings Ltd</t>
        </is>
      </c>
      <c r="C58" s="30" t="inlineStr">
        <is>
          <t>financials</t>
        </is>
      </c>
      <c r="D58" s="30" t="inlineStr">
        <is>
          <t>miscellaneous</t>
        </is>
      </c>
      <c r="E58" s="30" t="inlineStr">
        <is>
          <t>smallcap</t>
        </is>
      </c>
      <c r="F58" s="30" t="n">
        <v>4932.81</v>
      </c>
      <c r="G58" s="30" t="n">
        <v>1713.3</v>
      </c>
      <c r="H58" s="30" t="n">
        <v>4.29</v>
      </c>
      <c r="I58" s="30" t="n">
        <v>79552</v>
      </c>
      <c r="J58" s="30" t="inlineStr">
        <is>
          <t>534804</t>
        </is>
      </c>
    </row>
    <row r="59">
      <c r="A59" s="30" t="inlineStr">
        <is>
          <t>JNKINDIA</t>
        </is>
      </c>
      <c r="B59" s="30" t="inlineStr">
        <is>
          <t>JNK India Ltd</t>
        </is>
      </c>
      <c r="C59" s="30" t="inlineStr">
        <is>
          <t>realty</t>
        </is>
      </c>
      <c r="D59" s="30" t="inlineStr">
        <is>
          <t>engineering - turnkey services</t>
        </is>
      </c>
      <c r="E59" s="30" t="inlineStr">
        <is>
          <t>smallcap</t>
        </is>
      </c>
      <c r="F59" s="30" t="n">
        <v>2613.05</v>
      </c>
      <c r="G59" s="30" t="n">
        <v>486.95</v>
      </c>
      <c r="H59" s="30" t="n">
        <v>4.27</v>
      </c>
      <c r="I59" s="30" t="n">
        <v>742031</v>
      </c>
      <c r="J59" s="30" t="inlineStr">
        <is>
          <t>544167</t>
        </is>
      </c>
    </row>
    <row r="60">
      <c r="A60" s="30" t="inlineStr">
        <is>
          <t>IFCI</t>
        </is>
      </c>
      <c r="B60" s="30" t="inlineStr">
        <is>
          <t>Ifci Limited</t>
        </is>
      </c>
      <c r="C60" s="30" t="inlineStr">
        <is>
          <t>financials</t>
        </is>
      </c>
      <c r="D60" s="30" t="inlineStr">
        <is>
          <t>finance - term-lending institutions</t>
        </is>
      </c>
      <c r="E60" s="30" t="inlineStr">
        <is>
          <t>largecap</t>
        </is>
      </c>
      <c r="F60" s="30" t="n">
        <v>22176.9</v>
      </c>
      <c r="G60" s="30" t="n">
        <v>85.73</v>
      </c>
      <c r="H60" s="30" t="n">
        <v>4.16</v>
      </c>
      <c r="I60" s="30" t="n">
        <v>205777880</v>
      </c>
      <c r="J60" s="30" t="inlineStr">
        <is>
          <t>500106</t>
        </is>
      </c>
    </row>
    <row r="61">
      <c r="A61" s="30" t="inlineStr">
        <is>
          <t>CARBORUNIV</t>
        </is>
      </c>
      <c r="B61" s="30" t="inlineStr">
        <is>
          <t>Carborundum Universal Limited</t>
        </is>
      </c>
      <c r="C61" s="30" t="inlineStr">
        <is>
          <t>industrials</t>
        </is>
      </c>
      <c r="D61" s="30" t="inlineStr">
        <is>
          <t>abrasives and grinding wheels</t>
        </is>
      </c>
      <c r="E61" s="30" t="inlineStr">
        <is>
          <t>largecap</t>
        </is>
      </c>
      <c r="F61" s="30" t="n">
        <v>22710.52</v>
      </c>
      <c r="G61" s="30" t="n">
        <v>1241.7</v>
      </c>
      <c r="H61" s="30" t="n">
        <v>4.15</v>
      </c>
      <c r="I61" s="30" t="n">
        <v>2169097</v>
      </c>
      <c r="J61" s="30" t="inlineStr">
        <is>
          <t>513375</t>
        </is>
      </c>
    </row>
    <row r="62">
      <c r="A62" s="30" t="inlineStr">
        <is>
          <t>APCOTEXIND</t>
        </is>
      </c>
      <c r="B62" s="30" t="inlineStr">
        <is>
          <t>Apcotex Industries Limited</t>
        </is>
      </c>
      <c r="C62" s="30" t="inlineStr">
        <is>
          <t>chemicals</t>
        </is>
      </c>
      <c r="D62" s="30" t="inlineStr">
        <is>
          <t>miscellaneous</t>
        </is>
      </c>
      <c r="E62" s="30" t="inlineStr">
        <is>
          <t>smallcap</t>
        </is>
      </c>
      <c r="F62" s="30" t="n">
        <v>2728.34</v>
      </c>
      <c r="G62" s="30" t="n">
        <v>546.65</v>
      </c>
      <c r="H62" s="30" t="n">
        <v>3.88</v>
      </c>
      <c r="I62" s="30" t="n">
        <v>106791</v>
      </c>
      <c r="J62" s="30" t="inlineStr">
        <is>
          <t>523694</t>
        </is>
      </c>
    </row>
    <row r="63">
      <c r="A63" s="30" t="inlineStr">
        <is>
          <t>GALAPREC</t>
        </is>
      </c>
      <c r="B63" s="30" t="inlineStr">
        <is>
          <t>Gala Precision Engineering Ltd</t>
        </is>
      </c>
      <c r="C63" s="30" t="inlineStr">
        <is>
          <t>industrials</t>
        </is>
      </c>
      <c r="D63" s="30" t="inlineStr">
        <is>
          <t>fasteners</t>
        </is>
      </c>
      <c r="E63" s="30" t="inlineStr">
        <is>
          <t>smallcap</t>
        </is>
      </c>
      <c r="F63" s="30" t="n">
        <v>1301.8</v>
      </c>
      <c r="G63" s="30" t="n">
        <v>1060.35</v>
      </c>
      <c r="H63" s="30" t="n">
        <v>3.85</v>
      </c>
      <c r="I63" s="30" t="n">
        <v>98089</v>
      </c>
      <c r="J63" s="30" t="inlineStr">
        <is>
          <t>544244</t>
        </is>
      </c>
    </row>
    <row r="64">
      <c r="A64" s="30" t="inlineStr">
        <is>
          <t>NIBE</t>
        </is>
      </c>
      <c r="B64" s="30" t="inlineStr">
        <is>
          <t>NIBE Ltd</t>
        </is>
      </c>
      <c r="C64" s="30" t="inlineStr">
        <is>
          <t>aerospace &amp; defence</t>
        </is>
      </c>
      <c r="D64" s="30" t="inlineStr">
        <is>
          <t>engineering</t>
        </is>
      </c>
      <c r="E64" s="30" t="inlineStr">
        <is>
          <t>smallcap</t>
        </is>
      </c>
      <c r="F64" s="30" t="n">
        <v>2668.28</v>
      </c>
      <c r="G64" s="30" t="n">
        <v>1815.4</v>
      </c>
      <c r="H64" s="30" t="n">
        <v>3.83</v>
      </c>
      <c r="I64" s="30" t="n">
        <v>433116</v>
      </c>
      <c r="J64" s="30" t="inlineStr">
        <is>
          <t>535136</t>
        </is>
      </c>
    </row>
    <row r="65">
      <c r="A65" s="30" t="inlineStr">
        <is>
          <t>SHRIRAMPPS</t>
        </is>
      </c>
      <c r="B65" s="30" t="inlineStr">
        <is>
          <t>Shriram Properties Ltd</t>
        </is>
      </c>
      <c r="C65" s="30" t="inlineStr">
        <is>
          <t>realty</t>
        </is>
      </c>
      <c r="D65" s="30" t="inlineStr">
        <is>
          <t>construction</t>
        </is>
      </c>
      <c r="E65" s="30" t="inlineStr">
        <is>
          <t>smallcap</t>
        </is>
      </c>
      <c r="F65" s="30" t="n">
        <v>1509.27</v>
      </c>
      <c r="G65" s="30" t="n">
        <v>91.81</v>
      </c>
      <c r="H65" s="30" t="n">
        <v>3.81</v>
      </c>
      <c r="I65" s="30" t="n">
        <v>2417055</v>
      </c>
      <c r="J65" s="30" t="inlineStr">
        <is>
          <t>543419</t>
        </is>
      </c>
    </row>
    <row r="66">
      <c r="A66" s="30" t="inlineStr">
        <is>
          <t>CONFIPET</t>
        </is>
      </c>
      <c r="B66" s="30" t="inlineStr">
        <is>
          <t>Confidence Petroleum India Ltd</t>
        </is>
      </c>
      <c r="C66" s="30" t="inlineStr">
        <is>
          <t>miscellaneous</t>
        </is>
      </c>
      <c r="D66" s="30" t="inlineStr">
        <is>
          <t>miscellaneous</t>
        </is>
      </c>
      <c r="E66" s="30" t="inlineStr">
        <is>
          <t>smallcap</t>
        </is>
      </c>
      <c r="F66" s="30" t="n">
        <v>2255.58</v>
      </c>
      <c r="G66" s="30" t="n">
        <v>70.44</v>
      </c>
      <c r="H66" s="30" t="n">
        <v>3.76</v>
      </c>
      <c r="I66" s="30" t="n">
        <v>4124933</v>
      </c>
      <c r="J66" s="30" t="inlineStr">
        <is>
          <t>526829</t>
        </is>
      </c>
    </row>
    <row r="67">
      <c r="A67" s="30" t="inlineStr">
        <is>
          <t>AUROPHARMA</t>
        </is>
      </c>
      <c r="B67" s="30" t="inlineStr">
        <is>
          <t>Aurobindo Pharma Limited</t>
        </is>
      </c>
      <c r="C67" s="30" t="inlineStr">
        <is>
          <t>healthcare</t>
        </is>
      </c>
      <c r="D67" s="30" t="inlineStr">
        <is>
          <t>pharmaceuticals - indian - bulk drugs &amp; formln</t>
        </is>
      </c>
      <c r="E67" s="30" t="inlineStr">
        <is>
          <t>largecap</t>
        </is>
      </c>
      <c r="F67" s="30" t="n">
        <v>83850.33</v>
      </c>
      <c r="G67" s="30" t="n">
        <v>1497.8</v>
      </c>
      <c r="H67" s="30" t="n">
        <v>3.75</v>
      </c>
      <c r="I67" s="30" t="n">
        <v>2506592</v>
      </c>
      <c r="J67" s="30" t="inlineStr">
        <is>
          <t>524804</t>
        </is>
      </c>
    </row>
    <row r="68">
      <c r="A68" s="30" t="inlineStr">
        <is>
          <t>AEROFLEX</t>
        </is>
      </c>
      <c r="B68" s="30" t="inlineStr">
        <is>
          <t>Aeroflex Industries Ltd</t>
        </is>
      </c>
      <c r="C68" s="30" t="inlineStr">
        <is>
          <t>metals &amp; mining</t>
        </is>
      </c>
      <c r="D68" s="30" t="inlineStr">
        <is>
          <t>steel - medium / small</t>
        </is>
      </c>
      <c r="E68" s="30" t="inlineStr">
        <is>
          <t>midcap</t>
        </is>
      </c>
      <c r="F68" s="30" t="n">
        <v>6470.97</v>
      </c>
      <c r="G68" s="30" t="n">
        <v>507.25</v>
      </c>
      <c r="H68" s="30" t="n">
        <v>3.73</v>
      </c>
      <c r="I68" s="30" t="n">
        <v>3240258</v>
      </c>
      <c r="J68" s="30" t="inlineStr">
        <is>
          <t>543972</t>
        </is>
      </c>
    </row>
    <row r="69">
      <c r="A69" s="30" t="inlineStr">
        <is>
          <t>NINSYS</t>
        </is>
      </c>
      <c r="B69" s="30" t="inlineStr">
        <is>
          <t>NINtec Systems Ltd</t>
        </is>
      </c>
      <c r="C69" s="30" t="inlineStr">
        <is>
          <t>i.t</t>
        </is>
      </c>
      <c r="D69" s="30" t="inlineStr">
        <is>
          <t>computers - software - medium / small</t>
        </is>
      </c>
      <c r="E69" s="30" t="inlineStr">
        <is>
          <t>smallcap</t>
        </is>
      </c>
      <c r="F69" s="30" t="n">
        <v>1290.57</v>
      </c>
      <c r="G69" s="30" t="n">
        <v>720.3</v>
      </c>
      <c r="H69" s="30" t="n">
        <v>3.68</v>
      </c>
      <c r="I69" s="30" t="n">
        <v>8981</v>
      </c>
      <c r="J69" s="30" t="inlineStr">
        <is>
          <t>539843</t>
        </is>
      </c>
    </row>
    <row r="70">
      <c r="A70" s="30" t="inlineStr">
        <is>
          <t>PREMIERPOL</t>
        </is>
      </c>
      <c r="B70" s="30" t="inlineStr">
        <is>
          <t>Premier Polyfilm Limited</t>
        </is>
      </c>
      <c r="C70" s="30" t="inlineStr">
        <is>
          <t>plastic products</t>
        </is>
      </c>
      <c r="D70" s="30" t="inlineStr">
        <is>
          <t>plastics products</t>
        </is>
      </c>
      <c r="E70" s="30" t="inlineStr">
        <is>
          <t>smallcap</t>
        </is>
      </c>
      <c r="F70" s="30" t="n">
        <v>640.1900000000001</v>
      </c>
      <c r="G70" s="30" t="n">
        <v>63.33</v>
      </c>
      <c r="H70" s="30" t="n">
        <v>3.62</v>
      </c>
      <c r="I70" s="30" t="n">
        <v>137231</v>
      </c>
      <c r="J70" s="30" t="inlineStr">
        <is>
          <t>514354</t>
        </is>
      </c>
    </row>
    <row r="71">
      <c r="A71" s="30" t="inlineStr">
        <is>
          <t>ASIANENE</t>
        </is>
      </c>
      <c r="B71" s="30" t="inlineStr">
        <is>
          <t>Asian Energy Services Ltd</t>
        </is>
      </c>
      <c r="C71" s="30" t="inlineStr">
        <is>
          <t>energy</t>
        </is>
      </c>
      <c r="D71" s="30" t="inlineStr">
        <is>
          <t>oil drilling / allied services</t>
        </is>
      </c>
      <c r="E71" s="30" t="inlineStr">
        <is>
          <t>smallcap</t>
        </is>
      </c>
      <c r="F71" s="30" t="n">
        <v>1723.5</v>
      </c>
      <c r="G71" s="30" t="n">
        <v>367.25</v>
      </c>
      <c r="H71" s="30" t="n">
        <v>3.58</v>
      </c>
      <c r="I71" s="30" t="n">
        <v>510795</v>
      </c>
      <c r="J71" s="30" t="inlineStr">
        <is>
          <t>530355</t>
        </is>
      </c>
    </row>
    <row r="72">
      <c r="A72" s="30" t="inlineStr">
        <is>
          <t>PRECOT</t>
        </is>
      </c>
      <c r="B72" s="30" t="inlineStr">
        <is>
          <t>Precot Meridian Limited</t>
        </is>
      </c>
      <c r="C72" s="30" t="inlineStr">
        <is>
          <t>textiles</t>
        </is>
      </c>
      <c r="D72" s="30" t="inlineStr">
        <is>
          <t>textiles - cotton/blended</t>
        </is>
      </c>
      <c r="E72" s="30" t="inlineStr">
        <is>
          <t>smallcap</t>
        </is>
      </c>
      <c r="F72" s="30" t="n">
        <v>872.88</v>
      </c>
      <c r="G72" s="30" t="n">
        <v>753.3</v>
      </c>
      <c r="H72" s="30" t="n">
        <v>3.56</v>
      </c>
      <c r="I72" s="30" t="n">
        <v>6046</v>
      </c>
      <c r="J72" s="30" t="inlineStr">
        <is>
          <t>521184</t>
        </is>
      </c>
    </row>
    <row r="73">
      <c r="A73" s="30" t="inlineStr">
        <is>
          <t>WALCHANNAG</t>
        </is>
      </c>
      <c r="B73" s="30" t="inlineStr">
        <is>
          <t>Walchandnagar Industries Limited</t>
        </is>
      </c>
      <c r="C73" s="30" t="inlineStr">
        <is>
          <t>industrials</t>
        </is>
      </c>
      <c r="D73" s="30" t="inlineStr">
        <is>
          <t>engineering</t>
        </is>
      </c>
      <c r="E73" s="30" t="inlineStr">
        <is>
          <t>smallcap</t>
        </is>
      </c>
      <c r="F73" s="30" t="n">
        <v>2044.42</v>
      </c>
      <c r="G73" s="30" t="n">
        <v>312.05</v>
      </c>
      <c r="H73" s="30" t="n">
        <v>3.55</v>
      </c>
      <c r="I73" s="30" t="n">
        <v>5681026</v>
      </c>
      <c r="J73" s="30" t="inlineStr">
        <is>
          <t>507410</t>
        </is>
      </c>
    </row>
    <row r="74">
      <c r="A74" s="30" t="inlineStr">
        <is>
          <t>CENTENKA</t>
        </is>
      </c>
      <c r="B74" s="30" t="inlineStr">
        <is>
          <t>Century Enka Limited</t>
        </is>
      </c>
      <c r="C74" s="30" t="inlineStr">
        <is>
          <t>textiles</t>
        </is>
      </c>
      <c r="D74" s="30" t="inlineStr">
        <is>
          <t>textiles - manmade</t>
        </is>
      </c>
      <c r="E74" s="30" t="inlineStr">
        <is>
          <t>smallcap</t>
        </is>
      </c>
      <c r="F74" s="30" t="n">
        <v>1107.61</v>
      </c>
      <c r="G74" s="30" t="n">
        <v>524.85</v>
      </c>
      <c r="H74" s="30" t="n">
        <v>3.54</v>
      </c>
      <c r="I74" s="30" t="n">
        <v>172891</v>
      </c>
      <c r="J74" s="30" t="inlineStr">
        <is>
          <t>500280</t>
        </is>
      </c>
    </row>
    <row r="75">
      <c r="A75" s="30" t="inlineStr">
        <is>
          <t>ADOR</t>
        </is>
      </c>
      <c r="B75" s="30" t="inlineStr">
        <is>
          <t>Ador Welding Ltd</t>
        </is>
      </c>
      <c r="C75" s="30" t="inlineStr">
        <is>
          <t>industrials</t>
        </is>
      </c>
      <c r="D75" s="30" t="inlineStr">
        <is>
          <t>electrodes - welding equipment</t>
        </is>
      </c>
      <c r="E75" s="30" t="inlineStr">
        <is>
          <t>smallcap</t>
        </is>
      </c>
      <c r="F75" s="30" t="n">
        <v>2044.48</v>
      </c>
      <c r="G75" s="30" t="n">
        <v>1216.4</v>
      </c>
      <c r="H75" s="30" t="n">
        <v>3.54</v>
      </c>
      <c r="I75" s="30" t="n">
        <v>51749</v>
      </c>
      <c r="J75" s="30" t="inlineStr">
        <is>
          <t>517041</t>
        </is>
      </c>
    </row>
    <row r="76">
      <c r="A76" s="30" t="inlineStr">
        <is>
          <t>GANDHAR</t>
        </is>
      </c>
      <c r="B76" s="30" t="inlineStr">
        <is>
          <t>Gandhar Oil Refinery (India) Ltd</t>
        </is>
      </c>
      <c r="C76" s="30" t="inlineStr">
        <is>
          <t>energy</t>
        </is>
      </c>
      <c r="D76" s="30" t="inlineStr">
        <is>
          <t>refineries</t>
        </is>
      </c>
      <c r="E76" s="30" t="inlineStr">
        <is>
          <t>smallcap</t>
        </is>
      </c>
      <c r="F76" s="30" t="n">
        <v>1704.18</v>
      </c>
      <c r="G76" s="30" t="n">
        <v>180.26</v>
      </c>
      <c r="H76" s="30" t="n">
        <v>3.53</v>
      </c>
      <c r="I76" s="30" t="n">
        <v>3490988</v>
      </c>
      <c r="J76" s="30" t="inlineStr">
        <is>
          <t>544029</t>
        </is>
      </c>
    </row>
    <row r="77">
      <c r="A77" s="30" t="inlineStr">
        <is>
          <t>ZENTEC</t>
        </is>
      </c>
      <c r="B77" s="30" t="inlineStr">
        <is>
          <t>Zen Technologies Limited</t>
        </is>
      </c>
      <c r="C77" s="30" t="inlineStr">
        <is>
          <t>aerospace &amp; defence</t>
        </is>
      </c>
      <c r="D77" s="30" t="inlineStr">
        <is>
          <t>miscellaneous</t>
        </is>
      </c>
      <c r="E77" s="30" t="inlineStr">
        <is>
          <t>midcap</t>
        </is>
      </c>
      <c r="F77" s="30" t="n">
        <v>17420.62</v>
      </c>
      <c r="G77" s="30" t="n">
        <v>1997</v>
      </c>
      <c r="H77" s="30" t="n">
        <v>3.5</v>
      </c>
      <c r="I77" s="30" t="n">
        <v>1662568</v>
      </c>
      <c r="J77" s="30" t="inlineStr">
        <is>
          <t>533339</t>
        </is>
      </c>
    </row>
    <row r="78">
      <c r="A78" s="30" t="inlineStr">
        <is>
          <t>ACUTAAS</t>
        </is>
      </c>
      <c r="B78" s="30" t="inlineStr">
        <is>
          <t>Acutaas Chemicals Ltd</t>
        </is>
      </c>
      <c r="C78" s="30" t="inlineStr">
        <is>
          <t>healthcare</t>
        </is>
      </c>
      <c r="D78" s="30" t="inlineStr">
        <is>
          <t>pharmaceuticals - indian - bulk drugs</t>
        </is>
      </c>
      <c r="E78" s="30" t="inlineStr">
        <is>
          <t>largecap</t>
        </is>
      </c>
      <c r="F78" s="30" t="n">
        <v>25677.24</v>
      </c>
      <c r="G78" s="30" t="n">
        <v>3246.2</v>
      </c>
      <c r="H78" s="30" t="n">
        <v>3.5</v>
      </c>
      <c r="I78" s="30" t="n">
        <v>340557</v>
      </c>
      <c r="J78" s="30" t="inlineStr">
        <is>
          <t>543349</t>
        </is>
      </c>
    </row>
    <row r="79">
      <c r="A79" s="30" t="inlineStr">
        <is>
          <t>DIACABS</t>
        </is>
      </c>
      <c r="B79" s="30" t="inlineStr">
        <is>
          <t>Diamond Power Infrastructure Ltd</t>
        </is>
      </c>
      <c r="C79" s="30" t="inlineStr">
        <is>
          <t>industrials</t>
        </is>
      </c>
      <c r="D79" s="30" t="inlineStr">
        <is>
          <t>cables - power</t>
        </is>
      </c>
      <c r="E79" s="30" t="inlineStr">
        <is>
          <t>midcap</t>
        </is>
      </c>
      <c r="F79" s="30" t="n">
        <v>10657.99</v>
      </c>
      <c r="G79" s="30" t="n">
        <v>209.24</v>
      </c>
      <c r="H79" s="30" t="n">
        <v>3.46</v>
      </c>
      <c r="I79" s="30" t="n">
        <v>6366523</v>
      </c>
      <c r="J79" s="30" t="inlineStr">
        <is>
          <t>522163</t>
        </is>
      </c>
    </row>
    <row r="80">
      <c r="A80" s="30" t="inlineStr">
        <is>
          <t>SCHAEFFLER</t>
        </is>
      </c>
      <c r="B80" s="30" t="inlineStr">
        <is>
          <t>Schaeffler India Ltd</t>
        </is>
      </c>
      <c r="C80" s="30" t="inlineStr">
        <is>
          <t>industrials</t>
        </is>
      </c>
      <c r="D80" s="30" t="inlineStr">
        <is>
          <t>bearings</t>
        </is>
      </c>
      <c r="E80" s="30" t="inlineStr">
        <is>
          <t>largecap</t>
        </is>
      </c>
      <c r="F80" s="30" t="n">
        <v>65428.72</v>
      </c>
      <c r="G80" s="30" t="n">
        <v>4329.9</v>
      </c>
      <c r="H80" s="30" t="n">
        <v>3.44</v>
      </c>
      <c r="I80" s="30" t="n">
        <v>259040</v>
      </c>
      <c r="J80" s="30" t="inlineStr">
        <is>
          <t>505790</t>
        </is>
      </c>
    </row>
    <row r="81">
      <c r="A81" s="30" t="inlineStr">
        <is>
          <t>MENONBE</t>
        </is>
      </c>
      <c r="B81" s="30" t="inlineStr">
        <is>
          <t>Menon Bearings Limited</t>
        </is>
      </c>
      <c r="C81" s="30" t="inlineStr">
        <is>
          <t>auto</t>
        </is>
      </c>
      <c r="D81" s="30" t="inlineStr">
        <is>
          <t>auto ancillaries</t>
        </is>
      </c>
      <c r="E81" s="30" t="inlineStr">
        <is>
          <t>smallcap</t>
        </is>
      </c>
      <c r="F81" s="30" t="n">
        <v>950.66</v>
      </c>
      <c r="G81" s="30" t="n">
        <v>175.43</v>
      </c>
      <c r="H81" s="30" t="n">
        <v>3.41</v>
      </c>
      <c r="I81" s="30" t="n">
        <v>313911</v>
      </c>
      <c r="J81" s="30" t="inlineStr">
        <is>
          <t>523828</t>
        </is>
      </c>
    </row>
    <row r="82">
      <c r="A82" s="30" t="inlineStr">
        <is>
          <t>AIAENG</t>
        </is>
      </c>
      <c r="B82" s="30" t="inlineStr">
        <is>
          <t>Aia Engineering Limited</t>
        </is>
      </c>
      <c r="C82" s="30" t="inlineStr">
        <is>
          <t>industrials</t>
        </is>
      </c>
      <c r="D82" s="30" t="inlineStr">
        <is>
          <t>castings &amp; forgings</t>
        </is>
      </c>
      <c r="E82" s="30" t="inlineStr">
        <is>
          <t>largecap</t>
        </is>
      </c>
      <c r="F82" s="30" t="n">
        <v>42301.19</v>
      </c>
      <c r="G82" s="30" t="n">
        <v>4687</v>
      </c>
      <c r="H82" s="30" t="n">
        <v>3.4</v>
      </c>
      <c r="I82" s="30" t="n">
        <v>184500</v>
      </c>
      <c r="J82" s="30" t="inlineStr">
        <is>
          <t>532683</t>
        </is>
      </c>
    </row>
    <row r="83">
      <c r="A83" s="30" t="inlineStr">
        <is>
          <t>GREAVESCOT</t>
        </is>
      </c>
      <c r="B83" s="30" t="inlineStr">
        <is>
          <t>Greaves Cotton Limited</t>
        </is>
      </c>
      <c r="C83" s="30" t="inlineStr">
        <is>
          <t>industrials</t>
        </is>
      </c>
      <c r="D83" s="30" t="inlineStr">
        <is>
          <t>engines</t>
        </is>
      </c>
      <c r="E83" s="30" t="inlineStr">
        <is>
          <t>smallcap</t>
        </is>
      </c>
      <c r="F83" s="30" t="n">
        <v>4472.73</v>
      </c>
      <c r="G83" s="30" t="n">
        <v>198.54</v>
      </c>
      <c r="H83" s="30" t="n">
        <v>3.38</v>
      </c>
      <c r="I83" s="30" t="n">
        <v>2770897</v>
      </c>
      <c r="J83" s="30" t="inlineStr">
        <is>
          <t>501455</t>
        </is>
      </c>
    </row>
    <row r="84">
      <c r="A84" s="30" t="inlineStr">
        <is>
          <t>UNIPARTS</t>
        </is>
      </c>
      <c r="B84" s="30" t="inlineStr">
        <is>
          <t>Uniparts India Ltd</t>
        </is>
      </c>
      <c r="C84" s="30" t="inlineStr">
        <is>
          <t>industrials</t>
        </is>
      </c>
      <c r="D84" s="30" t="inlineStr">
        <is>
          <t>engineering</t>
        </is>
      </c>
      <c r="E84" s="30" t="inlineStr">
        <is>
          <t>smallcap</t>
        </is>
      </c>
      <c r="F84" s="30" t="n">
        <v>2947.39</v>
      </c>
      <c r="G84" s="30" t="n">
        <v>674.7</v>
      </c>
      <c r="H84" s="30" t="n">
        <v>3.34</v>
      </c>
      <c r="I84" s="30" t="n">
        <v>674525</v>
      </c>
      <c r="J84" s="30" t="inlineStr">
        <is>
          <t>543689</t>
        </is>
      </c>
    </row>
    <row r="85">
      <c r="A85" s="30" t="inlineStr">
        <is>
          <t>SETL</t>
        </is>
      </c>
      <c r="B85" s="30" t="inlineStr">
        <is>
          <t>Standard Enginnering Technology Ltd</t>
        </is>
      </c>
      <c r="C85" s="30" t="inlineStr">
        <is>
          <t>industrials</t>
        </is>
      </c>
      <c r="D85" s="30" t="inlineStr">
        <is>
          <t>engineering</t>
        </is>
      </c>
      <c r="E85" s="30" t="inlineStr">
        <is>
          <t>smallcap</t>
        </is>
      </c>
      <c r="F85" s="30" t="n">
        <v>3594.24</v>
      </c>
      <c r="G85" s="30" t="n">
        <v>186.11</v>
      </c>
      <c r="H85" s="30" t="n">
        <v>3.3</v>
      </c>
      <c r="I85" s="30" t="n">
        <v>1112956</v>
      </c>
      <c r="J85" s="30" t="inlineStr">
        <is>
          <t>544333</t>
        </is>
      </c>
    </row>
    <row r="86">
      <c r="A86" s="30" t="inlineStr">
        <is>
          <t>SUVEN</t>
        </is>
      </c>
      <c r="B86" s="30" t="inlineStr">
        <is>
          <t>Suven Life Sciences Limited</t>
        </is>
      </c>
      <c r="C86" s="30" t="inlineStr">
        <is>
          <t>healthcare</t>
        </is>
      </c>
      <c r="D86" s="30" t="inlineStr">
        <is>
          <t>miscellaneous</t>
        </is>
      </c>
      <c r="E86" s="30" t="inlineStr">
        <is>
          <t>midcap</t>
        </is>
      </c>
      <c r="F86" s="30" t="n">
        <v>6848.82</v>
      </c>
      <c r="G86" s="30" t="n">
        <v>268.2</v>
      </c>
      <c r="H86" s="30" t="n">
        <v>3.27</v>
      </c>
      <c r="I86" s="30" t="n">
        <v>1458412</v>
      </c>
      <c r="J86" s="30" t="inlineStr">
        <is>
          <t>530239</t>
        </is>
      </c>
    </row>
    <row r="87">
      <c r="A87" s="30" t="inlineStr">
        <is>
          <t>REDINGTON</t>
        </is>
      </c>
      <c r="B87" s="30" t="inlineStr">
        <is>
          <t>Redington (india) Limited</t>
        </is>
      </c>
      <c r="C87" s="30" t="inlineStr">
        <is>
          <t>services</t>
        </is>
      </c>
      <c r="D87" s="30" t="inlineStr">
        <is>
          <t>trading</t>
        </is>
      </c>
      <c r="E87" s="30" t="inlineStr">
        <is>
          <t>largecap</t>
        </is>
      </c>
      <c r="F87" s="30" t="n">
        <v>21260.36</v>
      </c>
      <c r="G87" s="30" t="n">
        <v>280.76</v>
      </c>
      <c r="H87" s="30" t="n">
        <v>3.24</v>
      </c>
      <c r="I87" s="30" t="n">
        <v>22331777</v>
      </c>
      <c r="J87" s="30" t="inlineStr">
        <is>
          <t>532805</t>
        </is>
      </c>
    </row>
    <row r="88">
      <c r="A88" s="30" t="inlineStr">
        <is>
          <t>CRAFTSMAN</t>
        </is>
      </c>
      <c r="B88" s="30" t="inlineStr">
        <is>
          <t>Craftsman Automation Ltd</t>
        </is>
      </c>
      <c r="C88" s="30" t="inlineStr">
        <is>
          <t>auto</t>
        </is>
      </c>
      <c r="D88" s="30" t="inlineStr">
        <is>
          <t>auto ancillaries</t>
        </is>
      </c>
      <c r="E88" s="30" t="inlineStr">
        <is>
          <t>largecap</t>
        </is>
      </c>
      <c r="F88" s="30" t="n">
        <v>22662.8</v>
      </c>
      <c r="G88" s="30" t="n">
        <v>9806.5</v>
      </c>
      <c r="H88" s="30" t="n">
        <v>3.23</v>
      </c>
      <c r="I88" s="30" t="n">
        <v>253361</v>
      </c>
      <c r="J88" s="30" t="inlineStr">
        <is>
          <t>543276</t>
        </is>
      </c>
    </row>
    <row r="89">
      <c r="A89" s="30" t="inlineStr">
        <is>
          <t>TIMKEN</t>
        </is>
      </c>
      <c r="B89" s="30" t="inlineStr">
        <is>
          <t>Timken India Limited</t>
        </is>
      </c>
      <c r="C89" s="30" t="inlineStr">
        <is>
          <t>industrials</t>
        </is>
      </c>
      <c r="D89" s="30" t="inlineStr">
        <is>
          <t>bearings</t>
        </is>
      </c>
      <c r="E89" s="30" t="inlineStr">
        <is>
          <t>largecap</t>
        </is>
      </c>
      <c r="F89" s="30" t="n">
        <v>26882.42</v>
      </c>
      <c r="G89" s="30" t="n">
        <v>3689.4</v>
      </c>
      <c r="H89" s="30" t="n">
        <v>3.23</v>
      </c>
      <c r="I89" s="30" t="n">
        <v>162512</v>
      </c>
      <c r="J89" s="30" t="inlineStr">
        <is>
          <t>522113</t>
        </is>
      </c>
    </row>
    <row r="90">
      <c r="A90" s="30" t="inlineStr">
        <is>
          <t>LAURUSLABS</t>
        </is>
      </c>
      <c r="B90" s="30" t="inlineStr">
        <is>
          <t>Laurus Labs Limited</t>
        </is>
      </c>
      <c r="C90" s="30" t="inlineStr">
        <is>
          <t>healthcare</t>
        </is>
      </c>
      <c r="D90" s="30" t="inlineStr">
        <is>
          <t>pharmaceuticals - indian - bulk drugs &amp; formln</t>
        </is>
      </c>
      <c r="E90" s="30" t="inlineStr">
        <is>
          <t>largecap</t>
        </is>
      </c>
      <c r="F90" s="30" t="n">
        <v>73895.57000000001</v>
      </c>
      <c r="G90" s="30" t="n">
        <v>1412.9</v>
      </c>
      <c r="H90" s="30" t="n">
        <v>3.22</v>
      </c>
      <c r="I90" s="30" t="n">
        <v>2349174</v>
      </c>
      <c r="J90" s="30" t="inlineStr">
        <is>
          <t>540222</t>
        </is>
      </c>
    </row>
    <row r="91">
      <c r="A91" s="30" t="inlineStr">
        <is>
          <t>GRWRHITECH</t>
        </is>
      </c>
      <c r="B91" s="30" t="inlineStr">
        <is>
          <t>Garware Hi Tech Films Ltd</t>
        </is>
      </c>
      <c r="C91" s="30" t="inlineStr">
        <is>
          <t>industrials</t>
        </is>
      </c>
      <c r="D91" s="30" t="inlineStr">
        <is>
          <t>packaging</t>
        </is>
      </c>
      <c r="E91" s="30" t="inlineStr">
        <is>
          <t>midcap</t>
        </is>
      </c>
      <c r="F91" s="30" t="n">
        <v>15275.3</v>
      </c>
      <c r="G91" s="30" t="n">
        <v>6785.5</v>
      </c>
      <c r="H91" s="30" t="n">
        <v>3.2</v>
      </c>
      <c r="I91" s="30" t="n">
        <v>105921</v>
      </c>
      <c r="J91" s="30" t="inlineStr">
        <is>
          <t>500655</t>
        </is>
      </c>
    </row>
    <row r="92">
      <c r="A92" s="30" t="inlineStr">
        <is>
          <t>XPROINDIA</t>
        </is>
      </c>
      <c r="B92" s="30" t="inlineStr">
        <is>
          <t>Xpro India Limited</t>
        </is>
      </c>
      <c r="C92" s="30" t="inlineStr">
        <is>
          <t>industrials</t>
        </is>
      </c>
      <c r="D92" s="30" t="inlineStr">
        <is>
          <t>packaging</t>
        </is>
      </c>
      <c r="E92" s="30" t="inlineStr">
        <is>
          <t>smallcap</t>
        </is>
      </c>
      <c r="F92" s="30" t="n">
        <v>3059.83</v>
      </c>
      <c r="G92" s="30" t="n">
        <v>1344.8</v>
      </c>
      <c r="H92" s="30" t="n">
        <v>3.15</v>
      </c>
      <c r="I92" s="30" t="n">
        <v>186021</v>
      </c>
      <c r="J92" s="30" t="inlineStr">
        <is>
          <t>590013</t>
        </is>
      </c>
    </row>
    <row r="93">
      <c r="A93" s="30" t="inlineStr">
        <is>
          <t>UFBL</t>
        </is>
      </c>
      <c r="B93" s="30" t="inlineStr">
        <is>
          <t>United Foodbrands Ltd</t>
        </is>
      </c>
      <c r="C93" s="30" t="inlineStr">
        <is>
          <t>consumer discretionary</t>
        </is>
      </c>
      <c r="D93" s="30" t="inlineStr">
        <is>
          <t>hotels</t>
        </is>
      </c>
      <c r="E93" s="30" t="inlineStr">
        <is>
          <t>smallcap</t>
        </is>
      </c>
      <c r="F93" s="30" t="n">
        <v>2441.14</v>
      </c>
      <c r="G93" s="30" t="n">
        <v>644.15</v>
      </c>
      <c r="H93" s="30" t="n">
        <v>3.14</v>
      </c>
      <c r="I93" s="30" t="n">
        <v>276906</v>
      </c>
      <c r="J93" s="30" t="inlineStr">
        <is>
          <t>543283</t>
        </is>
      </c>
    </row>
    <row r="94">
      <c r="A94" s="30" t="inlineStr">
        <is>
          <t>TVSSCS</t>
        </is>
      </c>
      <c r="B94" s="30" t="inlineStr">
        <is>
          <t>TVS Supply Chain Solutions Ltd</t>
        </is>
      </c>
      <c r="C94" s="30" t="inlineStr">
        <is>
          <t>transportation</t>
        </is>
      </c>
      <c r="D94" s="30" t="inlineStr">
        <is>
          <t>miscellaneous</t>
        </is>
      </c>
      <c r="E94" s="30" t="inlineStr">
        <is>
          <t>midcap</t>
        </is>
      </c>
      <c r="F94" s="30" t="n">
        <v>6005.34</v>
      </c>
      <c r="G94" s="30" t="n">
        <v>140.31</v>
      </c>
      <c r="H94" s="30" t="n">
        <v>3.08</v>
      </c>
      <c r="I94" s="30" t="n">
        <v>1891206</v>
      </c>
      <c r="J94" s="30" t="inlineStr">
        <is>
          <t>543965</t>
        </is>
      </c>
    </row>
    <row r="95">
      <c r="A95" s="30" t="inlineStr">
        <is>
          <t>UNIVCABLES</t>
        </is>
      </c>
      <c r="B95" s="30" t="inlineStr">
        <is>
          <t>Universal Cables Limited</t>
        </is>
      </c>
      <c r="C95" s="30" t="inlineStr">
        <is>
          <t>industrials</t>
        </is>
      </c>
      <c r="D95" s="30" t="inlineStr">
        <is>
          <t>cables - power</t>
        </is>
      </c>
      <c r="E95" s="30" t="inlineStr">
        <is>
          <t>smallcap</t>
        </is>
      </c>
      <c r="F95" s="30" t="n">
        <v>4288.35</v>
      </c>
      <c r="G95" s="30" t="n">
        <v>1273.5</v>
      </c>
      <c r="H95" s="30" t="n">
        <v>3.03</v>
      </c>
      <c r="I95" s="30" t="n">
        <v>497951</v>
      </c>
      <c r="J95" s="30" t="inlineStr">
        <is>
          <t>504212</t>
        </is>
      </c>
    </row>
    <row r="96">
      <c r="A96" s="30" t="inlineStr">
        <is>
          <t>APARINDS</t>
        </is>
      </c>
      <c r="B96" s="30" t="inlineStr">
        <is>
          <t>Apar Industries Limited</t>
        </is>
      </c>
      <c r="C96" s="30" t="inlineStr">
        <is>
          <t>industrials</t>
        </is>
      </c>
      <c r="D96" s="30" t="inlineStr">
        <is>
          <t>electric equipment</t>
        </is>
      </c>
      <c r="E96" s="30" t="inlineStr">
        <is>
          <t>largecap</t>
        </is>
      </c>
      <c r="F96" s="30" t="n">
        <v>63514.14</v>
      </c>
      <c r="G96" s="30" t="n">
        <v>16280</v>
      </c>
      <c r="H96" s="30" t="n">
        <v>2.96</v>
      </c>
      <c r="I96" s="30" t="n">
        <v>118830</v>
      </c>
      <c r="J96" s="30" t="inlineStr">
        <is>
          <t>532259</t>
        </is>
      </c>
    </row>
    <row r="97">
      <c r="A97" s="30" t="inlineStr">
        <is>
          <t>GOCLCORP</t>
        </is>
      </c>
      <c r="B97" s="30" t="inlineStr">
        <is>
          <t>Gocl Corporation Limited</t>
        </is>
      </c>
      <c r="C97" s="30" t="inlineStr">
        <is>
          <t>miscellaneous</t>
        </is>
      </c>
      <c r="D97" s="30" t="inlineStr">
        <is>
          <t>diversified - medium / small</t>
        </is>
      </c>
      <c r="E97" s="30" t="inlineStr">
        <is>
          <t>smallcap</t>
        </is>
      </c>
      <c r="F97" s="30" t="n">
        <v>2106.58</v>
      </c>
      <c r="G97" s="30" t="n">
        <v>437.5</v>
      </c>
      <c r="H97" s="30" t="n">
        <v>2.95</v>
      </c>
      <c r="I97" s="30" t="n">
        <v>394379</v>
      </c>
      <c r="J97" s="30" t="inlineStr">
        <is>
          <t>506480</t>
        </is>
      </c>
    </row>
    <row r="98">
      <c r="A98" s="30" t="inlineStr">
        <is>
          <t>JBMA</t>
        </is>
      </c>
      <c r="B98" s="30" t="inlineStr">
        <is>
          <t>Jbm Auto Limited</t>
        </is>
      </c>
      <c r="C98" s="30" t="inlineStr">
        <is>
          <t>auto</t>
        </is>
      </c>
      <c r="D98" s="30" t="inlineStr">
        <is>
          <t>auto ancillaries</t>
        </is>
      </c>
      <c r="E98" s="30" t="inlineStr">
        <is>
          <t>midcap</t>
        </is>
      </c>
      <c r="F98" s="30" t="n">
        <v>16708.32</v>
      </c>
      <c r="G98" s="30" t="n">
        <v>727.3</v>
      </c>
      <c r="H98" s="30" t="n">
        <v>2.94</v>
      </c>
      <c r="I98" s="30" t="n">
        <v>5104745</v>
      </c>
      <c r="J98" s="30" t="inlineStr">
        <is>
          <t>532605</t>
        </is>
      </c>
    </row>
    <row r="99">
      <c r="A99" s="30" t="inlineStr">
        <is>
          <t>PGIL</t>
        </is>
      </c>
      <c r="B99" s="30" t="inlineStr">
        <is>
          <t>Pearl Global Industries Limited</t>
        </is>
      </c>
      <c r="C99" s="30" t="inlineStr">
        <is>
          <t>consumer discretionary</t>
        </is>
      </c>
      <c r="D99" s="30" t="inlineStr">
        <is>
          <t>textiles - products</t>
        </is>
      </c>
      <c r="E99" s="30" t="inlineStr">
        <is>
          <t>midcap</t>
        </is>
      </c>
      <c r="F99" s="30" t="n">
        <v>8045.56</v>
      </c>
      <c r="G99" s="30" t="n">
        <v>1793.5</v>
      </c>
      <c r="H99" s="30" t="n">
        <v>2.87</v>
      </c>
      <c r="I99" s="30" t="n">
        <v>191093</v>
      </c>
      <c r="J99" s="30" t="inlineStr">
        <is>
          <t>532808</t>
        </is>
      </c>
    </row>
    <row r="100">
      <c r="A100" s="30" t="inlineStr">
        <is>
          <t>RPTECH</t>
        </is>
      </c>
      <c r="B100" s="30" t="inlineStr">
        <is>
          <t>Rashi Peripherals Ltd</t>
        </is>
      </c>
      <c r="C100" s="30" t="inlineStr">
        <is>
          <t>services</t>
        </is>
      </c>
      <c r="D100" s="30" t="inlineStr">
        <is>
          <t>trading</t>
        </is>
      </c>
      <c r="E100" s="30" t="inlineStr">
        <is>
          <t>smallcap</t>
        </is>
      </c>
      <c r="F100" s="30" t="n">
        <v>4810.68</v>
      </c>
      <c r="G100" s="30" t="n">
        <v>750.65</v>
      </c>
      <c r="H100" s="30" t="n">
        <v>2.83</v>
      </c>
      <c r="I100" s="30" t="n">
        <v>4217460</v>
      </c>
      <c r="J100" s="30" t="n"/>
    </row>
    <row r="101">
      <c r="A101" s="30" t="inlineStr">
        <is>
          <t>BHAGYANGR</t>
        </is>
      </c>
      <c r="B101" s="30" t="inlineStr">
        <is>
          <t>Bhagyanagar India</t>
        </is>
      </c>
      <c r="C101" s="30" t="inlineStr">
        <is>
          <t>power &amp; utilities</t>
        </is>
      </c>
      <c r="D101" s="30" t="inlineStr">
        <is>
          <t>power generation and supply</t>
        </is>
      </c>
      <c r="E101" s="30" t="inlineStr">
        <is>
          <t>smallcap</t>
        </is>
      </c>
      <c r="F101" s="30" t="n">
        <v>1207.65</v>
      </c>
      <c r="G101" s="30" t="n">
        <v>388.05</v>
      </c>
      <c r="H101" s="30" t="n">
        <v>2.81</v>
      </c>
      <c r="I101" s="30" t="n">
        <v>221676</v>
      </c>
      <c r="J101" s="30" t="inlineStr">
        <is>
          <t>512296</t>
        </is>
      </c>
    </row>
    <row r="102">
      <c r="A102" s="30" t="inlineStr">
        <is>
          <t>V2RETAIL</t>
        </is>
      </c>
      <c r="B102" s="30" t="inlineStr">
        <is>
          <t>V2 Retail Limited</t>
        </is>
      </c>
      <c r="C102" s="30" t="inlineStr">
        <is>
          <t>consumer discretionary</t>
        </is>
      </c>
      <c r="D102" s="30" t="inlineStr">
        <is>
          <t>textiles - products</t>
        </is>
      </c>
      <c r="E102" s="30" t="inlineStr">
        <is>
          <t>midcap</t>
        </is>
      </c>
      <c r="F102" s="30" t="n">
        <v>8402.709999999999</v>
      </c>
      <c r="G102" s="30" t="n">
        <v>236.85</v>
      </c>
      <c r="H102" s="30" t="n">
        <v>2.78</v>
      </c>
      <c r="I102" s="30" t="n">
        <v>1525962</v>
      </c>
      <c r="J102" s="30" t="inlineStr">
        <is>
          <t>532867</t>
        </is>
      </c>
    </row>
    <row r="103">
      <c r="A103" s="30" t="inlineStr">
        <is>
          <t>EDELWEISS</t>
        </is>
      </c>
      <c r="B103" s="30" t="inlineStr">
        <is>
          <t>Edelweiss Financial Services Limited</t>
        </is>
      </c>
      <c r="C103" s="30" t="inlineStr">
        <is>
          <t>financials</t>
        </is>
      </c>
      <c r="D103" s="30" t="inlineStr">
        <is>
          <t>finance &amp; investments</t>
        </is>
      </c>
      <c r="E103" s="30" t="inlineStr">
        <is>
          <t>midcap</t>
        </is>
      </c>
      <c r="F103" s="30" t="n">
        <v>11485.22</v>
      </c>
      <c r="G103" s="30" t="n">
        <v>124.71</v>
      </c>
      <c r="H103" s="30" t="n">
        <v>2.78</v>
      </c>
      <c r="I103" s="30" t="n">
        <v>11659114</v>
      </c>
      <c r="J103" s="30" t="inlineStr">
        <is>
          <t>532922</t>
        </is>
      </c>
    </row>
    <row r="104">
      <c r="A104" s="30" t="inlineStr">
        <is>
          <t>KSB</t>
        </is>
      </c>
      <c r="B104" s="30" t="inlineStr">
        <is>
          <t>KSB Ltd</t>
        </is>
      </c>
      <c r="C104" s="30" t="inlineStr">
        <is>
          <t>industrials</t>
        </is>
      </c>
      <c r="D104" s="30" t="inlineStr">
        <is>
          <t>pumps</t>
        </is>
      </c>
      <c r="E104" s="30" t="inlineStr">
        <is>
          <t>midcap</t>
        </is>
      </c>
      <c r="F104" s="30" t="n">
        <v>15283.25</v>
      </c>
      <c r="G104" s="30" t="n">
        <v>902.55</v>
      </c>
      <c r="H104" s="30" t="n">
        <v>2.78</v>
      </c>
      <c r="I104" s="30" t="n">
        <v>179225</v>
      </c>
      <c r="J104" s="30" t="inlineStr">
        <is>
          <t>500249</t>
        </is>
      </c>
    </row>
    <row r="105">
      <c r="A105" s="30" t="inlineStr">
        <is>
          <t>HONASA</t>
        </is>
      </c>
      <c r="B105" s="30" t="inlineStr">
        <is>
          <t>Honasa Consumer Ltd</t>
        </is>
      </c>
      <c r="C105" s="30" t="inlineStr">
        <is>
          <t>services</t>
        </is>
      </c>
      <c r="D105" s="30" t="inlineStr">
        <is>
          <t>trading</t>
        </is>
      </c>
      <c r="E105" s="30" t="inlineStr">
        <is>
          <t>midcap</t>
        </is>
      </c>
      <c r="F105" s="30" t="n">
        <v>13226.28</v>
      </c>
      <c r="G105" s="30" t="n">
        <v>417.4</v>
      </c>
      <c r="H105" s="30" t="n">
        <v>2.68</v>
      </c>
      <c r="I105" s="30" t="n">
        <v>837800</v>
      </c>
      <c r="J105" s="30" t="inlineStr">
        <is>
          <t>544014</t>
        </is>
      </c>
    </row>
    <row r="106">
      <c r="A106" s="30" t="inlineStr">
        <is>
          <t>INDGN</t>
        </is>
      </c>
      <c r="B106" s="30" t="inlineStr">
        <is>
          <t>Indegene Ltd</t>
        </is>
      </c>
      <c r="C106" s="30" t="inlineStr">
        <is>
          <t>healthcare</t>
        </is>
      </c>
      <c r="D106" s="30" t="inlineStr">
        <is>
          <t>miscellaneous</t>
        </is>
      </c>
      <c r="E106" s="30" t="inlineStr">
        <is>
          <t>midcap</t>
        </is>
      </c>
      <c r="F106" s="30" t="n">
        <v>12462.85</v>
      </c>
      <c r="G106" s="30" t="n">
        <v>532.4</v>
      </c>
      <c r="H106" s="30" t="n">
        <v>2.66</v>
      </c>
      <c r="I106" s="30" t="n">
        <v>237674</v>
      </c>
      <c r="J106" s="30" t="inlineStr">
        <is>
          <t>544172</t>
        </is>
      </c>
    </row>
    <row r="107">
      <c r="A107" s="30" t="inlineStr">
        <is>
          <t>ASTERDM</t>
        </is>
      </c>
      <c r="B107" s="30" t="inlineStr">
        <is>
          <t>Aster DM Healthcare Ltd</t>
        </is>
      </c>
      <c r="C107" s="30" t="inlineStr">
        <is>
          <t>healthcare</t>
        </is>
      </c>
      <c r="D107" s="30" t="inlineStr">
        <is>
          <t>healthcare</t>
        </is>
      </c>
      <c r="E107" s="30" t="inlineStr">
        <is>
          <t>largecap</t>
        </is>
      </c>
      <c r="F107" s="30" t="n">
        <v>40853.84</v>
      </c>
      <c r="G107" s="30" t="n">
        <v>809.4</v>
      </c>
      <c r="H107" s="30" t="n">
        <v>2.65</v>
      </c>
      <c r="I107" s="30" t="n">
        <v>812938</v>
      </c>
      <c r="J107" s="30" t="inlineStr">
        <is>
          <t>540975</t>
        </is>
      </c>
    </row>
    <row r="108">
      <c r="A108" s="30" t="inlineStr">
        <is>
          <t>FINEORG</t>
        </is>
      </c>
      <c r="B108" s="30" t="inlineStr">
        <is>
          <t>Fine Organic Industries Ltd</t>
        </is>
      </c>
      <c r="C108" s="30" t="inlineStr">
        <is>
          <t>chemicals</t>
        </is>
      </c>
      <c r="D108" s="30" t="inlineStr">
        <is>
          <t>chemicals</t>
        </is>
      </c>
      <c r="E108" s="30" t="inlineStr">
        <is>
          <t>midcap</t>
        </is>
      </c>
      <c r="F108" s="30" t="n">
        <v>15792.65</v>
      </c>
      <c r="G108" s="30" t="n">
        <v>5285.8</v>
      </c>
      <c r="H108" s="30" t="n">
        <v>2.62</v>
      </c>
      <c r="I108" s="30" t="n">
        <v>49844</v>
      </c>
      <c r="J108" s="30" t="inlineStr">
        <is>
          <t>541557</t>
        </is>
      </c>
    </row>
    <row r="109">
      <c r="A109" s="30" t="inlineStr">
        <is>
          <t>CHOICEIN</t>
        </is>
      </c>
      <c r="B109" s="30" t="inlineStr">
        <is>
          <t>Choice International Ltd</t>
        </is>
      </c>
      <c r="C109" s="30" t="inlineStr">
        <is>
          <t>financials</t>
        </is>
      </c>
      <c r="D109" s="30" t="inlineStr">
        <is>
          <t>finance &amp; investments</t>
        </is>
      </c>
      <c r="E109" s="30" t="inlineStr">
        <is>
          <t>midcap</t>
        </is>
      </c>
      <c r="F109" s="30" t="n">
        <v>15762.55</v>
      </c>
      <c r="G109" s="30" t="n">
        <v>726.1</v>
      </c>
      <c r="H109" s="30" t="n">
        <v>2.62</v>
      </c>
      <c r="I109" s="30" t="n">
        <v>1203479</v>
      </c>
      <c r="J109" s="30" t="inlineStr">
        <is>
          <t>531358</t>
        </is>
      </c>
    </row>
    <row r="110">
      <c r="A110" s="30" t="inlineStr">
        <is>
          <t>STEELXIND</t>
        </is>
      </c>
      <c r="B110" s="30" t="inlineStr">
        <is>
          <t>Steel Exchange India Ltd</t>
        </is>
      </c>
      <c r="C110" s="30" t="inlineStr">
        <is>
          <t>metals &amp; mining</t>
        </is>
      </c>
      <c r="D110" s="30" t="inlineStr">
        <is>
          <t>steel - medium / small</t>
        </is>
      </c>
      <c r="E110" s="30" t="inlineStr">
        <is>
          <t>smallcap</t>
        </is>
      </c>
      <c r="F110" s="30" t="n">
        <v>1664.55</v>
      </c>
      <c r="G110" s="30" t="n">
        <v>13.39</v>
      </c>
      <c r="H110" s="30" t="n">
        <v>2.61</v>
      </c>
      <c r="I110" s="30" t="n">
        <v>9542689</v>
      </c>
      <c r="J110" s="30" t="inlineStr">
        <is>
          <t>534748</t>
        </is>
      </c>
    </row>
    <row r="111">
      <c r="A111" s="30" t="inlineStr">
        <is>
          <t>SOTL</t>
        </is>
      </c>
      <c r="B111" s="30" t="inlineStr">
        <is>
          <t>Savita Oil Technologies Limited</t>
        </is>
      </c>
      <c r="C111" s="30" t="inlineStr">
        <is>
          <t>energy</t>
        </is>
      </c>
      <c r="D111" s="30" t="inlineStr">
        <is>
          <t>petrochemicals</t>
        </is>
      </c>
      <c r="E111" s="30" t="inlineStr">
        <is>
          <t>smallcap</t>
        </is>
      </c>
      <c r="F111" s="30" t="n">
        <v>4040.95</v>
      </c>
      <c r="G111" s="30" t="n">
        <v>604.8</v>
      </c>
      <c r="H111" s="30" t="n">
        <v>2.61</v>
      </c>
      <c r="I111" s="30" t="n">
        <v>186206</v>
      </c>
      <c r="J111" s="30" t="inlineStr">
        <is>
          <t>524667</t>
        </is>
      </c>
    </row>
    <row r="112">
      <c r="A112" s="30" t="inlineStr">
        <is>
          <t>NAVINFLUOR</t>
        </is>
      </c>
      <c r="B112" s="30" t="inlineStr">
        <is>
          <t>Navin Fluorine International Limited</t>
        </is>
      </c>
      <c r="C112" s="30" t="inlineStr">
        <is>
          <t>chemicals</t>
        </is>
      </c>
      <c r="D112" s="30" t="inlineStr">
        <is>
          <t>chemicals</t>
        </is>
      </c>
      <c r="E112" s="30" t="inlineStr">
        <is>
          <t>largecap</t>
        </is>
      </c>
      <c r="F112" s="30" t="n">
        <v>37429.4</v>
      </c>
      <c r="G112" s="30" t="n">
        <v>7493.5</v>
      </c>
      <c r="H112" s="30" t="n">
        <v>2.6</v>
      </c>
      <c r="I112" s="30" t="n">
        <v>219971</v>
      </c>
      <c r="J112" s="30" t="inlineStr">
        <is>
          <t>532504</t>
        </is>
      </c>
    </row>
    <row r="113">
      <c r="A113" s="30" t="inlineStr">
        <is>
          <t>RBLBANK</t>
        </is>
      </c>
      <c r="B113" s="30" t="inlineStr">
        <is>
          <t>Rbl Bank Limited</t>
        </is>
      </c>
      <c r="C113" s="30" t="inlineStr">
        <is>
          <t>bank</t>
        </is>
      </c>
      <c r="D113" s="30" t="inlineStr">
        <is>
          <t>banks - private sector</t>
        </is>
      </c>
      <c r="E113" s="30" t="inlineStr">
        <is>
          <t>largecap</t>
        </is>
      </c>
      <c r="F113" s="30" t="n">
        <v>22823.76</v>
      </c>
      <c r="G113" s="30" t="n">
        <v>378.85</v>
      </c>
      <c r="H113" s="30" t="n">
        <v>2.6</v>
      </c>
      <c r="I113" s="30" t="n">
        <v>9737378</v>
      </c>
      <c r="J113" s="30" t="inlineStr">
        <is>
          <t>540065</t>
        </is>
      </c>
    </row>
    <row r="114">
      <c r="A114" s="30" t="inlineStr">
        <is>
          <t>EXICOM</t>
        </is>
      </c>
      <c r="B114" s="30" t="inlineStr">
        <is>
          <t>Exicom Tele-Systems Ltd</t>
        </is>
      </c>
      <c r="C114" s="30" t="inlineStr">
        <is>
          <t>industrials</t>
        </is>
      </c>
      <c r="D114" s="30" t="inlineStr">
        <is>
          <t>electric equipment</t>
        </is>
      </c>
      <c r="E114" s="30" t="inlineStr">
        <is>
          <t>smallcap</t>
        </is>
      </c>
      <c r="F114" s="30" t="n">
        <v>2338.63</v>
      </c>
      <c r="G114" s="30" t="n">
        <v>172.53</v>
      </c>
      <c r="H114" s="30" t="n">
        <v>2.6</v>
      </c>
      <c r="I114" s="30" t="n">
        <v>7296201</v>
      </c>
      <c r="J114" s="30" t="inlineStr">
        <is>
          <t>544133</t>
        </is>
      </c>
    </row>
    <row r="115">
      <c r="A115" s="30" t="inlineStr">
        <is>
          <t>VHLTD</t>
        </is>
      </c>
      <c r="B115" s="30" t="inlineStr">
        <is>
          <t>Viceroy Hotels Ltd</t>
        </is>
      </c>
      <c r="C115" s="30" t="inlineStr">
        <is>
          <t>services</t>
        </is>
      </c>
      <c r="D115" s="30" t="inlineStr">
        <is>
          <t>hotels</t>
        </is>
      </c>
      <c r="E115" s="30" t="inlineStr">
        <is>
          <t>smallcap</t>
        </is>
      </c>
      <c r="F115" s="30" t="n">
        <v>929.14</v>
      </c>
      <c r="G115" s="30" t="n">
        <v>141.07</v>
      </c>
      <c r="H115" s="30" t="n">
        <v>2.6</v>
      </c>
      <c r="I115" s="30" t="n">
        <v>195064</v>
      </c>
      <c r="J115" s="30" t="inlineStr">
        <is>
          <t>523796</t>
        </is>
      </c>
    </row>
    <row r="116">
      <c r="A116" s="30" t="inlineStr">
        <is>
          <t>STARHEALTH</t>
        </is>
      </c>
      <c r="B116" s="30" t="inlineStr">
        <is>
          <t>Star Health &amp; Allied Insurance Company Ltd</t>
        </is>
      </c>
      <c r="C116" s="30" t="inlineStr">
        <is>
          <t>financials</t>
        </is>
      </c>
      <c r="D116" s="30" t="inlineStr">
        <is>
          <t>finance &amp; investments</t>
        </is>
      </c>
      <c r="E116" s="30" t="inlineStr">
        <is>
          <t>largecap</t>
        </is>
      </c>
      <c r="F116" s="30" t="n">
        <v>33283.04</v>
      </c>
      <c r="G116" s="30" t="n">
        <v>580.25</v>
      </c>
      <c r="H116" s="30" t="n">
        <v>2.58</v>
      </c>
      <c r="I116" s="30" t="n">
        <v>2848303</v>
      </c>
      <c r="J116" s="30" t="inlineStr">
        <is>
          <t>543412</t>
        </is>
      </c>
    </row>
    <row r="117">
      <c r="A117" s="30" t="inlineStr">
        <is>
          <t>PRIMESECU</t>
        </is>
      </c>
      <c r="B117" s="30" t="inlineStr">
        <is>
          <t>Prime Securities Limited</t>
        </is>
      </c>
      <c r="C117" s="30" t="inlineStr">
        <is>
          <t>financials</t>
        </is>
      </c>
      <c r="D117" s="30" t="inlineStr">
        <is>
          <t>finance &amp; investments</t>
        </is>
      </c>
      <c r="E117" s="30" t="inlineStr">
        <is>
          <t>smallcap</t>
        </is>
      </c>
      <c r="F117" s="30" t="n">
        <v>991.25</v>
      </c>
      <c r="G117" s="30" t="n">
        <v>299.9</v>
      </c>
      <c r="H117" s="30" t="n">
        <v>2.57</v>
      </c>
      <c r="I117" s="30" t="n">
        <v>61822</v>
      </c>
      <c r="J117" s="30" t="inlineStr">
        <is>
          <t>500337</t>
        </is>
      </c>
    </row>
    <row r="118">
      <c r="A118" s="30" t="inlineStr">
        <is>
          <t>LINDEINDIA</t>
        </is>
      </c>
      <c r="B118" s="30" t="inlineStr">
        <is>
          <t>Linde India Limited</t>
        </is>
      </c>
      <c r="C118" s="30" t="inlineStr">
        <is>
          <t>chemicals</t>
        </is>
      </c>
      <c r="D118" s="30" t="inlineStr">
        <is>
          <t>chemicals</t>
        </is>
      </c>
      <c r="E118" s="30" t="inlineStr">
        <is>
          <t>largecap</t>
        </is>
      </c>
      <c r="F118" s="30" t="n">
        <v>62048.54</v>
      </c>
      <c r="G118" s="30" t="n">
        <v>7460.5</v>
      </c>
      <c r="H118" s="30" t="n">
        <v>2.54</v>
      </c>
      <c r="I118" s="30" t="n">
        <v>48489</v>
      </c>
      <c r="J118" s="30" t="inlineStr">
        <is>
          <t>523457</t>
        </is>
      </c>
    </row>
    <row r="119">
      <c r="A119" s="30" t="inlineStr">
        <is>
          <t>PRUDENT</t>
        </is>
      </c>
      <c r="B119" s="30" t="inlineStr">
        <is>
          <t>Prudent Corporate Advisory Services Ltd</t>
        </is>
      </c>
      <c r="C119" s="30" t="inlineStr">
        <is>
          <t>financials</t>
        </is>
      </c>
      <c r="D119" s="30" t="inlineStr">
        <is>
          <t>finance &amp; investments</t>
        </is>
      </c>
      <c r="E119" s="30" t="inlineStr">
        <is>
          <t>midcap</t>
        </is>
      </c>
      <c r="F119" s="30" t="n">
        <v>12234.43</v>
      </c>
      <c r="G119" s="30" t="n">
        <v>3029.2</v>
      </c>
      <c r="H119" s="30" t="n">
        <v>2.52</v>
      </c>
      <c r="I119" s="30" t="n">
        <v>21528</v>
      </c>
      <c r="J119" s="30" t="inlineStr">
        <is>
          <t>543527</t>
        </is>
      </c>
    </row>
    <row r="120">
      <c r="A120" s="30" t="inlineStr">
        <is>
          <t>DEEPAKFERT</t>
        </is>
      </c>
      <c r="B120" s="30" t="inlineStr">
        <is>
          <t>Deepak Fertilizers And Petrochemicals Corporation Limited</t>
        </is>
      </c>
      <c r="C120" s="30" t="inlineStr">
        <is>
          <t>chemicals</t>
        </is>
      </c>
      <c r="D120" s="30" t="inlineStr">
        <is>
          <t>chemicals</t>
        </is>
      </c>
      <c r="E120" s="30" t="inlineStr">
        <is>
          <t>midcap</t>
        </is>
      </c>
      <c r="F120" s="30" t="n">
        <v>19260.11</v>
      </c>
      <c r="G120" s="30" t="n">
        <v>1563.3</v>
      </c>
      <c r="H120" s="30" t="n">
        <v>2.46</v>
      </c>
      <c r="I120" s="30" t="n">
        <v>347529</v>
      </c>
      <c r="J120" s="30" t="inlineStr">
        <is>
          <t>500645</t>
        </is>
      </c>
    </row>
    <row r="121">
      <c r="A121" s="30" t="inlineStr">
        <is>
          <t>LLOYDSENGG</t>
        </is>
      </c>
      <c r="B121" s="30" t="inlineStr">
        <is>
          <t>Lloyds Engineering Works Ltd</t>
        </is>
      </c>
      <c r="C121" s="30" t="inlineStr">
        <is>
          <t>industrials</t>
        </is>
      </c>
      <c r="D121" s="30" t="inlineStr">
        <is>
          <t>engineering</t>
        </is>
      </c>
      <c r="E121" s="30" t="inlineStr">
        <is>
          <t>midcap</t>
        </is>
      </c>
      <c r="F121" s="30" t="n">
        <v>12545.18</v>
      </c>
      <c r="G121" s="30" t="n">
        <v>86.84</v>
      </c>
      <c r="H121" s="30" t="n">
        <v>2.45</v>
      </c>
      <c r="I121" s="30" t="n">
        <v>41805397</v>
      </c>
      <c r="J121" s="30" t="inlineStr">
        <is>
          <t>539992</t>
        </is>
      </c>
    </row>
    <row r="122">
      <c r="A122" s="30" t="inlineStr">
        <is>
          <t>TATACOMM</t>
        </is>
      </c>
      <c r="B122" s="30" t="inlineStr">
        <is>
          <t>Tata Communications Limited</t>
        </is>
      </c>
      <c r="C122" s="30" t="inlineStr">
        <is>
          <t>telecom-service</t>
        </is>
      </c>
      <c r="D122" s="30" t="inlineStr">
        <is>
          <t>telecommunications - service provider</t>
        </is>
      </c>
      <c r="E122" s="30" t="inlineStr">
        <is>
          <t>largecap</t>
        </is>
      </c>
      <c r="F122" s="30" t="n">
        <v>55347</v>
      </c>
      <c r="G122" s="30" t="n">
        <v>1988.8</v>
      </c>
      <c r="H122" s="30" t="n">
        <v>2.41</v>
      </c>
      <c r="I122" s="30" t="n">
        <v>1088874</v>
      </c>
      <c r="J122" s="30" t="inlineStr">
        <is>
          <t>500483</t>
        </is>
      </c>
    </row>
    <row r="123">
      <c r="A123" s="30" t="inlineStr">
        <is>
          <t>LICI</t>
        </is>
      </c>
      <c r="B123" s="30" t="inlineStr">
        <is>
          <t>Life Insurance Corporation of India Ltd</t>
        </is>
      </c>
      <c r="C123" s="30" t="inlineStr">
        <is>
          <t>financials</t>
        </is>
      </c>
      <c r="D123" s="30" t="inlineStr">
        <is>
          <t>finance &amp; investments</t>
        </is>
      </c>
      <c r="E123" s="30" t="inlineStr">
        <is>
          <t>largecap</t>
        </is>
      </c>
      <c r="F123" s="30" t="n">
        <v>543949.8</v>
      </c>
      <c r="G123" s="30" t="n">
        <v>440.15</v>
      </c>
      <c r="H123" s="30" t="n">
        <v>2.36</v>
      </c>
      <c r="I123" s="30" t="n">
        <v>12106383</v>
      </c>
      <c r="J123" s="30" t="inlineStr">
        <is>
          <t>543526</t>
        </is>
      </c>
    </row>
    <row r="124">
      <c r="A124" s="30" t="inlineStr">
        <is>
          <t>SCHNEIDER</t>
        </is>
      </c>
      <c r="B124" s="30" t="inlineStr">
        <is>
          <t>Schneider Electric Infrastructure Limited</t>
        </is>
      </c>
      <c r="C124" s="30" t="inlineStr">
        <is>
          <t>industrials</t>
        </is>
      </c>
      <c r="D124" s="30" t="inlineStr">
        <is>
          <t>electric equipment</t>
        </is>
      </c>
      <c r="E124" s="30" t="inlineStr">
        <is>
          <t>largecap</t>
        </is>
      </c>
      <c r="F124" s="30" t="n">
        <v>31107.44</v>
      </c>
      <c r="G124" s="30" t="n">
        <v>1331.4</v>
      </c>
      <c r="H124" s="30" t="n">
        <v>2.34</v>
      </c>
      <c r="I124" s="30" t="n">
        <v>389634</v>
      </c>
      <c r="J124" s="30" t="inlineStr">
        <is>
          <t>534139</t>
        </is>
      </c>
    </row>
    <row r="125">
      <c r="A125" s="30" t="inlineStr">
        <is>
          <t>RELIGARE</t>
        </is>
      </c>
      <c r="B125" s="30" t="inlineStr">
        <is>
          <t>Religare Enterprises Limited</t>
        </is>
      </c>
      <c r="C125" s="30" t="inlineStr">
        <is>
          <t>financials</t>
        </is>
      </c>
      <c r="D125" s="30" t="inlineStr">
        <is>
          <t>finance &amp; investments</t>
        </is>
      </c>
      <c r="E125" s="30" t="inlineStr">
        <is>
          <t>midcap</t>
        </is>
      </c>
      <c r="F125" s="30" t="n">
        <v>8449.969999999999</v>
      </c>
      <c r="G125" s="30" t="n">
        <v>253.4</v>
      </c>
      <c r="H125" s="30" t="n">
        <v>2.33</v>
      </c>
      <c r="I125" s="30" t="n">
        <v>2467002</v>
      </c>
      <c r="J125" s="30" t="inlineStr">
        <is>
          <t>532915</t>
        </is>
      </c>
    </row>
    <row r="126">
      <c r="A126" s="30" t="inlineStr">
        <is>
          <t>KPIL</t>
        </is>
      </c>
      <c r="B126" s="30" t="inlineStr">
        <is>
          <t>Kalpataru Projects International Ltd</t>
        </is>
      </c>
      <c r="C126" s="30" t="inlineStr">
        <is>
          <t>realty</t>
        </is>
      </c>
      <c r="D126" s="30" t="inlineStr">
        <is>
          <t>transmisson line towers / equipment</t>
        </is>
      </c>
      <c r="E126" s="30" t="inlineStr">
        <is>
          <t>largecap</t>
        </is>
      </c>
      <c r="F126" s="30" t="n">
        <v>23359.98</v>
      </c>
      <c r="G126" s="30" t="n">
        <v>1398.7</v>
      </c>
      <c r="H126" s="30" t="n">
        <v>2.25</v>
      </c>
      <c r="I126" s="30" t="n">
        <v>380962</v>
      </c>
      <c r="J126" s="30" t="inlineStr">
        <is>
          <t>522287</t>
        </is>
      </c>
    </row>
    <row r="127">
      <c r="A127" s="30" t="inlineStr">
        <is>
          <t>RADICO</t>
        </is>
      </c>
      <c r="B127" s="30" t="inlineStr">
        <is>
          <t>Radico Khaitan Limited</t>
        </is>
      </c>
      <c r="C127" s="30" t="inlineStr">
        <is>
          <t>fmcg</t>
        </is>
      </c>
      <c r="D127" s="30" t="inlineStr">
        <is>
          <t>breweries &amp; distilleries</t>
        </is>
      </c>
      <c r="E127" s="30" t="inlineStr">
        <is>
          <t>largecap</t>
        </is>
      </c>
      <c r="F127" s="30" t="n">
        <v>49408.34</v>
      </c>
      <c r="G127" s="30" t="n">
        <v>3769.2</v>
      </c>
      <c r="H127" s="30" t="n">
        <v>2.15</v>
      </c>
      <c r="I127" s="30" t="n">
        <v>746962</v>
      </c>
      <c r="J127" s="30" t="inlineStr">
        <is>
          <t>532497</t>
        </is>
      </c>
    </row>
    <row r="128">
      <c r="A128" s="30" t="inlineStr">
        <is>
          <t>SAREGAMA</t>
        </is>
      </c>
      <c r="B128" s="30" t="inlineStr">
        <is>
          <t>Saregama India Limited</t>
        </is>
      </c>
      <c r="C128" s="30" t="inlineStr">
        <is>
          <t>media</t>
        </is>
      </c>
      <c r="D128" s="30" t="inlineStr">
        <is>
          <t>entertainment / electronic media software</t>
        </is>
      </c>
      <c r="E128" s="30" t="inlineStr">
        <is>
          <t>midcap</t>
        </is>
      </c>
      <c r="F128" s="30" t="n">
        <v>8795</v>
      </c>
      <c r="G128" s="30" t="n">
        <v>465.9</v>
      </c>
      <c r="H128" s="30" t="n">
        <v>2.14</v>
      </c>
      <c r="I128" s="30" t="n">
        <v>879079</v>
      </c>
      <c r="J128" s="30" t="inlineStr">
        <is>
          <t>532163</t>
        </is>
      </c>
    </row>
    <row r="129">
      <c r="A129" s="30" t="inlineStr">
        <is>
          <t>BHEL</t>
        </is>
      </c>
      <c r="B129" s="30" t="inlineStr">
        <is>
          <t>Bharat Heavy Electricals Limited</t>
        </is>
      </c>
      <c r="C129" s="30" t="inlineStr">
        <is>
          <t>industrials</t>
        </is>
      </c>
      <c r="D129" s="30" t="inlineStr">
        <is>
          <t>electric equipment</t>
        </is>
      </c>
      <c r="E129" s="30" t="inlineStr">
        <is>
          <t>largecap</t>
        </is>
      </c>
      <c r="F129" s="30" t="n">
        <v>141336.95</v>
      </c>
      <c r="G129" s="30" t="n">
        <v>414.35</v>
      </c>
      <c r="H129" s="30" t="n">
        <v>2.08</v>
      </c>
      <c r="I129" s="30" t="n">
        <v>22020572</v>
      </c>
      <c r="J129" s="30" t="inlineStr">
        <is>
          <t>500103</t>
        </is>
      </c>
    </row>
    <row r="130">
      <c r="A130" s="30" t="inlineStr">
        <is>
          <t>PREMIERENE</t>
        </is>
      </c>
      <c r="B130" s="30" t="inlineStr">
        <is>
          <t>Premier Energies Ltd</t>
        </is>
      </c>
      <c r="C130" s="30" t="inlineStr">
        <is>
          <t>services</t>
        </is>
      </c>
      <c r="D130" s="30" t="inlineStr">
        <is>
          <t>trading</t>
        </is>
      </c>
      <c r="E130" s="30" t="inlineStr">
        <is>
          <t>largecap</t>
        </is>
      </c>
      <c r="F130" s="30" t="n">
        <v>47913.21</v>
      </c>
      <c r="G130" s="30" t="n">
        <v>1079.6</v>
      </c>
      <c r="H130" s="30" t="n">
        <v>2.07</v>
      </c>
      <c r="I130" s="30" t="n">
        <v>1350684</v>
      </c>
      <c r="J130" s="30" t="n"/>
    </row>
    <row r="131">
      <c r="A131" s="30" t="inlineStr">
        <is>
          <t>RANEHOLDIN</t>
        </is>
      </c>
      <c r="B131" s="30" t="inlineStr">
        <is>
          <t>Rane Holdings Limited</t>
        </is>
      </c>
      <c r="C131" s="30" t="inlineStr">
        <is>
          <t>financials</t>
        </is>
      </c>
      <c r="D131" s="30" t="inlineStr">
        <is>
          <t>finance &amp; investments</t>
        </is>
      </c>
      <c r="E131" s="30" t="inlineStr">
        <is>
          <t>smallcap</t>
        </is>
      </c>
      <c r="F131" s="30" t="n">
        <v>2361.98</v>
      </c>
      <c r="G131" s="30" t="n">
        <v>1688.3</v>
      </c>
      <c r="H131" s="30" t="n">
        <v>2.06</v>
      </c>
      <c r="I131" s="30" t="n">
        <v>126251</v>
      </c>
      <c r="J131" s="30" t="inlineStr">
        <is>
          <t>505800</t>
        </is>
      </c>
    </row>
    <row r="132">
      <c r="A132" s="30" t="inlineStr">
        <is>
          <t>SANSERA</t>
        </is>
      </c>
      <c r="B132" s="30" t="inlineStr">
        <is>
          <t>Sansera Engineering Ltd</t>
        </is>
      </c>
      <c r="C132" s="30" t="inlineStr">
        <is>
          <t>auto</t>
        </is>
      </c>
      <c r="D132" s="30" t="inlineStr">
        <is>
          <t>auto ancillaries</t>
        </is>
      </c>
      <c r="E132" s="30" t="inlineStr">
        <is>
          <t>midcap</t>
        </is>
      </c>
      <c r="F132" s="30" t="n">
        <v>17994.02</v>
      </c>
      <c r="G132" s="30" t="n">
        <v>2945.8</v>
      </c>
      <c r="H132" s="30" t="n">
        <v>2.04</v>
      </c>
      <c r="I132" s="30" t="n">
        <v>192639</v>
      </c>
      <c r="J132" s="30" t="inlineStr">
        <is>
          <t>543358</t>
        </is>
      </c>
    </row>
    <row r="133">
      <c r="A133" s="30" t="inlineStr">
        <is>
          <t>AVL</t>
        </is>
      </c>
      <c r="B133" s="30" t="inlineStr">
        <is>
          <t>Aditya Vision Ltd</t>
        </is>
      </c>
      <c r="C133" s="30" t="inlineStr">
        <is>
          <t>consumer discretionary</t>
        </is>
      </c>
      <c r="D133" s="30" t="inlineStr">
        <is>
          <t>trading</t>
        </is>
      </c>
      <c r="E133" s="30" t="inlineStr">
        <is>
          <t>midcap</t>
        </is>
      </c>
      <c r="F133" s="30" t="n">
        <v>7973.63</v>
      </c>
      <c r="G133" s="30" t="n">
        <v>629.9</v>
      </c>
      <c r="H133" s="30" t="n">
        <v>2.02</v>
      </c>
      <c r="I133" s="30" t="n">
        <v>788668</v>
      </c>
      <c r="J133" s="30" t="inlineStr">
        <is>
          <t>540205</t>
        </is>
      </c>
    </row>
    <row r="134">
      <c r="A134" s="30" t="inlineStr">
        <is>
          <t>NRBBEARING</t>
        </is>
      </c>
      <c r="B134" s="30" t="inlineStr">
        <is>
          <t>Nrb Bearing Limited</t>
        </is>
      </c>
      <c r="C134" s="30" t="inlineStr">
        <is>
          <t>industrials</t>
        </is>
      </c>
      <c r="D134" s="30" t="inlineStr">
        <is>
          <t>bearings</t>
        </is>
      </c>
      <c r="E134" s="30" t="inlineStr">
        <is>
          <t>smallcap</t>
        </is>
      </c>
      <c r="F134" s="30" t="n">
        <v>4068.81</v>
      </c>
      <c r="G134" s="30" t="n">
        <v>428.25</v>
      </c>
      <c r="H134" s="30" t="n">
        <v>2.01</v>
      </c>
      <c r="I134" s="30" t="n">
        <v>434365</v>
      </c>
      <c r="J134" s="30" t="inlineStr">
        <is>
          <t>530367</t>
        </is>
      </c>
    </row>
    <row r="135">
      <c r="A135" s="30" t="inlineStr">
        <is>
          <t>INDHOTEL</t>
        </is>
      </c>
      <c r="B135" s="30" t="inlineStr">
        <is>
          <t>The Indian Hotels Company Limited</t>
        </is>
      </c>
      <c r="C135" s="30" t="inlineStr">
        <is>
          <t>services</t>
        </is>
      </c>
      <c r="D135" s="30" t="inlineStr">
        <is>
          <t>hotels</t>
        </is>
      </c>
      <c r="E135" s="30" t="inlineStr">
        <is>
          <t>largecap</t>
        </is>
      </c>
      <c r="F135" s="30" t="n">
        <v>101127.74</v>
      </c>
      <c r="G135" s="30" t="n">
        <v>724.75</v>
      </c>
      <c r="H135" s="30" t="n">
        <v>2.01</v>
      </c>
      <c r="I135" s="30" t="n">
        <v>3177687</v>
      </c>
      <c r="J135" s="30" t="inlineStr">
        <is>
          <t>500850</t>
        </is>
      </c>
    </row>
    <row r="136">
      <c r="A136" s="30" t="inlineStr">
        <is>
          <t>WAAREEENER</t>
        </is>
      </c>
      <c r="B136" s="30" t="inlineStr">
        <is>
          <t>Waaree Energies Ltd</t>
        </is>
      </c>
      <c r="C136" s="30" t="inlineStr">
        <is>
          <t>industrials</t>
        </is>
      </c>
      <c r="D136" s="30" t="inlineStr">
        <is>
          <t>electric equipment</t>
        </is>
      </c>
      <c r="E136" s="30" t="inlineStr">
        <is>
          <t>largecap</t>
        </is>
      </c>
      <c r="F136" s="30" t="n">
        <v>88191.02</v>
      </c>
      <c r="G136" s="30" t="n">
        <v>3125.4</v>
      </c>
      <c r="H136" s="30" t="n">
        <v>1.94</v>
      </c>
      <c r="I136" s="30" t="n">
        <v>1902606</v>
      </c>
      <c r="J136" s="30" t="inlineStr">
        <is>
          <t>544277</t>
        </is>
      </c>
    </row>
    <row r="137">
      <c r="A137" s="30" t="inlineStr">
        <is>
          <t>SPECTRUM</t>
        </is>
      </c>
      <c r="B137" s="30" t="inlineStr">
        <is>
          <t>Spectrum Electrical Industries Ltd</t>
        </is>
      </c>
      <c r="C137" s="30" t="inlineStr">
        <is>
          <t>industrials</t>
        </is>
      </c>
      <c r="D137" s="30" t="inlineStr">
        <is>
          <t>electric equipment</t>
        </is>
      </c>
      <c r="E137" s="30" t="inlineStr">
        <is>
          <t>smallcap</t>
        </is>
      </c>
      <c r="F137" s="30" t="n">
        <v>2782.45</v>
      </c>
      <c r="G137" s="30" t="n">
        <v>1805</v>
      </c>
      <c r="H137" s="30" t="n">
        <v>1.94</v>
      </c>
      <c r="I137" s="30" t="n">
        <v>24301</v>
      </c>
      <c r="J137" s="30" t="inlineStr">
        <is>
          <t>535112</t>
        </is>
      </c>
    </row>
    <row r="138">
      <c r="A138" s="30" t="inlineStr">
        <is>
          <t>VHL</t>
        </is>
      </c>
      <c r="B138" s="30" t="inlineStr">
        <is>
          <t>Vardhman Holdings Limited</t>
        </is>
      </c>
      <c r="C138" s="30" t="inlineStr">
        <is>
          <t>financials</t>
        </is>
      </c>
      <c r="D138" s="30" t="inlineStr">
        <is>
          <t>finance &amp; investments</t>
        </is>
      </c>
      <c r="E138" s="30" t="inlineStr">
        <is>
          <t>smallcap</t>
        </is>
      </c>
      <c r="F138" s="30" t="n">
        <v>1150.42</v>
      </c>
      <c r="G138" s="30" t="n">
        <v>3674.3</v>
      </c>
      <c r="H138" s="30" t="n">
        <v>1.93</v>
      </c>
      <c r="I138" s="30" t="n">
        <v>1266</v>
      </c>
      <c r="J138" s="30" t="inlineStr">
        <is>
          <t>500439</t>
        </is>
      </c>
    </row>
    <row r="139">
      <c r="A139" s="30" t="inlineStr">
        <is>
          <t>SANDHAR</t>
        </is>
      </c>
      <c r="B139" s="30" t="inlineStr">
        <is>
          <t>Sandhar Technologies Limited</t>
        </is>
      </c>
      <c r="C139" s="30" t="inlineStr">
        <is>
          <t>auto</t>
        </is>
      </c>
      <c r="D139" s="30" t="inlineStr">
        <is>
          <t>auto ancillaries</t>
        </is>
      </c>
      <c r="E139" s="30" t="inlineStr">
        <is>
          <t>smallcap</t>
        </is>
      </c>
      <c r="F139" s="30" t="n">
        <v>4180.85</v>
      </c>
      <c r="G139" s="30" t="n">
        <v>707.95</v>
      </c>
      <c r="H139" s="30" t="n">
        <v>1.92</v>
      </c>
      <c r="I139" s="30" t="n">
        <v>792100</v>
      </c>
      <c r="J139" s="30" t="inlineStr">
        <is>
          <t>541163</t>
        </is>
      </c>
    </row>
    <row r="140">
      <c r="A140" s="30" t="inlineStr">
        <is>
          <t>BHARTIARTL</t>
        </is>
      </c>
      <c r="B140" s="30" t="inlineStr">
        <is>
          <t>Bharti Airtel Limited</t>
        </is>
      </c>
      <c r="C140" s="30" t="inlineStr">
        <is>
          <t>telecom-service</t>
        </is>
      </c>
      <c r="D140" s="30" t="inlineStr">
        <is>
          <t>telecommunications - service provider</t>
        </is>
      </c>
      <c r="E140" s="30" t="inlineStr">
        <is>
          <t>largecap</t>
        </is>
      </c>
      <c r="F140" s="30" t="n">
        <v>1142576.8</v>
      </c>
      <c r="G140" s="30" t="n">
        <v>1910.8</v>
      </c>
      <c r="H140" s="30" t="n">
        <v>1.92</v>
      </c>
      <c r="I140" s="30" t="n">
        <v>15918432</v>
      </c>
      <c r="J140" s="30" t="inlineStr">
        <is>
          <t>532454</t>
        </is>
      </c>
    </row>
    <row r="141">
      <c r="A141" s="30" t="inlineStr">
        <is>
          <t>MANORAMA</t>
        </is>
      </c>
      <c r="B141" s="30" t="inlineStr">
        <is>
          <t>Manorama Industries Ltd</t>
        </is>
      </c>
      <c r="C141" s="30" t="inlineStr">
        <is>
          <t>fmcg</t>
        </is>
      </c>
      <c r="D141" s="30" t="inlineStr">
        <is>
          <t>food - processing - indian</t>
        </is>
      </c>
      <c r="E141" s="30" t="inlineStr">
        <is>
          <t>midcap</t>
        </is>
      </c>
      <c r="F141" s="30" t="n">
        <v>9131.23</v>
      </c>
      <c r="G141" s="30" t="n">
        <v>1558.2</v>
      </c>
      <c r="H141" s="30" t="n">
        <v>1.89</v>
      </c>
      <c r="I141" s="30" t="n">
        <v>126904</v>
      </c>
      <c r="J141" s="30" t="inlineStr">
        <is>
          <t>541974</t>
        </is>
      </c>
    </row>
    <row r="142">
      <c r="A142" s="30" t="inlineStr">
        <is>
          <t>METROPOLIS</t>
        </is>
      </c>
      <c r="B142" s="30" t="inlineStr">
        <is>
          <t>Metropolis Healthcare Ltd</t>
        </is>
      </c>
      <c r="C142" s="30" t="inlineStr">
        <is>
          <t>healthcare</t>
        </is>
      </c>
      <c r="D142" s="30" t="inlineStr">
        <is>
          <t>healthcare</t>
        </is>
      </c>
      <c r="E142" s="30" t="inlineStr">
        <is>
          <t>midcap</t>
        </is>
      </c>
      <c r="F142" s="30" t="n">
        <v>11247.53</v>
      </c>
      <c r="G142" s="30" t="n">
        <v>552.75</v>
      </c>
      <c r="H142" s="30" t="n">
        <v>1.89</v>
      </c>
      <c r="I142" s="30" t="n">
        <v>227539</v>
      </c>
      <c r="J142" s="30" t="inlineStr">
        <is>
          <t>542650</t>
        </is>
      </c>
    </row>
    <row r="143">
      <c r="A143" s="30" t="inlineStr">
        <is>
          <t>JSWDULUX</t>
        </is>
      </c>
      <c r="B143" s="30" t="inlineStr">
        <is>
          <t>JSW Dulux Ltd</t>
        </is>
      </c>
      <c r="C143" s="30" t="inlineStr">
        <is>
          <t>building materials</t>
        </is>
      </c>
      <c r="D143" s="30" t="inlineStr">
        <is>
          <t>paints / varnishes</t>
        </is>
      </c>
      <c r="E143" s="30" t="inlineStr">
        <is>
          <t>midcap</t>
        </is>
      </c>
      <c r="F143" s="30" t="n">
        <v>14713.62</v>
      </c>
      <c r="G143" s="30" t="n">
        <v>3291.8</v>
      </c>
      <c r="H143" s="30" t="n">
        <v>1.88</v>
      </c>
      <c r="I143" s="30" t="n">
        <v>31857</v>
      </c>
      <c r="J143" s="30" t="inlineStr">
        <is>
          <t>500710</t>
        </is>
      </c>
    </row>
    <row r="144">
      <c r="A144" s="30" t="inlineStr">
        <is>
          <t>WELCORP</t>
        </is>
      </c>
      <c r="B144" s="30" t="inlineStr">
        <is>
          <t>Welspun Corp Limited</t>
        </is>
      </c>
      <c r="C144" s="30" t="inlineStr">
        <is>
          <t>industrials</t>
        </is>
      </c>
      <c r="D144" s="30" t="inlineStr">
        <is>
          <t>steel - large</t>
        </is>
      </c>
      <c r="E144" s="30" t="inlineStr">
        <is>
          <t>largecap</t>
        </is>
      </c>
      <c r="F144" s="30" t="n">
        <v>36862.1</v>
      </c>
      <c r="G144" s="30" t="n">
        <v>1423.4</v>
      </c>
      <c r="H144" s="30" t="n">
        <v>1.86</v>
      </c>
      <c r="I144" s="30" t="n">
        <v>707135</v>
      </c>
      <c r="J144" s="30" t="inlineStr">
        <is>
          <t>532144</t>
        </is>
      </c>
    </row>
    <row r="145">
      <c r="A145" s="30" t="inlineStr">
        <is>
          <t>CREST</t>
        </is>
      </c>
      <c r="B145" s="30" t="inlineStr">
        <is>
          <t>Crest Ventures Limited</t>
        </is>
      </c>
      <c r="C145" s="30" t="inlineStr">
        <is>
          <t>financials</t>
        </is>
      </c>
      <c r="D145" s="30" t="inlineStr">
        <is>
          <t>finance &amp; investments</t>
        </is>
      </c>
      <c r="E145" s="30" t="inlineStr">
        <is>
          <t>smallcap</t>
        </is>
      </c>
      <c r="F145" s="30" t="n">
        <v>1123.2</v>
      </c>
      <c r="G145" s="30" t="n">
        <v>402.15</v>
      </c>
      <c r="H145" s="30" t="n">
        <v>1.86</v>
      </c>
      <c r="I145" s="30" t="n">
        <v>7711</v>
      </c>
      <c r="J145" s="30" t="inlineStr">
        <is>
          <t>511413</t>
        </is>
      </c>
    </row>
    <row r="146">
      <c r="A146" s="30" t="inlineStr">
        <is>
          <t>KIMS</t>
        </is>
      </c>
      <c r="B146" s="30" t="inlineStr">
        <is>
          <t>Krishna Institute of Medical Sciences Ltd</t>
        </is>
      </c>
      <c r="C146" s="30" t="inlineStr">
        <is>
          <t>healthcare</t>
        </is>
      </c>
      <c r="D146" s="30" t="inlineStr">
        <is>
          <t>healthcare</t>
        </is>
      </c>
      <c r="E146" s="30" t="inlineStr">
        <is>
          <t>largecap</t>
        </is>
      </c>
      <c r="F146" s="30" t="n">
        <v>31600.97</v>
      </c>
      <c r="G146" s="30" t="n">
        <v>804.25</v>
      </c>
      <c r="H146" s="30" t="n">
        <v>1.84</v>
      </c>
      <c r="I146" s="30" t="n">
        <v>761160</v>
      </c>
      <c r="J146" s="30" t="inlineStr">
        <is>
          <t>543307</t>
        </is>
      </c>
    </row>
    <row r="147">
      <c r="A147" s="30" t="inlineStr">
        <is>
          <t>AURUM</t>
        </is>
      </c>
      <c r="B147" s="30" t="inlineStr">
        <is>
          <t>Aurum Proptech Ltd</t>
        </is>
      </c>
      <c r="C147" s="30" t="inlineStr">
        <is>
          <t>i.t</t>
        </is>
      </c>
      <c r="D147" s="30" t="inlineStr">
        <is>
          <t>computers - software - medium / small</t>
        </is>
      </c>
      <c r="E147" s="30" t="inlineStr">
        <is>
          <t>smallcap</t>
        </is>
      </c>
      <c r="F147" s="30" t="n">
        <v>1535.24</v>
      </c>
      <c r="G147" s="30" t="n">
        <v>203.91</v>
      </c>
      <c r="H147" s="30" t="n">
        <v>1.82</v>
      </c>
      <c r="I147" s="30" t="n">
        <v>149779</v>
      </c>
      <c r="J147" s="30" t="inlineStr">
        <is>
          <t>539289</t>
        </is>
      </c>
    </row>
    <row r="148">
      <c r="A148" s="30" t="inlineStr">
        <is>
          <t>TALBROAUTO</t>
        </is>
      </c>
      <c r="B148" s="30" t="inlineStr">
        <is>
          <t>Talbros Automotive Components Limited</t>
        </is>
      </c>
      <c r="C148" s="30" t="inlineStr">
        <is>
          <t>auto</t>
        </is>
      </c>
      <c r="D148" s="30" t="inlineStr">
        <is>
          <t>auto ancillaries</t>
        </is>
      </c>
      <c r="E148" s="30" t="inlineStr">
        <is>
          <t>smallcap</t>
        </is>
      </c>
      <c r="F148" s="30" t="n">
        <v>2185.49</v>
      </c>
      <c r="G148" s="30" t="n">
        <v>360.45</v>
      </c>
      <c r="H148" s="30" t="n">
        <v>1.81</v>
      </c>
      <c r="I148" s="30" t="n">
        <v>137375</v>
      </c>
      <c r="J148" s="30" t="inlineStr">
        <is>
          <t>505160</t>
        </is>
      </c>
    </row>
    <row r="149">
      <c r="A149" s="30" t="inlineStr">
        <is>
          <t>PITTIENG</t>
        </is>
      </c>
      <c r="B149" s="30" t="inlineStr">
        <is>
          <t>Pitti Engineering Ltd</t>
        </is>
      </c>
      <c r="C149" s="30" t="inlineStr">
        <is>
          <t>industrials</t>
        </is>
      </c>
      <c r="D149" s="30" t="inlineStr">
        <is>
          <t>engineering</t>
        </is>
      </c>
      <c r="E149" s="30" t="inlineStr">
        <is>
          <t>smallcap</t>
        </is>
      </c>
      <c r="F149" s="30" t="n">
        <v>3733.92</v>
      </c>
      <c r="G149" s="30" t="n">
        <v>1009.45</v>
      </c>
      <c r="H149" s="30" t="n">
        <v>1.8</v>
      </c>
      <c r="I149" s="30" t="n">
        <v>73926</v>
      </c>
      <c r="J149" s="30" t="inlineStr">
        <is>
          <t>513519</t>
        </is>
      </c>
    </row>
    <row r="150">
      <c r="A150" s="30" t="inlineStr">
        <is>
          <t>NOVARTIND</t>
        </is>
      </c>
      <c r="B150" s="30" t="inlineStr">
        <is>
          <t>Novartis India Ltd</t>
        </is>
      </c>
      <c r="C150" s="30" t="inlineStr">
        <is>
          <t>healthcare</t>
        </is>
      </c>
      <c r="D150" s="30" t="inlineStr">
        <is>
          <t>pharmaceuticals - multinational</t>
        </is>
      </c>
      <c r="E150" s="30" t="inlineStr">
        <is>
          <t>smallcap</t>
        </is>
      </c>
      <c r="F150" s="30" t="n">
        <v>3368.57</v>
      </c>
      <c r="G150" s="30" t="n">
        <v>1388.9</v>
      </c>
      <c r="H150" s="30" t="n">
        <v>1.8</v>
      </c>
      <c r="I150" s="30" t="n">
        <v>13788</v>
      </c>
      <c r="J150" s="30" t="inlineStr">
        <is>
          <t>500672</t>
        </is>
      </c>
    </row>
    <row r="151">
      <c r="A151" s="30" t="inlineStr">
        <is>
          <t>ELGIEQUIP</t>
        </is>
      </c>
      <c r="B151" s="30" t="inlineStr">
        <is>
          <t>Elgi Equipments Limited</t>
        </is>
      </c>
      <c r="C151" s="30" t="inlineStr">
        <is>
          <t>industrials</t>
        </is>
      </c>
      <c r="D151" s="30" t="inlineStr">
        <is>
          <t>compressors / drilling equipment</t>
        </is>
      </c>
      <c r="E151" s="30" t="inlineStr">
        <is>
          <t>midcap</t>
        </is>
      </c>
      <c r="F151" s="30" t="n">
        <v>19077.92</v>
      </c>
      <c r="G151" s="30" t="n">
        <v>612.75</v>
      </c>
      <c r="H151" s="30" t="n">
        <v>1.79</v>
      </c>
      <c r="I151" s="30" t="n">
        <v>773434</v>
      </c>
      <c r="J151" s="30" t="inlineStr">
        <is>
          <t>522074</t>
        </is>
      </c>
    </row>
    <row r="152">
      <c r="A152" s="30" t="inlineStr">
        <is>
          <t>KSL</t>
        </is>
      </c>
      <c r="B152" s="30" t="inlineStr">
        <is>
          <t>Kalyani Steels Limited</t>
        </is>
      </c>
      <c r="C152" s="30" t="inlineStr">
        <is>
          <t>metals &amp; mining</t>
        </is>
      </c>
      <c r="D152" s="30" t="inlineStr">
        <is>
          <t>steel - medium / small</t>
        </is>
      </c>
      <c r="E152" s="30" t="inlineStr">
        <is>
          <t>smallcap</t>
        </is>
      </c>
      <c r="F152" s="30" t="n">
        <v>3556.41</v>
      </c>
      <c r="G152" s="30" t="n">
        <v>829.3</v>
      </c>
      <c r="H152" s="30" t="n">
        <v>1.79</v>
      </c>
      <c r="I152" s="30" t="n">
        <v>62667</v>
      </c>
      <c r="J152" s="30" t="inlineStr">
        <is>
          <t>500235</t>
        </is>
      </c>
    </row>
    <row r="153">
      <c r="A153" s="30" t="inlineStr">
        <is>
          <t>INNOVACAP</t>
        </is>
      </c>
      <c r="B153" s="30" t="inlineStr">
        <is>
          <t>Innova Captab Ltd</t>
        </is>
      </c>
      <c r="C153" s="30" t="inlineStr">
        <is>
          <t>healthcare</t>
        </is>
      </c>
      <c r="D153" s="30" t="inlineStr">
        <is>
          <t>pharmaceuticals - indian - bulk drugs &amp; formln</t>
        </is>
      </c>
      <c r="E153" s="30" t="inlineStr">
        <is>
          <t>midcap</t>
        </is>
      </c>
      <c r="F153" s="30" t="n">
        <v>5338.8</v>
      </c>
      <c r="G153" s="30" t="n">
        <v>949.55</v>
      </c>
      <c r="H153" s="30" t="n">
        <v>1.78</v>
      </c>
      <c r="I153" s="30" t="n">
        <v>28432</v>
      </c>
      <c r="J153" s="30" t="inlineStr">
        <is>
          <t>544067</t>
        </is>
      </c>
    </row>
    <row r="154">
      <c r="A154" s="30" t="inlineStr">
        <is>
          <t>RUBYMILLS</t>
        </is>
      </c>
      <c r="B154" s="30" t="inlineStr">
        <is>
          <t>The Ruby Mills Limited</t>
        </is>
      </c>
      <c r="C154" s="30" t="inlineStr">
        <is>
          <t>textiles</t>
        </is>
      </c>
      <c r="D154" s="30" t="inlineStr">
        <is>
          <t>textiles - composite</t>
        </is>
      </c>
      <c r="E154" s="30" t="inlineStr">
        <is>
          <t>smallcap</t>
        </is>
      </c>
      <c r="F154" s="30" t="n">
        <v>1116.73</v>
      </c>
      <c r="G154" s="30" t="n">
        <v>339.9</v>
      </c>
      <c r="H154" s="30" t="n">
        <v>1.78</v>
      </c>
      <c r="I154" s="30" t="n">
        <v>14342</v>
      </c>
      <c r="J154" s="30" t="inlineStr">
        <is>
          <t>503169</t>
        </is>
      </c>
    </row>
    <row r="155">
      <c r="A155" s="30" t="inlineStr">
        <is>
          <t>SHREEPUSHK</t>
        </is>
      </c>
      <c r="B155" s="30" t="inlineStr">
        <is>
          <t>Shree Pushkar Chemicals &amp; Fertilisers Limited</t>
        </is>
      </c>
      <c r="C155" s="30" t="inlineStr">
        <is>
          <t>chemicals</t>
        </is>
      </c>
      <c r="D155" s="30" t="inlineStr">
        <is>
          <t>dyes and pigments</t>
        </is>
      </c>
      <c r="E155" s="30" t="inlineStr">
        <is>
          <t>smallcap</t>
        </is>
      </c>
      <c r="F155" s="30" t="n">
        <v>1258.26</v>
      </c>
      <c r="G155" s="30" t="n">
        <v>396</v>
      </c>
      <c r="H155" s="30" t="n">
        <v>1.77</v>
      </c>
      <c r="I155" s="30" t="n">
        <v>32285</v>
      </c>
      <c r="J155" s="30" t="inlineStr">
        <is>
          <t>539334</t>
        </is>
      </c>
    </row>
    <row r="156">
      <c r="A156" s="30" t="inlineStr">
        <is>
          <t>KDDL</t>
        </is>
      </c>
      <c r="B156" s="30" t="inlineStr">
        <is>
          <t>Kddl Limited</t>
        </is>
      </c>
      <c r="C156" s="30" t="inlineStr">
        <is>
          <t>consumer discretionary</t>
        </is>
      </c>
      <c r="D156" s="30" t="inlineStr">
        <is>
          <t>miscellaneous</t>
        </is>
      </c>
      <c r="E156" s="30" t="inlineStr">
        <is>
          <t>smallcap</t>
        </is>
      </c>
      <c r="F156" s="30" t="n">
        <v>3577.61</v>
      </c>
      <c r="G156" s="30" t="n">
        <v>2959.7</v>
      </c>
      <c r="H156" s="30" t="n">
        <v>1.75</v>
      </c>
      <c r="I156" s="30" t="n">
        <v>24109</v>
      </c>
      <c r="J156" s="30" t="inlineStr">
        <is>
          <t>532054</t>
        </is>
      </c>
    </row>
    <row r="157">
      <c r="A157" s="30" t="inlineStr">
        <is>
          <t>TIRUPATIFL</t>
        </is>
      </c>
      <c r="B157" s="30" t="inlineStr">
        <is>
          <t>Tirupati Forge Ltd</t>
        </is>
      </c>
      <c r="C157" s="30" t="inlineStr">
        <is>
          <t>industrials</t>
        </is>
      </c>
      <c r="D157" s="30" t="inlineStr">
        <is>
          <t>castings &amp; forgings</t>
        </is>
      </c>
      <c r="E157" s="30" t="inlineStr">
        <is>
          <t>smallcap</t>
        </is>
      </c>
      <c r="F157" s="30" t="n">
        <v>609.26</v>
      </c>
      <c r="G157" s="30" t="n">
        <v>47.98</v>
      </c>
      <c r="H157" s="30" t="n">
        <v>1.74</v>
      </c>
      <c r="I157" s="30" t="n">
        <v>264923</v>
      </c>
      <c r="J157" s="30" t="inlineStr">
        <is>
          <t>535021</t>
        </is>
      </c>
    </row>
    <row r="158">
      <c r="A158" s="30" t="inlineStr">
        <is>
          <t>ACMESOLAR</t>
        </is>
      </c>
      <c r="B158" s="30" t="inlineStr">
        <is>
          <t>ACME Solar Holdings Ltd</t>
        </is>
      </c>
      <c r="C158" s="30" t="inlineStr">
        <is>
          <t>realty</t>
        </is>
      </c>
      <c r="D158" s="30" t="inlineStr">
        <is>
          <t>engineering - turnkey services</t>
        </is>
      </c>
      <c r="E158" s="30" t="inlineStr">
        <is>
          <t>largecap</t>
        </is>
      </c>
      <c r="F158" s="30" t="n">
        <v>23437.14</v>
      </c>
      <c r="G158" s="30" t="n">
        <v>337.65</v>
      </c>
      <c r="H158" s="30" t="n">
        <v>1.73</v>
      </c>
      <c r="I158" s="30" t="n">
        <v>1238948</v>
      </c>
      <c r="J158" s="30" t="inlineStr">
        <is>
          <t>544283</t>
        </is>
      </c>
    </row>
    <row r="159">
      <c r="A159" s="30" t="inlineStr">
        <is>
          <t>SATIN</t>
        </is>
      </c>
      <c r="B159" s="30" t="inlineStr">
        <is>
          <t>Satin Creditcare Network Limited</t>
        </is>
      </c>
      <c r="C159" s="30" t="inlineStr">
        <is>
          <t>financials</t>
        </is>
      </c>
      <c r="D159" s="30" t="inlineStr">
        <is>
          <t>finance &amp; investments</t>
        </is>
      </c>
      <c r="E159" s="30" t="inlineStr">
        <is>
          <t>smallcap</t>
        </is>
      </c>
      <c r="F159" s="30" t="n">
        <v>2556.63</v>
      </c>
      <c r="G159" s="30" t="n">
        <v>235.43</v>
      </c>
      <c r="H159" s="30" t="n">
        <v>1.73</v>
      </c>
      <c r="I159" s="30" t="n">
        <v>288640</v>
      </c>
      <c r="J159" s="30" t="inlineStr">
        <is>
          <t>539404</t>
        </is>
      </c>
    </row>
    <row r="160">
      <c r="A160" s="30" t="inlineStr">
        <is>
          <t>WHEELS</t>
        </is>
      </c>
      <c r="B160" s="30" t="inlineStr">
        <is>
          <t>Wheels India Limited</t>
        </is>
      </c>
      <c r="C160" s="30" t="inlineStr">
        <is>
          <t>auto</t>
        </is>
      </c>
      <c r="D160" s="30" t="inlineStr">
        <is>
          <t>auto ancillaries</t>
        </is>
      </c>
      <c r="E160" s="30" t="inlineStr">
        <is>
          <t>smallcap</t>
        </is>
      </c>
      <c r="F160" s="30" t="n">
        <v>3731.41</v>
      </c>
      <c r="G160" s="30" t="n">
        <v>1553.4</v>
      </c>
      <c r="H160" s="30" t="n">
        <v>1.72</v>
      </c>
      <c r="I160" s="30" t="n">
        <v>89140</v>
      </c>
      <c r="J160" s="30" t="inlineStr">
        <is>
          <t>590073</t>
        </is>
      </c>
    </row>
    <row r="161">
      <c r="A161" s="30" t="inlineStr">
        <is>
          <t>MUFIN</t>
        </is>
      </c>
      <c r="B161" s="30" t="inlineStr">
        <is>
          <t>Mufin Green Finance Ltd</t>
        </is>
      </c>
      <c r="C161" s="30" t="inlineStr">
        <is>
          <t>financials</t>
        </is>
      </c>
      <c r="D161" s="30" t="inlineStr">
        <is>
          <t>finance &amp; investments</t>
        </is>
      </c>
      <c r="E161" s="30" t="inlineStr">
        <is>
          <t>smallcap</t>
        </is>
      </c>
      <c r="F161" s="30" t="n">
        <v>2549.55</v>
      </c>
      <c r="G161" s="30" t="n">
        <v>130.86</v>
      </c>
      <c r="H161" s="30" t="n">
        <v>1.71</v>
      </c>
      <c r="I161" s="30" t="n">
        <v>2111684</v>
      </c>
      <c r="J161" s="30" t="inlineStr">
        <is>
          <t>542774</t>
        </is>
      </c>
    </row>
    <row r="162">
      <c r="A162" s="30" t="inlineStr">
        <is>
          <t>ICICIGI</t>
        </is>
      </c>
      <c r="B162" s="30" t="inlineStr">
        <is>
          <t>ICICI Lombard General Insurance Company Ltd</t>
        </is>
      </c>
      <c r="C162" s="30" t="inlineStr">
        <is>
          <t>financials</t>
        </is>
      </c>
      <c r="D162" s="30" t="inlineStr">
        <is>
          <t>finance &amp; investments</t>
        </is>
      </c>
      <c r="E162" s="30" t="inlineStr">
        <is>
          <t>largecap</t>
        </is>
      </c>
      <c r="F162" s="30" t="n">
        <v>91673.23</v>
      </c>
      <c r="G162" s="30" t="n">
        <v>1870.1</v>
      </c>
      <c r="H162" s="30" t="n">
        <v>1.69</v>
      </c>
      <c r="I162" s="30" t="n">
        <v>1503031</v>
      </c>
      <c r="J162" s="30" t="inlineStr">
        <is>
          <t>540716</t>
        </is>
      </c>
    </row>
    <row r="163">
      <c r="A163" s="30" t="inlineStr">
        <is>
          <t>TBOTEK</t>
        </is>
      </c>
      <c r="B163" s="30" t="inlineStr">
        <is>
          <t>TBO Tek Ltd</t>
        </is>
      </c>
      <c r="C163" s="30" t="inlineStr">
        <is>
          <t>i.t</t>
        </is>
      </c>
      <c r="D163" s="30" t="inlineStr">
        <is>
          <t>travel agencies</t>
        </is>
      </c>
      <c r="E163" s="30" t="inlineStr">
        <is>
          <t>midcap</t>
        </is>
      </c>
      <c r="F163" s="30" t="n">
        <v>15910.28</v>
      </c>
      <c r="G163" s="30" t="n">
        <v>1489.8</v>
      </c>
      <c r="H163" s="30" t="n">
        <v>1.68</v>
      </c>
      <c r="I163" s="30" t="n">
        <v>177526</v>
      </c>
      <c r="J163" s="30" t="inlineStr">
        <is>
          <t>544174</t>
        </is>
      </c>
    </row>
    <row r="164">
      <c r="A164" s="30" t="inlineStr">
        <is>
          <t>NAM-INDIA</t>
        </is>
      </c>
      <c r="B164" s="30" t="inlineStr">
        <is>
          <t>Nippon Life India Asset Management Ltd</t>
        </is>
      </c>
      <c r="C164" s="30" t="inlineStr">
        <is>
          <t>financials</t>
        </is>
      </c>
      <c r="D164" s="30" t="inlineStr">
        <is>
          <t>finance &amp; investments</t>
        </is>
      </c>
      <c r="E164" s="30" t="inlineStr">
        <is>
          <t>largecap</t>
        </is>
      </c>
      <c r="F164" s="30" t="n">
        <v>74493.66</v>
      </c>
      <c r="G164" s="30" t="n">
        <v>1186.9</v>
      </c>
      <c r="H164" s="30" t="n">
        <v>1.67</v>
      </c>
      <c r="I164" s="30" t="n">
        <v>1616527</v>
      </c>
      <c r="J164" s="30" t="inlineStr">
        <is>
          <t>540767</t>
        </is>
      </c>
    </row>
    <row r="165">
      <c r="A165" s="30" t="inlineStr">
        <is>
          <t>GANESHBE</t>
        </is>
      </c>
      <c r="B165" s="30" t="inlineStr">
        <is>
          <t>Ganesh Benzoplast Ltd</t>
        </is>
      </c>
      <c r="C165" s="30" t="inlineStr">
        <is>
          <t>miscellaneous</t>
        </is>
      </c>
      <c r="D165" s="30" t="inlineStr">
        <is>
          <t>miscellaneous</t>
        </is>
      </c>
      <c r="E165" s="30" t="inlineStr">
        <is>
          <t>smallcap</t>
        </is>
      </c>
      <c r="F165" s="30" t="n">
        <v>757.54</v>
      </c>
      <c r="G165" s="30" t="n">
        <v>106.98</v>
      </c>
      <c r="H165" s="30" t="n">
        <v>1.66</v>
      </c>
      <c r="I165" s="30" t="n">
        <v>502035</v>
      </c>
      <c r="J165" s="30" t="inlineStr">
        <is>
          <t>500153</t>
        </is>
      </c>
    </row>
    <row r="166">
      <c r="A166" s="30" t="inlineStr">
        <is>
          <t>RCF</t>
        </is>
      </c>
      <c r="B166" s="30" t="inlineStr">
        <is>
          <t>Rashtriya Chemicals And Fertilizers Limited</t>
        </is>
      </c>
      <c r="C166" s="30" t="inlineStr">
        <is>
          <t>chemicals</t>
        </is>
      </c>
      <c r="D166" s="30" t="inlineStr">
        <is>
          <t>fertilizers</t>
        </is>
      </c>
      <c r="E166" s="30" t="inlineStr">
        <is>
          <t>midcap</t>
        </is>
      </c>
      <c r="F166" s="30" t="n">
        <v>7417.45</v>
      </c>
      <c r="G166" s="30" t="n">
        <v>136.65</v>
      </c>
      <c r="H166" s="30" t="n">
        <v>1.64</v>
      </c>
      <c r="I166" s="30" t="n">
        <v>6504274</v>
      </c>
      <c r="J166" s="30" t="inlineStr">
        <is>
          <t>524230</t>
        </is>
      </c>
    </row>
    <row r="167">
      <c r="A167" s="30" t="inlineStr">
        <is>
          <t>SOLARINDS</t>
        </is>
      </c>
      <c r="B167" s="30" t="inlineStr">
        <is>
          <t>Solar Industries India Limited</t>
        </is>
      </c>
      <c r="C167" s="30" t="inlineStr">
        <is>
          <t>aerospace &amp; defence</t>
        </is>
      </c>
      <c r="D167" s="30" t="inlineStr">
        <is>
          <t>chemicals</t>
        </is>
      </c>
      <c r="E167" s="30" t="inlineStr">
        <is>
          <t>largecap</t>
        </is>
      </c>
      <c r="F167" s="30" t="n">
        <v>160746.53</v>
      </c>
      <c r="G167" s="30" t="n">
        <v>18052</v>
      </c>
      <c r="H167" s="30" t="n">
        <v>1.62</v>
      </c>
      <c r="I167" s="30" t="n">
        <v>283451</v>
      </c>
      <c r="J167" s="30" t="inlineStr">
        <is>
          <t>532725</t>
        </is>
      </c>
    </row>
    <row r="168">
      <c r="A168" s="30" t="inlineStr">
        <is>
          <t>POWERINDIA</t>
        </is>
      </c>
      <c r="B168" s="30" t="inlineStr">
        <is>
          <t>Hitachi Energy India Ltd</t>
        </is>
      </c>
      <c r="C168" s="30" t="inlineStr">
        <is>
          <t>industrials</t>
        </is>
      </c>
      <c r="D168" s="30" t="inlineStr">
        <is>
          <t>electric equipment</t>
        </is>
      </c>
      <c r="E168" s="30" t="inlineStr">
        <is>
          <t>largecap</t>
        </is>
      </c>
      <c r="F168" s="30" t="n">
        <v>161797.68</v>
      </c>
      <c r="G168" s="30" t="n">
        <v>36880</v>
      </c>
      <c r="H168" s="30" t="n">
        <v>1.6</v>
      </c>
      <c r="I168" s="30" t="n">
        <v>114962</v>
      </c>
      <c r="J168" s="30" t="inlineStr">
        <is>
          <t>543187</t>
        </is>
      </c>
    </row>
    <row r="169">
      <c r="A169" s="30" t="inlineStr">
        <is>
          <t>APOLLO</t>
        </is>
      </c>
      <c r="B169" s="30" t="inlineStr">
        <is>
          <t>Apollo Micro Systems Ltd</t>
        </is>
      </c>
      <c r="C169" s="30" t="inlineStr">
        <is>
          <t>aerospace &amp; defence</t>
        </is>
      </c>
      <c r="D169" s="30" t="inlineStr">
        <is>
          <t>electronics - components</t>
        </is>
      </c>
      <c r="E169" s="30" t="inlineStr">
        <is>
          <t>midcap</t>
        </is>
      </c>
      <c r="F169" s="30" t="n">
        <v>15242.1</v>
      </c>
      <c r="G169" s="30" t="n">
        <v>433.15</v>
      </c>
      <c r="H169" s="30" t="n">
        <v>1.54</v>
      </c>
      <c r="I169" s="30" t="n">
        <v>10218594</v>
      </c>
      <c r="J169" s="30" t="inlineStr">
        <is>
          <t>540879</t>
        </is>
      </c>
    </row>
    <row r="170">
      <c r="A170" s="30" t="inlineStr">
        <is>
          <t>ORBTEXP</t>
        </is>
      </c>
      <c r="B170" s="30" t="inlineStr">
        <is>
          <t>Orbit Exports Limited</t>
        </is>
      </c>
      <c r="C170" s="30" t="inlineStr">
        <is>
          <t>textiles</t>
        </is>
      </c>
      <c r="D170" s="30" t="inlineStr">
        <is>
          <t>textiles - processing</t>
        </is>
      </c>
      <c r="E170" s="30" t="inlineStr">
        <is>
          <t>smallcap</t>
        </is>
      </c>
      <c r="F170" s="30" t="n">
        <v>566.52</v>
      </c>
      <c r="G170" s="30" t="n">
        <v>216.98</v>
      </c>
      <c r="H170" s="30" t="n">
        <v>1.54</v>
      </c>
      <c r="I170" s="30" t="n">
        <v>33715</v>
      </c>
      <c r="J170" s="30" t="inlineStr">
        <is>
          <t>512626</t>
        </is>
      </c>
    </row>
    <row r="171">
      <c r="A171" s="30" t="inlineStr">
        <is>
          <t>ZYDUSWELL</t>
        </is>
      </c>
      <c r="B171" s="30" t="inlineStr">
        <is>
          <t>Zydus Wellness Limited</t>
        </is>
      </c>
      <c r="C171" s="30" t="inlineStr">
        <is>
          <t>fmcg</t>
        </is>
      </c>
      <c r="D171" s="30" t="inlineStr">
        <is>
          <t>food - processing - indian</t>
        </is>
      </c>
      <c r="E171" s="30" t="inlineStr">
        <is>
          <t>midcap</t>
        </is>
      </c>
      <c r="F171" s="30" t="n">
        <v>16055.98</v>
      </c>
      <c r="G171" s="30" t="n">
        <v>512.35</v>
      </c>
      <c r="H171" s="30" t="n">
        <v>1.53</v>
      </c>
      <c r="I171" s="30" t="n">
        <v>189453</v>
      </c>
      <c r="J171" s="30" t="inlineStr">
        <is>
          <t>531335</t>
        </is>
      </c>
    </row>
    <row r="172">
      <c r="A172" s="30" t="inlineStr">
        <is>
          <t>HMVL</t>
        </is>
      </c>
      <c r="B172" s="30" t="inlineStr">
        <is>
          <t>Hindustan Media Ventures Limited</t>
        </is>
      </c>
      <c r="C172" s="30" t="inlineStr">
        <is>
          <t>media</t>
        </is>
      </c>
      <c r="D172" s="30" t="inlineStr">
        <is>
          <t>entertainment / electronic media software</t>
        </is>
      </c>
      <c r="E172" s="30" t="inlineStr">
        <is>
          <t>smallcap</t>
        </is>
      </c>
      <c r="F172" s="30" t="n">
        <v>624.96</v>
      </c>
      <c r="G172" s="30" t="n">
        <v>86.13</v>
      </c>
      <c r="H172" s="30" t="n">
        <v>1.53</v>
      </c>
      <c r="I172" s="30" t="n">
        <v>90977</v>
      </c>
      <c r="J172" s="30" t="inlineStr">
        <is>
          <t>533217</t>
        </is>
      </c>
    </row>
    <row r="173">
      <c r="A173" s="30" t="inlineStr">
        <is>
          <t>IOLCP</t>
        </is>
      </c>
      <c r="B173" s="30" t="inlineStr">
        <is>
          <t>Iol Chemicals And Pharmaceuticals Limited</t>
        </is>
      </c>
      <c r="C173" s="30" t="inlineStr">
        <is>
          <t>healthcare</t>
        </is>
      </c>
      <c r="D173" s="30" t="inlineStr">
        <is>
          <t>pharmaceuticals - indian - bulk drugs &amp; formln</t>
        </is>
      </c>
      <c r="E173" s="30" t="inlineStr">
        <is>
          <t>smallcap</t>
        </is>
      </c>
      <c r="F173" s="30" t="n">
        <v>3765.96</v>
      </c>
      <c r="G173" s="30" t="n">
        <v>130.21</v>
      </c>
      <c r="H173" s="30" t="n">
        <v>1.49</v>
      </c>
      <c r="I173" s="30" t="n">
        <v>1066231</v>
      </c>
      <c r="J173" s="30" t="inlineStr">
        <is>
          <t>524164</t>
        </is>
      </c>
    </row>
    <row r="174">
      <c r="A174" s="30" t="inlineStr">
        <is>
          <t>GRINDWELL</t>
        </is>
      </c>
      <c r="B174" s="30" t="inlineStr">
        <is>
          <t>Grindwell Norton Limited</t>
        </is>
      </c>
      <c r="C174" s="30" t="inlineStr">
        <is>
          <t>industrials</t>
        </is>
      </c>
      <c r="D174" s="30" t="inlineStr">
        <is>
          <t>abrasives and grinding wheels</t>
        </is>
      </c>
      <c r="E174" s="30" t="inlineStr">
        <is>
          <t>largecap</t>
        </is>
      </c>
      <c r="F174" s="30" t="n">
        <v>23312.1</v>
      </c>
      <c r="G174" s="30" t="n">
        <v>2136.8</v>
      </c>
      <c r="H174" s="30" t="n">
        <v>1.49</v>
      </c>
      <c r="I174" s="30" t="n">
        <v>48173</v>
      </c>
      <c r="J174" s="30" t="inlineStr">
        <is>
          <t>506076</t>
        </is>
      </c>
    </row>
    <row r="175">
      <c r="A175" s="30" t="inlineStr">
        <is>
          <t>PIXTRANS</t>
        </is>
      </c>
      <c r="B175" s="30" t="inlineStr">
        <is>
          <t>Pix Transmission Ltd</t>
        </is>
      </c>
      <c r="C175" s="30" t="inlineStr">
        <is>
          <t>fmcg</t>
        </is>
      </c>
      <c r="D175" s="30" t="inlineStr">
        <is>
          <t>miscellaneous</t>
        </is>
      </c>
      <c r="E175" s="30" t="inlineStr">
        <is>
          <t>smallcap</t>
        </is>
      </c>
      <c r="F175" s="30" t="n">
        <v>2202.51</v>
      </c>
      <c r="G175" s="30" t="n">
        <v>1640.6</v>
      </c>
      <c r="H175" s="30" t="n">
        <v>1.49</v>
      </c>
      <c r="I175" s="30" t="n">
        <v>19589</v>
      </c>
      <c r="J175" s="30" t="inlineStr">
        <is>
          <t>500333</t>
        </is>
      </c>
    </row>
    <row r="176">
      <c r="A176" s="30" t="inlineStr">
        <is>
          <t>PHOENIXLTD</t>
        </is>
      </c>
      <c r="B176" s="30" t="inlineStr">
        <is>
          <t>The Phoenix Mills Limited</t>
        </is>
      </c>
      <c r="C176" s="30" t="inlineStr">
        <is>
          <t>realty</t>
        </is>
      </c>
      <c r="D176" s="30" t="inlineStr">
        <is>
          <t>construction</t>
        </is>
      </c>
      <c r="E176" s="30" t="inlineStr">
        <is>
          <t>largecap</t>
        </is>
      </c>
      <c r="F176" s="30" t="n">
        <v>66294.73</v>
      </c>
      <c r="G176" s="30" t="n">
        <v>1881.1</v>
      </c>
      <c r="H176" s="30" t="n">
        <v>1.48</v>
      </c>
      <c r="I176" s="30" t="n">
        <v>584631</v>
      </c>
      <c r="J176" s="30" t="inlineStr">
        <is>
          <t>503100</t>
        </is>
      </c>
    </row>
    <row r="177">
      <c r="A177" s="30" t="inlineStr">
        <is>
          <t>KENNAMET</t>
        </is>
      </c>
      <c r="B177" s="30" t="inlineStr">
        <is>
          <t>Kennametal India Ltd</t>
        </is>
      </c>
      <c r="C177" s="30" t="inlineStr">
        <is>
          <t>industrials</t>
        </is>
      </c>
      <c r="D177" s="30" t="inlineStr">
        <is>
          <t>castings &amp; forgings</t>
        </is>
      </c>
      <c r="E177" s="30" t="inlineStr">
        <is>
          <t>midcap</t>
        </is>
      </c>
      <c r="F177" s="30" t="n">
        <v>6496.77</v>
      </c>
      <c r="G177" s="30" t="n">
        <v>2999.3</v>
      </c>
      <c r="H177" s="30" t="n">
        <v>1.46</v>
      </c>
      <c r="I177" s="30" t="n">
        <v>6279</v>
      </c>
      <c r="J177" s="30" t="inlineStr">
        <is>
          <t>505890</t>
        </is>
      </c>
    </row>
    <row r="178">
      <c r="A178" s="30" t="inlineStr">
        <is>
          <t>ASKAUTOLTD</t>
        </is>
      </c>
      <c r="B178" s="30" t="inlineStr">
        <is>
          <t>ASK Automotive Ltd</t>
        </is>
      </c>
      <c r="C178" s="30" t="inlineStr">
        <is>
          <t>auto</t>
        </is>
      </c>
      <c r="D178" s="30" t="inlineStr">
        <is>
          <t>auto ancillaries</t>
        </is>
      </c>
      <c r="E178" s="30" t="inlineStr">
        <is>
          <t>midcap</t>
        </is>
      </c>
      <c r="F178" s="30" t="n">
        <v>9132.629999999999</v>
      </c>
      <c r="G178" s="30" t="n">
        <v>470</v>
      </c>
      <c r="H178" s="30" t="n">
        <v>1.46</v>
      </c>
      <c r="I178" s="30" t="n">
        <v>248211</v>
      </c>
      <c r="J178" s="30" t="inlineStr">
        <is>
          <t>544022</t>
        </is>
      </c>
    </row>
    <row r="179">
      <c r="A179" s="30" t="inlineStr">
        <is>
          <t>SONACOMS</t>
        </is>
      </c>
      <c r="B179" s="30" t="inlineStr">
        <is>
          <t>Sona BLW Precision Forgings Ltd</t>
        </is>
      </c>
      <c r="C179" s="30" t="inlineStr">
        <is>
          <t>auto</t>
        </is>
      </c>
      <c r="D179" s="30" t="inlineStr">
        <is>
          <t>auto ancillaries</t>
        </is>
      </c>
      <c r="E179" s="30" t="inlineStr">
        <is>
          <t>largecap</t>
        </is>
      </c>
      <c r="F179" s="30" t="n">
        <v>37624.85</v>
      </c>
      <c r="G179" s="30" t="n">
        <v>613.8</v>
      </c>
      <c r="H179" s="30" t="n">
        <v>1.45</v>
      </c>
      <c r="I179" s="30" t="n">
        <v>1977764</v>
      </c>
      <c r="J179" s="30" t="inlineStr">
        <is>
          <t>543300</t>
        </is>
      </c>
    </row>
    <row r="180">
      <c r="A180" s="30" t="inlineStr">
        <is>
          <t>MUNJALAU</t>
        </is>
      </c>
      <c r="B180" s="30" t="inlineStr">
        <is>
          <t>Munjal Auto Industries Limited</t>
        </is>
      </c>
      <c r="C180" s="30" t="inlineStr">
        <is>
          <t>auto</t>
        </is>
      </c>
      <c r="D180" s="30" t="inlineStr">
        <is>
          <t>auto ancillaries</t>
        </is>
      </c>
      <c r="E180" s="30" t="inlineStr">
        <is>
          <t>smallcap</t>
        </is>
      </c>
      <c r="F180" s="30" t="n">
        <v>971.3</v>
      </c>
      <c r="G180" s="30" t="n">
        <v>98.53</v>
      </c>
      <c r="H180" s="30" t="n">
        <v>1.44</v>
      </c>
      <c r="I180" s="30" t="n">
        <v>287280</v>
      </c>
      <c r="J180" s="30" t="inlineStr">
        <is>
          <t>520059</t>
        </is>
      </c>
    </row>
    <row r="181">
      <c r="A181" s="30" t="inlineStr">
        <is>
          <t>SWARAJENG</t>
        </is>
      </c>
      <c r="B181" s="30" t="inlineStr">
        <is>
          <t>Swaraj Engines Limited</t>
        </is>
      </c>
      <c r="C181" s="30" t="inlineStr">
        <is>
          <t>industrials</t>
        </is>
      </c>
      <c r="D181" s="30" t="inlineStr">
        <is>
          <t>engines</t>
        </is>
      </c>
      <c r="E181" s="30" t="inlineStr">
        <is>
          <t>smallcap</t>
        </is>
      </c>
      <c r="F181" s="30" t="n">
        <v>4704.79</v>
      </c>
      <c r="G181" s="30" t="n">
        <v>3927.6</v>
      </c>
      <c r="H181" s="30" t="n">
        <v>1.43</v>
      </c>
      <c r="I181" s="30" t="n">
        <v>14327</v>
      </c>
      <c r="J181" s="30" t="inlineStr">
        <is>
          <t>500407</t>
        </is>
      </c>
    </row>
    <row r="182">
      <c r="A182" s="30" t="inlineStr">
        <is>
          <t>RAINBOW</t>
        </is>
      </c>
      <c r="B182" s="30" t="inlineStr">
        <is>
          <t>Rainbow Childrens Medicare Ltd</t>
        </is>
      </c>
      <c r="C182" s="30" t="inlineStr">
        <is>
          <t>healthcare</t>
        </is>
      </c>
      <c r="D182" s="30" t="inlineStr">
        <is>
          <t>healthcare</t>
        </is>
      </c>
      <c r="E182" s="30" t="inlineStr">
        <is>
          <t>midcap</t>
        </is>
      </c>
      <c r="F182" s="30" t="n">
        <v>14726.08</v>
      </c>
      <c r="G182" s="30" t="n">
        <v>1470.8</v>
      </c>
      <c r="H182" s="30" t="n">
        <v>1.43</v>
      </c>
      <c r="I182" s="30" t="n">
        <v>216444</v>
      </c>
      <c r="J182" s="30" t="inlineStr">
        <is>
          <t>543524</t>
        </is>
      </c>
    </row>
    <row r="183">
      <c r="A183" s="30" t="inlineStr">
        <is>
          <t>ABCAPITAL</t>
        </is>
      </c>
      <c r="B183" s="30" t="inlineStr">
        <is>
          <t>Aditya Birla Capital Ltd</t>
        </is>
      </c>
      <c r="C183" s="30" t="inlineStr">
        <is>
          <t>financials</t>
        </is>
      </c>
      <c r="D183" s="30" t="inlineStr">
        <is>
          <t>finance &amp; investments</t>
        </is>
      </c>
      <c r="E183" s="30" t="inlineStr">
        <is>
          <t>largecap</t>
        </is>
      </c>
      <c r="F183" s="30" t="n">
        <v>97082.60000000001</v>
      </c>
      <c r="G183" s="30" t="n">
        <v>375.9</v>
      </c>
      <c r="H183" s="30" t="n">
        <v>1.43</v>
      </c>
      <c r="I183" s="30" t="n">
        <v>11199442</v>
      </c>
      <c r="J183" s="30" t="inlineStr">
        <is>
          <t>540691</t>
        </is>
      </c>
    </row>
    <row r="184">
      <c r="A184" s="30" t="inlineStr">
        <is>
          <t>CENTUM</t>
        </is>
      </c>
      <c r="B184" s="30" t="inlineStr">
        <is>
          <t>Centum Electronics Limited</t>
        </is>
      </c>
      <c r="C184" s="30" t="inlineStr">
        <is>
          <t>consumer discretionary</t>
        </is>
      </c>
      <c r="D184" s="30" t="inlineStr">
        <is>
          <t>electronics - components</t>
        </is>
      </c>
      <c r="E184" s="30" t="inlineStr">
        <is>
          <t>midcap</t>
        </is>
      </c>
      <c r="F184" s="30" t="n">
        <v>5144.01</v>
      </c>
      <c r="G184" s="30" t="n">
        <v>3539</v>
      </c>
      <c r="H184" s="30" t="n">
        <v>1.42</v>
      </c>
      <c r="I184" s="30" t="n">
        <v>25627</v>
      </c>
      <c r="J184" s="30" t="inlineStr">
        <is>
          <t>517544</t>
        </is>
      </c>
    </row>
    <row r="185">
      <c r="A185" s="30" t="inlineStr">
        <is>
          <t>NYKAA</t>
        </is>
      </c>
      <c r="B185" s="30" t="inlineStr">
        <is>
          <t>FSN E-Commerce Ventures Ltd</t>
        </is>
      </c>
      <c r="C185" s="30" t="inlineStr">
        <is>
          <t>i.t</t>
        </is>
      </c>
      <c r="D185" s="30" t="inlineStr">
        <is>
          <t>trading</t>
        </is>
      </c>
      <c r="E185" s="30" t="inlineStr">
        <is>
          <t>largecap</t>
        </is>
      </c>
      <c r="F185" s="30" t="n">
        <v>85352.81</v>
      </c>
      <c r="G185" s="30" t="n">
        <v>302.3</v>
      </c>
      <c r="H185" s="30" t="n">
        <v>1.41</v>
      </c>
      <c r="I185" s="30" t="n">
        <v>13610176</v>
      </c>
      <c r="J185" s="30" t="inlineStr">
        <is>
          <t>543384</t>
        </is>
      </c>
    </row>
    <row r="186">
      <c r="A186" s="30" t="inlineStr">
        <is>
          <t>MIDHANI</t>
        </is>
      </c>
      <c r="B186" s="30" t="inlineStr">
        <is>
          <t>Mishra Dhatu Nigam Ltd</t>
        </is>
      </c>
      <c r="C186" s="30" t="inlineStr">
        <is>
          <t>aerospace &amp; defence</t>
        </is>
      </c>
      <c r="D186" s="30" t="inlineStr">
        <is>
          <t>steel - medium / small</t>
        </is>
      </c>
      <c r="E186" s="30" t="inlineStr">
        <is>
          <t>midcap</t>
        </is>
      </c>
      <c r="F186" s="30" t="n">
        <v>8075.29</v>
      </c>
      <c r="G186" s="30" t="n">
        <v>437</v>
      </c>
      <c r="H186" s="30" t="n">
        <v>1.38</v>
      </c>
      <c r="I186" s="30" t="n">
        <v>930739</v>
      </c>
      <c r="J186" s="30" t="inlineStr">
        <is>
          <t>541195</t>
        </is>
      </c>
    </row>
    <row r="187">
      <c r="A187" s="30" t="inlineStr">
        <is>
          <t>NITINSPIN</t>
        </is>
      </c>
      <c r="B187" s="30" t="inlineStr">
        <is>
          <t>Nitin Spinners Limited</t>
        </is>
      </c>
      <c r="C187" s="30" t="inlineStr">
        <is>
          <t>textiles</t>
        </is>
      </c>
      <c r="D187" s="30" t="inlineStr">
        <is>
          <t>textiles - cotton/blended</t>
        </is>
      </c>
      <c r="E187" s="30" t="inlineStr">
        <is>
          <t>smallcap</t>
        </is>
      </c>
      <c r="F187" s="30" t="n">
        <v>3153.94</v>
      </c>
      <c r="G187" s="30" t="n">
        <v>568.7</v>
      </c>
      <c r="H187" s="30" t="n">
        <v>1.37</v>
      </c>
      <c r="I187" s="30" t="n">
        <v>113794</v>
      </c>
      <c r="J187" s="30" t="inlineStr">
        <is>
          <t>532698</t>
        </is>
      </c>
    </row>
    <row r="188">
      <c r="A188" s="30" t="inlineStr">
        <is>
          <t>ZFCVINDIA</t>
        </is>
      </c>
      <c r="B188" s="30" t="inlineStr">
        <is>
          <t>ZF Commercial Vehicle Control System India Ltd</t>
        </is>
      </c>
      <c r="C188" s="30" t="inlineStr">
        <is>
          <t>auto</t>
        </is>
      </c>
      <c r="D188" s="30" t="inlineStr">
        <is>
          <t>auto ancillaries</t>
        </is>
      </c>
      <c r="E188" s="30" t="inlineStr">
        <is>
          <t>largecap</t>
        </is>
      </c>
      <c r="F188" s="30" t="n">
        <v>29553.39</v>
      </c>
      <c r="G188" s="30" t="n">
        <v>15795</v>
      </c>
      <c r="H188" s="30" t="n">
        <v>1.37</v>
      </c>
      <c r="I188" s="30" t="n">
        <v>22859</v>
      </c>
      <c r="J188" s="30" t="inlineStr">
        <is>
          <t>533023</t>
        </is>
      </c>
    </row>
    <row r="189">
      <c r="A189" s="30" t="inlineStr">
        <is>
          <t>JASH</t>
        </is>
      </c>
      <c r="B189" s="30" t="inlineStr">
        <is>
          <t>Jash Engineering Ltd</t>
        </is>
      </c>
      <c r="C189" s="30" t="inlineStr">
        <is>
          <t>industrials</t>
        </is>
      </c>
      <c r="D189" s="30" t="inlineStr">
        <is>
          <t>engineering</t>
        </is>
      </c>
      <c r="E189" s="30" t="inlineStr">
        <is>
          <t>smallcap</t>
        </is>
      </c>
      <c r="F189" s="30" t="n">
        <v>3118.61</v>
      </c>
      <c r="G189" s="30" t="n">
        <v>500.05</v>
      </c>
      <c r="H189" s="30" t="n">
        <v>1.33</v>
      </c>
      <c r="I189" s="30" t="n">
        <v>115531</v>
      </c>
      <c r="J189" s="30" t="inlineStr">
        <is>
          <t>535019</t>
        </is>
      </c>
    </row>
    <row r="190">
      <c r="A190" s="30" t="inlineStr">
        <is>
          <t>SIS</t>
        </is>
      </c>
      <c r="B190" s="30" t="inlineStr">
        <is>
          <t>Security &amp; Intelligence Services India</t>
        </is>
      </c>
      <c r="C190" s="30" t="inlineStr">
        <is>
          <t>miscellaneous</t>
        </is>
      </c>
      <c r="D190" s="30" t="inlineStr">
        <is>
          <t>miscellaneous</t>
        </is>
      </c>
      <c r="E190" s="30" t="inlineStr">
        <is>
          <t>midcap</t>
        </is>
      </c>
      <c r="F190" s="30" t="n">
        <v>5992.77</v>
      </c>
      <c r="G190" s="30" t="n">
        <v>429.75</v>
      </c>
      <c r="H190" s="30" t="n">
        <v>1.31</v>
      </c>
      <c r="I190" s="30" t="n">
        <v>221039</v>
      </c>
      <c r="J190" s="30" t="inlineStr">
        <is>
          <t>540673</t>
        </is>
      </c>
    </row>
    <row r="191">
      <c r="A191" s="30" t="inlineStr">
        <is>
          <t>POLYCAB</t>
        </is>
      </c>
      <c r="B191" s="30" t="inlineStr">
        <is>
          <t>Polycab India Ltd</t>
        </is>
      </c>
      <c r="C191" s="30" t="inlineStr">
        <is>
          <t>industrials</t>
        </is>
      </c>
      <c r="D191" s="30" t="inlineStr">
        <is>
          <t>cables - power</t>
        </is>
      </c>
      <c r="E191" s="30" t="inlineStr">
        <is>
          <t>largecap</t>
        </is>
      </c>
      <c r="F191" s="30" t="n">
        <v>149835.39</v>
      </c>
      <c r="G191" s="30" t="n">
        <v>10083</v>
      </c>
      <c r="H191" s="30" t="n">
        <v>1.31</v>
      </c>
      <c r="I191" s="30" t="n">
        <v>470348</v>
      </c>
      <c r="J191" s="30" t="inlineStr">
        <is>
          <t>542652</t>
        </is>
      </c>
    </row>
    <row r="192">
      <c r="A192" s="30" t="inlineStr">
        <is>
          <t>KRN</t>
        </is>
      </c>
      <c r="B192" s="30" t="inlineStr">
        <is>
          <t>KRN Heat Exchanger and Refrigeration Ltd</t>
        </is>
      </c>
      <c r="C192" s="30" t="inlineStr">
        <is>
          <t>industrials</t>
        </is>
      </c>
      <c r="D192" s="30" t="inlineStr">
        <is>
          <t>engineering</t>
        </is>
      </c>
      <c r="E192" s="30" t="inlineStr">
        <is>
          <t>midcap</t>
        </is>
      </c>
      <c r="F192" s="30" t="n">
        <v>7982.01</v>
      </c>
      <c r="G192" s="30" t="n">
        <v>1235.2</v>
      </c>
      <c r="H192" s="30" t="n">
        <v>1.3</v>
      </c>
      <c r="I192" s="30" t="n">
        <v>85091</v>
      </c>
      <c r="J192" s="30" t="inlineStr">
        <is>
          <t>544263</t>
        </is>
      </c>
    </row>
    <row r="193">
      <c r="A193" s="30" t="inlineStr">
        <is>
          <t>EMCURE</t>
        </is>
      </c>
      <c r="B193" s="30" t="inlineStr">
        <is>
          <t>Emcure Pharmaceuticals Ltd</t>
        </is>
      </c>
      <c r="C193" s="30" t="inlineStr">
        <is>
          <t>healthcare</t>
        </is>
      </c>
      <c r="D193" s="30" t="inlineStr">
        <is>
          <t>pharmaceuticals - indian - bulk drugs &amp; formln</t>
        </is>
      </c>
      <c r="E193" s="30" t="inlineStr">
        <is>
          <t>largecap</t>
        </is>
      </c>
      <c r="F193" s="30" t="n">
        <v>33238.84</v>
      </c>
      <c r="G193" s="30" t="n">
        <v>1776</v>
      </c>
      <c r="H193" s="30" t="n">
        <v>1.3</v>
      </c>
      <c r="I193" s="30" t="n">
        <v>86127</v>
      </c>
      <c r="J193" s="30" t="inlineStr">
        <is>
          <t>544210</t>
        </is>
      </c>
    </row>
    <row r="194">
      <c r="A194" s="30" t="inlineStr">
        <is>
          <t>SUZLON</t>
        </is>
      </c>
      <c r="B194" s="30" t="inlineStr">
        <is>
          <t>Suzlon Energy Limited</t>
        </is>
      </c>
      <c r="C194" s="30" t="inlineStr">
        <is>
          <t>industrials</t>
        </is>
      </c>
      <c r="D194" s="30" t="inlineStr">
        <is>
          <t>electric equipment</t>
        </is>
      </c>
      <c r="E194" s="30" t="inlineStr">
        <is>
          <t>largecap</t>
        </is>
      </c>
      <c r="F194" s="30" t="n">
        <v>80148.61</v>
      </c>
      <c r="G194" s="30" t="n">
        <v>59.2</v>
      </c>
      <c r="H194" s="30" t="n">
        <v>1.3</v>
      </c>
      <c r="I194" s="30" t="n">
        <v>139917727</v>
      </c>
      <c r="J194" s="30" t="inlineStr">
        <is>
          <t>532667</t>
        </is>
      </c>
    </row>
    <row r="195">
      <c r="A195" s="30" t="inlineStr">
        <is>
          <t>IDEAFORGE</t>
        </is>
      </c>
      <c r="B195" s="30" t="inlineStr">
        <is>
          <t>Ideaforge Technology Ltd</t>
        </is>
      </c>
      <c r="C195" s="30" t="inlineStr">
        <is>
          <t>aerospace &amp; defence</t>
        </is>
      </c>
      <c r="D195" s="30" t="inlineStr">
        <is>
          <t>engineering</t>
        </is>
      </c>
      <c r="E195" s="30" t="inlineStr">
        <is>
          <t>smallcap</t>
        </is>
      </c>
      <c r="F195" s="30" t="n">
        <v>3980.3</v>
      </c>
      <c r="G195" s="30" t="n">
        <v>931.45</v>
      </c>
      <c r="H195" s="30" t="n">
        <v>1.27</v>
      </c>
      <c r="I195" s="30" t="n">
        <v>278657</v>
      </c>
      <c r="J195" s="30" t="inlineStr">
        <is>
          <t>543932</t>
        </is>
      </c>
    </row>
    <row r="196">
      <c r="A196" s="30" t="inlineStr">
        <is>
          <t>ARVINDFASN</t>
        </is>
      </c>
      <c r="B196" s="30" t="inlineStr">
        <is>
          <t>Arvind Fashions Ltd</t>
        </is>
      </c>
      <c r="C196" s="30" t="inlineStr">
        <is>
          <t>consumer discretionary</t>
        </is>
      </c>
      <c r="D196" s="30" t="inlineStr">
        <is>
          <t>trading</t>
        </is>
      </c>
      <c r="E196" s="30" t="inlineStr">
        <is>
          <t>midcap</t>
        </is>
      </c>
      <c r="F196" s="30" t="n">
        <v>6390.05</v>
      </c>
      <c r="G196" s="30" t="n">
        <v>484.05</v>
      </c>
      <c r="H196" s="30" t="n">
        <v>1.24</v>
      </c>
      <c r="I196" s="30" t="n">
        <v>415461</v>
      </c>
      <c r="J196" s="30" t="inlineStr">
        <is>
          <t>542484</t>
        </is>
      </c>
    </row>
    <row r="197">
      <c r="A197" s="30" t="inlineStr">
        <is>
          <t>AMBIKCO</t>
        </is>
      </c>
      <c r="B197" s="30" t="inlineStr">
        <is>
          <t>Ambika Cotton Mills Limited</t>
        </is>
      </c>
      <c r="C197" s="30" t="inlineStr">
        <is>
          <t>textiles</t>
        </is>
      </c>
      <c r="D197" s="30" t="inlineStr">
        <is>
          <t>textiles - cotton/blended</t>
        </is>
      </c>
      <c r="E197" s="30" t="inlineStr">
        <is>
          <t>smallcap</t>
        </is>
      </c>
      <c r="F197" s="30" t="n">
        <v>949.89</v>
      </c>
      <c r="G197" s="30" t="n">
        <v>1679.1</v>
      </c>
      <c r="H197" s="30" t="n">
        <v>1.2</v>
      </c>
      <c r="I197" s="30" t="n">
        <v>21214</v>
      </c>
      <c r="J197" s="30" t="inlineStr">
        <is>
          <t>531978</t>
        </is>
      </c>
    </row>
    <row r="198">
      <c r="A198" s="30" t="inlineStr">
        <is>
          <t>ITDC</t>
        </is>
      </c>
      <c r="B198" s="30" t="inlineStr">
        <is>
          <t>India Tourism Development Corporation Ltd</t>
        </is>
      </c>
      <c r="C198" s="30" t="inlineStr">
        <is>
          <t>services</t>
        </is>
      </c>
      <c r="D198" s="30" t="inlineStr">
        <is>
          <t>hotels</t>
        </is>
      </c>
      <c r="E198" s="30" t="inlineStr">
        <is>
          <t>midcap</t>
        </is>
      </c>
      <c r="F198" s="30" t="n">
        <v>5246.09</v>
      </c>
      <c r="G198" s="30" t="n">
        <v>619</v>
      </c>
      <c r="H198" s="30" t="n">
        <v>1.2</v>
      </c>
      <c r="I198" s="30" t="n">
        <v>123317</v>
      </c>
      <c r="J198" s="30" t="inlineStr">
        <is>
          <t>532189</t>
        </is>
      </c>
    </row>
    <row r="199">
      <c r="A199" s="30" t="inlineStr">
        <is>
          <t>NBCC</t>
        </is>
      </c>
      <c r="B199" s="30" t="inlineStr">
        <is>
          <t>Nbcc (india) Limited</t>
        </is>
      </c>
      <c r="C199" s="30" t="inlineStr">
        <is>
          <t>miscellaneous</t>
        </is>
      </c>
      <c r="D199" s="30" t="inlineStr">
        <is>
          <t>miscellaneous</t>
        </is>
      </c>
      <c r="E199" s="30" t="inlineStr">
        <is>
          <t>largecap</t>
        </is>
      </c>
      <c r="F199" s="30" t="n">
        <v>29740.5</v>
      </c>
      <c r="G199" s="30" t="n">
        <v>111.45</v>
      </c>
      <c r="H199" s="30" t="n">
        <v>1.18</v>
      </c>
      <c r="I199" s="30" t="n">
        <v>21519579</v>
      </c>
      <c r="J199" s="30" t="inlineStr">
        <is>
          <t>534309</t>
        </is>
      </c>
    </row>
    <row r="200">
      <c r="A200" s="30" t="inlineStr">
        <is>
          <t>ARVIND</t>
        </is>
      </c>
      <c r="B200" s="30" t="inlineStr">
        <is>
          <t>Arvind Limited</t>
        </is>
      </c>
      <c r="C200" s="30" t="inlineStr">
        <is>
          <t>textiles</t>
        </is>
      </c>
      <c r="D200" s="30" t="inlineStr">
        <is>
          <t>textiles - cotton/blended</t>
        </is>
      </c>
      <c r="E200" s="30" t="inlineStr">
        <is>
          <t>midcap</t>
        </is>
      </c>
      <c r="F200" s="30" t="n">
        <v>13384.88</v>
      </c>
      <c r="G200" s="30" t="n">
        <v>516.6</v>
      </c>
      <c r="H200" s="30" t="n">
        <v>1.17</v>
      </c>
      <c r="I200" s="30" t="n">
        <v>527238</v>
      </c>
      <c r="J200" s="30" t="inlineStr">
        <is>
          <t>500101</t>
        </is>
      </c>
    </row>
    <row r="201">
      <c r="A201" s="30" t="inlineStr">
        <is>
          <t>INDOBORAX</t>
        </is>
      </c>
      <c r="B201" s="30" t="inlineStr">
        <is>
          <t>Indo Borax &amp; Chemicals Ltd</t>
        </is>
      </c>
      <c r="C201" s="30" t="inlineStr">
        <is>
          <t>chemicals</t>
        </is>
      </c>
      <c r="D201" s="30" t="inlineStr">
        <is>
          <t>chemicals</t>
        </is>
      </c>
      <c r="E201" s="30" t="inlineStr">
        <is>
          <t>smallcap</t>
        </is>
      </c>
      <c r="F201" s="30" t="n">
        <v>1154.92</v>
      </c>
      <c r="G201" s="30" t="n">
        <v>364.1</v>
      </c>
      <c r="H201" s="30" t="n">
        <v>1.17</v>
      </c>
      <c r="I201" s="30" t="n">
        <v>26870</v>
      </c>
      <c r="J201" s="30" t="inlineStr">
        <is>
          <t>524342</t>
        </is>
      </c>
    </row>
    <row r="202">
      <c r="A202" s="30" t="inlineStr">
        <is>
          <t>ABSLAMC</t>
        </is>
      </c>
      <c r="B202" s="30" t="inlineStr">
        <is>
          <t>Aditya Birla Sun Life AMC Ltd</t>
        </is>
      </c>
      <c r="C202" s="30" t="inlineStr">
        <is>
          <t>financials</t>
        </is>
      </c>
      <c r="D202" s="30" t="inlineStr">
        <is>
          <t>finance &amp; investments</t>
        </is>
      </c>
      <c r="E202" s="30" t="inlineStr">
        <is>
          <t>largecap</t>
        </is>
      </c>
      <c r="F202" s="30" t="n">
        <v>33706.57</v>
      </c>
      <c r="G202" s="30" t="n">
        <v>1180.6</v>
      </c>
      <c r="H202" s="30" t="n">
        <v>1.16</v>
      </c>
      <c r="I202" s="30" t="n">
        <v>443139</v>
      </c>
      <c r="J202" s="30" t="inlineStr">
        <is>
          <t>543374</t>
        </is>
      </c>
    </row>
    <row r="203">
      <c r="A203" s="30" t="inlineStr">
        <is>
          <t>SANSTAR</t>
        </is>
      </c>
      <c r="B203" s="30" t="inlineStr">
        <is>
          <t>Sanstar Ltd</t>
        </is>
      </c>
      <c r="C203" s="30" t="inlineStr">
        <is>
          <t>fmcg</t>
        </is>
      </c>
      <c r="D203" s="30" t="inlineStr">
        <is>
          <t>miscellaneous</t>
        </is>
      </c>
      <c r="E203" s="30" t="inlineStr">
        <is>
          <t>smallcap</t>
        </is>
      </c>
      <c r="F203" s="30" t="n">
        <v>2098</v>
      </c>
      <c r="G203" s="30" t="n">
        <v>116.45</v>
      </c>
      <c r="H203" s="30" t="n">
        <v>1.16</v>
      </c>
      <c r="I203" s="30" t="n">
        <v>334616</v>
      </c>
      <c r="J203" s="30" t="inlineStr">
        <is>
          <t>544217</t>
        </is>
      </c>
    </row>
    <row r="204">
      <c r="A204" s="30" t="inlineStr">
        <is>
          <t>THYROCARE</t>
        </is>
      </c>
      <c r="B204" s="30" t="inlineStr">
        <is>
          <t>Thyrocare Technologies Limited</t>
        </is>
      </c>
      <c r="C204" s="30" t="inlineStr">
        <is>
          <t>healthcare</t>
        </is>
      </c>
      <c r="D204" s="30" t="inlineStr">
        <is>
          <t>healthcare</t>
        </is>
      </c>
      <c r="E204" s="30" t="inlineStr">
        <is>
          <t>midcap</t>
        </is>
      </c>
      <c r="F204" s="30" t="n">
        <v>8505.790000000001</v>
      </c>
      <c r="G204" s="30" t="n">
        <v>540.55</v>
      </c>
      <c r="H204" s="30" t="n">
        <v>1.15</v>
      </c>
      <c r="I204" s="30" t="n">
        <v>138650</v>
      </c>
      <c r="J204" s="30" t="inlineStr">
        <is>
          <t>539871</t>
        </is>
      </c>
    </row>
    <row r="205">
      <c r="A205" s="30" t="inlineStr">
        <is>
          <t>KRYSTAL</t>
        </is>
      </c>
      <c r="B205" s="30" t="inlineStr">
        <is>
          <t>Krystal Integrated Services Ltd</t>
        </is>
      </c>
      <c r="C205" s="30" t="inlineStr">
        <is>
          <t>miscellaneous</t>
        </is>
      </c>
      <c r="D205" s="30" t="inlineStr">
        <is>
          <t>miscellaneous</t>
        </is>
      </c>
      <c r="E205" s="30" t="inlineStr">
        <is>
          <t>smallcap</t>
        </is>
      </c>
      <c r="F205" s="30" t="n">
        <v>840.62</v>
      </c>
      <c r="G205" s="30" t="n">
        <v>608.5</v>
      </c>
      <c r="H205" s="30" t="n">
        <v>1.14</v>
      </c>
      <c r="I205" s="30" t="n">
        <v>25223</v>
      </c>
      <c r="J205" s="30" t="inlineStr">
        <is>
          <t>544149</t>
        </is>
      </c>
    </row>
    <row r="206">
      <c r="A206" s="30" t="inlineStr">
        <is>
          <t>SSWL</t>
        </is>
      </c>
      <c r="B206" s="30" t="inlineStr">
        <is>
          <t>Steel Strips Wheels Limited</t>
        </is>
      </c>
      <c r="C206" s="30" t="inlineStr">
        <is>
          <t>auto</t>
        </is>
      </c>
      <c r="D206" s="30" t="inlineStr">
        <is>
          <t>auto ancillaries</t>
        </is>
      </c>
      <c r="E206" s="30" t="inlineStr">
        <is>
          <t>smallcap</t>
        </is>
      </c>
      <c r="F206" s="30" t="n">
        <v>3560.45</v>
      </c>
      <c r="G206" s="30" t="n">
        <v>229.09</v>
      </c>
      <c r="H206" s="30" t="n">
        <v>1.13</v>
      </c>
      <c r="I206" s="30" t="n">
        <v>891327</v>
      </c>
      <c r="J206" s="30" t="inlineStr">
        <is>
          <t>513262</t>
        </is>
      </c>
    </row>
    <row r="207">
      <c r="A207" s="30" t="inlineStr">
        <is>
          <t>NUVAMA</t>
        </is>
      </c>
      <c r="B207" s="30" t="inlineStr">
        <is>
          <t>Nuvama Wealth Management Ltd</t>
        </is>
      </c>
      <c r="C207" s="30" t="inlineStr">
        <is>
          <t>financials</t>
        </is>
      </c>
      <c r="D207" s="30" t="inlineStr">
        <is>
          <t>finance &amp; investments</t>
        </is>
      </c>
      <c r="E207" s="30" t="inlineStr">
        <is>
          <t>largecap</t>
        </is>
      </c>
      <c r="F207" s="30" t="n">
        <v>31318.42</v>
      </c>
      <c r="G207" s="30" t="n">
        <v>1739.6</v>
      </c>
      <c r="H207" s="30" t="n">
        <v>1.12</v>
      </c>
      <c r="I207" s="30" t="n">
        <v>393516</v>
      </c>
      <c r="J207" s="30" t="inlineStr">
        <is>
          <t>543988</t>
        </is>
      </c>
    </row>
    <row r="208">
      <c r="A208" s="30" t="inlineStr">
        <is>
          <t>ASHIANA</t>
        </is>
      </c>
      <c r="B208" s="30" t="inlineStr">
        <is>
          <t>Ashiana Housing Limited</t>
        </is>
      </c>
      <c r="C208" s="30" t="inlineStr">
        <is>
          <t>realty</t>
        </is>
      </c>
      <c r="D208" s="30" t="inlineStr">
        <is>
          <t>construction</t>
        </is>
      </c>
      <c r="E208" s="30" t="inlineStr">
        <is>
          <t>smallcap</t>
        </is>
      </c>
      <c r="F208" s="30" t="n">
        <v>3815.92</v>
      </c>
      <c r="G208" s="30" t="n">
        <v>383.85</v>
      </c>
      <c r="H208" s="30" t="n">
        <v>1.12</v>
      </c>
      <c r="I208" s="30" t="n">
        <v>35618</v>
      </c>
      <c r="J208" s="30" t="inlineStr">
        <is>
          <t>523716</t>
        </is>
      </c>
    </row>
    <row r="209">
      <c r="A209" s="30" t="inlineStr">
        <is>
          <t>STLTECH</t>
        </is>
      </c>
      <c r="B209" s="30" t="inlineStr">
        <is>
          <t>Sterlite Technologies Limited</t>
        </is>
      </c>
      <c r="C209" s="30" t="inlineStr">
        <is>
          <t>industrials</t>
        </is>
      </c>
      <c r="D209" s="30" t="inlineStr">
        <is>
          <t>cables - telephone</t>
        </is>
      </c>
      <c r="E209" s="30" t="inlineStr">
        <is>
          <t>largecap</t>
        </is>
      </c>
      <c r="F209" s="30" t="n">
        <v>31591.94</v>
      </c>
      <c r="G209" s="30" t="n">
        <v>654.35</v>
      </c>
      <c r="H209" s="30" t="n">
        <v>1.1</v>
      </c>
      <c r="I209" s="30" t="n">
        <v>2652413</v>
      </c>
      <c r="J209" s="30" t="inlineStr">
        <is>
          <t>532374</t>
        </is>
      </c>
    </row>
    <row r="210">
      <c r="A210" s="30" t="inlineStr">
        <is>
          <t>WOCKPHARMA</t>
        </is>
      </c>
      <c r="B210" s="30" t="inlineStr">
        <is>
          <t>Wockhardt Limited</t>
        </is>
      </c>
      <c r="C210" s="30" t="inlineStr">
        <is>
          <t>healthcare</t>
        </is>
      </c>
      <c r="D210" s="30" t="inlineStr">
        <is>
          <t>pharmaceuticals - indian - bulk drugs &amp; formln</t>
        </is>
      </c>
      <c r="E210" s="30" t="inlineStr">
        <is>
          <t>largecap</t>
        </is>
      </c>
      <c r="F210" s="30" t="n">
        <v>32322.94</v>
      </c>
      <c r="G210" s="30" t="n">
        <v>2011.1</v>
      </c>
      <c r="H210" s="30" t="n">
        <v>1.1</v>
      </c>
      <c r="I210" s="30" t="n">
        <v>797012</v>
      </c>
      <c r="J210" s="30" t="inlineStr">
        <is>
          <t>532300</t>
        </is>
      </c>
    </row>
    <row r="211">
      <c r="A211" s="30" t="inlineStr">
        <is>
          <t>BFINVEST</t>
        </is>
      </c>
      <c r="B211" s="30" t="inlineStr">
        <is>
          <t>Bf Investment Limited</t>
        </is>
      </c>
      <c r="C211" s="30" t="inlineStr">
        <is>
          <t>financials</t>
        </is>
      </c>
      <c r="D211" s="30" t="inlineStr">
        <is>
          <t>finance &amp; investments</t>
        </is>
      </c>
      <c r="E211" s="30" t="inlineStr">
        <is>
          <t>smallcap</t>
        </is>
      </c>
      <c r="F211" s="30" t="n">
        <v>1706.34</v>
      </c>
      <c r="G211" s="30" t="n">
        <v>458</v>
      </c>
      <c r="H211" s="30" t="n">
        <v>1.1</v>
      </c>
      <c r="I211" s="30" t="n">
        <v>26467</v>
      </c>
      <c r="J211" s="30" t="inlineStr">
        <is>
          <t>533303</t>
        </is>
      </c>
    </row>
    <row r="212">
      <c r="A212" s="30" t="inlineStr">
        <is>
          <t>SBCL</t>
        </is>
      </c>
      <c r="B212" s="30" t="inlineStr">
        <is>
          <t>Shivalik Bimetal Controls Ltd</t>
        </is>
      </c>
      <c r="C212" s="30" t="inlineStr">
        <is>
          <t>metals &amp; mining</t>
        </is>
      </c>
      <c r="D212" s="30" t="inlineStr">
        <is>
          <t>mining / minerals / metals</t>
        </is>
      </c>
      <c r="E212" s="30" t="inlineStr">
        <is>
          <t>smallcap</t>
        </is>
      </c>
      <c r="F212" s="30" t="n">
        <v>4253.49</v>
      </c>
      <c r="G212" s="30" t="n">
        <v>746.55</v>
      </c>
      <c r="H212" s="30" t="n">
        <v>1.1</v>
      </c>
      <c r="I212" s="30" t="n">
        <v>952725</v>
      </c>
      <c r="J212" s="30" t="inlineStr">
        <is>
          <t>513097</t>
        </is>
      </c>
    </row>
    <row r="213">
      <c r="A213" s="30" t="inlineStr">
        <is>
          <t>VMART</t>
        </is>
      </c>
      <c r="B213" s="30" t="inlineStr">
        <is>
          <t>V-mart Retail Limited</t>
        </is>
      </c>
      <c r="C213" s="30" t="inlineStr">
        <is>
          <t>consumer discretionary</t>
        </is>
      </c>
      <c r="D213" s="30" t="inlineStr">
        <is>
          <t>trading</t>
        </is>
      </c>
      <c r="E213" s="30" t="inlineStr">
        <is>
          <t>midcap</t>
        </is>
      </c>
      <c r="F213" s="30" t="n">
        <v>6270.85</v>
      </c>
      <c r="G213" s="30" t="n">
        <v>797.8</v>
      </c>
      <c r="H213" s="30" t="n">
        <v>1.09</v>
      </c>
      <c r="I213" s="30" t="n">
        <v>168516</v>
      </c>
      <c r="J213" s="30" t="inlineStr">
        <is>
          <t>534976</t>
        </is>
      </c>
    </row>
    <row r="214">
      <c r="A214" s="30" t="inlineStr">
        <is>
          <t>FEDERALBNK</t>
        </is>
      </c>
      <c r="B214" s="30" t="inlineStr">
        <is>
          <t>The Federal Bank  Limited</t>
        </is>
      </c>
      <c r="C214" s="30" t="inlineStr">
        <is>
          <t>bank</t>
        </is>
      </c>
      <c r="D214" s="30" t="inlineStr">
        <is>
          <t>banks - private sector</t>
        </is>
      </c>
      <c r="E214" s="30" t="inlineStr">
        <is>
          <t>largecap</t>
        </is>
      </c>
      <c r="F214" s="30" t="n">
        <v>78967.92999999999</v>
      </c>
      <c r="G214" s="30" t="n">
        <v>323.95</v>
      </c>
      <c r="H214" s="30" t="n">
        <v>1.09</v>
      </c>
      <c r="I214" s="30" t="n">
        <v>7763307</v>
      </c>
      <c r="J214" s="30" t="inlineStr">
        <is>
          <t>500469</t>
        </is>
      </c>
    </row>
    <row r="215">
      <c r="A215" s="30" t="inlineStr">
        <is>
          <t>RRKABEL</t>
        </is>
      </c>
      <c r="B215" s="30" t="inlineStr">
        <is>
          <t>R R Kabel Ltd</t>
        </is>
      </c>
      <c r="C215" s="30" t="inlineStr">
        <is>
          <t>industrials</t>
        </is>
      </c>
      <c r="D215" s="30" t="inlineStr">
        <is>
          <t>cables - power</t>
        </is>
      </c>
      <c r="E215" s="30" t="inlineStr">
        <is>
          <t>largecap</t>
        </is>
      </c>
      <c r="F215" s="30" t="n">
        <v>25971.29</v>
      </c>
      <c r="G215" s="30" t="n">
        <v>2321.1</v>
      </c>
      <c r="H215" s="30" t="n">
        <v>1.08</v>
      </c>
      <c r="I215" s="30" t="n">
        <v>732638</v>
      </c>
      <c r="J215" s="30" t="inlineStr">
        <is>
          <t>543981</t>
        </is>
      </c>
    </row>
    <row r="216">
      <c r="A216" s="30" t="inlineStr">
        <is>
          <t>BHARATFORG</t>
        </is>
      </c>
      <c r="B216" s="30" t="inlineStr">
        <is>
          <t>Bharat Forge Limited</t>
        </is>
      </c>
      <c r="C216" s="30" t="inlineStr">
        <is>
          <t>industrials</t>
        </is>
      </c>
      <c r="D216" s="30" t="inlineStr">
        <is>
          <t>castings &amp; forgings</t>
        </is>
      </c>
      <c r="E216" s="30" t="inlineStr">
        <is>
          <t>largecap</t>
        </is>
      </c>
      <c r="F216" s="30" t="n">
        <v>96569.12</v>
      </c>
      <c r="G216" s="30" t="n">
        <v>2041.4</v>
      </c>
      <c r="H216" s="30" t="n">
        <v>1.06</v>
      </c>
      <c r="I216" s="30" t="n">
        <v>1726725</v>
      </c>
      <c r="J216" s="30" t="inlineStr">
        <is>
          <t>500493</t>
        </is>
      </c>
    </row>
    <row r="217">
      <c r="A217" s="30" t="inlineStr">
        <is>
          <t>LUPIN</t>
        </is>
      </c>
      <c r="B217" s="30" t="inlineStr">
        <is>
          <t>Lupin Limited</t>
        </is>
      </c>
      <c r="C217" s="30" t="inlineStr">
        <is>
          <t>healthcare</t>
        </is>
      </c>
      <c r="D217" s="30" t="inlineStr">
        <is>
          <t>pharmaceuticals - indian - bulk drugs &amp; formln</t>
        </is>
      </c>
      <c r="E217" s="30" t="inlineStr">
        <is>
          <t>largecap</t>
        </is>
      </c>
      <c r="F217" s="30" t="n">
        <v>106390.15</v>
      </c>
      <c r="G217" s="30" t="n">
        <v>2351.6</v>
      </c>
      <c r="H217" s="30" t="n">
        <v>1.05</v>
      </c>
      <c r="I217" s="30" t="n">
        <v>1186959</v>
      </c>
      <c r="J217" s="30" t="inlineStr">
        <is>
          <t>500257</t>
        </is>
      </c>
    </row>
    <row r="218">
      <c r="A218" s="30" t="inlineStr">
        <is>
          <t>SHILPAMED</t>
        </is>
      </c>
      <c r="B218" s="30" t="inlineStr">
        <is>
          <t>Shilpa Medicare Limited</t>
        </is>
      </c>
      <c r="C218" s="30" t="inlineStr">
        <is>
          <t>healthcare</t>
        </is>
      </c>
      <c r="D218" s="30" t="inlineStr">
        <is>
          <t>pharmaceuticals - indian - formulations</t>
        </is>
      </c>
      <c r="E218" s="30" t="inlineStr">
        <is>
          <t>midcap</t>
        </is>
      </c>
      <c r="F218" s="30" t="n">
        <v>10670.94</v>
      </c>
      <c r="G218" s="30" t="n">
        <v>551.35</v>
      </c>
      <c r="H218" s="30" t="n">
        <v>1.05</v>
      </c>
      <c r="I218" s="30" t="n">
        <v>543714</v>
      </c>
      <c r="J218" s="30" t="inlineStr">
        <is>
          <t>530549</t>
        </is>
      </c>
    </row>
    <row r="219">
      <c r="A219" s="30" t="inlineStr">
        <is>
          <t>VERANDA</t>
        </is>
      </c>
      <c r="B219" s="30" t="inlineStr">
        <is>
          <t>Veranda Learning Solutions Ltd</t>
        </is>
      </c>
      <c r="C219" s="30" t="inlineStr">
        <is>
          <t>services</t>
        </is>
      </c>
      <c r="D219" s="30" t="inlineStr">
        <is>
          <t>miscellaneous</t>
        </is>
      </c>
      <c r="E219" s="30" t="inlineStr">
        <is>
          <t>smallcap</t>
        </is>
      </c>
      <c r="F219" s="30" t="n">
        <v>2331.54</v>
      </c>
      <c r="G219" s="30" t="n">
        <v>244.89</v>
      </c>
      <c r="H219" s="30" t="n">
        <v>1.01</v>
      </c>
      <c r="I219" s="30" t="n">
        <v>438301</v>
      </c>
      <c r="J219" s="30" t="inlineStr">
        <is>
          <t>543514</t>
        </is>
      </c>
    </row>
    <row r="220">
      <c r="A220" s="30" t="inlineStr">
        <is>
          <t>TINNARUBR</t>
        </is>
      </c>
      <c r="B220" s="30" t="inlineStr">
        <is>
          <t>Tinna Rubber &amp; Infrastructure Ltd</t>
        </is>
      </c>
      <c r="C220" s="30" t="inlineStr">
        <is>
          <t>fmcg</t>
        </is>
      </c>
      <c r="D220" s="30" t="inlineStr">
        <is>
          <t>miscellaneous</t>
        </is>
      </c>
      <c r="E220" s="30" t="inlineStr">
        <is>
          <t>smallcap</t>
        </is>
      </c>
      <c r="F220" s="30" t="n">
        <v>1589.98</v>
      </c>
      <c r="G220" s="30" t="n">
        <v>891.25</v>
      </c>
      <c r="H220" s="30" t="n">
        <v>0.99</v>
      </c>
      <c r="I220" s="30" t="n">
        <v>97757</v>
      </c>
      <c r="J220" s="30" t="inlineStr">
        <is>
          <t>530475</t>
        </is>
      </c>
    </row>
    <row r="221">
      <c r="A221" s="30" t="inlineStr">
        <is>
          <t>RATNAVEER</t>
        </is>
      </c>
      <c r="B221" s="30" t="inlineStr">
        <is>
          <t>Ratnaveer Precision Engineering Ltd</t>
        </is>
      </c>
      <c r="C221" s="30" t="inlineStr">
        <is>
          <t>metals &amp; mining</t>
        </is>
      </c>
      <c r="D221" s="30" t="inlineStr">
        <is>
          <t>steel - medium / small</t>
        </is>
      </c>
      <c r="E221" s="30" t="inlineStr">
        <is>
          <t>smallcap</t>
        </is>
      </c>
      <c r="F221" s="30" t="n">
        <v>1336.61</v>
      </c>
      <c r="G221" s="30" t="n">
        <v>188.99</v>
      </c>
      <c r="H221" s="30" t="n">
        <v>0.99</v>
      </c>
      <c r="I221" s="30" t="n">
        <v>2537463</v>
      </c>
      <c r="J221" s="30" t="inlineStr">
        <is>
          <t>543978</t>
        </is>
      </c>
    </row>
    <row r="222">
      <c r="A222" s="30" t="inlineStr">
        <is>
          <t>RAIN</t>
        </is>
      </c>
      <c r="B222" s="30" t="inlineStr">
        <is>
          <t>Rain Industries Limited</t>
        </is>
      </c>
      <c r="C222" s="30" t="inlineStr">
        <is>
          <t>miscellaneous</t>
        </is>
      </c>
      <c r="D222" s="30" t="inlineStr">
        <is>
          <t>miscellaneous</t>
        </is>
      </c>
      <c r="E222" s="30" t="inlineStr">
        <is>
          <t>midcap</t>
        </is>
      </c>
      <c r="F222" s="30" t="n">
        <v>6361.98</v>
      </c>
      <c r="G222" s="30" t="n">
        <v>191</v>
      </c>
      <c r="H222" s="30" t="n">
        <v>0.98</v>
      </c>
      <c r="I222" s="30" t="n">
        <v>3687315</v>
      </c>
      <c r="J222" s="30" t="inlineStr">
        <is>
          <t>500339</t>
        </is>
      </c>
    </row>
    <row r="223">
      <c r="A223" s="30" t="inlineStr">
        <is>
          <t>GLOSTERLTD</t>
        </is>
      </c>
      <c r="B223" s="30" t="inlineStr">
        <is>
          <t>Gloster Ltd</t>
        </is>
      </c>
      <c r="C223" s="30" t="inlineStr">
        <is>
          <t>textiles</t>
        </is>
      </c>
      <c r="D223" s="30" t="inlineStr">
        <is>
          <t>textiles - jute - yarn / products</t>
        </is>
      </c>
      <c r="E223" s="30" t="inlineStr">
        <is>
          <t>smallcap</t>
        </is>
      </c>
      <c r="F223" s="30" t="n">
        <v>757.8200000000001</v>
      </c>
      <c r="G223" s="30" t="n">
        <v>699.2</v>
      </c>
      <c r="H223" s="30" t="n">
        <v>0.97</v>
      </c>
      <c r="I223" s="30" t="n">
        <v>10969</v>
      </c>
      <c r="J223" s="30" t="inlineStr">
        <is>
          <t>542351</t>
        </is>
      </c>
    </row>
    <row r="224">
      <c r="A224" s="30" t="inlineStr">
        <is>
          <t>CGPOWER</t>
        </is>
      </c>
      <c r="B224" s="30" t="inlineStr">
        <is>
          <t>CG Power and Industrial Solutions Ltd</t>
        </is>
      </c>
      <c r="C224" s="30" t="inlineStr">
        <is>
          <t>industrials</t>
        </is>
      </c>
      <c r="D224" s="30" t="inlineStr">
        <is>
          <t>electric equipment</t>
        </is>
      </c>
      <c r="E224" s="30" t="inlineStr">
        <is>
          <t>largecap</t>
        </is>
      </c>
      <c r="F224" s="30" t="n">
        <v>150318.36</v>
      </c>
      <c r="G224" s="30" t="n">
        <v>963.7</v>
      </c>
      <c r="H224" s="30" t="n">
        <v>0.97</v>
      </c>
      <c r="I224" s="30" t="n">
        <v>3828968</v>
      </c>
      <c r="J224" s="30" t="inlineStr">
        <is>
          <t>500093</t>
        </is>
      </c>
    </row>
    <row r="225">
      <c r="A225" s="30" t="inlineStr">
        <is>
          <t>ALIVUS</t>
        </is>
      </c>
      <c r="B225" s="30" t="inlineStr">
        <is>
          <t>Alivus Life Sciences Ltd</t>
        </is>
      </c>
      <c r="C225" s="30" t="inlineStr">
        <is>
          <t>healthcare</t>
        </is>
      </c>
      <c r="D225" s="30" t="inlineStr">
        <is>
          <t>pharmaceuticals - indian - bulk drugs &amp; formln</t>
        </is>
      </c>
      <c r="E225" s="30" t="inlineStr">
        <is>
          <t>midcap</t>
        </is>
      </c>
      <c r="F225" s="30" t="n">
        <v>13010.05</v>
      </c>
      <c r="G225" s="30" t="n">
        <v>1070.3</v>
      </c>
      <c r="H225" s="30" t="n">
        <v>0.97</v>
      </c>
      <c r="I225" s="30" t="n">
        <v>105388</v>
      </c>
      <c r="J225" s="30" t="inlineStr">
        <is>
          <t>543322</t>
        </is>
      </c>
    </row>
    <row r="226">
      <c r="A226" s="30" t="inlineStr">
        <is>
          <t>DIAMONDYD</t>
        </is>
      </c>
      <c r="B226" s="30" t="inlineStr">
        <is>
          <t>Prataap Snacks Ltd</t>
        </is>
      </c>
      <c r="C226" s="30" t="inlineStr">
        <is>
          <t>fmcg</t>
        </is>
      </c>
      <c r="D226" s="30" t="inlineStr">
        <is>
          <t>food - processing - indian</t>
        </is>
      </c>
      <c r="E226" s="30" t="inlineStr">
        <is>
          <t>smallcap</t>
        </is>
      </c>
      <c r="F226" s="30" t="n">
        <v>2688.67</v>
      </c>
      <c r="G226" s="30" t="n">
        <v>1135.7</v>
      </c>
      <c r="H226" s="30" t="n">
        <v>0.97</v>
      </c>
      <c r="I226" s="30" t="n">
        <v>20067</v>
      </c>
      <c r="J226" s="30" t="inlineStr">
        <is>
          <t>540724</t>
        </is>
      </c>
    </row>
    <row r="227">
      <c r="A227" s="30" t="inlineStr">
        <is>
          <t>GEECEE</t>
        </is>
      </c>
      <c r="B227" s="30" t="inlineStr">
        <is>
          <t>Geecee Ventures Limited</t>
        </is>
      </c>
      <c r="C227" s="30" t="inlineStr">
        <is>
          <t>financials</t>
        </is>
      </c>
      <c r="D227" s="30" t="inlineStr">
        <is>
          <t>finance &amp; investments</t>
        </is>
      </c>
      <c r="E227" s="30" t="inlineStr">
        <is>
          <t>smallcap</t>
        </is>
      </c>
      <c r="F227" s="30" t="n">
        <v>732.64</v>
      </c>
      <c r="G227" s="30" t="n">
        <v>353.75</v>
      </c>
      <c r="H227" s="30" t="n">
        <v>0.97</v>
      </c>
      <c r="I227" s="30" t="n">
        <v>6777</v>
      </c>
      <c r="J227" s="30" t="inlineStr">
        <is>
          <t>532764</t>
        </is>
      </c>
    </row>
    <row r="228">
      <c r="A228" s="30" t="inlineStr">
        <is>
          <t>SAKAR</t>
        </is>
      </c>
      <c r="B228" s="30" t="inlineStr">
        <is>
          <t>Sakar Healthcare Ltd</t>
        </is>
      </c>
      <c r="C228" s="30" t="inlineStr">
        <is>
          <t>healthcare</t>
        </is>
      </c>
      <c r="D228" s="30" t="inlineStr">
        <is>
          <t>pharmaceuticals - indian - bulk drugs &amp; formln</t>
        </is>
      </c>
      <c r="E228" s="30" t="inlineStr">
        <is>
          <t>smallcap</t>
        </is>
      </c>
      <c r="F228" s="30" t="n">
        <v>1770.87</v>
      </c>
      <c r="G228" s="30" t="n">
        <v>803.6</v>
      </c>
      <c r="H228" s="30" t="n">
        <v>0.97</v>
      </c>
      <c r="I228" s="30" t="n">
        <v>53400</v>
      </c>
      <c r="J228" s="30" t="inlineStr">
        <is>
          <t>538377</t>
        </is>
      </c>
    </row>
    <row r="229">
      <c r="A229" s="30" t="inlineStr">
        <is>
          <t>SUYOG</t>
        </is>
      </c>
      <c r="B229" s="30" t="inlineStr">
        <is>
          <t>Suyog Telematics Ltd</t>
        </is>
      </c>
      <c r="C229" s="30" t="inlineStr">
        <is>
          <t>telecom</t>
        </is>
      </c>
      <c r="D229" s="30" t="inlineStr">
        <is>
          <t>transmisson line towers / equipment</t>
        </is>
      </c>
      <c r="E229" s="30" t="inlineStr">
        <is>
          <t>smallcap</t>
        </is>
      </c>
      <c r="F229" s="30" t="n">
        <v>943.46</v>
      </c>
      <c r="G229" s="30" t="n">
        <v>813.05</v>
      </c>
      <c r="H229" s="30" t="n">
        <v>0.97</v>
      </c>
      <c r="I229" s="30" t="n">
        <v>77830</v>
      </c>
      <c r="J229" s="30" t="inlineStr">
        <is>
          <t>537259</t>
        </is>
      </c>
    </row>
    <row r="230">
      <c r="A230" s="30" t="inlineStr">
        <is>
          <t>CYIENTDLM</t>
        </is>
      </c>
      <c r="B230" s="30" t="inlineStr">
        <is>
          <t>Cyient DLM Ltd</t>
        </is>
      </c>
      <c r="C230" s="30" t="inlineStr">
        <is>
          <t>consumer discretionary</t>
        </is>
      </c>
      <c r="D230" s="30" t="inlineStr">
        <is>
          <t>electronics - components</t>
        </is>
      </c>
      <c r="E230" s="30" t="inlineStr">
        <is>
          <t>smallcap</t>
        </is>
      </c>
      <c r="F230" s="30" t="n">
        <v>3722.98</v>
      </c>
      <c r="G230" s="30" t="n">
        <v>473.65</v>
      </c>
      <c r="H230" s="30" t="n">
        <v>0.97</v>
      </c>
      <c r="I230" s="30" t="n">
        <v>195204</v>
      </c>
      <c r="J230" s="30" t="inlineStr">
        <is>
          <t>543933</t>
        </is>
      </c>
    </row>
    <row r="231">
      <c r="A231" s="30" t="inlineStr">
        <is>
          <t>SURYODAY</t>
        </is>
      </c>
      <c r="B231" s="30" t="inlineStr">
        <is>
          <t>Suryoday Small Finance Bank Ltd</t>
        </is>
      </c>
      <c r="C231" s="30" t="inlineStr">
        <is>
          <t>bank</t>
        </is>
      </c>
      <c r="D231" s="30" t="inlineStr">
        <is>
          <t>banks - private sector</t>
        </is>
      </c>
      <c r="E231" s="30" t="inlineStr">
        <is>
          <t>smallcap</t>
        </is>
      </c>
      <c r="F231" s="30" t="n">
        <v>1843.38</v>
      </c>
      <c r="G231" s="30" t="n">
        <v>175.09</v>
      </c>
      <c r="H231" s="30" t="n">
        <v>0.96</v>
      </c>
      <c r="I231" s="30" t="n">
        <v>928246</v>
      </c>
      <c r="J231" s="30" t="inlineStr">
        <is>
          <t>543279</t>
        </is>
      </c>
    </row>
    <row r="232">
      <c r="A232" s="30" t="inlineStr">
        <is>
          <t>STOVEKRAFT</t>
        </is>
      </c>
      <c r="B232" s="30" t="inlineStr">
        <is>
          <t>Stove Kraft Ltd</t>
        </is>
      </c>
      <c r="C232" s="30" t="inlineStr">
        <is>
          <t>consumer discretionary</t>
        </is>
      </c>
      <c r="D232" s="30" t="inlineStr">
        <is>
          <t>domestic appliances</t>
        </is>
      </c>
      <c r="E232" s="30" t="inlineStr">
        <is>
          <t>smallcap</t>
        </is>
      </c>
      <c r="F232" s="30" t="n">
        <v>2276.96</v>
      </c>
      <c r="G232" s="30" t="n">
        <v>694.25</v>
      </c>
      <c r="H232" s="30" t="n">
        <v>0.95</v>
      </c>
      <c r="I232" s="30" t="n">
        <v>121332</v>
      </c>
      <c r="J232" s="30" t="inlineStr">
        <is>
          <t>543260</t>
        </is>
      </c>
    </row>
    <row r="233">
      <c r="A233" s="30" t="inlineStr">
        <is>
          <t>SCI</t>
        </is>
      </c>
      <c r="B233" s="30" t="inlineStr">
        <is>
          <t>Shipping Corporation Of India Limited</t>
        </is>
      </c>
      <c r="C233" s="30" t="inlineStr">
        <is>
          <t>transportation</t>
        </is>
      </c>
      <c r="D233" s="30" t="inlineStr">
        <is>
          <t>shipping</t>
        </is>
      </c>
      <c r="E233" s="30" t="inlineStr">
        <is>
          <t>midcap</t>
        </is>
      </c>
      <c r="F233" s="30" t="n">
        <v>14404.83</v>
      </c>
      <c r="G233" s="30" t="n">
        <v>312.15</v>
      </c>
      <c r="H233" s="30" t="n">
        <v>0.9399999999999999</v>
      </c>
      <c r="I233" s="30" t="n">
        <v>5887279</v>
      </c>
      <c r="J233" s="30" t="inlineStr">
        <is>
          <t>523598</t>
        </is>
      </c>
    </row>
    <row r="234">
      <c r="A234" s="30" t="inlineStr">
        <is>
          <t>INDUSINDBK</t>
        </is>
      </c>
      <c r="B234" s="30" t="inlineStr">
        <is>
          <t>Indusind Bank Limited</t>
        </is>
      </c>
      <c r="C234" s="30" t="inlineStr">
        <is>
          <t>bank</t>
        </is>
      </c>
      <c r="D234" s="30" t="inlineStr">
        <is>
          <t>banks - private sector</t>
        </is>
      </c>
      <c r="E234" s="30" t="inlineStr">
        <is>
          <t>largecap</t>
        </is>
      </c>
      <c r="F234" s="30" t="n">
        <v>73138.58</v>
      </c>
      <c r="G234" s="30" t="n">
        <v>947.45</v>
      </c>
      <c r="H234" s="30" t="n">
        <v>0.93</v>
      </c>
      <c r="I234" s="30" t="n">
        <v>6521623</v>
      </c>
      <c r="J234" s="30" t="inlineStr">
        <is>
          <t>532187</t>
        </is>
      </c>
    </row>
    <row r="235">
      <c r="A235" s="30" t="inlineStr">
        <is>
          <t>APOLLOHOSP</t>
        </is>
      </c>
      <c r="B235" s="30" t="inlineStr">
        <is>
          <t>Apollo Hospitals Enterprise Limited</t>
        </is>
      </c>
      <c r="C235" s="30" t="inlineStr">
        <is>
          <t>healthcare</t>
        </is>
      </c>
      <c r="D235" s="30" t="inlineStr">
        <is>
          <t>healthcare</t>
        </is>
      </c>
      <c r="E235" s="30" t="inlineStr">
        <is>
          <t>largecap</t>
        </is>
      </c>
      <c r="F235" s="30" t="n">
        <v>120944.46</v>
      </c>
      <c r="G235" s="30" t="n">
        <v>8489.5</v>
      </c>
      <c r="H235" s="30" t="n">
        <v>0.93</v>
      </c>
      <c r="I235" s="30" t="n">
        <v>333583</v>
      </c>
      <c r="J235" s="30" t="inlineStr">
        <is>
          <t>508869</t>
        </is>
      </c>
    </row>
    <row r="236">
      <c r="A236" s="30" t="inlineStr">
        <is>
          <t>KMEW</t>
        </is>
      </c>
      <c r="B236" s="30" t="inlineStr">
        <is>
          <t>Knowledge Marine &amp; Engineering Works Ltd</t>
        </is>
      </c>
      <c r="C236" s="30" t="inlineStr">
        <is>
          <t>transportation</t>
        </is>
      </c>
      <c r="D236" s="30" t="inlineStr">
        <is>
          <t>miscellaneous</t>
        </is>
      </c>
      <c r="E236" s="30" t="inlineStr">
        <is>
          <t>midcap</t>
        </is>
      </c>
      <c r="F236" s="30" t="n">
        <v>5021.55</v>
      </c>
      <c r="G236" s="30" t="n">
        <v>2072.9</v>
      </c>
      <c r="H236" s="30" t="n">
        <v>0.91</v>
      </c>
      <c r="I236" s="30" t="n">
        <v>345596</v>
      </c>
      <c r="J236" s="30" t="inlineStr">
        <is>
          <t>543273</t>
        </is>
      </c>
    </row>
    <row r="237">
      <c r="A237" s="30" t="inlineStr">
        <is>
          <t>POWERMECH</t>
        </is>
      </c>
      <c r="B237" s="30" t="inlineStr">
        <is>
          <t>Power Mech Projects Limited</t>
        </is>
      </c>
      <c r="C237" s="30" t="inlineStr">
        <is>
          <t>realty</t>
        </is>
      </c>
      <c r="D237" s="30" t="inlineStr">
        <is>
          <t>engineering - turnkey services</t>
        </is>
      </c>
      <c r="E237" s="30" t="inlineStr">
        <is>
          <t>midcap</t>
        </is>
      </c>
      <c r="F237" s="30" t="n">
        <v>8897.459999999999</v>
      </c>
      <c r="G237" s="30" t="n">
        <v>2839.9</v>
      </c>
      <c r="H237" s="30" t="n">
        <v>0.91</v>
      </c>
      <c r="I237" s="30" t="n">
        <v>64257</v>
      </c>
      <c r="J237" s="30" t="inlineStr">
        <is>
          <t>539302</t>
        </is>
      </c>
    </row>
    <row r="238">
      <c r="A238" s="30" t="inlineStr">
        <is>
          <t>GNFC</t>
        </is>
      </c>
      <c r="B238" s="30" t="inlineStr">
        <is>
          <t>Gujarat Narmada Valley Fertilizers And Chemicals Limited</t>
        </is>
      </c>
      <c r="C238" s="30" t="inlineStr">
        <is>
          <t>chemicals</t>
        </is>
      </c>
      <c r="D238" s="30" t="inlineStr">
        <is>
          <t>chemicals</t>
        </is>
      </c>
      <c r="E238" s="30" t="inlineStr">
        <is>
          <t>midcap</t>
        </is>
      </c>
      <c r="F238" s="30" t="n">
        <v>8266.879999999999</v>
      </c>
      <c r="G238" s="30" t="n">
        <v>567.65</v>
      </c>
      <c r="H238" s="30" t="n">
        <v>0.9</v>
      </c>
      <c r="I238" s="30" t="n">
        <v>812906</v>
      </c>
      <c r="J238" s="30" t="inlineStr">
        <is>
          <t>500670</t>
        </is>
      </c>
    </row>
    <row r="239">
      <c r="A239" s="30" t="inlineStr">
        <is>
          <t>TIINDIA</t>
        </is>
      </c>
      <c r="B239" s="30" t="inlineStr">
        <is>
          <t>Tube Investments of India Ltd</t>
        </is>
      </c>
      <c r="C239" s="30" t="inlineStr">
        <is>
          <t>industrials</t>
        </is>
      </c>
      <c r="D239" s="30" t="inlineStr">
        <is>
          <t>steel - large</t>
        </is>
      </c>
      <c r="E239" s="30" t="inlineStr">
        <is>
          <t>largecap</t>
        </is>
      </c>
      <c r="F239" s="30" t="n">
        <v>63030.49</v>
      </c>
      <c r="G239" s="30" t="n">
        <v>3285.6</v>
      </c>
      <c r="H239" s="30" t="n">
        <v>0.89</v>
      </c>
      <c r="I239" s="30" t="n">
        <v>265126</v>
      </c>
      <c r="J239" s="30" t="inlineStr">
        <is>
          <t>540762</t>
        </is>
      </c>
    </row>
    <row r="240">
      <c r="A240" s="30" t="inlineStr">
        <is>
          <t>DIFFNKG</t>
        </is>
      </c>
      <c r="B240" s="30" t="inlineStr">
        <is>
          <t>Diffusion Engineers Ltd</t>
        </is>
      </c>
      <c r="C240" s="30" t="inlineStr">
        <is>
          <t>industrials</t>
        </is>
      </c>
      <c r="D240" s="30" t="inlineStr">
        <is>
          <t>electrodes - welding equipment</t>
        </is>
      </c>
      <c r="E240" s="30" t="inlineStr">
        <is>
          <t>smallcap</t>
        </is>
      </c>
      <c r="F240" s="30" t="n">
        <v>1393.19</v>
      </c>
      <c r="G240" s="30" t="n">
        <v>375.55</v>
      </c>
      <c r="H240" s="30" t="n">
        <v>0.89</v>
      </c>
      <c r="I240" s="30" t="n">
        <v>51373</v>
      </c>
      <c r="J240" s="30" t="inlineStr">
        <is>
          <t>544264</t>
        </is>
      </c>
    </row>
    <row r="241">
      <c r="A241" s="30" t="inlineStr">
        <is>
          <t>DBOL</t>
        </is>
      </c>
      <c r="B241" s="30" t="inlineStr">
        <is>
          <t>Dhampur Bio Organics Ltd</t>
        </is>
      </c>
      <c r="C241" s="30" t="inlineStr">
        <is>
          <t>fmcg</t>
        </is>
      </c>
      <c r="D241" s="30" t="inlineStr">
        <is>
          <t>sugar</t>
        </is>
      </c>
      <c r="E241" s="30" t="inlineStr">
        <is>
          <t>smallcap</t>
        </is>
      </c>
      <c r="F241" s="30" t="n">
        <v>772.42</v>
      </c>
      <c r="G241" s="30" t="n">
        <v>117.39</v>
      </c>
      <c r="H241" s="30" t="n">
        <v>0.89</v>
      </c>
      <c r="I241" s="30" t="n">
        <v>28996</v>
      </c>
      <c r="J241" s="30" t="inlineStr">
        <is>
          <t>543593</t>
        </is>
      </c>
    </row>
    <row r="242">
      <c r="A242" s="30" t="inlineStr">
        <is>
          <t>PRIVISCL</t>
        </is>
      </c>
      <c r="B242" s="30" t="inlineStr">
        <is>
          <t>Privi Speciality Chemicals Ltd</t>
        </is>
      </c>
      <c r="C242" s="30" t="inlineStr">
        <is>
          <t>chemicals</t>
        </is>
      </c>
      <c r="D242" s="30" t="inlineStr">
        <is>
          <t>chemicals</t>
        </is>
      </c>
      <c r="E242" s="30" t="inlineStr">
        <is>
          <t>midcap</t>
        </is>
      </c>
      <c r="F242" s="30" t="n">
        <v>13529.76</v>
      </c>
      <c r="G242" s="30" t="n">
        <v>3493.9</v>
      </c>
      <c r="H242" s="30" t="n">
        <v>0.87</v>
      </c>
      <c r="I242" s="30" t="n">
        <v>52959</v>
      </c>
      <c r="J242" s="30" t="inlineStr">
        <is>
          <t>530117</t>
        </is>
      </c>
    </row>
    <row r="243">
      <c r="A243" s="30" t="inlineStr">
        <is>
          <t>HESTERBIO</t>
        </is>
      </c>
      <c r="B243" s="30" t="inlineStr">
        <is>
          <t>Hester Biosciences Limited</t>
        </is>
      </c>
      <c r="C243" s="30" t="inlineStr">
        <is>
          <t>healthcare</t>
        </is>
      </c>
      <c r="D243" s="30" t="inlineStr">
        <is>
          <t>pharmaceuticals - indian - formulations</t>
        </is>
      </c>
      <c r="E243" s="30" t="inlineStr">
        <is>
          <t>smallcap</t>
        </is>
      </c>
      <c r="F243" s="30" t="n">
        <v>1751.31</v>
      </c>
      <c r="G243" s="30" t="n">
        <v>2076.4</v>
      </c>
      <c r="H243" s="30" t="n">
        <v>0.86</v>
      </c>
      <c r="I243" s="30" t="n">
        <v>11530</v>
      </c>
      <c r="J243" s="30" t="inlineStr">
        <is>
          <t>524669</t>
        </is>
      </c>
    </row>
    <row r="244">
      <c r="A244" s="30" t="inlineStr">
        <is>
          <t>GEOJITFSL</t>
        </is>
      </c>
      <c r="B244" s="30" t="inlineStr">
        <is>
          <t>Geojit Financial Services Ltd</t>
        </is>
      </c>
      <c r="C244" s="30" t="inlineStr">
        <is>
          <t>financials</t>
        </is>
      </c>
      <c r="D244" s="30" t="inlineStr">
        <is>
          <t>finance &amp; investments</t>
        </is>
      </c>
      <c r="E244" s="30" t="inlineStr">
        <is>
          <t>smallcap</t>
        </is>
      </c>
      <c r="F244" s="30" t="n">
        <v>2168.5</v>
      </c>
      <c r="G244" s="30" t="n">
        <v>78.34999999999999</v>
      </c>
      <c r="H244" s="30" t="n">
        <v>0.85</v>
      </c>
      <c r="I244" s="30" t="n">
        <v>315691</v>
      </c>
      <c r="J244" s="30" t="inlineStr">
        <is>
          <t>532285</t>
        </is>
      </c>
    </row>
    <row r="245">
      <c r="A245" s="30" t="inlineStr">
        <is>
          <t>BLSE</t>
        </is>
      </c>
      <c r="B245" s="30" t="inlineStr">
        <is>
          <t>BLS E-Services Ltd</t>
        </is>
      </c>
      <c r="C245" s="30" t="inlineStr">
        <is>
          <t>i.t</t>
        </is>
      </c>
      <c r="D245" s="30" t="inlineStr">
        <is>
          <t>computers - software - medium / small</t>
        </is>
      </c>
      <c r="E245" s="30" t="inlineStr">
        <is>
          <t>smallcap</t>
        </is>
      </c>
      <c r="F245" s="30" t="n">
        <v>2045.27</v>
      </c>
      <c r="G245" s="30" t="n">
        <v>227.03</v>
      </c>
      <c r="H245" s="30" t="n">
        <v>0.85</v>
      </c>
      <c r="I245" s="30" t="n">
        <v>121796</v>
      </c>
      <c r="J245" s="30" t="inlineStr">
        <is>
          <t>544107</t>
        </is>
      </c>
    </row>
    <row r="246">
      <c r="A246" s="30" t="inlineStr">
        <is>
          <t>ASTRAMICRO</t>
        </is>
      </c>
      <c r="B246" s="30" t="inlineStr">
        <is>
          <t>Astra Microwave Products Limited</t>
        </is>
      </c>
      <c r="C246" s="30" t="inlineStr">
        <is>
          <t>aerospace &amp; defence</t>
        </is>
      </c>
      <c r="D246" s="30" t="inlineStr">
        <is>
          <t>telecommunications - equipment</t>
        </is>
      </c>
      <c r="E246" s="30" t="inlineStr">
        <is>
          <t>midcap</t>
        </is>
      </c>
      <c r="F246" s="30" t="n">
        <v>15855.82</v>
      </c>
      <c r="G246" s="30" t="n">
        <v>1684.1</v>
      </c>
      <c r="H246" s="30" t="n">
        <v>0.84</v>
      </c>
      <c r="I246" s="30" t="n">
        <v>2096101</v>
      </c>
      <c r="J246" s="30" t="inlineStr">
        <is>
          <t>532493</t>
        </is>
      </c>
    </row>
    <row r="247">
      <c r="A247" s="30" t="inlineStr">
        <is>
          <t>PASUPTAC</t>
        </is>
      </c>
      <c r="B247" s="30" t="inlineStr">
        <is>
          <t>Pasupati Acrylon Ltd</t>
        </is>
      </c>
      <c r="C247" s="30" t="inlineStr">
        <is>
          <t>textiles</t>
        </is>
      </c>
      <c r="D247" s="30" t="inlineStr">
        <is>
          <t>textiles - manmade</t>
        </is>
      </c>
      <c r="E247" s="30" t="inlineStr">
        <is>
          <t>smallcap</t>
        </is>
      </c>
      <c r="F247" s="30" t="n">
        <v>596.21</v>
      </c>
      <c r="G247" s="30" t="n">
        <v>67.45</v>
      </c>
      <c r="H247" s="30" t="n">
        <v>0.84</v>
      </c>
      <c r="I247" s="30" t="n">
        <v>67775</v>
      </c>
      <c r="J247" s="30" t="inlineStr">
        <is>
          <t>500456</t>
        </is>
      </c>
    </row>
    <row r="248">
      <c r="A248" s="30" t="inlineStr">
        <is>
          <t>QPOWER</t>
        </is>
      </c>
      <c r="B248" s="30" t="inlineStr">
        <is>
          <t>Quality Power Electrical Equipments Ltd</t>
        </is>
      </c>
      <c r="C248" s="30" t="inlineStr">
        <is>
          <t>industrials</t>
        </is>
      </c>
      <c r="D248" s="30" t="inlineStr">
        <is>
          <t>electric equipment</t>
        </is>
      </c>
      <c r="E248" s="30" t="inlineStr">
        <is>
          <t>midcap</t>
        </is>
      </c>
      <c r="F248" s="30" t="n">
        <v>10142.85</v>
      </c>
      <c r="G248" s="30" t="n">
        <v>1320.6</v>
      </c>
      <c r="H248" s="30" t="n">
        <v>0.83</v>
      </c>
      <c r="I248" s="30" t="n">
        <v>173032</v>
      </c>
      <c r="J248" s="30" t="inlineStr">
        <is>
          <t>544367</t>
        </is>
      </c>
    </row>
    <row r="249">
      <c r="A249" s="30" t="inlineStr">
        <is>
          <t>ADANIENT</t>
        </is>
      </c>
      <c r="B249" s="30" t="inlineStr">
        <is>
          <t>Adani Enterprises Limited</t>
        </is>
      </c>
      <c r="C249" s="30" t="inlineStr">
        <is>
          <t>services</t>
        </is>
      </c>
      <c r="D249" s="30" t="inlineStr">
        <is>
          <t>trading</t>
        </is>
      </c>
      <c r="E249" s="30" t="inlineStr">
        <is>
          <t>largecap</t>
        </is>
      </c>
      <c r="F249" s="30" t="n">
        <v>389536.92</v>
      </c>
      <c r="G249" s="30" t="n">
        <v>3038.4</v>
      </c>
      <c r="H249" s="30" t="n">
        <v>0.83</v>
      </c>
      <c r="I249" s="30" t="n">
        <v>3620222</v>
      </c>
      <c r="J249" s="30" t="inlineStr">
        <is>
          <t>512599</t>
        </is>
      </c>
    </row>
    <row r="250">
      <c r="A250" s="30" t="inlineStr">
        <is>
          <t>MTARTECH</t>
        </is>
      </c>
      <c r="B250" s="30" t="inlineStr">
        <is>
          <t>MTAR Technologies Ltd</t>
        </is>
      </c>
      <c r="C250" s="30" t="inlineStr">
        <is>
          <t>aerospace &amp; defence</t>
        </is>
      </c>
      <c r="D250" s="30" t="inlineStr">
        <is>
          <t>engineering</t>
        </is>
      </c>
      <c r="E250" s="30" t="inlineStr">
        <is>
          <t>largecap</t>
        </is>
      </c>
      <c r="F250" s="30" t="n">
        <v>25547.38</v>
      </c>
      <c r="G250" s="30" t="n">
        <v>8374.5</v>
      </c>
      <c r="H250" s="30" t="n">
        <v>0.83</v>
      </c>
      <c r="I250" s="30" t="n">
        <v>2734902</v>
      </c>
      <c r="J250" s="30" t="inlineStr">
        <is>
          <t>543270</t>
        </is>
      </c>
    </row>
    <row r="251">
      <c r="A251" s="30" t="inlineStr">
        <is>
          <t>NRL</t>
        </is>
      </c>
      <c r="B251" s="30" t="inlineStr">
        <is>
          <t>Nupur Recyclers Ltd</t>
        </is>
      </c>
      <c r="C251" s="30" t="inlineStr">
        <is>
          <t>services</t>
        </is>
      </c>
      <c r="D251" s="30" t="inlineStr">
        <is>
          <t>trading</t>
        </is>
      </c>
      <c r="E251" s="30" t="inlineStr">
        <is>
          <t>smallcap</t>
        </is>
      </c>
      <c r="F251" s="30" t="n">
        <v>546.34</v>
      </c>
      <c r="G251" s="30" t="n">
        <v>79.73999999999999</v>
      </c>
      <c r="H251" s="30" t="n">
        <v>0.8100000000000001</v>
      </c>
      <c r="I251" s="30" t="n">
        <v>73253</v>
      </c>
      <c r="J251" s="30" t="inlineStr">
        <is>
          <t>535413</t>
        </is>
      </c>
    </row>
    <row r="252">
      <c r="A252" s="30" t="inlineStr">
        <is>
          <t>PTL</t>
        </is>
      </c>
      <c r="B252" s="30" t="inlineStr">
        <is>
          <t>Ptl Enterprises Limited</t>
        </is>
      </c>
      <c r="C252" s="30" t="inlineStr">
        <is>
          <t>miscellaneous</t>
        </is>
      </c>
      <c r="D252" s="30" t="inlineStr">
        <is>
          <t>miscellaneous</t>
        </is>
      </c>
      <c r="E252" s="30" t="inlineStr">
        <is>
          <t>smallcap</t>
        </is>
      </c>
      <c r="F252" s="30" t="n">
        <v>555.3200000000001</v>
      </c>
      <c r="G252" s="30" t="n">
        <v>42.29</v>
      </c>
      <c r="H252" s="30" t="n">
        <v>0.8100000000000001</v>
      </c>
      <c r="I252" s="30" t="n">
        <v>72509</v>
      </c>
      <c r="J252" s="30" t="inlineStr">
        <is>
          <t>509220</t>
        </is>
      </c>
    </row>
    <row r="253">
      <c r="A253" s="30" t="inlineStr">
        <is>
          <t>SAILIFE</t>
        </is>
      </c>
      <c r="B253" s="30" t="inlineStr">
        <is>
          <t>Sai Life Sciences Ltd</t>
        </is>
      </c>
      <c r="C253" s="30" t="inlineStr">
        <is>
          <t>healthcare</t>
        </is>
      </c>
      <c r="D253" s="30" t="inlineStr">
        <is>
          <t>pharmaceuticals - indian - bulk drugs &amp; formln</t>
        </is>
      </c>
      <c r="E253" s="30" t="inlineStr">
        <is>
          <t>largecap</t>
        </is>
      </c>
      <c r="F253" s="30" t="n">
        <v>25557.52</v>
      </c>
      <c r="G253" s="30" t="n">
        <v>1216.4</v>
      </c>
      <c r="H253" s="30" t="n">
        <v>0.8</v>
      </c>
      <c r="I253" s="30" t="n">
        <v>468762</v>
      </c>
      <c r="J253" s="30" t="inlineStr">
        <is>
          <t>544306</t>
        </is>
      </c>
    </row>
    <row r="254">
      <c r="A254" s="30" t="inlineStr">
        <is>
          <t>HONAUT</t>
        </is>
      </c>
      <c r="B254" s="30" t="inlineStr">
        <is>
          <t>Honeywell Automation India Limited</t>
        </is>
      </c>
      <c r="C254" s="30" t="inlineStr">
        <is>
          <t>consumer discretionary</t>
        </is>
      </c>
      <c r="D254" s="30" t="inlineStr">
        <is>
          <t>electronics - components</t>
        </is>
      </c>
      <c r="E254" s="30" t="inlineStr">
        <is>
          <t>largecap</t>
        </is>
      </c>
      <c r="F254" s="30" t="n">
        <v>32863.94</v>
      </c>
      <c r="G254" s="30" t="n">
        <v>37460</v>
      </c>
      <c r="H254" s="30" t="n">
        <v>0.78</v>
      </c>
      <c r="I254" s="30" t="n">
        <v>6229</v>
      </c>
      <c r="J254" s="30" t="inlineStr">
        <is>
          <t>517174</t>
        </is>
      </c>
    </row>
    <row r="255">
      <c r="A255" s="30" t="inlineStr">
        <is>
          <t>POKARNA</t>
        </is>
      </c>
      <c r="B255" s="30" t="inlineStr">
        <is>
          <t>Pokarna Limited</t>
        </is>
      </c>
      <c r="C255" s="30" t="inlineStr">
        <is>
          <t>consumer discretionary</t>
        </is>
      </c>
      <c r="D255" s="30" t="inlineStr">
        <is>
          <t>miscellaneous</t>
        </is>
      </c>
      <c r="E255" s="30" t="inlineStr">
        <is>
          <t>smallcap</t>
        </is>
      </c>
      <c r="F255" s="30" t="n">
        <v>2926.93</v>
      </c>
      <c r="G255" s="30" t="n">
        <v>951.3</v>
      </c>
      <c r="H255" s="30" t="n">
        <v>0.77</v>
      </c>
      <c r="I255" s="30" t="n">
        <v>100328</v>
      </c>
      <c r="J255" s="30" t="inlineStr">
        <is>
          <t>532486</t>
        </is>
      </c>
    </row>
    <row r="256">
      <c r="A256" s="30" t="inlineStr">
        <is>
          <t>BELRISE</t>
        </is>
      </c>
      <c r="B256" s="30" t="inlineStr">
        <is>
          <t>Belrise Industries Ltd</t>
        </is>
      </c>
      <c r="C256" s="30" t="inlineStr">
        <is>
          <t>auto</t>
        </is>
      </c>
      <c r="D256" s="30" t="inlineStr">
        <is>
          <t>auto ancillaries</t>
        </is>
      </c>
      <c r="E256" s="30" t="inlineStr">
        <is>
          <t>largecap</t>
        </is>
      </c>
      <c r="F256" s="30" t="n">
        <v>21289.47</v>
      </c>
      <c r="G256" s="30" t="n">
        <v>241.09</v>
      </c>
      <c r="H256" s="30" t="n">
        <v>0.77</v>
      </c>
      <c r="I256" s="30" t="n">
        <v>3749142</v>
      </c>
      <c r="J256" s="30" t="n"/>
    </row>
    <row r="257">
      <c r="A257" s="30" t="inlineStr">
        <is>
          <t>MAHABANK</t>
        </is>
      </c>
      <c r="B257" s="30" t="inlineStr">
        <is>
          <t>Bank Of Maharashtra Ltd</t>
        </is>
      </c>
      <c r="C257" s="30" t="inlineStr">
        <is>
          <t>bank</t>
        </is>
      </c>
      <c r="D257" s="30" t="inlineStr">
        <is>
          <t>banks - public sector</t>
        </is>
      </c>
      <c r="E257" s="30" t="inlineStr">
        <is>
          <t>largecap</t>
        </is>
      </c>
      <c r="F257" s="30" t="n">
        <v>68839.42</v>
      </c>
      <c r="G257" s="30" t="n">
        <v>90.19</v>
      </c>
      <c r="H257" s="30" t="n">
        <v>0.77</v>
      </c>
      <c r="I257" s="30" t="n">
        <v>14248205</v>
      </c>
      <c r="J257" s="30" t="inlineStr">
        <is>
          <t>532525</t>
        </is>
      </c>
    </row>
    <row r="258">
      <c r="A258" s="30" t="inlineStr">
        <is>
          <t>RISHABH</t>
        </is>
      </c>
      <c r="B258" s="30" t="inlineStr">
        <is>
          <t>Rishabh Instruments Ltd</t>
        </is>
      </c>
      <c r="C258" s="30" t="inlineStr">
        <is>
          <t>industrials</t>
        </is>
      </c>
      <c r="D258" s="30" t="inlineStr">
        <is>
          <t>electric equipment</t>
        </is>
      </c>
      <c r="E258" s="30" t="inlineStr">
        <is>
          <t>smallcap</t>
        </is>
      </c>
      <c r="F258" s="30" t="n">
        <v>2213.5</v>
      </c>
      <c r="G258" s="30" t="n">
        <v>578.65</v>
      </c>
      <c r="H258" s="30" t="n">
        <v>0.77</v>
      </c>
      <c r="I258" s="30" t="n">
        <v>140658</v>
      </c>
      <c r="J258" s="30" t="inlineStr">
        <is>
          <t>543977</t>
        </is>
      </c>
    </row>
    <row r="259">
      <c r="A259" s="30" t="inlineStr">
        <is>
          <t>BAJAJCON</t>
        </is>
      </c>
      <c r="B259" s="30" t="inlineStr">
        <is>
          <t>Bajaj Consumer Care Ltd</t>
        </is>
      </c>
      <c r="C259" s="30" t="inlineStr">
        <is>
          <t>fmcg</t>
        </is>
      </c>
      <c r="D259" s="30" t="inlineStr">
        <is>
          <t>personal care - indian</t>
        </is>
      </c>
      <c r="E259" s="30" t="inlineStr">
        <is>
          <t>midcap</t>
        </is>
      </c>
      <c r="F259" s="30" t="n">
        <v>8104.87</v>
      </c>
      <c r="G259" s="30" t="n">
        <v>625.25</v>
      </c>
      <c r="H259" s="30" t="n">
        <v>0.77</v>
      </c>
      <c r="I259" s="30" t="n">
        <v>456196</v>
      </c>
      <c r="J259" s="30" t="inlineStr">
        <is>
          <t>533229</t>
        </is>
      </c>
    </row>
    <row r="260">
      <c r="A260" s="30" t="inlineStr">
        <is>
          <t>IDFCFIRSTB</t>
        </is>
      </c>
      <c r="B260" s="30" t="inlineStr">
        <is>
          <t>IDFC First Bank Ltd</t>
        </is>
      </c>
      <c r="C260" s="30" t="inlineStr">
        <is>
          <t>bank</t>
        </is>
      </c>
      <c r="D260" s="30" t="inlineStr">
        <is>
          <t>banks - private sector</t>
        </is>
      </c>
      <c r="E260" s="30" t="inlineStr">
        <is>
          <t>largecap</t>
        </is>
      </c>
      <c r="F260" s="30" t="n">
        <v>67170.67</v>
      </c>
      <c r="G260" s="30" t="n">
        <v>78.68000000000001</v>
      </c>
      <c r="H260" s="30" t="n">
        <v>0.76</v>
      </c>
      <c r="I260" s="30" t="n">
        <v>17050266</v>
      </c>
      <c r="J260" s="30" t="inlineStr">
        <is>
          <t>539437</t>
        </is>
      </c>
    </row>
    <row r="261">
      <c r="A261" s="30" t="inlineStr">
        <is>
          <t>MANBA</t>
        </is>
      </c>
      <c r="B261" s="30" t="inlineStr">
        <is>
          <t>Manba Finance Ltd</t>
        </is>
      </c>
      <c r="C261" s="30" t="inlineStr">
        <is>
          <t>financials</t>
        </is>
      </c>
      <c r="D261" s="30" t="inlineStr">
        <is>
          <t>finance &amp; investments</t>
        </is>
      </c>
      <c r="E261" s="30" t="inlineStr">
        <is>
          <t>smallcap</t>
        </is>
      </c>
      <c r="F261" s="30" t="n">
        <v>659.89</v>
      </c>
      <c r="G261" s="30" t="n">
        <v>132.35</v>
      </c>
      <c r="H261" s="30" t="n">
        <v>0.76</v>
      </c>
      <c r="I261" s="30" t="n">
        <v>91260</v>
      </c>
      <c r="J261" s="30" t="inlineStr">
        <is>
          <t>544262</t>
        </is>
      </c>
    </row>
    <row r="262">
      <c r="A262" s="30" t="inlineStr">
        <is>
          <t>HAPPYFORGE</t>
        </is>
      </c>
      <c r="B262" s="30" t="inlineStr">
        <is>
          <t>Happy Forgings Ltd</t>
        </is>
      </c>
      <c r="C262" s="30" t="inlineStr">
        <is>
          <t>industrials</t>
        </is>
      </c>
      <c r="D262" s="30" t="inlineStr">
        <is>
          <t>castings &amp; forgings</t>
        </is>
      </c>
      <c r="E262" s="30" t="inlineStr">
        <is>
          <t>midcap</t>
        </is>
      </c>
      <c r="F262" s="30" t="n">
        <v>13717.61</v>
      </c>
      <c r="G262" s="30" t="n">
        <v>1465</v>
      </c>
      <c r="H262" s="30" t="n">
        <v>0.76</v>
      </c>
      <c r="I262" s="30" t="n">
        <v>813443</v>
      </c>
      <c r="J262" s="30" t="inlineStr">
        <is>
          <t>544057</t>
        </is>
      </c>
    </row>
    <row r="263">
      <c r="A263" s="30" t="inlineStr">
        <is>
          <t>MSTCLTD</t>
        </is>
      </c>
      <c r="B263" s="30" t="inlineStr">
        <is>
          <t>MSTC Ltd</t>
        </is>
      </c>
      <c r="C263" s="30" t="inlineStr">
        <is>
          <t>i.t</t>
        </is>
      </c>
      <c r="D263" s="30" t="inlineStr">
        <is>
          <t>trading</t>
        </is>
      </c>
      <c r="E263" s="30" t="inlineStr">
        <is>
          <t>smallcap</t>
        </is>
      </c>
      <c r="F263" s="30" t="n">
        <v>4840.7</v>
      </c>
      <c r="G263" s="30" t="n">
        <v>692.75</v>
      </c>
      <c r="H263" s="30" t="n">
        <v>0.75</v>
      </c>
      <c r="I263" s="30" t="n">
        <v>750201</v>
      </c>
      <c r="J263" s="30" t="inlineStr">
        <is>
          <t>542597</t>
        </is>
      </c>
    </row>
    <row r="264">
      <c r="A264" s="30" t="inlineStr">
        <is>
          <t>AUBANK</t>
        </is>
      </c>
      <c r="B264" s="30" t="inlineStr">
        <is>
          <t>AU Small Finance Bank Ltd</t>
        </is>
      </c>
      <c r="C264" s="30" t="inlineStr">
        <is>
          <t>bank</t>
        </is>
      </c>
      <c r="D264" s="30" t="inlineStr">
        <is>
          <t>banks - private sector</t>
        </is>
      </c>
      <c r="E264" s="30" t="inlineStr">
        <is>
          <t>largecap</t>
        </is>
      </c>
      <c r="F264" s="30" t="n">
        <v>76723.57000000001</v>
      </c>
      <c r="G264" s="30" t="n">
        <v>1033.05</v>
      </c>
      <c r="H264" s="30" t="n">
        <v>0.75</v>
      </c>
      <c r="I264" s="30" t="n">
        <v>1437168</v>
      </c>
      <c r="J264" s="30" t="inlineStr">
        <is>
          <t>540611</t>
        </is>
      </c>
    </row>
    <row r="265">
      <c r="A265" s="30" t="inlineStr">
        <is>
          <t>SUNPHARMA</t>
        </is>
      </c>
      <c r="B265" s="30" t="inlineStr">
        <is>
          <t>Sun Pharmaceuticals Industries Limited</t>
        </is>
      </c>
      <c r="C265" s="30" t="inlineStr">
        <is>
          <t>healthcare</t>
        </is>
      </c>
      <c r="D265" s="30" t="inlineStr">
        <is>
          <t>pharmaceuticals - indian - bulk drugs &amp; formln</t>
        </is>
      </c>
      <c r="E265" s="30" t="inlineStr">
        <is>
          <t>largecap</t>
        </is>
      </c>
      <c r="F265" s="30" t="n">
        <v>437830.65</v>
      </c>
      <c r="G265" s="30" t="n">
        <v>1838.3</v>
      </c>
      <c r="H265" s="30" t="n">
        <v>0.74</v>
      </c>
      <c r="I265" s="30" t="n">
        <v>2126703</v>
      </c>
      <c r="J265" s="30" t="inlineStr">
        <is>
          <t>524715</t>
        </is>
      </c>
    </row>
    <row r="266">
      <c r="A266" s="30" t="inlineStr">
        <is>
          <t>TITAN</t>
        </is>
      </c>
      <c r="B266" s="30" t="inlineStr">
        <is>
          <t>Titan Company Limited</t>
        </is>
      </c>
      <c r="C266" s="30" t="inlineStr">
        <is>
          <t>consumer discretionary</t>
        </is>
      </c>
      <c r="D266" s="30" t="inlineStr">
        <is>
          <t>diamond cutting / jewellery</t>
        </is>
      </c>
      <c r="E266" s="30" t="inlineStr">
        <is>
          <t>largecap</t>
        </is>
      </c>
      <c r="F266" s="30" t="n">
        <v>389551.69</v>
      </c>
      <c r="G266" s="30" t="n">
        <v>4419.9</v>
      </c>
      <c r="H266" s="30" t="n">
        <v>0.73</v>
      </c>
      <c r="I266" s="30" t="n">
        <v>941346</v>
      </c>
      <c r="J266" s="30" t="inlineStr">
        <is>
          <t>500114</t>
        </is>
      </c>
    </row>
    <row r="267">
      <c r="A267" s="30" t="inlineStr">
        <is>
          <t>DHANBANK</t>
        </is>
      </c>
      <c r="B267" s="30" t="inlineStr">
        <is>
          <t>Dhanlaxmi Bank Limited</t>
        </is>
      </c>
      <c r="C267" s="30" t="inlineStr">
        <is>
          <t>bank</t>
        </is>
      </c>
      <c r="D267" s="30" t="inlineStr">
        <is>
          <t>banks - private sector</t>
        </is>
      </c>
      <c r="E267" s="30" t="inlineStr">
        <is>
          <t>smallcap</t>
        </is>
      </c>
      <c r="F267" s="30" t="n">
        <v>1344.34</v>
      </c>
      <c r="G267" s="30" t="n">
        <v>34.31</v>
      </c>
      <c r="H267" s="30" t="n">
        <v>0.73</v>
      </c>
      <c r="I267" s="30" t="n">
        <v>1926409</v>
      </c>
      <c r="J267" s="30" t="inlineStr">
        <is>
          <t>532180</t>
        </is>
      </c>
    </row>
    <row r="268">
      <c r="A268" s="30" t="inlineStr">
        <is>
          <t>NEULANDLAB</t>
        </is>
      </c>
      <c r="B268" s="30" t="inlineStr">
        <is>
          <t>Neuland Laboratories Limited</t>
        </is>
      </c>
      <c r="C268" s="30" t="inlineStr">
        <is>
          <t>healthcare</t>
        </is>
      </c>
      <c r="D268" s="30" t="inlineStr">
        <is>
          <t>pharmaceuticals - indian - bulk drugs</t>
        </is>
      </c>
      <c r="E268" s="30" t="inlineStr">
        <is>
          <t>largecap</t>
        </is>
      </c>
      <c r="F268" s="30" t="n">
        <v>22093.07</v>
      </c>
      <c r="G268" s="30" t="n">
        <v>17345</v>
      </c>
      <c r="H268" s="30" t="n">
        <v>0.73</v>
      </c>
      <c r="I268" s="30" t="n">
        <v>26662</v>
      </c>
      <c r="J268" s="30" t="inlineStr">
        <is>
          <t>524558</t>
        </is>
      </c>
    </row>
    <row r="269">
      <c r="A269" s="30" t="inlineStr">
        <is>
          <t>DIVGIITTS</t>
        </is>
      </c>
      <c r="B269" s="30" t="inlineStr">
        <is>
          <t>Divgi Torqtransfer Systems Ltd</t>
        </is>
      </c>
      <c r="C269" s="30" t="inlineStr">
        <is>
          <t>auto</t>
        </is>
      </c>
      <c r="D269" s="30" t="inlineStr">
        <is>
          <t>auto ancillaries</t>
        </is>
      </c>
      <c r="E269" s="30" t="inlineStr">
        <is>
          <t>smallcap</t>
        </is>
      </c>
      <c r="F269" s="30" t="n">
        <v>2601.38</v>
      </c>
      <c r="G269" s="30" t="n">
        <v>856.7</v>
      </c>
      <c r="H269" s="30" t="n">
        <v>0.72</v>
      </c>
      <c r="I269" s="30" t="n">
        <v>22935</v>
      </c>
      <c r="J269" s="30" t="inlineStr">
        <is>
          <t>543812</t>
        </is>
      </c>
    </row>
    <row r="270">
      <c r="A270" s="30" t="inlineStr">
        <is>
          <t>RPEL</t>
        </is>
      </c>
      <c r="B270" s="30" t="inlineStr">
        <is>
          <t>Raghav Productivity Enhancers Ltd</t>
        </is>
      </c>
      <c r="C270" s="30" t="inlineStr">
        <is>
          <t>building materials</t>
        </is>
      </c>
      <c r="D270" s="30" t="inlineStr">
        <is>
          <t>refractories / intermediates</t>
        </is>
      </c>
      <c r="E270" s="30" t="inlineStr">
        <is>
          <t>midcap</t>
        </is>
      </c>
      <c r="F270" s="30" t="n">
        <v>5462.38</v>
      </c>
      <c r="G270" s="30" t="n">
        <v>1197.95</v>
      </c>
      <c r="H270" s="30" t="n">
        <v>0.6899999999999999</v>
      </c>
      <c r="I270" s="30" t="n">
        <v>99793</v>
      </c>
      <c r="J270" s="30" t="inlineStr">
        <is>
          <t>539837</t>
        </is>
      </c>
    </row>
    <row r="271">
      <c r="A271" s="30" t="inlineStr">
        <is>
          <t>BLISSGVS</t>
        </is>
      </c>
      <c r="B271" s="30" t="inlineStr">
        <is>
          <t>Bliss Gvs Pharma Limited</t>
        </is>
      </c>
      <c r="C271" s="30" t="inlineStr">
        <is>
          <t>healthcare</t>
        </is>
      </c>
      <c r="D271" s="30" t="inlineStr">
        <is>
          <t>pharmaceuticals - indian - formulations</t>
        </is>
      </c>
      <c r="E271" s="30" t="inlineStr">
        <is>
          <t>midcap</t>
        </is>
      </c>
      <c r="F271" s="30" t="n">
        <v>5109.08</v>
      </c>
      <c r="G271" s="30" t="n">
        <v>486.3</v>
      </c>
      <c r="H271" s="30" t="n">
        <v>0.6899999999999999</v>
      </c>
      <c r="I271" s="30" t="n">
        <v>987034</v>
      </c>
      <c r="J271" s="30" t="inlineStr">
        <is>
          <t>506197</t>
        </is>
      </c>
    </row>
    <row r="272">
      <c r="A272" s="30" t="inlineStr">
        <is>
          <t>REPCOHOME</t>
        </is>
      </c>
      <c r="B272" s="30" t="inlineStr">
        <is>
          <t>Repco Home Finance Limited</t>
        </is>
      </c>
      <c r="C272" s="30" t="inlineStr">
        <is>
          <t>financials</t>
        </is>
      </c>
      <c r="D272" s="30" t="inlineStr">
        <is>
          <t>finance - housing</t>
        </is>
      </c>
      <c r="E272" s="30" t="inlineStr">
        <is>
          <t>smallcap</t>
        </is>
      </c>
      <c r="F272" s="30" t="n">
        <v>2446.15</v>
      </c>
      <c r="G272" s="30" t="n">
        <v>393.65</v>
      </c>
      <c r="H272" s="30" t="n">
        <v>0.68</v>
      </c>
      <c r="I272" s="30" t="n">
        <v>57133</v>
      </c>
      <c r="J272" s="30" t="inlineStr">
        <is>
          <t>535322</t>
        </is>
      </c>
    </row>
    <row r="273">
      <c r="A273" s="30" t="inlineStr">
        <is>
          <t>FILATEX</t>
        </is>
      </c>
      <c r="B273" s="30" t="inlineStr">
        <is>
          <t>Filatex India Limited</t>
        </is>
      </c>
      <c r="C273" s="30" t="inlineStr">
        <is>
          <t>textiles</t>
        </is>
      </c>
      <c r="D273" s="30" t="inlineStr">
        <is>
          <t>textiles - manmade</t>
        </is>
      </c>
      <c r="E273" s="30" t="inlineStr">
        <is>
          <t>smallcap</t>
        </is>
      </c>
      <c r="F273" s="30" t="n">
        <v>2419.67</v>
      </c>
      <c r="G273" s="30" t="n">
        <v>54.86</v>
      </c>
      <c r="H273" s="30" t="n">
        <v>0.68</v>
      </c>
      <c r="I273" s="30" t="n">
        <v>879144</v>
      </c>
      <c r="J273" s="30" t="inlineStr">
        <is>
          <t>526227</t>
        </is>
      </c>
    </row>
    <row r="274">
      <c r="A274" s="30" t="inlineStr">
        <is>
          <t>AETHER</t>
        </is>
      </c>
      <c r="B274" s="30" t="inlineStr">
        <is>
          <t>Aether Industries Ltd</t>
        </is>
      </c>
      <c r="C274" s="30" t="inlineStr">
        <is>
          <t>chemicals</t>
        </is>
      </c>
      <c r="D274" s="30" t="inlineStr">
        <is>
          <t>chemicals</t>
        </is>
      </c>
      <c r="E274" s="30" t="inlineStr">
        <is>
          <t>midcap</t>
        </is>
      </c>
      <c r="F274" s="30" t="n">
        <v>15317.89</v>
      </c>
      <c r="G274" s="30" t="n">
        <v>1162.3</v>
      </c>
      <c r="H274" s="30" t="n">
        <v>0.68</v>
      </c>
      <c r="I274" s="30" t="n">
        <v>188609</v>
      </c>
      <c r="J274" s="30" t="inlineStr">
        <is>
          <t>543534</t>
        </is>
      </c>
    </row>
    <row r="275">
      <c r="A275" s="30" t="inlineStr">
        <is>
          <t>OCCLLTD</t>
        </is>
      </c>
      <c r="B275" s="30" t="inlineStr">
        <is>
          <t>OCCL Ltd</t>
        </is>
      </c>
      <c r="C275" s="30" t="inlineStr">
        <is>
          <t>chemicals</t>
        </is>
      </c>
      <c r="D275" s="30" t="inlineStr">
        <is>
          <t>chemicals</t>
        </is>
      </c>
      <c r="E275" s="30" t="inlineStr">
        <is>
          <t>smallcap</t>
        </is>
      </c>
      <c r="F275" s="30" t="n">
        <v>640.41</v>
      </c>
      <c r="G275" s="30" t="n">
        <v>129.05</v>
      </c>
      <c r="H275" s="30" t="n">
        <v>0.66</v>
      </c>
      <c r="I275" s="30" t="n">
        <v>19524</v>
      </c>
      <c r="J275" s="30" t="inlineStr">
        <is>
          <t>544278</t>
        </is>
      </c>
    </row>
    <row r="276">
      <c r="A276" s="30" t="inlineStr">
        <is>
          <t>KIRLFER</t>
        </is>
      </c>
      <c r="B276" s="30" t="inlineStr">
        <is>
          <t>Kirloskar Ferrous Industries Ltd</t>
        </is>
      </c>
      <c r="C276" s="30" t="inlineStr">
        <is>
          <t>metals &amp; mining</t>
        </is>
      </c>
      <c r="D276" s="30" t="inlineStr">
        <is>
          <t>steel - large</t>
        </is>
      </c>
      <c r="E276" s="30" t="inlineStr">
        <is>
          <t>midcap</t>
        </is>
      </c>
      <c r="F276" s="30" t="n">
        <v>7812.34</v>
      </c>
      <c r="G276" s="30" t="n">
        <v>476.8</v>
      </c>
      <c r="H276" s="30" t="n">
        <v>0.65</v>
      </c>
      <c r="I276" s="30" t="n">
        <v>491734</v>
      </c>
      <c r="J276" s="30" t="inlineStr">
        <is>
          <t>500245</t>
        </is>
      </c>
    </row>
    <row r="277">
      <c r="A277" s="30" t="inlineStr">
        <is>
          <t>GRANULES</t>
        </is>
      </c>
      <c r="B277" s="30" t="inlineStr">
        <is>
          <t>Granules India Limited</t>
        </is>
      </c>
      <c r="C277" s="30" t="inlineStr">
        <is>
          <t>healthcare</t>
        </is>
      </c>
      <c r="D277" s="30" t="inlineStr">
        <is>
          <t>pharmaceuticals - indian - bulk drugs &amp; formln</t>
        </is>
      </c>
      <c r="E277" s="30" t="inlineStr">
        <is>
          <t>midcap</t>
        </is>
      </c>
      <c r="F277" s="30" t="n">
        <v>19380.2</v>
      </c>
      <c r="G277" s="30" t="n">
        <v>786.9</v>
      </c>
      <c r="H277" s="30" t="n">
        <v>0.61</v>
      </c>
      <c r="I277" s="30" t="n">
        <v>1781812</v>
      </c>
      <c r="J277" s="30" t="inlineStr">
        <is>
          <t>532482</t>
        </is>
      </c>
    </row>
    <row r="278">
      <c r="A278" s="30" t="inlineStr">
        <is>
          <t>MEDANTA</t>
        </is>
      </c>
      <c r="B278" s="30" t="inlineStr">
        <is>
          <t>Global Health Ltd</t>
        </is>
      </c>
      <c r="C278" s="30" t="inlineStr">
        <is>
          <t>healthcare</t>
        </is>
      </c>
      <c r="D278" s="30" t="inlineStr">
        <is>
          <t>healthcare</t>
        </is>
      </c>
      <c r="E278" s="30" t="inlineStr">
        <is>
          <t>largecap</t>
        </is>
      </c>
      <c r="F278" s="30" t="n">
        <v>33819.21</v>
      </c>
      <c r="G278" s="30" t="n">
        <v>1265.8</v>
      </c>
      <c r="H278" s="30" t="n">
        <v>0.6</v>
      </c>
      <c r="I278" s="30" t="n">
        <v>161667</v>
      </c>
      <c r="J278" s="30" t="inlineStr">
        <is>
          <t>543654</t>
        </is>
      </c>
    </row>
    <row r="279">
      <c r="A279" s="30" t="inlineStr">
        <is>
          <t>VINCOFE</t>
        </is>
      </c>
      <c r="B279" s="30" t="inlineStr">
        <is>
          <t>Vintage Coffee &amp; Beverages Ltd</t>
        </is>
      </c>
      <c r="C279" s="30" t="inlineStr">
        <is>
          <t>consumer discretionary</t>
        </is>
      </c>
      <c r="D279" s="30" t="inlineStr">
        <is>
          <t>trading</t>
        </is>
      </c>
      <c r="E279" s="30" t="inlineStr">
        <is>
          <t>smallcap</t>
        </is>
      </c>
      <c r="F279" s="30" t="n">
        <v>2203.83</v>
      </c>
      <c r="G279" s="30" t="n">
        <v>152.16</v>
      </c>
      <c r="H279" s="30" t="n">
        <v>0.59</v>
      </c>
      <c r="I279" s="30" t="n">
        <v>1259524</v>
      </c>
      <c r="J279" s="30" t="inlineStr">
        <is>
          <t>538920</t>
        </is>
      </c>
    </row>
    <row r="280">
      <c r="A280" s="30" t="inlineStr">
        <is>
          <t>SANGHVIMOV</t>
        </is>
      </c>
      <c r="B280" s="30" t="inlineStr">
        <is>
          <t>Sanghvi Movers Limited</t>
        </is>
      </c>
      <c r="C280" s="30" t="inlineStr">
        <is>
          <t>miscellaneous</t>
        </is>
      </c>
      <c r="D280" s="30" t="inlineStr">
        <is>
          <t>miscellaneous</t>
        </is>
      </c>
      <c r="E280" s="30" t="inlineStr">
        <is>
          <t>smallcap</t>
        </is>
      </c>
      <c r="F280" s="30" t="n">
        <v>3569.53</v>
      </c>
      <c r="G280" s="30" t="n">
        <v>414.75</v>
      </c>
      <c r="H280" s="30" t="n">
        <v>0.59</v>
      </c>
      <c r="I280" s="30" t="n">
        <v>335442</v>
      </c>
      <c r="J280" s="30" t="inlineStr">
        <is>
          <t>530073</t>
        </is>
      </c>
    </row>
    <row r="281">
      <c r="A281" s="30" t="inlineStr">
        <is>
          <t>MOTHERSON</t>
        </is>
      </c>
      <c r="B281" s="30" t="inlineStr">
        <is>
          <t>Samvardhana Motherson International Ltd</t>
        </is>
      </c>
      <c r="C281" s="30" t="inlineStr">
        <is>
          <t>auto</t>
        </is>
      </c>
      <c r="D281" s="30" t="inlineStr">
        <is>
          <t>auto ancillaries</t>
        </is>
      </c>
      <c r="E281" s="30" t="inlineStr">
        <is>
          <t>largecap</t>
        </is>
      </c>
      <c r="F281" s="30" t="n">
        <v>152701.68</v>
      </c>
      <c r="G281" s="30" t="n">
        <v>145.54</v>
      </c>
      <c r="H281" s="30" t="n">
        <v>0.59</v>
      </c>
      <c r="I281" s="30" t="n">
        <v>20254043</v>
      </c>
      <c r="J281" s="30" t="inlineStr">
        <is>
          <t>517334</t>
        </is>
      </c>
    </row>
    <row r="282">
      <c r="A282" s="30" t="inlineStr">
        <is>
          <t>RICOAUTO</t>
        </is>
      </c>
      <c r="B282" s="30" t="inlineStr">
        <is>
          <t>Rico Auto Industries Limited</t>
        </is>
      </c>
      <c r="C282" s="30" t="inlineStr">
        <is>
          <t>auto</t>
        </is>
      </c>
      <c r="D282" s="30" t="inlineStr">
        <is>
          <t>auto ancillaries</t>
        </is>
      </c>
      <c r="E282" s="30" t="inlineStr">
        <is>
          <t>smallcap</t>
        </is>
      </c>
      <c r="F282" s="30" t="n">
        <v>1953.92</v>
      </c>
      <c r="G282" s="30" t="n">
        <v>145.28</v>
      </c>
      <c r="H282" s="30" t="n">
        <v>0.59</v>
      </c>
      <c r="I282" s="30" t="n">
        <v>4534708</v>
      </c>
      <c r="J282" s="30" t="inlineStr">
        <is>
          <t>520008</t>
        </is>
      </c>
    </row>
    <row r="283">
      <c r="A283" s="30" t="inlineStr">
        <is>
          <t>MOTILALOFS</t>
        </is>
      </c>
      <c r="B283" s="30" t="inlineStr">
        <is>
          <t>Motilal Oswal Financial Services Limited</t>
        </is>
      </c>
      <c r="C283" s="30" t="inlineStr">
        <is>
          <t>financials</t>
        </is>
      </c>
      <c r="D283" s="30" t="inlineStr">
        <is>
          <t>finance &amp; investments</t>
        </is>
      </c>
      <c r="E283" s="30" t="inlineStr">
        <is>
          <t>largecap</t>
        </is>
      </c>
      <c r="F283" s="30" t="n">
        <v>57065.36</v>
      </c>
      <c r="G283" s="30" t="n">
        <v>953.45</v>
      </c>
      <c r="H283" s="30" t="n">
        <v>0.5600000000000001</v>
      </c>
      <c r="I283" s="30" t="n">
        <v>836211</v>
      </c>
      <c r="J283" s="30" t="inlineStr">
        <is>
          <t>532892</t>
        </is>
      </c>
    </row>
    <row r="284">
      <c r="A284" s="30" t="inlineStr">
        <is>
          <t>KAJARIACER</t>
        </is>
      </c>
      <c r="B284" s="30" t="inlineStr">
        <is>
          <t>Kajaria Ceramics Limited</t>
        </is>
      </c>
      <c r="C284" s="30" t="inlineStr">
        <is>
          <t>building materials</t>
        </is>
      </c>
      <c r="D284" s="30" t="inlineStr">
        <is>
          <t>ceramics - tiles / sanitaryware</t>
        </is>
      </c>
      <c r="E284" s="30" t="inlineStr">
        <is>
          <t>midcap</t>
        </is>
      </c>
      <c r="F284" s="30" t="n">
        <v>18540.89</v>
      </c>
      <c r="G284" s="30" t="n">
        <v>1170.4</v>
      </c>
      <c r="H284" s="30" t="n">
        <v>0.54</v>
      </c>
      <c r="I284" s="30" t="n">
        <v>186254</v>
      </c>
      <c r="J284" s="30" t="inlineStr">
        <is>
          <t>500233</t>
        </is>
      </c>
    </row>
    <row r="285">
      <c r="A285" s="30" t="inlineStr">
        <is>
          <t>MONARCH</t>
        </is>
      </c>
      <c r="B285" s="30" t="inlineStr">
        <is>
          <t>Monarch Networth Capital Ltd</t>
        </is>
      </c>
      <c r="C285" s="30" t="inlineStr">
        <is>
          <t>financials</t>
        </is>
      </c>
      <c r="D285" s="30" t="inlineStr">
        <is>
          <t>finance &amp; investments</t>
        </is>
      </c>
      <c r="E285" s="30" t="inlineStr">
        <is>
          <t>smallcap</t>
        </is>
      </c>
      <c r="F285" s="30" t="n">
        <v>2761.71</v>
      </c>
      <c r="G285" s="30" t="n">
        <v>350.25</v>
      </c>
      <c r="H285" s="30" t="n">
        <v>0.53</v>
      </c>
      <c r="I285" s="30" t="n">
        <v>359639</v>
      </c>
      <c r="J285" s="30" t="inlineStr">
        <is>
          <t>511551</t>
        </is>
      </c>
    </row>
    <row r="286">
      <c r="A286" s="30" t="inlineStr">
        <is>
          <t>BOROSCI</t>
        </is>
      </c>
      <c r="B286" s="30" t="inlineStr">
        <is>
          <t>Borosil Scientific Ltd</t>
        </is>
      </c>
      <c r="C286" s="30" t="inlineStr">
        <is>
          <t>building materials</t>
        </is>
      </c>
      <c r="D286" s="30" t="inlineStr">
        <is>
          <t>glass &amp; glass products</t>
        </is>
      </c>
      <c r="E286" s="30" t="inlineStr">
        <is>
          <t>smallcap</t>
        </is>
      </c>
      <c r="F286" s="30" t="n">
        <v>1368.98</v>
      </c>
      <c r="G286" s="30" t="n">
        <v>154.71</v>
      </c>
      <c r="H286" s="30" t="n">
        <v>0.52</v>
      </c>
      <c r="I286" s="30" t="n">
        <v>63641</v>
      </c>
      <c r="J286" s="30" t="inlineStr">
        <is>
          <t>544184</t>
        </is>
      </c>
    </row>
    <row r="287">
      <c r="A287" s="30" t="inlineStr">
        <is>
          <t>ADANIPOWER</t>
        </is>
      </c>
      <c r="B287" s="30" t="inlineStr">
        <is>
          <t>Adani Power Limited</t>
        </is>
      </c>
      <c r="C287" s="30" t="inlineStr">
        <is>
          <t>power &amp; utilities</t>
        </is>
      </c>
      <c r="D287" s="30" t="inlineStr">
        <is>
          <t>power generation and supply</t>
        </is>
      </c>
      <c r="E287" s="30" t="inlineStr">
        <is>
          <t>largecap</t>
        </is>
      </c>
      <c r="F287" s="30" t="n">
        <v>444647.21</v>
      </c>
      <c r="G287" s="30" t="n">
        <v>231.76</v>
      </c>
      <c r="H287" s="30" t="n">
        <v>0.52</v>
      </c>
      <c r="I287" s="30" t="n">
        <v>46115820</v>
      </c>
      <c r="J287" s="30" t="inlineStr">
        <is>
          <t>533096</t>
        </is>
      </c>
    </row>
    <row r="288">
      <c r="A288" s="30" t="inlineStr">
        <is>
          <t>BORORENEW</t>
        </is>
      </c>
      <c r="B288" s="30" t="inlineStr">
        <is>
          <t>Borosil Renewables Ltd</t>
        </is>
      </c>
      <c r="C288" s="30" t="inlineStr">
        <is>
          <t>building materials</t>
        </is>
      </c>
      <c r="D288" s="30" t="inlineStr">
        <is>
          <t>glass &amp; glass products</t>
        </is>
      </c>
      <c r="E288" s="30" t="inlineStr">
        <is>
          <t>midcap</t>
        </is>
      </c>
      <c r="F288" s="30" t="n">
        <v>8344.040000000001</v>
      </c>
      <c r="G288" s="30" t="n">
        <v>598.25</v>
      </c>
      <c r="H288" s="30" t="n">
        <v>0.51</v>
      </c>
      <c r="I288" s="30" t="n">
        <v>777921</v>
      </c>
      <c r="J288" s="30" t="inlineStr">
        <is>
          <t>502219</t>
        </is>
      </c>
    </row>
    <row r="289">
      <c r="A289" s="30" t="inlineStr">
        <is>
          <t>PAISALO</t>
        </is>
      </c>
      <c r="B289" s="30" t="inlineStr">
        <is>
          <t>Paisalo Digital Ltd</t>
        </is>
      </c>
      <c r="C289" s="30" t="inlineStr">
        <is>
          <t>financials</t>
        </is>
      </c>
      <c r="D289" s="30" t="inlineStr">
        <is>
          <t>finance &amp; investments</t>
        </is>
      </c>
      <c r="E289" s="30" t="inlineStr">
        <is>
          <t>midcap</t>
        </is>
      </c>
      <c r="F289" s="30" t="n">
        <v>5321.61</v>
      </c>
      <c r="G289" s="30" t="n">
        <v>58.81</v>
      </c>
      <c r="H289" s="30" t="n">
        <v>0.51</v>
      </c>
      <c r="I289" s="30" t="n">
        <v>6346774</v>
      </c>
      <c r="J289" s="30" t="inlineStr">
        <is>
          <t>532900</t>
        </is>
      </c>
    </row>
    <row r="290">
      <c r="A290" s="30" t="inlineStr">
        <is>
          <t>AKUMS</t>
        </is>
      </c>
      <c r="B290" s="30" t="inlineStr">
        <is>
          <t>Akums Drugs &amp; Pharmaceuticals Ltd</t>
        </is>
      </c>
      <c r="C290" s="30" t="inlineStr">
        <is>
          <t>healthcare</t>
        </is>
      </c>
      <c r="D290" s="30" t="inlineStr">
        <is>
          <t>pharmaceuticals - indian - bulk drugs &amp; formln</t>
        </is>
      </c>
      <c r="E290" s="30" t="inlineStr">
        <is>
          <t>midcap</t>
        </is>
      </c>
      <c r="F290" s="30" t="n">
        <v>9470.4</v>
      </c>
      <c r="G290" s="30" t="n">
        <v>604.7</v>
      </c>
      <c r="H290" s="30" t="n">
        <v>0.5</v>
      </c>
      <c r="I290" s="30" t="n">
        <v>112143</v>
      </c>
      <c r="J290" s="30" t="inlineStr">
        <is>
          <t>544222</t>
        </is>
      </c>
    </row>
    <row r="291">
      <c r="A291" s="30" t="inlineStr">
        <is>
          <t>VSTIND</t>
        </is>
      </c>
      <c r="B291" s="30" t="inlineStr">
        <is>
          <t>Vst Industries Limited</t>
        </is>
      </c>
      <c r="C291" s="30" t="inlineStr">
        <is>
          <t>fmcg</t>
        </is>
      </c>
      <c r="D291" s="30" t="inlineStr">
        <is>
          <t>cigarettes</t>
        </is>
      </c>
      <c r="E291" s="30" t="inlineStr">
        <is>
          <t>smallcap</t>
        </is>
      </c>
      <c r="F291" s="30" t="n">
        <v>4393.46</v>
      </c>
      <c r="G291" s="30" t="n">
        <v>259.95</v>
      </c>
      <c r="H291" s="30" t="n">
        <v>0.5</v>
      </c>
      <c r="I291" s="30" t="n">
        <v>262027</v>
      </c>
      <c r="J291" s="30" t="inlineStr">
        <is>
          <t>509966</t>
        </is>
      </c>
    </row>
    <row r="292">
      <c r="A292" s="30" t="inlineStr">
        <is>
          <t>FINCABLES</t>
        </is>
      </c>
      <c r="B292" s="30" t="inlineStr">
        <is>
          <t>Finolex Cables Limited</t>
        </is>
      </c>
      <c r="C292" s="30" t="inlineStr">
        <is>
          <t>industrials</t>
        </is>
      </c>
      <c r="D292" s="30" t="inlineStr">
        <is>
          <t>cables - power</t>
        </is>
      </c>
      <c r="E292" s="30" t="inlineStr">
        <is>
          <t>midcap</t>
        </is>
      </c>
      <c r="F292" s="30" t="n">
        <v>17719.55</v>
      </c>
      <c r="G292" s="30" t="n">
        <v>1164.3</v>
      </c>
      <c r="H292" s="30" t="n">
        <v>0.49</v>
      </c>
      <c r="I292" s="30" t="n">
        <v>552245</v>
      </c>
      <c r="J292" s="30" t="inlineStr">
        <is>
          <t>500144</t>
        </is>
      </c>
    </row>
    <row r="293">
      <c r="A293" s="30" t="inlineStr">
        <is>
          <t>HIRECT</t>
        </is>
      </c>
      <c r="B293" s="30" t="inlineStr">
        <is>
          <t>Hind Rectifiers Limited</t>
        </is>
      </c>
      <c r="C293" s="30" t="inlineStr">
        <is>
          <t>consumer discretionary</t>
        </is>
      </c>
      <c r="D293" s="30" t="inlineStr">
        <is>
          <t>electronics - components</t>
        </is>
      </c>
      <c r="E293" s="30" t="inlineStr">
        <is>
          <t>smallcap</t>
        </is>
      </c>
      <c r="F293" s="30" t="n">
        <v>3941.97</v>
      </c>
      <c r="G293" s="30" t="n">
        <v>1152.4</v>
      </c>
      <c r="H293" s="30" t="n">
        <v>0.47</v>
      </c>
      <c r="I293" s="30" t="n">
        <v>63546</v>
      </c>
      <c r="J293" s="30" t="inlineStr">
        <is>
          <t>504036</t>
        </is>
      </c>
    </row>
    <row r="294">
      <c r="A294" s="30" t="inlineStr">
        <is>
          <t>LT</t>
        </is>
      </c>
      <c r="B294" s="30" t="inlineStr">
        <is>
          <t>Larsen &amp; Toubro Limited</t>
        </is>
      </c>
      <c r="C294" s="30" t="inlineStr">
        <is>
          <t>realty</t>
        </is>
      </c>
      <c r="D294" s="30" t="inlineStr">
        <is>
          <t>engineering - turnkey services</t>
        </is>
      </c>
      <c r="E294" s="30" t="inlineStr">
        <is>
          <t>largecap</t>
        </is>
      </c>
      <c r="F294" s="30" t="n">
        <v>576389.89</v>
      </c>
      <c r="G294" s="30" t="n">
        <v>4209.4</v>
      </c>
      <c r="H294" s="30" t="n">
        <v>0.46</v>
      </c>
      <c r="I294" s="30" t="n">
        <v>1397746</v>
      </c>
      <c r="J294" s="30" t="inlineStr">
        <is>
          <t>500510</t>
        </is>
      </c>
    </row>
    <row r="295">
      <c r="A295" s="30" t="inlineStr">
        <is>
          <t>MGEL</t>
        </is>
      </c>
      <c r="B295" s="30" t="inlineStr">
        <is>
          <t>Mangalam Global Enterprise Ltd</t>
        </is>
      </c>
      <c r="C295" s="30" t="inlineStr">
        <is>
          <t>services</t>
        </is>
      </c>
      <c r="D295" s="30" t="inlineStr">
        <is>
          <t>trading</t>
        </is>
      </c>
      <c r="E295" s="30" t="inlineStr">
        <is>
          <t>smallcap</t>
        </is>
      </c>
      <c r="F295" s="30" t="n">
        <v>517.4</v>
      </c>
      <c r="G295" s="30" t="n">
        <v>15.77</v>
      </c>
      <c r="H295" s="30" t="n">
        <v>0.45</v>
      </c>
      <c r="I295" s="30" t="n">
        <v>160052</v>
      </c>
      <c r="J295" s="30" t="inlineStr">
        <is>
          <t>535349</t>
        </is>
      </c>
    </row>
    <row r="296">
      <c r="A296" s="30" t="inlineStr">
        <is>
          <t>STYLAMIND</t>
        </is>
      </c>
      <c r="B296" s="30" t="inlineStr">
        <is>
          <t>Stylam Industries Ltd</t>
        </is>
      </c>
      <c r="C296" s="30" t="inlineStr">
        <is>
          <t>building materials</t>
        </is>
      </c>
      <c r="D296" s="30" t="inlineStr">
        <is>
          <t>miscellaneous</t>
        </is>
      </c>
      <c r="E296" s="30" t="inlineStr">
        <is>
          <t>midcap</t>
        </is>
      </c>
      <c r="F296" s="30" t="n">
        <v>5614.72</v>
      </c>
      <c r="G296" s="30" t="n">
        <v>3327.8</v>
      </c>
      <c r="H296" s="30" t="n">
        <v>0.45</v>
      </c>
      <c r="I296" s="30" t="n">
        <v>25216</v>
      </c>
      <c r="J296" s="30" t="inlineStr">
        <is>
          <t>526951</t>
        </is>
      </c>
    </row>
    <row r="297">
      <c r="A297" s="30" t="inlineStr">
        <is>
          <t>CHAMBLFERT</t>
        </is>
      </c>
      <c r="B297" s="30" t="inlineStr">
        <is>
          <t>Chambal Fertilizers &amp; Chemicals Limited</t>
        </is>
      </c>
      <c r="C297" s="30" t="inlineStr">
        <is>
          <t>chemicals</t>
        </is>
      </c>
      <c r="D297" s="30" t="inlineStr">
        <is>
          <t>fertilizers</t>
        </is>
      </c>
      <c r="E297" s="30" t="inlineStr">
        <is>
          <t>midcap</t>
        </is>
      </c>
      <c r="F297" s="30" t="n">
        <v>19313.44</v>
      </c>
      <c r="G297" s="30" t="n">
        <v>484.2</v>
      </c>
      <c r="H297" s="30" t="n">
        <v>0.45</v>
      </c>
      <c r="I297" s="30" t="n">
        <v>678507</v>
      </c>
      <c r="J297" s="30" t="inlineStr">
        <is>
          <t>500085</t>
        </is>
      </c>
    </row>
    <row r="298">
      <c r="A298" s="30" t="inlineStr">
        <is>
          <t>AUTOAXLES</t>
        </is>
      </c>
      <c r="B298" s="30" t="inlineStr">
        <is>
          <t>Automotive Axles Limited</t>
        </is>
      </c>
      <c r="C298" s="30" t="inlineStr">
        <is>
          <t>auto</t>
        </is>
      </c>
      <c r="D298" s="30" t="inlineStr">
        <is>
          <t>auto ancillaries</t>
        </is>
      </c>
      <c r="E298" s="30" t="inlineStr">
        <is>
          <t>smallcap</t>
        </is>
      </c>
      <c r="F298" s="30" t="n">
        <v>2698.24</v>
      </c>
      <c r="G298" s="30" t="n">
        <v>1793.3</v>
      </c>
      <c r="H298" s="30" t="n">
        <v>0.44</v>
      </c>
      <c r="I298" s="30" t="n">
        <v>6369</v>
      </c>
      <c r="J298" s="30" t="inlineStr">
        <is>
          <t>505010</t>
        </is>
      </c>
    </row>
    <row r="299">
      <c r="A299" s="30" t="inlineStr">
        <is>
          <t>LLOYDSENT</t>
        </is>
      </c>
      <c r="B299" s="30" t="inlineStr">
        <is>
          <t>Lloyds Enterprises Ltd</t>
        </is>
      </c>
      <c r="C299" s="30" t="inlineStr">
        <is>
          <t>services</t>
        </is>
      </c>
      <c r="D299" s="30" t="inlineStr">
        <is>
          <t>trading</t>
        </is>
      </c>
      <c r="E299" s="30" t="inlineStr">
        <is>
          <t>midcap</t>
        </is>
      </c>
      <c r="F299" s="30" t="n">
        <v>11736.13</v>
      </c>
      <c r="G299" s="30" t="n">
        <v>77.22</v>
      </c>
      <c r="H299" s="30" t="n">
        <v>0.44</v>
      </c>
      <c r="I299" s="30" t="n">
        <v>5589903</v>
      </c>
      <c r="J299" s="30" t="inlineStr">
        <is>
          <t>512463</t>
        </is>
      </c>
    </row>
    <row r="300">
      <c r="A300" s="30" t="inlineStr">
        <is>
          <t>VIYASH</t>
        </is>
      </c>
      <c r="B300" s="30" t="inlineStr">
        <is>
          <t>Viyash Scientific Ltd</t>
        </is>
      </c>
      <c r="C300" s="30" t="inlineStr">
        <is>
          <t>healthcare</t>
        </is>
      </c>
      <c r="D300" s="30" t="inlineStr">
        <is>
          <t>pharmaceuticals - indian - bulk drugs &amp; formln</t>
        </is>
      </c>
      <c r="E300" s="30" t="inlineStr">
        <is>
          <t>midcap</t>
        </is>
      </c>
      <c r="F300" s="30" t="n">
        <v>11089.46</v>
      </c>
      <c r="G300" s="30" t="n">
        <v>254.95</v>
      </c>
      <c r="H300" s="30" t="n">
        <v>0.43</v>
      </c>
      <c r="I300" s="30" t="n">
        <v>2478353</v>
      </c>
      <c r="J300" s="30" t="inlineStr">
        <is>
          <t>512529</t>
        </is>
      </c>
    </row>
    <row r="301">
      <c r="A301" s="30" t="inlineStr">
        <is>
          <t>ITI</t>
        </is>
      </c>
      <c r="B301" s="30" t="inlineStr">
        <is>
          <t>Iti Limited</t>
        </is>
      </c>
      <c r="C301" s="30" t="inlineStr">
        <is>
          <t>aerospace &amp; defence</t>
        </is>
      </c>
      <c r="D301" s="30" t="inlineStr">
        <is>
          <t>telecommunications - equipment</t>
        </is>
      </c>
      <c r="E301" s="30" t="inlineStr">
        <is>
          <t>largecap</t>
        </is>
      </c>
      <c r="F301" s="30" t="n">
        <v>29959.14</v>
      </c>
      <c r="G301" s="30" t="n">
        <v>312.45</v>
      </c>
      <c r="H301" s="30" t="n">
        <v>0.42</v>
      </c>
      <c r="I301" s="30" t="n">
        <v>2700187</v>
      </c>
      <c r="J301" s="30" t="inlineStr">
        <is>
          <t>523610</t>
        </is>
      </c>
    </row>
    <row r="302">
      <c r="A302" s="30" t="inlineStr">
        <is>
          <t>DATAPATTNS</t>
        </is>
      </c>
      <c r="B302" s="30" t="inlineStr">
        <is>
          <t>Data Patterns (India) Ltd</t>
        </is>
      </c>
      <c r="C302" s="30" t="inlineStr">
        <is>
          <t>aerospace &amp; defence</t>
        </is>
      </c>
      <c r="D302" s="30" t="inlineStr">
        <is>
          <t>electronics - components</t>
        </is>
      </c>
      <c r="E302" s="30" t="inlineStr">
        <is>
          <t>largecap</t>
        </is>
      </c>
      <c r="F302" s="30" t="n">
        <v>26884.06</v>
      </c>
      <c r="G302" s="30" t="n">
        <v>4822.1</v>
      </c>
      <c r="H302" s="30" t="n">
        <v>0.42</v>
      </c>
      <c r="I302" s="30" t="n">
        <v>1560709</v>
      </c>
      <c r="J302" s="30" t="inlineStr">
        <is>
          <t>543428</t>
        </is>
      </c>
    </row>
    <row r="303">
      <c r="A303" s="30" t="inlineStr">
        <is>
          <t>KKCL</t>
        </is>
      </c>
      <c r="B303" s="30" t="inlineStr">
        <is>
          <t>Kewal Kiran Clothing Limited</t>
        </is>
      </c>
      <c r="C303" s="30" t="inlineStr">
        <is>
          <t>consumer discretionary</t>
        </is>
      </c>
      <c r="D303" s="30" t="inlineStr">
        <is>
          <t>textiles - products</t>
        </is>
      </c>
      <c r="E303" s="30" t="inlineStr">
        <is>
          <t>smallcap</t>
        </is>
      </c>
      <c r="F303" s="30" t="n">
        <v>3028.57</v>
      </c>
      <c r="G303" s="30" t="n">
        <v>493.5</v>
      </c>
      <c r="H303" s="30" t="n">
        <v>0.42</v>
      </c>
      <c r="I303" s="30" t="n">
        <v>49402</v>
      </c>
      <c r="J303" s="30" t="inlineStr">
        <is>
          <t>532732</t>
        </is>
      </c>
    </row>
    <row r="304">
      <c r="A304" s="30" t="inlineStr">
        <is>
          <t>DELHIVERY</t>
        </is>
      </c>
      <c r="B304" s="30" t="inlineStr">
        <is>
          <t>Delhivery Ltd</t>
        </is>
      </c>
      <c r="C304" s="30" t="inlineStr">
        <is>
          <t>transportation</t>
        </is>
      </c>
      <c r="D304" s="30" t="inlineStr">
        <is>
          <t>miscellaneous</t>
        </is>
      </c>
      <c r="E304" s="30" t="inlineStr">
        <is>
          <t>largecap</t>
        </is>
      </c>
      <c r="F304" s="30" t="n">
        <v>34376.08</v>
      </c>
      <c r="G304" s="30" t="n">
        <v>461.1</v>
      </c>
      <c r="H304" s="30" t="n">
        <v>0.41</v>
      </c>
      <c r="I304" s="30" t="n">
        <v>1719497</v>
      </c>
      <c r="J304" s="30" t="inlineStr">
        <is>
          <t>543529</t>
        </is>
      </c>
    </row>
    <row r="305">
      <c r="A305" s="30" t="inlineStr">
        <is>
          <t>ADFFOODS</t>
        </is>
      </c>
      <c r="B305" s="30" t="inlineStr">
        <is>
          <t>Adf Foods Limited</t>
        </is>
      </c>
      <c r="C305" s="30" t="inlineStr">
        <is>
          <t>fmcg</t>
        </is>
      </c>
      <c r="D305" s="30" t="inlineStr">
        <is>
          <t>food - processing - indian</t>
        </is>
      </c>
      <c r="E305" s="30" t="inlineStr">
        <is>
          <t>smallcap</t>
        </is>
      </c>
      <c r="F305" s="30" t="n">
        <v>3357.43</v>
      </c>
      <c r="G305" s="30" t="n">
        <v>306.85</v>
      </c>
      <c r="H305" s="30" t="n">
        <v>0.41</v>
      </c>
      <c r="I305" s="30" t="n">
        <v>182179</v>
      </c>
      <c r="J305" s="30" t="inlineStr">
        <is>
          <t>519183</t>
        </is>
      </c>
    </row>
    <row r="306">
      <c r="A306" s="30" t="inlineStr">
        <is>
          <t>J&amp;KBANK</t>
        </is>
      </c>
      <c r="B306" s="30" t="inlineStr">
        <is>
          <t>The Jammu &amp; Kashmir Bank Limited</t>
        </is>
      </c>
      <c r="C306" s="30" t="inlineStr">
        <is>
          <t>bank</t>
        </is>
      </c>
      <c r="D306" s="30" t="inlineStr">
        <is>
          <t>banks - private sector</t>
        </is>
      </c>
      <c r="E306" s="30" t="inlineStr">
        <is>
          <t>midcap</t>
        </is>
      </c>
      <c r="F306" s="30" t="n">
        <v>17938.26</v>
      </c>
      <c r="G306" s="30" t="n">
        <v>163.56</v>
      </c>
      <c r="H306" s="30" t="n">
        <v>0.41</v>
      </c>
      <c r="I306" s="30" t="n">
        <v>3046354</v>
      </c>
      <c r="J306" s="30" t="inlineStr">
        <is>
          <t>532209</t>
        </is>
      </c>
    </row>
    <row r="307">
      <c r="A307" s="30" t="inlineStr">
        <is>
          <t>ATGL</t>
        </is>
      </c>
      <c r="B307" s="30" t="inlineStr">
        <is>
          <t>Adani Total Gas Ltd</t>
        </is>
      </c>
      <c r="C307" s="30" t="inlineStr">
        <is>
          <t>energy</t>
        </is>
      </c>
      <c r="D307" s="30" t="inlineStr">
        <is>
          <t>miscellaneous</t>
        </is>
      </c>
      <c r="E307" s="30" t="inlineStr">
        <is>
          <t>largecap</t>
        </is>
      </c>
      <c r="F307" s="30" t="n">
        <v>79664.74000000001</v>
      </c>
      <c r="G307" s="30" t="n">
        <v>727.3</v>
      </c>
      <c r="H307" s="30" t="n">
        <v>0.41</v>
      </c>
      <c r="I307" s="30" t="n">
        <v>3480575</v>
      </c>
      <c r="J307" s="30" t="inlineStr">
        <is>
          <t>542066</t>
        </is>
      </c>
    </row>
    <row r="308">
      <c r="A308" s="30" t="inlineStr">
        <is>
          <t>KIRLOSENG</t>
        </is>
      </c>
      <c r="B308" s="30" t="inlineStr">
        <is>
          <t>Kirloskar Oil Engines Limited</t>
        </is>
      </c>
      <c r="C308" s="30" t="inlineStr">
        <is>
          <t>industrials</t>
        </is>
      </c>
      <c r="D308" s="30" t="inlineStr">
        <is>
          <t>engines</t>
        </is>
      </c>
      <c r="E308" s="30" t="inlineStr">
        <is>
          <t>largecap</t>
        </is>
      </c>
      <c r="F308" s="30" t="n">
        <v>28832</v>
      </c>
      <c r="G308" s="30" t="n">
        <v>1991.5</v>
      </c>
      <c r="H308" s="30" t="n">
        <v>0.4</v>
      </c>
      <c r="I308" s="30" t="n">
        <v>343321</v>
      </c>
      <c r="J308" s="30" t="inlineStr">
        <is>
          <t>533293</t>
        </is>
      </c>
    </row>
    <row r="309">
      <c r="A309" s="30" t="inlineStr">
        <is>
          <t>BOSCHLTD</t>
        </is>
      </c>
      <c r="B309" s="30" t="inlineStr">
        <is>
          <t>Bosch Limited</t>
        </is>
      </c>
      <c r="C309" s="30" t="inlineStr">
        <is>
          <t>auto</t>
        </is>
      </c>
      <c r="D309" s="30" t="inlineStr">
        <is>
          <t>auto ancillaries</t>
        </is>
      </c>
      <c r="E309" s="30" t="inlineStr">
        <is>
          <t>largecap</t>
        </is>
      </c>
      <c r="F309" s="30" t="n">
        <v>118077.79</v>
      </c>
      <c r="G309" s="30" t="n">
        <v>40195</v>
      </c>
      <c r="H309" s="30" t="n">
        <v>0.4</v>
      </c>
      <c r="I309" s="30" t="n">
        <v>41782</v>
      </c>
      <c r="J309" s="30" t="inlineStr">
        <is>
          <t>500530</t>
        </is>
      </c>
    </row>
    <row r="310">
      <c r="A310" s="30" t="inlineStr">
        <is>
          <t>MAXHEALTH</t>
        </is>
      </c>
      <c r="B310" s="30" t="inlineStr">
        <is>
          <t>Max Healthcare Institute Ltd</t>
        </is>
      </c>
      <c r="C310" s="30" t="inlineStr">
        <is>
          <t>healthcare</t>
        </is>
      </c>
      <c r="D310" s="30" t="inlineStr">
        <is>
          <t>healthcare</t>
        </is>
      </c>
      <c r="E310" s="30" t="inlineStr">
        <is>
          <t>largecap</t>
        </is>
      </c>
      <c r="F310" s="30" t="n">
        <v>106115.51</v>
      </c>
      <c r="G310" s="30" t="n">
        <v>1094.75</v>
      </c>
      <c r="H310" s="30" t="n">
        <v>0.39</v>
      </c>
      <c r="I310" s="30" t="n">
        <v>2057402</v>
      </c>
      <c r="J310" s="30" t="inlineStr">
        <is>
          <t>543220</t>
        </is>
      </c>
    </row>
    <row r="311">
      <c r="A311" s="30" t="inlineStr">
        <is>
          <t>PANACHE</t>
        </is>
      </c>
      <c r="B311" s="30" t="inlineStr">
        <is>
          <t>Panache Digilife Ltd</t>
        </is>
      </c>
      <c r="C311" s="30" t="inlineStr">
        <is>
          <t>i.t</t>
        </is>
      </c>
      <c r="D311" s="30" t="inlineStr">
        <is>
          <t>computers - hardware</t>
        </is>
      </c>
      <c r="E311" s="30" t="inlineStr">
        <is>
          <t>smallcap</t>
        </is>
      </c>
      <c r="F311" s="30" t="n">
        <v>679.23</v>
      </c>
      <c r="G311" s="30" t="n">
        <v>425.8</v>
      </c>
      <c r="H311" s="30" t="n">
        <v>0.39</v>
      </c>
      <c r="I311" s="30" t="n">
        <v>13445</v>
      </c>
      <c r="J311" s="30" t="inlineStr">
        <is>
          <t>538424</t>
        </is>
      </c>
    </row>
    <row r="312">
      <c r="A312" s="30" t="inlineStr">
        <is>
          <t>SIEMENS</t>
        </is>
      </c>
      <c r="B312" s="30" t="inlineStr">
        <is>
          <t>Siemens Limited</t>
        </is>
      </c>
      <c r="C312" s="30" t="inlineStr">
        <is>
          <t>industrials</t>
        </is>
      </c>
      <c r="D312" s="30" t="inlineStr">
        <is>
          <t>electric equipment</t>
        </is>
      </c>
      <c r="E312" s="30" t="inlineStr">
        <is>
          <t>largecap</t>
        </is>
      </c>
      <c r="F312" s="30" t="n">
        <v>133409.86</v>
      </c>
      <c r="G312" s="30" t="n">
        <v>3759.6</v>
      </c>
      <c r="H312" s="30" t="n">
        <v>0.36</v>
      </c>
      <c r="I312" s="30" t="n">
        <v>339876</v>
      </c>
      <c r="J312" s="30" t="inlineStr">
        <is>
          <t>500550</t>
        </is>
      </c>
    </row>
    <row r="313">
      <c r="A313" s="30" t="inlineStr">
        <is>
          <t>THANGAMAYL</t>
        </is>
      </c>
      <c r="B313" s="30" t="inlineStr">
        <is>
          <t>Thangamayil Jewellery Limited</t>
        </is>
      </c>
      <c r="C313" s="30" t="inlineStr">
        <is>
          <t>consumer discretionary</t>
        </is>
      </c>
      <c r="D313" s="30" t="inlineStr">
        <is>
          <t>diamond cutting / jewellery</t>
        </is>
      </c>
      <c r="E313" s="30" t="inlineStr">
        <is>
          <t>midcap</t>
        </is>
      </c>
      <c r="F313" s="30" t="n">
        <v>16895.25</v>
      </c>
      <c r="G313" s="30" t="n">
        <v>5454.6</v>
      </c>
      <c r="H313" s="30" t="n">
        <v>0.35</v>
      </c>
      <c r="I313" s="30" t="n">
        <v>58334</v>
      </c>
      <c r="J313" s="30" t="inlineStr">
        <is>
          <t>533158</t>
        </is>
      </c>
    </row>
    <row r="314">
      <c r="A314" s="30" t="inlineStr">
        <is>
          <t>MANKIND</t>
        </is>
      </c>
      <c r="B314" s="30" t="inlineStr">
        <is>
          <t>Mankind Pharma Ltd</t>
        </is>
      </c>
      <c r="C314" s="30" t="inlineStr">
        <is>
          <t>healthcare</t>
        </is>
      </c>
      <c r="D314" s="30" t="inlineStr">
        <is>
          <t>pharmaceuticals - indian - bulk drugs &amp; formln</t>
        </is>
      </c>
      <c r="E314" s="30" t="inlineStr">
        <is>
          <t>largecap</t>
        </is>
      </c>
      <c r="F314" s="30" t="n">
        <v>99326.5</v>
      </c>
      <c r="G314" s="30" t="n">
        <v>2414.2</v>
      </c>
      <c r="H314" s="30" t="n">
        <v>0.34</v>
      </c>
      <c r="I314" s="30" t="n">
        <v>484809</v>
      </c>
      <c r="J314" s="30" t="inlineStr">
        <is>
          <t>543904</t>
        </is>
      </c>
    </row>
    <row r="315">
      <c r="A315" s="30" t="inlineStr">
        <is>
          <t>STEELCAS</t>
        </is>
      </c>
      <c r="B315" s="30" t="inlineStr">
        <is>
          <t>Steelcast Ltd</t>
        </is>
      </c>
      <c r="C315" s="30" t="inlineStr">
        <is>
          <t>industrials</t>
        </is>
      </c>
      <c r="D315" s="30" t="inlineStr">
        <is>
          <t>castings &amp; forgings</t>
        </is>
      </c>
      <c r="E315" s="30" t="inlineStr">
        <is>
          <t>smallcap</t>
        </is>
      </c>
      <c r="F315" s="30" t="n">
        <v>2959.09</v>
      </c>
      <c r="G315" s="30" t="n">
        <v>293.4</v>
      </c>
      <c r="H315" s="30" t="n">
        <v>0.34</v>
      </c>
      <c r="I315" s="30" t="n">
        <v>30896</v>
      </c>
      <c r="J315" s="30" t="inlineStr">
        <is>
          <t>513517</t>
        </is>
      </c>
    </row>
    <row r="316">
      <c r="A316" s="30" t="inlineStr">
        <is>
          <t>360ONE</t>
        </is>
      </c>
      <c r="B316" s="30" t="inlineStr">
        <is>
          <t>360 ONE WAM Ltd</t>
        </is>
      </c>
      <c r="C316" s="30" t="inlineStr">
        <is>
          <t>financials</t>
        </is>
      </c>
      <c r="D316" s="30" t="inlineStr">
        <is>
          <t>finance &amp; investments</t>
        </is>
      </c>
      <c r="E316" s="30" t="inlineStr">
        <is>
          <t>largecap</t>
        </is>
      </c>
      <c r="F316" s="30" t="n">
        <v>46352.58</v>
      </c>
      <c r="G316" s="30" t="n">
        <v>1145.1</v>
      </c>
      <c r="H316" s="30" t="n">
        <v>0.33</v>
      </c>
      <c r="I316" s="30" t="n">
        <v>1587197</v>
      </c>
      <c r="J316" s="30" t="inlineStr">
        <is>
          <t>542772</t>
        </is>
      </c>
    </row>
    <row r="317">
      <c r="A317" s="30" t="inlineStr">
        <is>
          <t>NGLFINE</t>
        </is>
      </c>
      <c r="B317" s="30" t="inlineStr">
        <is>
          <t>NGL Fine Chem Ltd</t>
        </is>
      </c>
      <c r="C317" s="30" t="inlineStr">
        <is>
          <t>healthcare</t>
        </is>
      </c>
      <c r="D317" s="30" t="inlineStr">
        <is>
          <t>pharmaceuticals - indian - bulk drugs</t>
        </is>
      </c>
      <c r="E317" s="30" t="inlineStr">
        <is>
          <t>smallcap</t>
        </is>
      </c>
      <c r="F317" s="30" t="n">
        <v>1881.46</v>
      </c>
      <c r="G317" s="30" t="n">
        <v>3055.6</v>
      </c>
      <c r="H317" s="30" t="n">
        <v>0.33</v>
      </c>
      <c r="I317" s="30" t="n">
        <v>15448</v>
      </c>
      <c r="J317" s="30" t="inlineStr">
        <is>
          <t>524774</t>
        </is>
      </c>
    </row>
    <row r="318">
      <c r="A318" s="30" t="inlineStr">
        <is>
          <t>MINDACORP</t>
        </is>
      </c>
      <c r="B318" s="30" t="inlineStr">
        <is>
          <t>Minda Corporation Limited</t>
        </is>
      </c>
      <c r="C318" s="30" t="inlineStr">
        <is>
          <t>auto</t>
        </is>
      </c>
      <c r="D318" s="30" t="inlineStr">
        <is>
          <t>auto ancillaries</t>
        </is>
      </c>
      <c r="E318" s="30" t="inlineStr">
        <is>
          <t>midcap</t>
        </is>
      </c>
      <c r="F318" s="30" t="n">
        <v>15561.68</v>
      </c>
      <c r="G318" s="30" t="n">
        <v>652.95</v>
      </c>
      <c r="H318" s="30" t="n">
        <v>0.31</v>
      </c>
      <c r="I318" s="30" t="n">
        <v>330070</v>
      </c>
      <c r="J318" s="30" t="inlineStr">
        <is>
          <t>538962</t>
        </is>
      </c>
    </row>
    <row r="319">
      <c r="A319" s="30" t="inlineStr">
        <is>
          <t>ICICIBANK</t>
        </is>
      </c>
      <c r="B319" s="30" t="inlineStr">
        <is>
          <t>Icici Bank Limited</t>
        </is>
      </c>
      <c r="C319" s="30" t="inlineStr">
        <is>
          <t>bank</t>
        </is>
      </c>
      <c r="D319" s="30" t="inlineStr">
        <is>
          <t>banks - private sector</t>
        </is>
      </c>
      <c r="E319" s="30" t="inlineStr">
        <is>
          <t>largecap</t>
        </is>
      </c>
      <c r="F319" s="30" t="n">
        <v>961101.91</v>
      </c>
      <c r="G319" s="30" t="n">
        <v>1346.5</v>
      </c>
      <c r="H319" s="30" t="n">
        <v>0.31</v>
      </c>
      <c r="I319" s="30" t="n">
        <v>9057322</v>
      </c>
      <c r="J319" s="30" t="inlineStr">
        <is>
          <t>532174</t>
        </is>
      </c>
    </row>
    <row r="320">
      <c r="A320" s="30" t="inlineStr">
        <is>
          <t>BAJFINANCE</t>
        </is>
      </c>
      <c r="B320" s="30" t="inlineStr">
        <is>
          <t>Bajaj Finance Limited</t>
        </is>
      </c>
      <c r="C320" s="30" t="inlineStr">
        <is>
          <t>financials</t>
        </is>
      </c>
      <c r="D320" s="30" t="inlineStr">
        <is>
          <t>finance &amp; investments</t>
        </is>
      </c>
      <c r="E320" s="30" t="inlineStr">
        <is>
          <t>largecap</t>
        </is>
      </c>
      <c r="F320" s="30" t="n">
        <v>596642.67</v>
      </c>
      <c r="G320" s="30" t="n">
        <v>961.8</v>
      </c>
      <c r="H320" s="30" t="n">
        <v>0.31</v>
      </c>
      <c r="I320" s="30" t="n">
        <v>12941776</v>
      </c>
      <c r="J320" s="30" t="inlineStr">
        <is>
          <t>500034</t>
        </is>
      </c>
    </row>
    <row r="321">
      <c r="A321" s="30" t="inlineStr">
        <is>
          <t>VARROC</t>
        </is>
      </c>
      <c r="B321" s="30" t="inlineStr">
        <is>
          <t>Varroc Engineering Ltd</t>
        </is>
      </c>
      <c r="C321" s="30" t="inlineStr">
        <is>
          <t>auto</t>
        </is>
      </c>
      <c r="D321" s="30" t="inlineStr">
        <is>
          <t>auto ancillaries</t>
        </is>
      </c>
      <c r="E321" s="30" t="inlineStr">
        <is>
          <t>midcap</t>
        </is>
      </c>
      <c r="F321" s="30" t="n">
        <v>9371.15</v>
      </c>
      <c r="G321" s="30" t="n">
        <v>615.2</v>
      </c>
      <c r="H321" s="30" t="n">
        <v>0.3</v>
      </c>
      <c r="I321" s="30" t="n">
        <v>83632</v>
      </c>
      <c r="J321" s="30" t="inlineStr">
        <is>
          <t>541578</t>
        </is>
      </c>
    </row>
    <row r="322">
      <c r="A322" s="30" t="inlineStr">
        <is>
          <t>PANACEABIO</t>
        </is>
      </c>
      <c r="B322" s="30" t="inlineStr">
        <is>
          <t>Panacea Biotec Limited</t>
        </is>
      </c>
      <c r="C322" s="30" t="inlineStr">
        <is>
          <t>healthcare</t>
        </is>
      </c>
      <c r="D322" s="30" t="inlineStr">
        <is>
          <t>pharmaceuticals - indian - bulk drugs &amp; formln</t>
        </is>
      </c>
      <c r="E322" s="30" t="inlineStr">
        <is>
          <t>smallcap</t>
        </is>
      </c>
      <c r="F322" s="30" t="n">
        <v>3276</v>
      </c>
      <c r="G322" s="30" t="n">
        <v>536.4</v>
      </c>
      <c r="H322" s="30" t="n">
        <v>0.29</v>
      </c>
      <c r="I322" s="30" t="n">
        <v>385112</v>
      </c>
      <c r="J322" s="30" t="inlineStr">
        <is>
          <t>531349</t>
        </is>
      </c>
    </row>
    <row r="323">
      <c r="A323" s="30" t="inlineStr">
        <is>
          <t>TDPOWERSYS</t>
        </is>
      </c>
      <c r="B323" s="30" t="inlineStr">
        <is>
          <t>Td Power Systems Limited</t>
        </is>
      </c>
      <c r="C323" s="30" t="inlineStr">
        <is>
          <t>industrials</t>
        </is>
      </c>
      <c r="D323" s="30" t="inlineStr">
        <is>
          <t>electric equipment</t>
        </is>
      </c>
      <c r="E323" s="30" t="inlineStr">
        <is>
          <t>midcap</t>
        </is>
      </c>
      <c r="F323" s="30" t="n">
        <v>19823.66</v>
      </c>
      <c r="G323" s="30" t="n">
        <v>1272.7</v>
      </c>
      <c r="H323" s="30" t="n">
        <v>0.29</v>
      </c>
      <c r="I323" s="30" t="n">
        <v>508115</v>
      </c>
      <c r="J323" s="30" t="inlineStr">
        <is>
          <t>533553</t>
        </is>
      </c>
    </row>
    <row r="324">
      <c r="A324" s="30" t="inlineStr">
        <is>
          <t>CHOLAFIN</t>
        </is>
      </c>
      <c r="B324" s="30" t="inlineStr">
        <is>
          <t>Cholamandalam Investment And Finance Company Limited</t>
        </is>
      </c>
      <c r="C324" s="30" t="inlineStr">
        <is>
          <t>financials</t>
        </is>
      </c>
      <c r="D324" s="30" t="inlineStr">
        <is>
          <t>finance &amp; investments</t>
        </is>
      </c>
      <c r="E324" s="30" t="inlineStr">
        <is>
          <t>largecap</t>
        </is>
      </c>
      <c r="F324" s="30" t="n">
        <v>143900.56</v>
      </c>
      <c r="G324" s="30" t="n">
        <v>1693.4</v>
      </c>
      <c r="H324" s="30" t="n">
        <v>0.27</v>
      </c>
      <c r="I324" s="30" t="n">
        <v>1247083</v>
      </c>
      <c r="J324" s="30" t="inlineStr">
        <is>
          <t>511243</t>
        </is>
      </c>
    </row>
    <row r="325">
      <c r="A325" s="30" t="inlineStr">
        <is>
          <t>ABB</t>
        </is>
      </c>
      <c r="B325" s="30" t="inlineStr">
        <is>
          <t>Abb India Limited</t>
        </is>
      </c>
      <c r="C325" s="30" t="inlineStr">
        <is>
          <t>industrials</t>
        </is>
      </c>
      <c r="D325" s="30" t="inlineStr">
        <is>
          <t>electric equipment</t>
        </is>
      </c>
      <c r="E325" s="30" t="inlineStr">
        <is>
          <t>largecap</t>
        </is>
      </c>
      <c r="F325" s="30" t="n">
        <v>153188.56</v>
      </c>
      <c r="G325" s="30" t="n">
        <v>7248</v>
      </c>
      <c r="H325" s="30" t="n">
        <v>0.26</v>
      </c>
      <c r="I325" s="30" t="n">
        <v>241827</v>
      </c>
      <c r="J325" s="30" t="inlineStr">
        <is>
          <t>500002</t>
        </is>
      </c>
    </row>
    <row r="326">
      <c r="A326" s="30" t="inlineStr">
        <is>
          <t>INDNIPPON</t>
        </is>
      </c>
      <c r="B326" s="30" t="inlineStr">
        <is>
          <t>India Nippon Electricals Limited</t>
        </is>
      </c>
      <c r="C326" s="30" t="inlineStr">
        <is>
          <t>auto</t>
        </is>
      </c>
      <c r="D326" s="30" t="inlineStr">
        <is>
          <t>auto ancillaries</t>
        </is>
      </c>
      <c r="E326" s="30" t="inlineStr">
        <is>
          <t>smallcap</t>
        </is>
      </c>
      <c r="F326" s="30" t="n">
        <v>2062.96</v>
      </c>
      <c r="G326" s="30" t="n">
        <v>914.3</v>
      </c>
      <c r="H326" s="30" t="n">
        <v>0.26</v>
      </c>
      <c r="I326" s="30" t="n">
        <v>28400</v>
      </c>
      <c r="J326" s="30" t="inlineStr">
        <is>
          <t>532240</t>
        </is>
      </c>
    </row>
    <row r="327">
      <c r="A327" s="30" t="inlineStr">
        <is>
          <t>ANGELONE</t>
        </is>
      </c>
      <c r="B327" s="30" t="inlineStr">
        <is>
          <t>Angel One Ltd</t>
        </is>
      </c>
      <c r="C327" s="30" t="inlineStr">
        <is>
          <t>financials</t>
        </is>
      </c>
      <c r="D327" s="30" t="inlineStr">
        <is>
          <t>finance &amp; investments</t>
        </is>
      </c>
      <c r="E327" s="30" t="inlineStr">
        <is>
          <t>largecap</t>
        </is>
      </c>
      <c r="F327" s="30" t="n">
        <v>32135.11</v>
      </c>
      <c r="G327" s="30" t="n">
        <v>353.7</v>
      </c>
      <c r="H327" s="30" t="n">
        <v>0.26</v>
      </c>
      <c r="I327" s="30" t="n">
        <v>9378921</v>
      </c>
      <c r="J327" s="30" t="n"/>
    </row>
    <row r="328">
      <c r="A328" s="30" t="inlineStr">
        <is>
          <t>JAMNAAUTO</t>
        </is>
      </c>
      <c r="B328" s="30" t="inlineStr">
        <is>
          <t>Jamna Auto Industries Limited</t>
        </is>
      </c>
      <c r="C328" s="30" t="inlineStr">
        <is>
          <t>auto</t>
        </is>
      </c>
      <c r="D328" s="30" t="inlineStr">
        <is>
          <t>auto ancillaries</t>
        </is>
      </c>
      <c r="E328" s="30" t="inlineStr">
        <is>
          <t>midcap</t>
        </is>
      </c>
      <c r="F328" s="30" t="n">
        <v>5280.58</v>
      </c>
      <c r="G328" s="30" t="n">
        <v>132.37</v>
      </c>
      <c r="H328" s="30" t="n">
        <v>0.2</v>
      </c>
      <c r="I328" s="30" t="n">
        <v>2079930</v>
      </c>
      <c r="J328" s="30" t="inlineStr">
        <is>
          <t>520051</t>
        </is>
      </c>
    </row>
    <row r="329">
      <c r="A329" s="30" t="inlineStr">
        <is>
          <t>SILVERTUC</t>
        </is>
      </c>
      <c r="B329" s="30" t="inlineStr">
        <is>
          <t>Silver Touch Technologies Ltd</t>
        </is>
      </c>
      <c r="C329" s="30" t="inlineStr">
        <is>
          <t>i.t</t>
        </is>
      </c>
      <c r="D329" s="30" t="inlineStr">
        <is>
          <t>computers - software - medium / small</t>
        </is>
      </c>
      <c r="E329" s="30" t="inlineStr">
        <is>
          <t>smallcap</t>
        </is>
      </c>
      <c r="F329" s="30" t="n">
        <v>2354.73</v>
      </c>
      <c r="G329" s="30" t="n">
        <v>186.06</v>
      </c>
      <c r="H329" s="30" t="n">
        <v>0.2</v>
      </c>
      <c r="I329" s="30" t="n">
        <v>444863</v>
      </c>
      <c r="J329" s="30" t="inlineStr">
        <is>
          <t>535031</t>
        </is>
      </c>
    </row>
    <row r="330">
      <c r="A330" s="30" t="inlineStr">
        <is>
          <t>SPORTKING</t>
        </is>
      </c>
      <c r="B330" s="30" t="inlineStr">
        <is>
          <t>Sportking India Ltd</t>
        </is>
      </c>
      <c r="C330" s="30" t="inlineStr">
        <is>
          <t>textiles</t>
        </is>
      </c>
      <c r="D330" s="30" t="inlineStr">
        <is>
          <t>textiles - spinning - synthetic / blended</t>
        </is>
      </c>
      <c r="E330" s="30" t="inlineStr">
        <is>
          <t>smallcap</t>
        </is>
      </c>
      <c r="F330" s="30" t="n">
        <v>2321.61</v>
      </c>
      <c r="G330" s="30" t="n">
        <v>183.07</v>
      </c>
      <c r="H330" s="30" t="n">
        <v>0.2</v>
      </c>
      <c r="I330" s="30" t="n">
        <v>178466</v>
      </c>
      <c r="J330" s="30" t="inlineStr">
        <is>
          <t>539221</t>
        </is>
      </c>
    </row>
    <row r="331">
      <c r="A331" s="30" t="inlineStr">
        <is>
          <t>INDIGO</t>
        </is>
      </c>
      <c r="B331" s="30" t="inlineStr">
        <is>
          <t>Interglobe Aviation Limited</t>
        </is>
      </c>
      <c r="C331" s="30" t="inlineStr">
        <is>
          <t>transportation</t>
        </is>
      </c>
      <c r="D331" s="30" t="inlineStr">
        <is>
          <t>transport - airlines</t>
        </is>
      </c>
      <c r="E331" s="30" t="inlineStr">
        <is>
          <t>largecap</t>
        </is>
      </c>
      <c r="F331" s="30" t="n">
        <v>193762.7</v>
      </c>
      <c r="G331" s="30" t="n">
        <v>5021.5</v>
      </c>
      <c r="H331" s="30" t="n">
        <v>0.19</v>
      </c>
      <c r="I331" s="30" t="n">
        <v>1070918</v>
      </c>
      <c r="J331" s="30" t="inlineStr">
        <is>
          <t>539448</t>
        </is>
      </c>
    </row>
    <row r="332">
      <c r="A332" s="30" t="inlineStr">
        <is>
          <t>CANFINHOME</t>
        </is>
      </c>
      <c r="B332" s="30" t="inlineStr">
        <is>
          <t>Can Fin Homes Limited</t>
        </is>
      </c>
      <c r="C332" s="30" t="inlineStr">
        <is>
          <t>financials</t>
        </is>
      </c>
      <c r="D332" s="30" t="inlineStr">
        <is>
          <t>finance - housing</t>
        </is>
      </c>
      <c r="E332" s="30" t="inlineStr">
        <is>
          <t>midcap</t>
        </is>
      </c>
      <c r="F332" s="30" t="n">
        <v>11766.83</v>
      </c>
      <c r="G332" s="30" t="n">
        <v>885.35</v>
      </c>
      <c r="H332" s="30" t="n">
        <v>0.19</v>
      </c>
      <c r="I332" s="30" t="n">
        <v>109890</v>
      </c>
      <c r="J332" s="30" t="inlineStr">
        <is>
          <t>511196</t>
        </is>
      </c>
    </row>
    <row r="333">
      <c r="A333" s="30" t="inlineStr">
        <is>
          <t>ARVSMART</t>
        </is>
      </c>
      <c r="B333" s="30" t="inlineStr">
        <is>
          <t>Arvind Smartspaces Limited</t>
        </is>
      </c>
      <c r="C333" s="30" t="inlineStr">
        <is>
          <t>realty</t>
        </is>
      </c>
      <c r="D333" s="30" t="inlineStr">
        <is>
          <t>construction</t>
        </is>
      </c>
      <c r="E333" s="30" t="inlineStr">
        <is>
          <t>smallcap</t>
        </is>
      </c>
      <c r="F333" s="30" t="n">
        <v>2796.28</v>
      </c>
      <c r="G333" s="30" t="n">
        <v>610.7</v>
      </c>
      <c r="H333" s="30" t="n">
        <v>0.17</v>
      </c>
      <c r="I333" s="30" t="n">
        <v>36917</v>
      </c>
      <c r="J333" s="30" t="inlineStr">
        <is>
          <t>539301</t>
        </is>
      </c>
    </row>
    <row r="334">
      <c r="A334" s="30" t="inlineStr">
        <is>
          <t>TEXINFRA</t>
        </is>
      </c>
      <c r="B334" s="30" t="inlineStr">
        <is>
          <t>Texmaco Infrastructure &amp; Holdings Limited</t>
        </is>
      </c>
      <c r="C334" s="30" t="inlineStr">
        <is>
          <t>realty</t>
        </is>
      </c>
      <c r="D334" s="30" t="inlineStr">
        <is>
          <t>construction</t>
        </is>
      </c>
      <c r="E334" s="30" t="inlineStr">
        <is>
          <t>smallcap</t>
        </is>
      </c>
      <c r="F334" s="30" t="n">
        <v>1302.68</v>
      </c>
      <c r="G334" s="30" t="n">
        <v>102.39</v>
      </c>
      <c r="H334" s="30" t="n">
        <v>0.16</v>
      </c>
      <c r="I334" s="30" t="n">
        <v>90151</v>
      </c>
      <c r="J334" s="30" t="inlineStr">
        <is>
          <t>505400</t>
        </is>
      </c>
    </row>
    <row r="335">
      <c r="A335" s="30" t="inlineStr">
        <is>
          <t>FCL</t>
        </is>
      </c>
      <c r="B335" s="30" t="inlineStr">
        <is>
          <t>Fineotex Chemical Limited</t>
        </is>
      </c>
      <c r="C335" s="30" t="inlineStr">
        <is>
          <t>chemicals</t>
        </is>
      </c>
      <c r="D335" s="30" t="inlineStr">
        <is>
          <t>chemicals</t>
        </is>
      </c>
      <c r="E335" s="30" t="inlineStr">
        <is>
          <t>midcap</t>
        </is>
      </c>
      <c r="F335" s="30" t="n">
        <v>5059.76</v>
      </c>
      <c r="G335" s="30" t="n">
        <v>43.52</v>
      </c>
      <c r="H335" s="30" t="n">
        <v>0.16</v>
      </c>
      <c r="I335" s="30" t="n">
        <v>9239961</v>
      </c>
      <c r="J335" s="30" t="inlineStr">
        <is>
          <t>533333</t>
        </is>
      </c>
    </row>
    <row r="336">
      <c r="A336" s="30" t="inlineStr">
        <is>
          <t>PETRONET</t>
        </is>
      </c>
      <c r="B336" s="30" t="inlineStr">
        <is>
          <t>Petronet Lng Limited</t>
        </is>
      </c>
      <c r="C336" s="30" t="inlineStr">
        <is>
          <t>energy</t>
        </is>
      </c>
      <c r="D336" s="30" t="inlineStr">
        <is>
          <t>miscellaneous</t>
        </is>
      </c>
      <c r="E336" s="30" t="inlineStr">
        <is>
          <t>largecap</t>
        </is>
      </c>
      <c r="F336" s="30" t="n">
        <v>43237.5</v>
      </c>
      <c r="G336" s="30" t="n">
        <v>288.7</v>
      </c>
      <c r="H336" s="30" t="n">
        <v>0.16</v>
      </c>
      <c r="I336" s="30" t="n">
        <v>2152318</v>
      </c>
      <c r="J336" s="30" t="inlineStr">
        <is>
          <t>532522</t>
        </is>
      </c>
    </row>
    <row r="337">
      <c r="A337" s="30" t="inlineStr">
        <is>
          <t>EPL</t>
        </is>
      </c>
      <c r="B337" s="30" t="inlineStr">
        <is>
          <t>EPL Ltd</t>
        </is>
      </c>
      <c r="C337" s="30" t="inlineStr">
        <is>
          <t>industrials</t>
        </is>
      </c>
      <c r="D337" s="30" t="inlineStr">
        <is>
          <t>packaging</t>
        </is>
      </c>
      <c r="E337" s="30" t="inlineStr">
        <is>
          <t>midcap</t>
        </is>
      </c>
      <c r="F337" s="30" t="n">
        <v>7341.04</v>
      </c>
      <c r="G337" s="30" t="n">
        <v>229.57</v>
      </c>
      <c r="H337" s="30" t="n">
        <v>0.15</v>
      </c>
      <c r="I337" s="30" t="n">
        <v>265384</v>
      </c>
      <c r="J337" s="30" t="inlineStr">
        <is>
          <t>500135</t>
        </is>
      </c>
    </row>
    <row r="338">
      <c r="A338" s="30" t="inlineStr">
        <is>
          <t>STCINDIA</t>
        </is>
      </c>
      <c r="B338" s="30" t="inlineStr">
        <is>
          <t>The State Trading Corporation Of India Limited</t>
        </is>
      </c>
      <c r="C338" s="30" t="inlineStr">
        <is>
          <t>services</t>
        </is>
      </c>
      <c r="D338" s="30" t="inlineStr">
        <is>
          <t>trading</t>
        </is>
      </c>
      <c r="E338" s="30" t="inlineStr">
        <is>
          <t>smallcap</t>
        </is>
      </c>
      <c r="F338" s="30" t="n">
        <v>814.5599999999999</v>
      </c>
      <c r="G338" s="30" t="n">
        <v>135.95</v>
      </c>
      <c r="H338" s="30" t="n">
        <v>0.14</v>
      </c>
      <c r="I338" s="30" t="n">
        <v>187058</v>
      </c>
      <c r="J338" s="30" t="inlineStr">
        <is>
          <t>512531</t>
        </is>
      </c>
    </row>
    <row r="339">
      <c r="A339" s="30" t="inlineStr">
        <is>
          <t>GRASIM</t>
        </is>
      </c>
      <c r="B339" s="30" t="inlineStr">
        <is>
          <t>Grasim Industries Limited</t>
        </is>
      </c>
      <c r="C339" s="30" t="inlineStr">
        <is>
          <t>textiles</t>
        </is>
      </c>
      <c r="D339" s="30" t="inlineStr">
        <is>
          <t>textiles - manmade</t>
        </is>
      </c>
      <c r="E339" s="30" t="inlineStr">
        <is>
          <t>largecap</t>
        </is>
      </c>
      <c r="F339" s="30" t="n">
        <v>214049.4</v>
      </c>
      <c r="G339" s="30" t="n">
        <v>3149.5</v>
      </c>
      <c r="H339" s="30" t="n">
        <v>0.14</v>
      </c>
      <c r="I339" s="30" t="n">
        <v>534084</v>
      </c>
      <c r="J339" s="30" t="inlineStr">
        <is>
          <t>500300</t>
        </is>
      </c>
    </row>
    <row r="340">
      <c r="A340" s="30" t="inlineStr">
        <is>
          <t>NEOGEN</t>
        </is>
      </c>
      <c r="B340" s="30" t="inlineStr">
        <is>
          <t>Neogen Chemicals Ltd</t>
        </is>
      </c>
      <c r="C340" s="30" t="inlineStr">
        <is>
          <t>chemicals</t>
        </is>
      </c>
      <c r="D340" s="30" t="inlineStr">
        <is>
          <t>chemicals</t>
        </is>
      </c>
      <c r="E340" s="30" t="inlineStr">
        <is>
          <t>midcap</t>
        </is>
      </c>
      <c r="F340" s="30" t="n">
        <v>5283.29</v>
      </c>
      <c r="G340" s="30" t="n">
        <v>1932</v>
      </c>
      <c r="H340" s="30" t="n">
        <v>0.13</v>
      </c>
      <c r="I340" s="30" t="n">
        <v>41494</v>
      </c>
      <c r="J340" s="30" t="inlineStr">
        <is>
          <t>542665</t>
        </is>
      </c>
    </row>
    <row r="341">
      <c r="A341" s="30" t="inlineStr">
        <is>
          <t>EICHERMOT</t>
        </is>
      </c>
      <c r="B341" s="30" t="inlineStr">
        <is>
          <t>Eicher Motors Limited</t>
        </is>
      </c>
      <c r="C341" s="30" t="inlineStr">
        <is>
          <t>auto</t>
        </is>
      </c>
      <c r="D341" s="30" t="inlineStr">
        <is>
          <t>automobiles - motorcycles / mopeds</t>
        </is>
      </c>
      <c r="E341" s="30" t="inlineStr">
        <is>
          <t>largecap</t>
        </is>
      </c>
      <c r="F341" s="30" t="n">
        <v>208506.23</v>
      </c>
      <c r="G341" s="30" t="n">
        <v>7611</v>
      </c>
      <c r="H341" s="30" t="n">
        <v>0.13</v>
      </c>
      <c r="I341" s="30" t="n">
        <v>682982</v>
      </c>
      <c r="J341" s="30" t="inlineStr">
        <is>
          <t>505200</t>
        </is>
      </c>
    </row>
    <row r="342">
      <c r="A342" s="30" t="inlineStr">
        <is>
          <t>CUMMINSIND</t>
        </is>
      </c>
      <c r="B342" s="30" t="inlineStr">
        <is>
          <t>Cummins India Limited</t>
        </is>
      </c>
      <c r="C342" s="30" t="inlineStr">
        <is>
          <t>industrials</t>
        </is>
      </c>
      <c r="D342" s="30" t="inlineStr">
        <is>
          <t>engines</t>
        </is>
      </c>
      <c r="E342" s="30" t="inlineStr">
        <is>
          <t>largecap</t>
        </is>
      </c>
      <c r="F342" s="30" t="n">
        <v>162383.76</v>
      </c>
      <c r="G342" s="30" t="n">
        <v>5865</v>
      </c>
      <c r="H342" s="30" t="n">
        <v>0.12</v>
      </c>
      <c r="I342" s="30" t="n">
        <v>323514</v>
      </c>
      <c r="J342" s="30" t="inlineStr">
        <is>
          <t>500480</t>
        </is>
      </c>
    </row>
    <row r="343">
      <c r="A343" s="30" t="inlineStr">
        <is>
          <t>SAMMAANCAP</t>
        </is>
      </c>
      <c r="B343" s="30" t="inlineStr">
        <is>
          <t>Sammaan Capital Ltd</t>
        </is>
      </c>
      <c r="C343" s="30" t="inlineStr">
        <is>
          <t>financials</t>
        </is>
      </c>
      <c r="D343" s="30" t="inlineStr">
        <is>
          <t>finance - housing</t>
        </is>
      </c>
      <c r="E343" s="30" t="inlineStr">
        <is>
          <t>largecap</t>
        </is>
      </c>
      <c r="F343" s="30" t="n">
        <v>20259.77</v>
      </c>
      <c r="G343" s="30" t="n">
        <v>174.6</v>
      </c>
      <c r="H343" s="30" t="n">
        <v>0.11</v>
      </c>
      <c r="I343" s="30" t="n">
        <v>24969139</v>
      </c>
      <c r="J343" s="30" t="inlineStr">
        <is>
          <t>535789</t>
        </is>
      </c>
    </row>
    <row r="344">
      <c r="A344" s="30" t="inlineStr">
        <is>
          <t>GODREJIND</t>
        </is>
      </c>
      <c r="B344" s="30" t="inlineStr">
        <is>
          <t>Godrej Industries Limited</t>
        </is>
      </c>
      <c r="C344" s="30" t="inlineStr">
        <is>
          <t>chemicals</t>
        </is>
      </c>
      <c r="D344" s="30" t="inlineStr">
        <is>
          <t>chemicals</t>
        </is>
      </c>
      <c r="E344" s="30" t="inlineStr">
        <is>
          <t>largecap</t>
        </is>
      </c>
      <c r="F344" s="30" t="n">
        <v>37425.75</v>
      </c>
      <c r="G344" s="30" t="n">
        <v>1112.4</v>
      </c>
      <c r="H344" s="30" t="n">
        <v>0.11</v>
      </c>
      <c r="I344" s="30" t="n">
        <v>285533</v>
      </c>
      <c r="J344" s="30" t="inlineStr">
        <is>
          <t>500164</t>
        </is>
      </c>
    </row>
    <row r="345">
      <c r="A345" s="30" t="inlineStr">
        <is>
          <t>AEGISLOG</t>
        </is>
      </c>
      <c r="B345" s="30" t="inlineStr">
        <is>
          <t>Aegis Logistics Ltd</t>
        </is>
      </c>
      <c r="C345" s="30" t="inlineStr">
        <is>
          <t>services</t>
        </is>
      </c>
      <c r="D345" s="30" t="inlineStr">
        <is>
          <t>trading</t>
        </is>
      </c>
      <c r="E345" s="30" t="inlineStr">
        <is>
          <t>largecap</t>
        </is>
      </c>
      <c r="F345" s="30" t="n">
        <v>35342.19</v>
      </c>
      <c r="G345" s="30" t="n">
        <v>1007.8</v>
      </c>
      <c r="H345" s="30" t="n">
        <v>0.09</v>
      </c>
      <c r="I345" s="30" t="n">
        <v>747988</v>
      </c>
      <c r="J345" s="30" t="inlineStr">
        <is>
          <t>500003</t>
        </is>
      </c>
    </row>
    <row r="346">
      <c r="A346" s="30" t="inlineStr">
        <is>
          <t>TVSSRICHAK</t>
        </is>
      </c>
      <c r="B346" s="30" t="inlineStr">
        <is>
          <t>Tvs Srichakra Limited</t>
        </is>
      </c>
      <c r="C346" s="30" t="inlineStr">
        <is>
          <t>auto</t>
        </is>
      </c>
      <c r="D346" s="30" t="inlineStr">
        <is>
          <t>tyres</t>
        </is>
      </c>
      <c r="E346" s="30" t="inlineStr">
        <is>
          <t>smallcap</t>
        </is>
      </c>
      <c r="F346" s="30" t="n">
        <v>3140.77</v>
      </c>
      <c r="G346" s="30" t="n">
        <v>4105.6</v>
      </c>
      <c r="H346" s="30" t="n">
        <v>0.09</v>
      </c>
      <c r="I346" s="30" t="n">
        <v>5178</v>
      </c>
      <c r="J346" s="30" t="inlineStr">
        <is>
          <t>509243</t>
        </is>
      </c>
    </row>
    <row r="347">
      <c r="A347" s="30" t="inlineStr">
        <is>
          <t>ADVENZYMES</t>
        </is>
      </c>
      <c r="B347" s="30" t="inlineStr">
        <is>
          <t>Advanced Enzyme Technologies Limited</t>
        </is>
      </c>
      <c r="C347" s="30" t="inlineStr">
        <is>
          <t>healthcare</t>
        </is>
      </c>
      <c r="D347" s="30" t="inlineStr">
        <is>
          <t>pharmaceuticals - indian - bulk drugs &amp; formln</t>
        </is>
      </c>
      <c r="E347" s="30" t="inlineStr">
        <is>
          <t>smallcap</t>
        </is>
      </c>
      <c r="F347" s="30" t="n">
        <v>4179.35</v>
      </c>
      <c r="G347" s="30" t="n">
        <v>373.7</v>
      </c>
      <c r="H347" s="30" t="n">
        <v>0.08</v>
      </c>
      <c r="I347" s="30" t="n">
        <v>76626</v>
      </c>
      <c r="J347" s="30" t="inlineStr">
        <is>
          <t>540025</t>
        </is>
      </c>
    </row>
    <row r="348">
      <c r="A348" s="30" t="inlineStr">
        <is>
          <t>CGCL</t>
        </is>
      </c>
      <c r="B348" s="30" t="inlineStr">
        <is>
          <t>Capri Global Capital Limited</t>
        </is>
      </c>
      <c r="C348" s="30" t="inlineStr">
        <is>
          <t>financials</t>
        </is>
      </c>
      <c r="D348" s="30" t="inlineStr">
        <is>
          <t>finance &amp; investments</t>
        </is>
      </c>
      <c r="E348" s="30" t="inlineStr">
        <is>
          <t>largecap</t>
        </is>
      </c>
      <c r="F348" s="30" t="n">
        <v>21245.32</v>
      </c>
      <c r="G348" s="30" t="n">
        <v>220.96</v>
      </c>
      <c r="H348" s="30" t="n">
        <v>0.07000000000000001</v>
      </c>
      <c r="I348" s="30" t="n">
        <v>5205174</v>
      </c>
      <c r="J348" s="30" t="inlineStr">
        <is>
          <t>531595</t>
        </is>
      </c>
    </row>
    <row r="349">
      <c r="A349" s="30" t="inlineStr">
        <is>
          <t>AVANTEL</t>
        </is>
      </c>
      <c r="B349" s="30" t="inlineStr">
        <is>
          <t>Avantel Ltd</t>
        </is>
      </c>
      <c r="C349" s="30" t="inlineStr">
        <is>
          <t>aerospace &amp; defence</t>
        </is>
      </c>
      <c r="D349" s="30" t="inlineStr">
        <is>
          <t>telecommunications - equipment</t>
        </is>
      </c>
      <c r="E349" s="30" t="inlineStr">
        <is>
          <t>smallcap</t>
        </is>
      </c>
      <c r="F349" s="30" t="n">
        <v>4777.22</v>
      </c>
      <c r="G349" s="30" t="n">
        <v>179.92</v>
      </c>
      <c r="H349" s="30" t="n">
        <v>0.07000000000000001</v>
      </c>
      <c r="I349" s="30" t="n">
        <v>2023167</v>
      </c>
      <c r="J349" s="30" t="inlineStr">
        <is>
          <t>532406</t>
        </is>
      </c>
    </row>
    <row r="350">
      <c r="A350" s="30" t="inlineStr">
        <is>
          <t>GNA</t>
        </is>
      </c>
      <c r="B350" s="30" t="inlineStr">
        <is>
          <t>Gna Axles Limited</t>
        </is>
      </c>
      <c r="C350" s="30" t="inlineStr">
        <is>
          <t>auto</t>
        </is>
      </c>
      <c r="D350" s="30" t="inlineStr">
        <is>
          <t>auto ancillaries</t>
        </is>
      </c>
      <c r="E350" s="30" t="inlineStr">
        <is>
          <t>smallcap</t>
        </is>
      </c>
      <c r="F350" s="30" t="n">
        <v>1772.4</v>
      </c>
      <c r="G350" s="30" t="n">
        <v>413.15</v>
      </c>
      <c r="H350" s="30" t="n">
        <v>0.07000000000000001</v>
      </c>
      <c r="I350" s="30" t="n">
        <v>4186116</v>
      </c>
      <c r="J350" s="30" t="inlineStr">
        <is>
          <t>540124</t>
        </is>
      </c>
    </row>
    <row r="351">
      <c r="A351" s="30" t="inlineStr">
        <is>
          <t>FLUOROCHEM</t>
        </is>
      </c>
      <c r="B351" s="30" t="inlineStr">
        <is>
          <t>Gujarat Fluorochemicals Ltd</t>
        </is>
      </c>
      <c r="C351" s="30" t="inlineStr">
        <is>
          <t>chemicals</t>
        </is>
      </c>
      <c r="D351" s="30" t="inlineStr">
        <is>
          <t>chemicals</t>
        </is>
      </c>
      <c r="E351" s="30" t="inlineStr">
        <is>
          <t>largecap</t>
        </is>
      </c>
      <c r="F351" s="30" t="n">
        <v>42154.94</v>
      </c>
      <c r="G351" s="30" t="n">
        <v>3839.9</v>
      </c>
      <c r="H351" s="30" t="n">
        <v>0.06</v>
      </c>
      <c r="I351" s="30" t="n">
        <v>185370</v>
      </c>
      <c r="J351" s="30" t="inlineStr">
        <is>
          <t>542812</t>
        </is>
      </c>
    </row>
    <row r="352">
      <c r="A352" s="30" t="inlineStr">
        <is>
          <t>PYRAMID</t>
        </is>
      </c>
      <c r="B352" s="30" t="inlineStr">
        <is>
          <t>Pyramid Technoplast Ltd</t>
        </is>
      </c>
      <c r="C352" s="30" t="inlineStr">
        <is>
          <t>industrials</t>
        </is>
      </c>
      <c r="D352" s="30" t="inlineStr">
        <is>
          <t>packaging</t>
        </is>
      </c>
      <c r="E352" s="30" t="inlineStr">
        <is>
          <t>smallcap</t>
        </is>
      </c>
      <c r="F352" s="30" t="n">
        <v>644.84</v>
      </c>
      <c r="G352" s="30" t="n">
        <v>175.41</v>
      </c>
      <c r="H352" s="30" t="n">
        <v>0.06</v>
      </c>
      <c r="I352" s="30" t="n">
        <v>14286</v>
      </c>
      <c r="J352" s="30" t="inlineStr">
        <is>
          <t>543969</t>
        </is>
      </c>
    </row>
    <row r="353">
      <c r="A353" s="30" t="inlineStr">
        <is>
          <t>JSWINFRA</t>
        </is>
      </c>
      <c r="B353" s="30" t="inlineStr">
        <is>
          <t>JSW Infrastructure Ltd</t>
        </is>
      </c>
      <c r="C353" s="30" t="inlineStr">
        <is>
          <t>transportation</t>
        </is>
      </c>
      <c r="D353" s="30" t="inlineStr">
        <is>
          <t>miscellaneous</t>
        </is>
      </c>
      <c r="E353" s="30" t="inlineStr">
        <is>
          <t>largecap</t>
        </is>
      </c>
      <c r="F353" s="30" t="n">
        <v>64669.55</v>
      </c>
      <c r="G353" s="30" t="n">
        <v>308.15</v>
      </c>
      <c r="H353" s="30" t="n">
        <v>0.06</v>
      </c>
      <c r="I353" s="30" t="n">
        <v>4072021</v>
      </c>
      <c r="J353" s="30" t="inlineStr">
        <is>
          <t>543994</t>
        </is>
      </c>
    </row>
    <row r="354">
      <c r="A354" s="30" t="inlineStr">
        <is>
          <t>SANGAMIND</t>
        </is>
      </c>
      <c r="B354" s="30" t="inlineStr">
        <is>
          <t>Sangam (india) Limited</t>
        </is>
      </c>
      <c r="C354" s="30" t="inlineStr">
        <is>
          <t>textiles</t>
        </is>
      </c>
      <c r="D354" s="30" t="inlineStr">
        <is>
          <t>textiles - spinning - synthetic / blended</t>
        </is>
      </c>
      <c r="E354" s="30" t="inlineStr">
        <is>
          <t>smallcap</t>
        </is>
      </c>
      <c r="F354" s="30" t="n">
        <v>2717.08</v>
      </c>
      <c r="G354" s="30" t="n">
        <v>541</v>
      </c>
      <c r="H354" s="30" t="n">
        <v>0.05</v>
      </c>
      <c r="I354" s="30" t="n">
        <v>20614</v>
      </c>
      <c r="J354" s="30" t="inlineStr">
        <is>
          <t>514234</t>
        </is>
      </c>
    </row>
    <row r="355">
      <c r="A355" s="30" t="inlineStr">
        <is>
          <t>COMSYN</t>
        </is>
      </c>
      <c r="B355" s="30" t="inlineStr">
        <is>
          <t>Commercial Syn Bags Ltd</t>
        </is>
      </c>
      <c r="C355" s="30" t="inlineStr">
        <is>
          <t>industrials</t>
        </is>
      </c>
      <c r="D355" s="30" t="inlineStr">
        <is>
          <t>packaging</t>
        </is>
      </c>
      <c r="E355" s="30" t="inlineStr">
        <is>
          <t>smallcap</t>
        </is>
      </c>
      <c r="F355" s="30" t="n">
        <v>658.9400000000001</v>
      </c>
      <c r="G355" s="30" t="n">
        <v>163.41</v>
      </c>
      <c r="H355" s="30" t="n">
        <v>0.04</v>
      </c>
      <c r="I355" s="30" t="n">
        <v>11642</v>
      </c>
      <c r="J355" s="30" t="inlineStr">
        <is>
          <t>539986</t>
        </is>
      </c>
    </row>
    <row r="356">
      <c r="A356" s="30" t="inlineStr">
        <is>
          <t>KEI</t>
        </is>
      </c>
      <c r="B356" s="30" t="inlineStr">
        <is>
          <t>Kei Industries Limited</t>
        </is>
      </c>
      <c r="C356" s="30" t="inlineStr">
        <is>
          <t>industrials</t>
        </is>
      </c>
      <c r="D356" s="30" t="inlineStr">
        <is>
          <t>cables - power</t>
        </is>
      </c>
      <c r="E356" s="30" t="inlineStr">
        <is>
          <t>largecap</t>
        </is>
      </c>
      <c r="F356" s="30" t="n">
        <v>53827.92</v>
      </c>
      <c r="G356" s="30" t="n">
        <v>5631</v>
      </c>
      <c r="H356" s="30" t="n">
        <v>0.01</v>
      </c>
      <c r="I356" s="30" t="n">
        <v>339856</v>
      </c>
      <c r="J356" s="30" t="inlineStr">
        <is>
          <t>517569</t>
        </is>
      </c>
    </row>
    <row r="357">
      <c r="A357" s="30" t="inlineStr">
        <is>
          <t>STAR</t>
        </is>
      </c>
      <c r="B357" s="30" t="inlineStr">
        <is>
          <t>Strides Shasun Limited</t>
        </is>
      </c>
      <c r="C357" s="30" t="inlineStr">
        <is>
          <t>healthcare</t>
        </is>
      </c>
      <c r="D357" s="30" t="inlineStr">
        <is>
          <t>pharmaceuticals - indian - bulk drugs &amp; formln</t>
        </is>
      </c>
      <c r="E357" s="30" t="inlineStr">
        <is>
          <t>midcap</t>
        </is>
      </c>
      <c r="F357" s="30" t="n">
        <v>10238.55</v>
      </c>
      <c r="G357" s="30" t="n">
        <v>1110.9</v>
      </c>
      <c r="H357" s="30" t="n">
        <v>0.01</v>
      </c>
      <c r="I357" s="30" t="n">
        <v>68321</v>
      </c>
      <c r="J357" s="30" t="inlineStr">
        <is>
          <t>532531</t>
        </is>
      </c>
    </row>
    <row r="358">
      <c r="A358" s="30" t="inlineStr">
        <is>
          <t>TMB</t>
        </is>
      </c>
      <c r="B358" s="30" t="inlineStr">
        <is>
          <t>Tamilnad Mercantile Bank Ltd</t>
        </is>
      </c>
      <c r="C358" s="30" t="inlineStr">
        <is>
          <t>bank</t>
        </is>
      </c>
      <c r="D358" s="30" t="inlineStr">
        <is>
          <t>banks - private sector</t>
        </is>
      </c>
      <c r="E358" s="30" t="inlineStr">
        <is>
          <t>midcap</t>
        </is>
      </c>
      <c r="F358" s="30" t="n">
        <v>12360.91</v>
      </c>
      <c r="G358" s="30" t="n">
        <v>780.6</v>
      </c>
      <c r="H358" s="30" t="n">
        <v>0</v>
      </c>
      <c r="I358" s="30" t="n">
        <v>192839</v>
      </c>
      <c r="J358" s="30" t="inlineStr">
        <is>
          <t>543596</t>
        </is>
      </c>
    </row>
    <row r="359">
      <c r="A359" s="30" t="inlineStr">
        <is>
          <t>VENUSREM</t>
        </is>
      </c>
      <c r="B359" s="30" t="inlineStr">
        <is>
          <t>Venus Remedies Limited</t>
        </is>
      </c>
      <c r="C359" s="30" t="inlineStr">
        <is>
          <t>healthcare</t>
        </is>
      </c>
      <c r="D359" s="30" t="inlineStr">
        <is>
          <t>pharmaceuticals - indian - formulations</t>
        </is>
      </c>
      <c r="E359" s="30" t="inlineStr">
        <is>
          <t>smallcap</t>
        </is>
      </c>
      <c r="F359" s="30" t="n">
        <v>2324.65</v>
      </c>
      <c r="G359" s="30" t="n">
        <v>1739.1</v>
      </c>
      <c r="H359" s="30" t="n">
        <v>0</v>
      </c>
      <c r="I359" s="30" t="n">
        <v>44027</v>
      </c>
      <c r="J359" s="30" t="inlineStr">
        <is>
          <t>526953</t>
        </is>
      </c>
    </row>
    <row r="360">
      <c r="A360" s="30" t="inlineStr">
        <is>
          <t>NORTHARC</t>
        </is>
      </c>
      <c r="B360" s="30" t="inlineStr">
        <is>
          <t>Northern ARC Capital Ltd</t>
        </is>
      </c>
      <c r="C360" s="30" t="inlineStr">
        <is>
          <t>financials</t>
        </is>
      </c>
      <c r="D360" s="30" t="inlineStr">
        <is>
          <t>finance &amp; investments</t>
        </is>
      </c>
      <c r="E360" s="30" t="inlineStr">
        <is>
          <t>smallcap</t>
        </is>
      </c>
      <c r="F360" s="30" t="n">
        <v>4767.18</v>
      </c>
      <c r="G360" s="30" t="n">
        <v>295.05</v>
      </c>
      <c r="H360" s="30" t="n">
        <v>0</v>
      </c>
      <c r="I360" s="30" t="n">
        <v>208893</v>
      </c>
      <c r="J360" s="30" t="n"/>
    </row>
    <row r="361">
      <c r="A361" s="30" t="inlineStr">
        <is>
          <t>SUPRIYA</t>
        </is>
      </c>
      <c r="B361" s="30" t="inlineStr">
        <is>
          <t>Supriya Lifescience Ltd</t>
        </is>
      </c>
      <c r="C361" s="30" t="inlineStr">
        <is>
          <t>healthcare</t>
        </is>
      </c>
      <c r="D361" s="30" t="inlineStr">
        <is>
          <t>pharmaceuticals - indian - bulk drugs &amp; formln</t>
        </is>
      </c>
      <c r="E361" s="30" t="inlineStr">
        <is>
          <t>midcap</t>
        </is>
      </c>
      <c r="F361" s="30" t="n">
        <v>7503.01</v>
      </c>
      <c r="G361" s="30" t="n">
        <v>932.2</v>
      </c>
      <c r="H361" s="30" t="n">
        <v>-0.01</v>
      </c>
      <c r="I361" s="30" t="n">
        <v>129230</v>
      </c>
      <c r="J361" s="30" t="inlineStr">
        <is>
          <t>543434</t>
        </is>
      </c>
    </row>
    <row r="362">
      <c r="A362" s="30" t="inlineStr">
        <is>
          <t>SENORES</t>
        </is>
      </c>
      <c r="B362" s="30" t="inlineStr">
        <is>
          <t>Senores Pharmaceuticals Ltd</t>
        </is>
      </c>
      <c r="C362" s="30" t="inlineStr">
        <is>
          <t>healthcare</t>
        </is>
      </c>
      <c r="D362" s="30" t="inlineStr">
        <is>
          <t>pharmaceuticals - indian - formulations</t>
        </is>
      </c>
      <c r="E362" s="30" t="inlineStr">
        <is>
          <t>midcap</t>
        </is>
      </c>
      <c r="F362" s="30" t="n">
        <v>6057.89</v>
      </c>
      <c r="G362" s="30" t="n">
        <v>1315</v>
      </c>
      <c r="H362" s="30" t="n">
        <v>-0.03</v>
      </c>
      <c r="I362" s="30" t="n">
        <v>185610</v>
      </c>
      <c r="J362" s="30" t="inlineStr">
        <is>
          <t>544319</t>
        </is>
      </c>
    </row>
    <row r="363">
      <c r="A363" s="30" t="inlineStr">
        <is>
          <t>ENDURANCE</t>
        </is>
      </c>
      <c r="B363" s="30" t="inlineStr">
        <is>
          <t>Endurance Technologies Limited</t>
        </is>
      </c>
      <c r="C363" s="30" t="inlineStr">
        <is>
          <t>auto</t>
        </is>
      </c>
      <c r="D363" s="30" t="inlineStr">
        <is>
          <t>auto ancillaries</t>
        </is>
      </c>
      <c r="E363" s="30" t="inlineStr">
        <is>
          <t>largecap</t>
        </is>
      </c>
      <c r="F363" s="30" t="n">
        <v>36900.08</v>
      </c>
      <c r="G363" s="30" t="n">
        <v>2622.4</v>
      </c>
      <c r="H363" s="30" t="n">
        <v>-0.03</v>
      </c>
      <c r="I363" s="30" t="n">
        <v>79748</v>
      </c>
      <c r="J363" s="30" t="inlineStr">
        <is>
          <t>540153</t>
        </is>
      </c>
    </row>
    <row r="364">
      <c r="A364" s="30" t="inlineStr">
        <is>
          <t>RPGLIFE</t>
        </is>
      </c>
      <c r="B364" s="30" t="inlineStr">
        <is>
          <t>Rpg Life Sciences Limited</t>
        </is>
      </c>
      <c r="C364" s="30" t="inlineStr">
        <is>
          <t>healthcare</t>
        </is>
      </c>
      <c r="D364" s="30" t="inlineStr">
        <is>
          <t>pharmaceuticals - indian - bulk drugs &amp; formln</t>
        </is>
      </c>
      <c r="E364" s="30" t="inlineStr">
        <is>
          <t>smallcap</t>
        </is>
      </c>
      <c r="F364" s="30" t="n">
        <v>3767.75</v>
      </c>
      <c r="G364" s="30" t="n">
        <v>2277.4</v>
      </c>
      <c r="H364" s="30" t="n">
        <v>-0.03</v>
      </c>
      <c r="I364" s="30" t="n">
        <v>3109</v>
      </c>
      <c r="J364" s="30" t="inlineStr">
        <is>
          <t>532983</t>
        </is>
      </c>
    </row>
    <row r="365">
      <c r="A365" s="30" t="inlineStr">
        <is>
          <t>SJS</t>
        </is>
      </c>
      <c r="B365" s="30" t="inlineStr">
        <is>
          <t>S J S Enterprises Ltd</t>
        </is>
      </c>
      <c r="C365" s="30" t="inlineStr">
        <is>
          <t>auto</t>
        </is>
      </c>
      <c r="D365" s="30" t="inlineStr">
        <is>
          <t>plastics products</t>
        </is>
      </c>
      <c r="E365" s="30" t="inlineStr">
        <is>
          <t>midcap</t>
        </is>
      </c>
      <c r="F365" s="30" t="n">
        <v>7090.81</v>
      </c>
      <c r="G365" s="30" t="n">
        <v>2215.3</v>
      </c>
      <c r="H365" s="30" t="n">
        <v>-0.04</v>
      </c>
      <c r="I365" s="30" t="n">
        <v>60172</v>
      </c>
      <c r="J365" s="30" t="inlineStr">
        <is>
          <t>543387</t>
        </is>
      </c>
    </row>
    <row r="366">
      <c r="A366" s="30" t="inlineStr">
        <is>
          <t>IRISDOREME</t>
        </is>
      </c>
      <c r="B366" s="30" t="inlineStr">
        <is>
          <t>Iris Clothings Ltd</t>
        </is>
      </c>
      <c r="C366" s="30" t="inlineStr">
        <is>
          <t>consumer discretionary</t>
        </is>
      </c>
      <c r="D366" s="30" t="inlineStr">
        <is>
          <t>textiles - products</t>
        </is>
      </c>
      <c r="E366" s="30" t="inlineStr">
        <is>
          <t>smallcap</t>
        </is>
      </c>
      <c r="F366" s="30" t="n">
        <v>759.99</v>
      </c>
      <c r="G366" s="30" t="n">
        <v>39.91</v>
      </c>
      <c r="H366" s="30" t="n">
        <v>-0.05</v>
      </c>
      <c r="I366" s="30" t="n">
        <v>285060</v>
      </c>
      <c r="J366" s="30" t="inlineStr">
        <is>
          <t>535123</t>
        </is>
      </c>
    </row>
    <row r="367">
      <c r="A367" s="30" t="inlineStr">
        <is>
          <t>SOUTHBANK</t>
        </is>
      </c>
      <c r="B367" s="30" t="inlineStr">
        <is>
          <t>The South Indian Bank Limited</t>
        </is>
      </c>
      <c r="C367" s="30" t="inlineStr">
        <is>
          <t>bank</t>
        </is>
      </c>
      <c r="D367" s="30" t="inlineStr">
        <is>
          <t>banks - private sector</t>
        </is>
      </c>
      <c r="E367" s="30" t="inlineStr">
        <is>
          <t>midcap</t>
        </is>
      </c>
      <c r="F367" s="30" t="n">
        <v>12692.59</v>
      </c>
      <c r="G367" s="30" t="n">
        <v>48.46</v>
      </c>
      <c r="H367" s="30" t="n">
        <v>-0.06</v>
      </c>
      <c r="I367" s="30" t="n">
        <v>14135084</v>
      </c>
      <c r="J367" s="30" t="inlineStr">
        <is>
          <t>532218</t>
        </is>
      </c>
    </row>
    <row r="368">
      <c r="A368" s="30" t="inlineStr">
        <is>
          <t>RKFORGE</t>
        </is>
      </c>
      <c r="B368" s="30" t="inlineStr">
        <is>
          <t>Ramkrishna Forgings Limited</t>
        </is>
      </c>
      <c r="C368" s="30" t="inlineStr">
        <is>
          <t>industrials</t>
        </is>
      </c>
      <c r="D368" s="30" t="inlineStr">
        <is>
          <t>castings &amp; forgings</t>
        </is>
      </c>
      <c r="E368" s="30" t="inlineStr">
        <is>
          <t>midcap</t>
        </is>
      </c>
      <c r="F368" s="30" t="n">
        <v>10704.03</v>
      </c>
      <c r="G368" s="30" t="n">
        <v>588.7</v>
      </c>
      <c r="H368" s="30" t="n">
        <v>-0.08</v>
      </c>
      <c r="I368" s="30" t="n">
        <v>210369</v>
      </c>
      <c r="J368" s="30" t="inlineStr">
        <is>
          <t>532527</t>
        </is>
      </c>
    </row>
    <row r="369">
      <c r="A369" s="30" t="inlineStr">
        <is>
          <t>PIDILITIND</t>
        </is>
      </c>
      <c r="B369" s="30" t="inlineStr">
        <is>
          <t>Pidilite Industries Limited</t>
        </is>
      </c>
      <c r="C369" s="30" t="inlineStr">
        <is>
          <t>chemicals</t>
        </is>
      </c>
      <c r="D369" s="30" t="inlineStr">
        <is>
          <t>chemicals</t>
        </is>
      </c>
      <c r="E369" s="30" t="inlineStr">
        <is>
          <t>largecap</t>
        </is>
      </c>
      <c r="F369" s="30" t="n">
        <v>160919.03</v>
      </c>
      <c r="G369" s="30" t="n">
        <v>1579.9</v>
      </c>
      <c r="H369" s="30" t="n">
        <v>-0.08</v>
      </c>
      <c r="I369" s="30" t="n">
        <v>847276</v>
      </c>
      <c r="J369" s="30" t="inlineStr">
        <is>
          <t>500331</t>
        </is>
      </c>
    </row>
    <row r="370">
      <c r="A370" s="30" t="inlineStr">
        <is>
          <t>HAL</t>
        </is>
      </c>
      <c r="B370" s="30" t="inlineStr">
        <is>
          <t>Hindustan Aeronautics Ltd</t>
        </is>
      </c>
      <c r="C370" s="30" t="inlineStr">
        <is>
          <t>aerospace &amp; defence</t>
        </is>
      </c>
      <c r="D370" s="30" t="inlineStr">
        <is>
          <t>engineering</t>
        </is>
      </c>
      <c r="E370" s="30" t="inlineStr">
        <is>
          <t>largecap</t>
        </is>
      </c>
      <c r="F370" s="30" t="n">
        <v>295030.09</v>
      </c>
      <c r="G370" s="30" t="n">
        <v>4408.1</v>
      </c>
      <c r="H370" s="30" t="n">
        <v>-0.08</v>
      </c>
      <c r="I370" s="30" t="n">
        <v>834712</v>
      </c>
      <c r="J370" s="30" t="inlineStr">
        <is>
          <t>541154</t>
        </is>
      </c>
    </row>
    <row r="371">
      <c r="A371" s="30" t="inlineStr">
        <is>
          <t>SHRIRAMFIN</t>
        </is>
      </c>
      <c r="B371" s="30" t="inlineStr">
        <is>
          <t>Shriram Finance Ltd</t>
        </is>
      </c>
      <c r="C371" s="30" t="inlineStr">
        <is>
          <t>financials</t>
        </is>
      </c>
      <c r="D371" s="30" t="inlineStr">
        <is>
          <t>finance &amp; investments</t>
        </is>
      </c>
      <c r="E371" s="30" t="inlineStr">
        <is>
          <t>largecap</t>
        </is>
      </c>
      <c r="F371" s="30" t="n">
        <v>235903.87</v>
      </c>
      <c r="G371" s="30" t="n">
        <v>1001.9</v>
      </c>
      <c r="H371" s="30" t="n">
        <v>-0.08</v>
      </c>
      <c r="I371" s="30" t="n">
        <v>2611538</v>
      </c>
      <c r="J371" s="30" t="inlineStr">
        <is>
          <t>511218</t>
        </is>
      </c>
    </row>
    <row r="372">
      <c r="A372" s="30" t="inlineStr">
        <is>
          <t>DREDGECORP</t>
        </is>
      </c>
      <c r="B372" s="30" t="inlineStr">
        <is>
          <t>Dredging Corporation Of India Limited</t>
        </is>
      </c>
      <c r="C372" s="30" t="inlineStr">
        <is>
          <t>miscellaneous</t>
        </is>
      </c>
      <c r="D372" s="30" t="inlineStr">
        <is>
          <t>miscellaneous</t>
        </is>
      </c>
      <c r="E372" s="30" t="inlineStr">
        <is>
          <t>smallcap</t>
        </is>
      </c>
      <c r="F372" s="30" t="n">
        <v>3184.16</v>
      </c>
      <c r="G372" s="30" t="n">
        <v>1136</v>
      </c>
      <c r="H372" s="30" t="n">
        <v>-0.11</v>
      </c>
      <c r="I372" s="30" t="n">
        <v>165549</v>
      </c>
      <c r="J372" s="30" t="inlineStr">
        <is>
          <t>523618</t>
        </is>
      </c>
    </row>
    <row r="373">
      <c r="A373" s="30" t="inlineStr">
        <is>
          <t>LTF</t>
        </is>
      </c>
      <c r="B373" s="30" t="inlineStr">
        <is>
          <t>L&amp;T Finance Ltd</t>
        </is>
      </c>
      <c r="C373" s="30" t="inlineStr">
        <is>
          <t>financials</t>
        </is>
      </c>
      <c r="D373" s="30" t="inlineStr">
        <is>
          <t>finance &amp; investments</t>
        </is>
      </c>
      <c r="E373" s="30" t="inlineStr">
        <is>
          <t>largecap</t>
        </is>
      </c>
      <c r="F373" s="30" t="n">
        <v>71850.83</v>
      </c>
      <c r="G373" s="30" t="n">
        <v>286.5</v>
      </c>
      <c r="H373" s="30" t="n">
        <v>-0.14</v>
      </c>
      <c r="I373" s="30" t="n">
        <v>4742265</v>
      </c>
      <c r="J373" s="30" t="inlineStr">
        <is>
          <t>533519</t>
        </is>
      </c>
    </row>
    <row r="374">
      <c r="A374" s="30" t="inlineStr">
        <is>
          <t>MAYURUNIQ</t>
        </is>
      </c>
      <c r="B374" s="30" t="inlineStr">
        <is>
          <t>Mayur Uniquoters Ltd</t>
        </is>
      </c>
      <c r="C374" s="30" t="inlineStr">
        <is>
          <t>consumer discretionary</t>
        </is>
      </c>
      <c r="D374" s="30" t="inlineStr">
        <is>
          <t>leather / leather products</t>
        </is>
      </c>
      <c r="E374" s="30" t="inlineStr">
        <is>
          <t>smallcap</t>
        </is>
      </c>
      <c r="F374" s="30" t="n">
        <v>3595.49</v>
      </c>
      <c r="G374" s="30" t="n">
        <v>826.25</v>
      </c>
      <c r="H374" s="30" t="n">
        <v>-0.15</v>
      </c>
      <c r="I374" s="30" t="n">
        <v>101206</v>
      </c>
      <c r="J374" s="30" t="inlineStr">
        <is>
          <t>522249</t>
        </is>
      </c>
    </row>
    <row r="375">
      <c r="A375" s="30" t="inlineStr">
        <is>
          <t>MANINDS</t>
        </is>
      </c>
      <c r="B375" s="30" t="inlineStr">
        <is>
          <t>Man Industries (india) Limited</t>
        </is>
      </c>
      <c r="C375" s="30" t="inlineStr">
        <is>
          <t>metals &amp; mining</t>
        </is>
      </c>
      <c r="D375" s="30" t="inlineStr">
        <is>
          <t>steel - medium / small</t>
        </is>
      </c>
      <c r="E375" s="30" t="inlineStr">
        <is>
          <t>smallcap</t>
        </is>
      </c>
      <c r="F375" s="30" t="n">
        <v>4414.31</v>
      </c>
      <c r="G375" s="30" t="n">
        <v>587.6</v>
      </c>
      <c r="H375" s="30" t="n">
        <v>-0.15</v>
      </c>
      <c r="I375" s="30" t="n">
        <v>834859</v>
      </c>
      <c r="J375" s="30" t="inlineStr">
        <is>
          <t>513269</t>
        </is>
      </c>
    </row>
    <row r="376">
      <c r="A376" s="30" t="inlineStr">
        <is>
          <t>AXISBANK</t>
        </is>
      </c>
      <c r="B376" s="30" t="inlineStr">
        <is>
          <t>Axis Bank Limited</t>
        </is>
      </c>
      <c r="C376" s="30" t="inlineStr">
        <is>
          <t>bank</t>
        </is>
      </c>
      <c r="D376" s="30" t="inlineStr">
        <is>
          <t>banks - private sector</t>
        </is>
      </c>
      <c r="E376" s="30" t="inlineStr">
        <is>
          <t>largecap</t>
        </is>
      </c>
      <c r="F376" s="30" t="n">
        <v>422742.56</v>
      </c>
      <c r="G376" s="30" t="n">
        <v>1357.9</v>
      </c>
      <c r="H376" s="30" t="n">
        <v>-0.16</v>
      </c>
      <c r="I376" s="30" t="n">
        <v>4640277</v>
      </c>
      <c r="J376" s="30" t="inlineStr">
        <is>
          <t>532215</t>
        </is>
      </c>
    </row>
    <row r="377">
      <c r="A377" s="30" t="inlineStr">
        <is>
          <t>GREENPLY</t>
        </is>
      </c>
      <c r="B377" s="30" t="inlineStr">
        <is>
          <t>Greenply Industries Limited</t>
        </is>
      </c>
      <c r="C377" s="30" t="inlineStr">
        <is>
          <t>building materials</t>
        </is>
      </c>
      <c r="D377" s="30" t="inlineStr">
        <is>
          <t>miscellaneous</t>
        </is>
      </c>
      <c r="E377" s="30" t="inlineStr">
        <is>
          <t>smallcap</t>
        </is>
      </c>
      <c r="F377" s="30" t="n">
        <v>3649.76</v>
      </c>
      <c r="G377" s="30" t="n">
        <v>291.67</v>
      </c>
      <c r="H377" s="30" t="n">
        <v>-0.18</v>
      </c>
      <c r="I377" s="30" t="n">
        <v>83223</v>
      </c>
      <c r="J377" s="30" t="inlineStr">
        <is>
          <t>526797</t>
        </is>
      </c>
    </row>
    <row r="378">
      <c r="A378" s="30" t="inlineStr">
        <is>
          <t>UNIONBANK</t>
        </is>
      </c>
      <c r="B378" s="30" t="inlineStr">
        <is>
          <t>Union Bank Of India Ltd</t>
        </is>
      </c>
      <c r="C378" s="30" t="inlineStr">
        <is>
          <t>bank</t>
        </is>
      </c>
      <c r="D378" s="30" t="inlineStr">
        <is>
          <t>banks - public sector</t>
        </is>
      </c>
      <c r="E378" s="30" t="inlineStr">
        <is>
          <t>largecap</t>
        </is>
      </c>
      <c r="F378" s="30" t="n">
        <v>134443.06</v>
      </c>
      <c r="G378" s="30" t="n">
        <v>175.76</v>
      </c>
      <c r="H378" s="30" t="n">
        <v>-0.2</v>
      </c>
      <c r="I378" s="30" t="n">
        <v>11232086</v>
      </c>
      <c r="J378" s="30" t="inlineStr">
        <is>
          <t>532477</t>
        </is>
      </c>
    </row>
    <row r="379">
      <c r="A379" s="30" t="inlineStr">
        <is>
          <t>DLINKINDIA</t>
        </is>
      </c>
      <c r="B379" s="30" t="inlineStr">
        <is>
          <t>D-link (india) Limited</t>
        </is>
      </c>
      <c r="C379" s="30" t="inlineStr">
        <is>
          <t>services</t>
        </is>
      </c>
      <c r="D379" s="30" t="inlineStr">
        <is>
          <t>trading</t>
        </is>
      </c>
      <c r="E379" s="30" t="inlineStr">
        <is>
          <t>smallcap</t>
        </is>
      </c>
      <c r="F379" s="30" t="n">
        <v>1868.62</v>
      </c>
      <c r="G379" s="30" t="n">
        <v>525.05</v>
      </c>
      <c r="H379" s="30" t="n">
        <v>-0.24</v>
      </c>
      <c r="I379" s="30" t="n">
        <v>321197</v>
      </c>
      <c r="J379" s="30" t="inlineStr">
        <is>
          <t>533146</t>
        </is>
      </c>
    </row>
    <row r="380">
      <c r="A380" s="30" t="inlineStr">
        <is>
          <t>ABDL</t>
        </is>
      </c>
      <c r="B380" s="30" t="inlineStr">
        <is>
          <t>Allied Blenders &amp; Distillers Ltd</t>
        </is>
      </c>
      <c r="C380" s="30" t="inlineStr">
        <is>
          <t>fmcg</t>
        </is>
      </c>
      <c r="D380" s="30" t="inlineStr">
        <is>
          <t>breweries &amp; distilleries</t>
        </is>
      </c>
      <c r="E380" s="30" t="inlineStr">
        <is>
          <t>midcap</t>
        </is>
      </c>
      <c r="F380" s="30" t="n">
        <v>17700.06</v>
      </c>
      <c r="G380" s="30" t="n">
        <v>631.25</v>
      </c>
      <c r="H380" s="30" t="n">
        <v>-0.24</v>
      </c>
      <c r="I380" s="30" t="n">
        <v>201779</v>
      </c>
      <c r="J380" s="30" t="inlineStr">
        <is>
          <t>544203</t>
        </is>
      </c>
    </row>
    <row r="381">
      <c r="A381" s="30" t="inlineStr">
        <is>
          <t>NIVABUPA</t>
        </is>
      </c>
      <c r="B381" s="30" t="inlineStr">
        <is>
          <t>Niva Bupa Health Insurance Company Ltd</t>
        </is>
      </c>
      <c r="C381" s="30" t="inlineStr">
        <is>
          <t>financials</t>
        </is>
      </c>
      <c r="D381" s="30" t="inlineStr">
        <is>
          <t>finance &amp; investments</t>
        </is>
      </c>
      <c r="E381" s="30" t="inlineStr">
        <is>
          <t>midcap</t>
        </is>
      </c>
      <c r="F381" s="30" t="n">
        <v>16089.5</v>
      </c>
      <c r="G381" s="30" t="n">
        <v>86.87</v>
      </c>
      <c r="H381" s="30" t="n">
        <v>-0.25</v>
      </c>
      <c r="I381" s="30" t="n">
        <v>7306794</v>
      </c>
      <c r="J381" s="30" t="n"/>
    </row>
    <row r="382">
      <c r="A382" s="30" t="inlineStr">
        <is>
          <t>GENUSPOWER</t>
        </is>
      </c>
      <c r="B382" s="30" t="inlineStr">
        <is>
          <t>Genus Power Infrastructures Limited</t>
        </is>
      </c>
      <c r="C382" s="30" t="inlineStr">
        <is>
          <t>consumer discretionary</t>
        </is>
      </c>
      <c r="D382" s="30" t="inlineStr">
        <is>
          <t>electronics - components</t>
        </is>
      </c>
      <c r="E382" s="30" t="inlineStr">
        <is>
          <t>midcap</t>
        </is>
      </c>
      <c r="F382" s="30" t="n">
        <v>9902.290000000001</v>
      </c>
      <c r="G382" s="30" t="n">
        <v>324.7</v>
      </c>
      <c r="H382" s="30" t="n">
        <v>-0.25</v>
      </c>
      <c r="I382" s="30" t="n">
        <v>592647</v>
      </c>
      <c r="J382" s="30" t="inlineStr">
        <is>
          <t>530343</t>
        </is>
      </c>
    </row>
    <row r="383">
      <c r="A383" s="30" t="inlineStr">
        <is>
          <t>NCLIND</t>
        </is>
      </c>
      <c r="B383" s="30" t="inlineStr">
        <is>
          <t>Ncl Industries Limited</t>
        </is>
      </c>
      <c r="C383" s="30" t="inlineStr">
        <is>
          <t>building materials</t>
        </is>
      </c>
      <c r="D383" s="30" t="inlineStr">
        <is>
          <t>cement - south india</t>
        </is>
      </c>
      <c r="E383" s="30" t="inlineStr">
        <is>
          <t>smallcap</t>
        </is>
      </c>
      <c r="F383" s="30" t="n">
        <v>870.1</v>
      </c>
      <c r="G383" s="30" t="n">
        <v>191.88</v>
      </c>
      <c r="H383" s="30" t="n">
        <v>-0.25</v>
      </c>
      <c r="I383" s="30" t="n">
        <v>31484</v>
      </c>
      <c r="J383" s="30" t="inlineStr">
        <is>
          <t>502168</t>
        </is>
      </c>
    </row>
    <row r="384">
      <c r="A384" s="30" t="inlineStr">
        <is>
          <t>SFL</t>
        </is>
      </c>
      <c r="B384" s="30" t="inlineStr">
        <is>
          <t>Sheela Foam Limited</t>
        </is>
      </c>
      <c r="C384" s="30" t="inlineStr">
        <is>
          <t>consumer discretionary</t>
        </is>
      </c>
      <c r="D384" s="30" t="inlineStr">
        <is>
          <t>miscellaneous</t>
        </is>
      </c>
      <c r="E384" s="30" t="inlineStr">
        <is>
          <t>midcap</t>
        </is>
      </c>
      <c r="F384" s="30" t="n">
        <v>7636.39</v>
      </c>
      <c r="G384" s="30" t="n">
        <v>700.65</v>
      </c>
      <c r="H384" s="30" t="n">
        <v>-0.26</v>
      </c>
      <c r="I384" s="30" t="n">
        <v>259025</v>
      </c>
      <c r="J384" s="30" t="inlineStr">
        <is>
          <t>540203</t>
        </is>
      </c>
    </row>
    <row r="385">
      <c r="A385" s="30" t="inlineStr">
        <is>
          <t>TRITURBINE</t>
        </is>
      </c>
      <c r="B385" s="30" t="inlineStr">
        <is>
          <t>Triveni Turbine Limited</t>
        </is>
      </c>
      <c r="C385" s="30" t="inlineStr">
        <is>
          <t>industrials</t>
        </is>
      </c>
      <c r="D385" s="30" t="inlineStr">
        <is>
          <t>electric equipment</t>
        </is>
      </c>
      <c r="E385" s="30" t="inlineStr">
        <is>
          <t>largecap</t>
        </is>
      </c>
      <c r="F385" s="30" t="n">
        <v>21430.89</v>
      </c>
      <c r="G385" s="30" t="n">
        <v>672.3</v>
      </c>
      <c r="H385" s="30" t="n">
        <v>-0.27</v>
      </c>
      <c r="I385" s="30" t="n">
        <v>919523</v>
      </c>
      <c r="J385" s="30" t="inlineStr">
        <is>
          <t>533655</t>
        </is>
      </c>
    </row>
    <row r="386">
      <c r="A386" s="30" t="inlineStr">
        <is>
          <t>YESBANK</t>
        </is>
      </c>
      <c r="B386" s="30" t="inlineStr">
        <is>
          <t>Yes Bank Limited</t>
        </is>
      </c>
      <c r="C386" s="30" t="inlineStr">
        <is>
          <t>bank</t>
        </is>
      </c>
      <c r="D386" s="30" t="inlineStr">
        <is>
          <t>banks - private sector</t>
        </is>
      </c>
      <c r="E386" s="30" t="inlineStr">
        <is>
          <t>largecap</t>
        </is>
      </c>
      <c r="F386" s="30" t="n">
        <v>79952.27</v>
      </c>
      <c r="G386" s="30" t="n">
        <v>25.41</v>
      </c>
      <c r="H386" s="30" t="n">
        <v>-0.27</v>
      </c>
      <c r="I386" s="30" t="n">
        <v>132491220</v>
      </c>
      <c r="J386" s="30" t="inlineStr">
        <is>
          <t>532648</t>
        </is>
      </c>
    </row>
    <row r="387">
      <c r="A387" s="30" t="inlineStr">
        <is>
          <t>GRAVITA</t>
        </is>
      </c>
      <c r="B387" s="30" t="inlineStr">
        <is>
          <t>Gravita India Limited</t>
        </is>
      </c>
      <c r="C387" s="30" t="inlineStr">
        <is>
          <t>metals &amp; mining</t>
        </is>
      </c>
      <c r="D387" s="30" t="inlineStr">
        <is>
          <t>mining / minerals / metals</t>
        </is>
      </c>
      <c r="E387" s="30" t="inlineStr">
        <is>
          <t>midcap</t>
        </is>
      </c>
      <c r="F387" s="30" t="n">
        <v>12742.29</v>
      </c>
      <c r="G387" s="30" t="n">
        <v>1721.6</v>
      </c>
      <c r="H387" s="30" t="n">
        <v>-0.28</v>
      </c>
      <c r="I387" s="30" t="n">
        <v>203137</v>
      </c>
      <c r="J387" s="30" t="inlineStr">
        <is>
          <t>533282</t>
        </is>
      </c>
    </row>
    <row r="388">
      <c r="A388" s="30" t="inlineStr">
        <is>
          <t>ADANIGREEN</t>
        </is>
      </c>
      <c r="B388" s="30" t="inlineStr">
        <is>
          <t>Adani Green Energy Ltd</t>
        </is>
      </c>
      <c r="C388" s="30" t="inlineStr">
        <is>
          <t>power &amp; utilities</t>
        </is>
      </c>
      <c r="D388" s="30" t="inlineStr">
        <is>
          <t>power generation and supply</t>
        </is>
      </c>
      <c r="E388" s="30" t="inlineStr">
        <is>
          <t>largecap</t>
        </is>
      </c>
      <c r="F388" s="30" t="n">
        <v>248196.5</v>
      </c>
      <c r="G388" s="30" t="n">
        <v>1502.4</v>
      </c>
      <c r="H388" s="30" t="n">
        <v>-0.29</v>
      </c>
      <c r="I388" s="30" t="n">
        <v>2962921</v>
      </c>
      <c r="J388" s="30" t="inlineStr">
        <is>
          <t>541450</t>
        </is>
      </c>
    </row>
    <row r="389">
      <c r="A389" s="30" t="inlineStr">
        <is>
          <t>MASFIN</t>
        </is>
      </c>
      <c r="B389" s="30" t="inlineStr">
        <is>
          <t>MAS Financial Services Ltd</t>
        </is>
      </c>
      <c r="C389" s="30" t="inlineStr">
        <is>
          <t>financials</t>
        </is>
      </c>
      <c r="D389" s="30" t="inlineStr">
        <is>
          <t>finance &amp; investments</t>
        </is>
      </c>
      <c r="E389" s="30" t="inlineStr">
        <is>
          <t>midcap</t>
        </is>
      </c>
      <c r="F389" s="30" t="n">
        <v>5807.42</v>
      </c>
      <c r="G389" s="30" t="n">
        <v>319.05</v>
      </c>
      <c r="H389" s="30" t="n">
        <v>-0.31</v>
      </c>
      <c r="I389" s="30" t="n">
        <v>112538</v>
      </c>
      <c r="J389" s="30" t="inlineStr">
        <is>
          <t>540749</t>
        </is>
      </c>
    </row>
    <row r="390">
      <c r="A390" s="30" t="inlineStr">
        <is>
          <t>LMW</t>
        </is>
      </c>
      <c r="B390" s="30" t="inlineStr">
        <is>
          <t>LMW Ltd</t>
        </is>
      </c>
      <c r="C390" s="30" t="inlineStr">
        <is>
          <t>industrials</t>
        </is>
      </c>
      <c r="D390" s="30" t="inlineStr">
        <is>
          <t>textile machinery</t>
        </is>
      </c>
      <c r="E390" s="30" t="inlineStr">
        <is>
          <t>midcap</t>
        </is>
      </c>
      <c r="F390" s="30" t="n">
        <v>17861.98</v>
      </c>
      <c r="G390" s="30" t="n">
        <v>16665</v>
      </c>
      <c r="H390" s="30" t="n">
        <v>-0.33</v>
      </c>
      <c r="I390" s="30" t="n">
        <v>6732</v>
      </c>
      <c r="J390" s="30" t="inlineStr">
        <is>
          <t>500252</t>
        </is>
      </c>
    </row>
    <row r="391">
      <c r="A391" s="30" t="inlineStr">
        <is>
          <t>ZYDUSLIFE</t>
        </is>
      </c>
      <c r="B391" s="30" t="inlineStr">
        <is>
          <t>Zydus Lifesciences Ltd</t>
        </is>
      </c>
      <c r="C391" s="30" t="inlineStr">
        <is>
          <t>healthcare</t>
        </is>
      </c>
      <c r="D391" s="30" t="inlineStr">
        <is>
          <t>pharmaceuticals - indian - bulk drugs &amp; formln</t>
        </is>
      </c>
      <c r="E391" s="30" t="inlineStr">
        <is>
          <t>largecap</t>
        </is>
      </c>
      <c r="F391" s="30" t="n">
        <v>108109.78</v>
      </c>
      <c r="G391" s="30" t="n">
        <v>1070.8</v>
      </c>
      <c r="H391" s="30" t="n">
        <v>-0.34</v>
      </c>
      <c r="I391" s="30" t="n">
        <v>887232</v>
      </c>
      <c r="J391" s="30" t="inlineStr">
        <is>
          <t>532321</t>
        </is>
      </c>
    </row>
    <row r="392">
      <c r="A392" s="30" t="inlineStr">
        <is>
          <t>HDFCAMC</t>
        </is>
      </c>
      <c r="B392" s="30" t="inlineStr">
        <is>
          <t>HDFC Asset Management Company Ltd</t>
        </is>
      </c>
      <c r="C392" s="30" t="inlineStr">
        <is>
          <t>financials</t>
        </is>
      </c>
      <c r="D392" s="30" t="inlineStr">
        <is>
          <t>finance &amp; investments</t>
        </is>
      </c>
      <c r="E392" s="30" t="inlineStr">
        <is>
          <t>largecap</t>
        </is>
      </c>
      <c r="F392" s="30" t="n">
        <v>116876.14</v>
      </c>
      <c r="G392" s="30" t="n">
        <v>2719</v>
      </c>
      <c r="H392" s="30" t="n">
        <v>-0.34</v>
      </c>
      <c r="I392" s="30" t="n">
        <v>430133</v>
      </c>
      <c r="J392" s="30" t="inlineStr">
        <is>
          <t>541729</t>
        </is>
      </c>
    </row>
    <row r="393">
      <c r="A393" s="30" t="inlineStr">
        <is>
          <t>MAXESTATES</t>
        </is>
      </c>
      <c r="B393" s="30" t="inlineStr">
        <is>
          <t>Max Estates Ltd</t>
        </is>
      </c>
      <c r="C393" s="30" t="inlineStr">
        <is>
          <t>realty</t>
        </is>
      </c>
      <c r="D393" s="30" t="inlineStr">
        <is>
          <t>construction</t>
        </is>
      </c>
      <c r="E393" s="30" t="inlineStr">
        <is>
          <t>midcap</t>
        </is>
      </c>
      <c r="F393" s="30" t="n">
        <v>7422.88</v>
      </c>
      <c r="G393" s="30" t="n">
        <v>452.6</v>
      </c>
      <c r="H393" s="30" t="n">
        <v>-0.34</v>
      </c>
      <c r="I393" s="30" t="n">
        <v>42741</v>
      </c>
      <c r="J393" s="30" t="inlineStr">
        <is>
          <t>544008</t>
        </is>
      </c>
    </row>
    <row r="394">
      <c r="A394" s="30" t="inlineStr">
        <is>
          <t>MMFL</t>
        </is>
      </c>
      <c r="B394" s="30" t="inlineStr">
        <is>
          <t>Mm Forgings Limited</t>
        </is>
      </c>
      <c r="C394" s="30" t="inlineStr">
        <is>
          <t>industrials</t>
        </is>
      </c>
      <c r="D394" s="30" t="inlineStr">
        <is>
          <t>castings &amp; forgings</t>
        </is>
      </c>
      <c r="E394" s="30" t="inlineStr">
        <is>
          <t>smallcap</t>
        </is>
      </c>
      <c r="F394" s="30" t="n">
        <v>2275.99</v>
      </c>
      <c r="G394" s="30" t="n">
        <v>469.8</v>
      </c>
      <c r="H394" s="30" t="n">
        <v>-0.34</v>
      </c>
      <c r="I394" s="30" t="n">
        <v>65799</v>
      </c>
      <c r="J394" s="30" t="inlineStr">
        <is>
          <t>522241</t>
        </is>
      </c>
    </row>
    <row r="395">
      <c r="A395" s="30" t="inlineStr">
        <is>
          <t>DIVISLAB</t>
        </is>
      </c>
      <c r="B395" s="30" t="inlineStr">
        <is>
          <t>Divi's Laboratories Limited</t>
        </is>
      </c>
      <c r="C395" s="30" t="inlineStr">
        <is>
          <t>healthcare</t>
        </is>
      </c>
      <c r="D395" s="30" t="inlineStr">
        <is>
          <t>pharmaceuticals - indian - bulk drugs</t>
        </is>
      </c>
      <c r="E395" s="30" t="inlineStr">
        <is>
          <t>largecap</t>
        </is>
      </c>
      <c r="F395" s="30" t="n">
        <v>179642.59</v>
      </c>
      <c r="G395" s="30" t="n">
        <v>6743</v>
      </c>
      <c r="H395" s="30" t="n">
        <v>-0.35</v>
      </c>
      <c r="I395" s="30" t="n">
        <v>372371</v>
      </c>
      <c r="J395" s="30" t="inlineStr">
        <is>
          <t>532488</t>
        </is>
      </c>
    </row>
    <row r="396">
      <c r="A396" s="30" t="inlineStr">
        <is>
          <t>ADANIPORTS</t>
        </is>
      </c>
      <c r="B396" s="30" t="inlineStr">
        <is>
          <t>Adani Ports And Special Economic Zone Limited</t>
        </is>
      </c>
      <c r="C396" s="30" t="inlineStr">
        <is>
          <t>transportation</t>
        </is>
      </c>
      <c r="D396" s="30" t="inlineStr">
        <is>
          <t>miscellaneous</t>
        </is>
      </c>
      <c r="E396" s="30" t="inlineStr">
        <is>
          <t>largecap</t>
        </is>
      </c>
      <c r="F396" s="30" t="n">
        <v>424412.31</v>
      </c>
      <c r="G396" s="30" t="n">
        <v>1835.3</v>
      </c>
      <c r="H396" s="30" t="n">
        <v>-0.37</v>
      </c>
      <c r="I396" s="30" t="n">
        <v>4382841</v>
      </c>
      <c r="J396" s="30" t="inlineStr">
        <is>
          <t>532921</t>
        </is>
      </c>
    </row>
    <row r="397">
      <c r="A397" s="30" t="inlineStr">
        <is>
          <t>NETWEB</t>
        </is>
      </c>
      <c r="B397" s="30" t="inlineStr">
        <is>
          <t>Netweb Technologies India Ltd</t>
        </is>
      </c>
      <c r="C397" s="30" t="inlineStr">
        <is>
          <t>i.t</t>
        </is>
      </c>
      <c r="D397" s="30" t="inlineStr">
        <is>
          <t>computers - hardware</t>
        </is>
      </c>
      <c r="E397" s="30" t="inlineStr">
        <is>
          <t>largecap</t>
        </is>
      </c>
      <c r="F397" s="30" t="n">
        <v>28923.59</v>
      </c>
      <c r="G397" s="30" t="n">
        <v>5060.9</v>
      </c>
      <c r="H397" s="30" t="n">
        <v>-0.37</v>
      </c>
      <c r="I397" s="30" t="n">
        <v>2415443</v>
      </c>
      <c r="J397" s="30" t="inlineStr">
        <is>
          <t>543945</t>
        </is>
      </c>
    </row>
    <row r="398">
      <c r="A398" s="30" t="inlineStr">
        <is>
          <t>3MINDIA</t>
        </is>
      </c>
      <c r="B398" s="30" t="inlineStr">
        <is>
          <t>3m India Limited</t>
        </is>
      </c>
      <c r="C398" s="30" t="inlineStr">
        <is>
          <t>miscellaneous</t>
        </is>
      </c>
      <c r="D398" s="30" t="inlineStr">
        <is>
          <t>diversified - large</t>
        </is>
      </c>
      <c r="E398" s="30" t="inlineStr">
        <is>
          <t>largecap</t>
        </is>
      </c>
      <c r="F398" s="30" t="n">
        <v>37456.36</v>
      </c>
      <c r="G398" s="30" t="n">
        <v>33125</v>
      </c>
      <c r="H398" s="30" t="n">
        <v>-0.38</v>
      </c>
      <c r="I398" s="30" t="n">
        <v>2784</v>
      </c>
      <c r="J398" s="30" t="inlineStr">
        <is>
          <t>523395</t>
        </is>
      </c>
    </row>
    <row r="399">
      <c r="A399" s="30" t="inlineStr">
        <is>
          <t>BEL</t>
        </is>
      </c>
      <c r="B399" s="30" t="inlineStr">
        <is>
          <t>Bharat Electronics Limited</t>
        </is>
      </c>
      <c r="C399" s="30" t="inlineStr">
        <is>
          <t>aerospace &amp; defence</t>
        </is>
      </c>
      <c r="D399" s="30" t="inlineStr">
        <is>
          <t>electronics - components</t>
        </is>
      </c>
      <c r="E399" s="30" t="inlineStr">
        <is>
          <t>largecap</t>
        </is>
      </c>
      <c r="F399" s="30" t="n">
        <v>313297.12</v>
      </c>
      <c r="G399" s="30" t="n">
        <v>426.9</v>
      </c>
      <c r="H399" s="30" t="n">
        <v>-0.4</v>
      </c>
      <c r="I399" s="30" t="n">
        <v>10829044</v>
      </c>
      <c r="J399" s="30" t="inlineStr">
        <is>
          <t>500049</t>
        </is>
      </c>
    </row>
    <row r="400">
      <c r="A400" s="30" t="inlineStr">
        <is>
          <t>AARTIIND</t>
        </is>
      </c>
      <c r="B400" s="30" t="inlineStr">
        <is>
          <t>Aarti Industries Limited</t>
        </is>
      </c>
      <c r="C400" s="30" t="inlineStr">
        <is>
          <t>chemicals</t>
        </is>
      </c>
      <c r="D400" s="30" t="inlineStr">
        <is>
          <t>chemicals</t>
        </is>
      </c>
      <c r="E400" s="30" t="inlineStr">
        <is>
          <t>midcap</t>
        </is>
      </c>
      <c r="F400" s="30" t="n">
        <v>17638.4</v>
      </c>
      <c r="G400" s="30" t="n">
        <v>484.5</v>
      </c>
      <c r="H400" s="30" t="n">
        <v>-0.4</v>
      </c>
      <c r="I400" s="30" t="n">
        <v>665082</v>
      </c>
      <c r="J400" s="30" t="inlineStr">
        <is>
          <t>524208</t>
        </is>
      </c>
    </row>
    <row r="401">
      <c r="A401" s="30" t="inlineStr">
        <is>
          <t>SWANDEF</t>
        </is>
      </c>
      <c r="B401" s="30" t="inlineStr">
        <is>
          <t>Swan Defence and Heavy Industries Ltd</t>
        </is>
      </c>
      <c r="C401" s="30" t="inlineStr">
        <is>
          <t>transportation</t>
        </is>
      </c>
      <c r="D401" s="30" t="inlineStr">
        <is>
          <t>miscellaneous</t>
        </is>
      </c>
      <c r="E401" s="30" t="inlineStr">
        <is>
          <t>midcap</t>
        </is>
      </c>
      <c r="F401" s="30" t="n">
        <v>10721.34</v>
      </c>
      <c r="G401" s="30" t="n">
        <v>2026.7</v>
      </c>
      <c r="H401" s="30" t="n">
        <v>-0.41</v>
      </c>
      <c r="I401" s="30" t="n">
        <v>6378</v>
      </c>
      <c r="J401" s="30" t="inlineStr">
        <is>
          <t>533107</t>
        </is>
      </c>
    </row>
    <row r="402">
      <c r="A402" s="30" t="inlineStr">
        <is>
          <t>TBZ</t>
        </is>
      </c>
      <c r="B402" s="30" t="inlineStr">
        <is>
          <t>Tribhovandas Bhimji Zaveri Limited</t>
        </is>
      </c>
      <c r="C402" s="30" t="inlineStr">
        <is>
          <t>consumer discretionary</t>
        </is>
      </c>
      <c r="D402" s="30" t="inlineStr">
        <is>
          <t>diamond cutting / jewellery</t>
        </is>
      </c>
      <c r="E402" s="30" t="inlineStr">
        <is>
          <t>smallcap</t>
        </is>
      </c>
      <c r="F402" s="30" t="n">
        <v>1265.68</v>
      </c>
      <c r="G402" s="30" t="n">
        <v>188.88</v>
      </c>
      <c r="H402" s="30" t="n">
        <v>-0.42</v>
      </c>
      <c r="I402" s="30" t="n">
        <v>360453</v>
      </c>
      <c r="J402" s="30" t="inlineStr">
        <is>
          <t>534369</t>
        </is>
      </c>
    </row>
    <row r="403">
      <c r="A403" s="30" t="inlineStr">
        <is>
          <t>RIIL</t>
        </is>
      </c>
      <c r="B403" s="30" t="inlineStr">
        <is>
          <t>Reliance Industrial Infrastructure Limited</t>
        </is>
      </c>
      <c r="C403" s="30" t="inlineStr">
        <is>
          <t>transportation</t>
        </is>
      </c>
      <c r="D403" s="30" t="inlineStr">
        <is>
          <t>miscellaneous</t>
        </is>
      </c>
      <c r="E403" s="30" t="inlineStr">
        <is>
          <t>smallcap</t>
        </is>
      </c>
      <c r="F403" s="30" t="n">
        <v>1301.62</v>
      </c>
      <c r="G403" s="30" t="n">
        <v>858.4</v>
      </c>
      <c r="H403" s="30" t="n">
        <v>-0.42</v>
      </c>
      <c r="I403" s="30" t="n">
        <v>176308</v>
      </c>
      <c r="J403" s="30" t="inlineStr">
        <is>
          <t>523445</t>
        </is>
      </c>
    </row>
    <row r="404">
      <c r="A404" s="30" t="inlineStr">
        <is>
          <t>KOVAI</t>
        </is>
      </c>
      <c r="B404" s="30" t="inlineStr">
        <is>
          <t>Kovai Medical Center &amp; Hospital Ltd</t>
        </is>
      </c>
      <c r="C404" s="30" t="inlineStr">
        <is>
          <t>healthcare</t>
        </is>
      </c>
      <c r="D404" s="30" t="inlineStr">
        <is>
          <t>healthcare</t>
        </is>
      </c>
      <c r="E404" s="30" t="inlineStr">
        <is>
          <t>midcap</t>
        </is>
      </c>
      <c r="F404" s="30" t="n">
        <v>6420.37</v>
      </c>
      <c r="G404" s="30" t="n">
        <v>5842.5</v>
      </c>
      <c r="H404" s="30" t="n">
        <v>-0.43</v>
      </c>
      <c r="I404" s="30" t="n">
        <v>1604</v>
      </c>
      <c r="J404" s="30" t="inlineStr">
        <is>
          <t>523323</t>
        </is>
      </c>
    </row>
    <row r="405">
      <c r="A405" s="30" t="inlineStr">
        <is>
          <t>WELENT</t>
        </is>
      </c>
      <c r="B405" s="30" t="inlineStr">
        <is>
          <t>Welspun Enterprises Limited</t>
        </is>
      </c>
      <c r="C405" s="30" t="inlineStr">
        <is>
          <t>realty</t>
        </is>
      </c>
      <c r="D405" s="30" t="inlineStr">
        <is>
          <t>construction</t>
        </is>
      </c>
      <c r="E405" s="30" t="inlineStr">
        <is>
          <t>midcap</t>
        </is>
      </c>
      <c r="F405" s="30" t="n">
        <v>7894.43</v>
      </c>
      <c r="G405" s="30" t="n">
        <v>567.85</v>
      </c>
      <c r="H405" s="30" t="n">
        <v>-0.44</v>
      </c>
      <c r="I405" s="30" t="n">
        <v>254944</v>
      </c>
      <c r="J405" s="30" t="inlineStr">
        <is>
          <t>532553</t>
        </is>
      </c>
    </row>
    <row r="406">
      <c r="A406" s="30" t="inlineStr">
        <is>
          <t>HEALTHX</t>
        </is>
      </c>
      <c r="B406" s="30" t="inlineStr">
        <is>
          <t>Health X Platform Ltd</t>
        </is>
      </c>
      <c r="C406" s="30" t="inlineStr">
        <is>
          <t>financials</t>
        </is>
      </c>
      <c r="D406" s="30" t="inlineStr">
        <is>
          <t>finance &amp; investments</t>
        </is>
      </c>
      <c r="E406" s="30" t="inlineStr">
        <is>
          <t>smallcap</t>
        </is>
      </c>
      <c r="F406" s="30" t="n">
        <v>1010.46</v>
      </c>
      <c r="G406" s="30" t="n">
        <v>316.2</v>
      </c>
      <c r="H406" s="30" t="n">
        <v>-0.46</v>
      </c>
      <c r="I406" s="30" t="n">
        <v>2653</v>
      </c>
      <c r="J406" s="30" t="inlineStr">
        <is>
          <t>533259</t>
        </is>
      </c>
    </row>
    <row r="407">
      <c r="A407" s="30" t="inlineStr">
        <is>
          <t>DMART</t>
        </is>
      </c>
      <c r="B407" s="30" t="inlineStr">
        <is>
          <t>Avenue Supermarts Ltd</t>
        </is>
      </c>
      <c r="C407" s="30" t="inlineStr">
        <is>
          <t>consumer discretionary</t>
        </is>
      </c>
      <c r="D407" s="30" t="inlineStr">
        <is>
          <t>trading</t>
        </is>
      </c>
      <c r="E407" s="30" t="inlineStr">
        <is>
          <t>largecap</t>
        </is>
      </c>
      <c r="F407" s="30" t="n">
        <v>280779.24</v>
      </c>
      <c r="G407" s="30" t="n">
        <v>4286.9</v>
      </c>
      <c r="H407" s="30" t="n">
        <v>-0.46</v>
      </c>
      <c r="I407" s="30" t="n">
        <v>1411377</v>
      </c>
      <c r="J407" s="30" t="inlineStr">
        <is>
          <t>540376</t>
        </is>
      </c>
    </row>
    <row r="408">
      <c r="A408" s="30" t="inlineStr">
        <is>
          <t>STEL</t>
        </is>
      </c>
      <c r="B408" s="30" t="inlineStr">
        <is>
          <t>Stel Holdings Limited</t>
        </is>
      </c>
      <c r="C408" s="30" t="inlineStr">
        <is>
          <t>financials</t>
        </is>
      </c>
      <c r="D408" s="30" t="inlineStr">
        <is>
          <t>finance &amp; investments</t>
        </is>
      </c>
      <c r="E408" s="30" t="inlineStr">
        <is>
          <t>smallcap</t>
        </is>
      </c>
      <c r="F408" s="30" t="n">
        <v>1108.99</v>
      </c>
      <c r="G408" s="30" t="n">
        <v>598.05</v>
      </c>
      <c r="H408" s="30" t="n">
        <v>-0.47</v>
      </c>
      <c r="I408" s="30" t="n">
        <v>12971</v>
      </c>
      <c r="J408" s="30" t="n"/>
    </row>
    <row r="409">
      <c r="A409" s="30" t="inlineStr">
        <is>
          <t>WELSPUNLIV</t>
        </is>
      </c>
      <c r="B409" s="30" t="inlineStr">
        <is>
          <t>Welspun Living Ltd</t>
        </is>
      </c>
      <c r="C409" s="30" t="inlineStr">
        <is>
          <t>textiles</t>
        </is>
      </c>
      <c r="D409" s="30" t="inlineStr">
        <is>
          <t>textiles - products</t>
        </is>
      </c>
      <c r="E409" s="30" t="inlineStr">
        <is>
          <t>midcap</t>
        </is>
      </c>
      <c r="F409" s="30" t="n">
        <v>15634.19</v>
      </c>
      <c r="G409" s="30" t="n">
        <v>162.23</v>
      </c>
      <c r="H409" s="30" t="n">
        <v>-0.47</v>
      </c>
      <c r="I409" s="30" t="n">
        <v>5648234</v>
      </c>
      <c r="J409" s="30" t="inlineStr">
        <is>
          <t>514162</t>
        </is>
      </c>
    </row>
    <row r="410">
      <c r="A410" s="30" t="inlineStr">
        <is>
          <t>YASHO</t>
        </is>
      </c>
      <c r="B410" s="30" t="inlineStr">
        <is>
          <t>Yasho Industries Ltd</t>
        </is>
      </c>
      <c r="C410" s="30" t="inlineStr">
        <is>
          <t>chemicals</t>
        </is>
      </c>
      <c r="D410" s="30" t="inlineStr">
        <is>
          <t>chemicals</t>
        </is>
      </c>
      <c r="E410" s="30" t="inlineStr">
        <is>
          <t>smallcap</t>
        </is>
      </c>
      <c r="F410" s="30" t="n">
        <v>3487.39</v>
      </c>
      <c r="G410" s="30" t="n">
        <v>2878.6</v>
      </c>
      <c r="H410" s="30" t="n">
        <v>-0.48</v>
      </c>
      <c r="I410" s="30" t="n">
        <v>31165</v>
      </c>
      <c r="J410" s="30" t="inlineStr">
        <is>
          <t>541167</t>
        </is>
      </c>
    </row>
    <row r="411">
      <c r="A411" s="30" t="inlineStr">
        <is>
          <t>TRIVENI</t>
        </is>
      </c>
      <c r="B411" s="30" t="inlineStr">
        <is>
          <t>Triveni Engineering &amp; Industries Limited</t>
        </is>
      </c>
      <c r="C411" s="30" t="inlineStr">
        <is>
          <t>fmcg</t>
        </is>
      </c>
      <c r="D411" s="30" t="inlineStr">
        <is>
          <t>sugar</t>
        </is>
      </c>
      <c r="E411" s="30" t="inlineStr">
        <is>
          <t>midcap</t>
        </is>
      </c>
      <c r="F411" s="30" t="n">
        <v>8877.41</v>
      </c>
      <c r="G411" s="30" t="n">
        <v>403.55</v>
      </c>
      <c r="H411" s="30" t="n">
        <v>-0.49</v>
      </c>
      <c r="I411" s="30" t="n">
        <v>494475</v>
      </c>
      <c r="J411" s="30" t="inlineStr">
        <is>
          <t>532356</t>
        </is>
      </c>
    </row>
    <row r="412">
      <c r="A412" s="30" t="inlineStr">
        <is>
          <t>SHYAMMETL</t>
        </is>
      </c>
      <c r="B412" s="30" t="inlineStr">
        <is>
          <t>Shyam Metalics &amp; Energy Ltd</t>
        </is>
      </c>
      <c r="C412" s="30" t="inlineStr">
        <is>
          <t>metals &amp; mining</t>
        </is>
      </c>
      <c r="D412" s="30" t="inlineStr">
        <is>
          <t>steel - large</t>
        </is>
      </c>
      <c r="E412" s="30" t="inlineStr">
        <is>
          <t>largecap</t>
        </is>
      </c>
      <c r="F412" s="30" t="n">
        <v>27218.15</v>
      </c>
      <c r="G412" s="30" t="n">
        <v>970.3</v>
      </c>
      <c r="H412" s="30" t="n">
        <v>-0.49</v>
      </c>
      <c r="I412" s="30" t="n">
        <v>417295</v>
      </c>
      <c r="J412" s="30" t="inlineStr">
        <is>
          <t>543299</t>
        </is>
      </c>
    </row>
    <row r="413">
      <c r="A413" s="30" t="inlineStr">
        <is>
          <t>MBAPL</t>
        </is>
      </c>
      <c r="B413" s="30" t="inlineStr">
        <is>
          <t>Madhya Bharat Agro Products Ltd</t>
        </is>
      </c>
      <c r="C413" s="30" t="inlineStr">
        <is>
          <t>chemicals</t>
        </is>
      </c>
      <c r="D413" s="30" t="inlineStr">
        <is>
          <t>fertilizers</t>
        </is>
      </c>
      <c r="E413" s="30" t="inlineStr">
        <is>
          <t>smallcap</t>
        </is>
      </c>
      <c r="F413" s="30" t="n">
        <v>4958.81</v>
      </c>
      <c r="G413" s="30" t="n">
        <v>563</v>
      </c>
      <c r="H413" s="30" t="n">
        <v>-0.51</v>
      </c>
      <c r="I413" s="30" t="n">
        <v>106213</v>
      </c>
      <c r="J413" s="30" t="inlineStr">
        <is>
          <t>538370</t>
        </is>
      </c>
    </row>
    <row r="414">
      <c r="A414" s="30" t="inlineStr">
        <is>
          <t>MMTC</t>
        </is>
      </c>
      <c r="B414" s="30" t="inlineStr">
        <is>
          <t>Mmtc Limited</t>
        </is>
      </c>
      <c r="C414" s="30" t="inlineStr">
        <is>
          <t>services</t>
        </is>
      </c>
      <c r="D414" s="30" t="inlineStr">
        <is>
          <t>trading</t>
        </is>
      </c>
      <c r="E414" s="30" t="inlineStr">
        <is>
          <t>midcap</t>
        </is>
      </c>
      <c r="F414" s="30" t="n">
        <v>11242.5</v>
      </c>
      <c r="G414" s="30" t="n">
        <v>74.55</v>
      </c>
      <c r="H414" s="30" t="n">
        <v>-0.53</v>
      </c>
      <c r="I414" s="30" t="n">
        <v>6629184</v>
      </c>
      <c r="J414" s="30" t="inlineStr">
        <is>
          <t>513377</t>
        </is>
      </c>
    </row>
    <row r="415">
      <c r="A415" s="30" t="inlineStr">
        <is>
          <t>AVTNPL</t>
        </is>
      </c>
      <c r="B415" s="30" t="inlineStr">
        <is>
          <t>Avt Natural Products Limited</t>
        </is>
      </c>
      <c r="C415" s="30" t="inlineStr">
        <is>
          <t>fmcg</t>
        </is>
      </c>
      <c r="D415" s="30" t="inlineStr">
        <is>
          <t>solvent extraction</t>
        </is>
      </c>
      <c r="E415" s="30" t="inlineStr">
        <is>
          <t>smallcap</t>
        </is>
      </c>
      <c r="F415" s="30" t="n">
        <v>1105.13</v>
      </c>
      <c r="G415" s="30" t="n">
        <v>72.17</v>
      </c>
      <c r="H415" s="30" t="n">
        <v>-0.55</v>
      </c>
      <c r="I415" s="30" t="n">
        <v>38113</v>
      </c>
      <c r="J415" s="30" t="inlineStr">
        <is>
          <t>519105</t>
        </is>
      </c>
    </row>
    <row r="416">
      <c r="A416" s="30" t="inlineStr">
        <is>
          <t>PANSARI</t>
        </is>
      </c>
      <c r="B416" s="30" t="inlineStr">
        <is>
          <t>Pansari Developers Ltd</t>
        </is>
      </c>
      <c r="C416" s="30" t="inlineStr">
        <is>
          <t>realty</t>
        </is>
      </c>
      <c r="D416" s="30" t="inlineStr">
        <is>
          <t>construction</t>
        </is>
      </c>
      <c r="E416" s="30" t="inlineStr">
        <is>
          <t>smallcap</t>
        </is>
      </c>
      <c r="F416" s="30" t="n">
        <v>528.64</v>
      </c>
      <c r="G416" s="30" t="n">
        <v>301.25</v>
      </c>
      <c r="H416" s="30" t="n">
        <v>-0.58</v>
      </c>
      <c r="I416" s="30" t="n">
        <v>5353</v>
      </c>
      <c r="J416" s="30" t="inlineStr">
        <is>
          <t>538381</t>
        </is>
      </c>
    </row>
    <row r="417">
      <c r="A417" s="30" t="inlineStr">
        <is>
          <t>EQUITASBNK</t>
        </is>
      </c>
      <c r="B417" s="30" t="inlineStr">
        <is>
          <t>Equitas Small Finance Bank Ltd</t>
        </is>
      </c>
      <c r="C417" s="30" t="inlineStr">
        <is>
          <t>bank</t>
        </is>
      </c>
      <c r="D417" s="30" t="inlineStr">
        <is>
          <t>banks - private sector</t>
        </is>
      </c>
      <c r="E417" s="30" t="inlineStr">
        <is>
          <t>midcap</t>
        </is>
      </c>
      <c r="F417" s="30" t="n">
        <v>8865.9</v>
      </c>
      <c r="G417" s="30" t="n">
        <v>77.25</v>
      </c>
      <c r="H417" s="30" t="n">
        <v>-0.58</v>
      </c>
      <c r="I417" s="30" t="n">
        <v>3156614</v>
      </c>
      <c r="J417" s="30" t="inlineStr">
        <is>
          <t>543243</t>
        </is>
      </c>
    </row>
    <row r="418">
      <c r="A418" s="30" t="inlineStr">
        <is>
          <t>VSSL</t>
        </is>
      </c>
      <c r="B418" s="30" t="inlineStr">
        <is>
          <t>Vardhman Special Steels Limited</t>
        </is>
      </c>
      <c r="C418" s="30" t="inlineStr">
        <is>
          <t>metals &amp; mining</t>
        </is>
      </c>
      <c r="D418" s="30" t="inlineStr">
        <is>
          <t>steel - medium / small</t>
        </is>
      </c>
      <c r="E418" s="30" t="inlineStr">
        <is>
          <t>smallcap</t>
        </is>
      </c>
      <c r="F418" s="30" t="n">
        <v>2738.14</v>
      </c>
      <c r="G418" s="30" t="n">
        <v>281.55</v>
      </c>
      <c r="H418" s="30" t="n">
        <v>-0.58</v>
      </c>
      <c r="I418" s="30" t="n">
        <v>17712</v>
      </c>
      <c r="J418" s="30" t="inlineStr">
        <is>
          <t>534392</t>
        </is>
      </c>
    </row>
    <row r="419">
      <c r="A419" s="30" t="inlineStr">
        <is>
          <t>IDEA</t>
        </is>
      </c>
      <c r="B419" s="30" t="inlineStr">
        <is>
          <t>Vodafone Idea Ltd</t>
        </is>
      </c>
      <c r="C419" s="30" t="inlineStr">
        <is>
          <t>telecom-service</t>
        </is>
      </c>
      <c r="D419" s="30" t="inlineStr">
        <is>
          <t>telecommunications - service provider</t>
        </is>
      </c>
      <c r="E419" s="30" t="inlineStr">
        <is>
          <t>largecap</t>
        </is>
      </c>
      <c r="F419" s="30" t="n">
        <v>162622.9</v>
      </c>
      <c r="G419" s="30" t="n">
        <v>14.92</v>
      </c>
      <c r="H419" s="30" t="n">
        <v>-0.6</v>
      </c>
      <c r="I419" s="30" t="n">
        <v>416172167</v>
      </c>
      <c r="J419" s="30" t="inlineStr">
        <is>
          <t>532822</t>
        </is>
      </c>
    </row>
    <row r="420">
      <c r="A420" s="30" t="inlineStr">
        <is>
          <t>SGIL</t>
        </is>
      </c>
      <c r="B420" s="30" t="inlineStr">
        <is>
          <t>Synergy Green Industries Ltd</t>
        </is>
      </c>
      <c r="C420" s="30" t="inlineStr">
        <is>
          <t>industrials</t>
        </is>
      </c>
      <c r="D420" s="30" t="inlineStr">
        <is>
          <t>castings &amp; forgings</t>
        </is>
      </c>
      <c r="E420" s="30" t="inlineStr">
        <is>
          <t>smallcap</t>
        </is>
      </c>
      <c r="F420" s="30" t="n">
        <v>916.96</v>
      </c>
      <c r="G420" s="30" t="n">
        <v>586.4</v>
      </c>
      <c r="H420" s="30" t="n">
        <v>-0.6</v>
      </c>
      <c r="I420" s="30" t="n">
        <v>4722</v>
      </c>
      <c r="J420" s="30" t="inlineStr">
        <is>
          <t>541929</t>
        </is>
      </c>
    </row>
    <row r="421">
      <c r="A421" s="30" t="inlineStr">
        <is>
          <t>VTL</t>
        </is>
      </c>
      <c r="B421" s="30" t="inlineStr">
        <is>
          <t>Vardhman Textiles Limited</t>
        </is>
      </c>
      <c r="C421" s="30" t="inlineStr">
        <is>
          <t>textiles</t>
        </is>
      </c>
      <c r="D421" s="30" t="inlineStr">
        <is>
          <t>textiles - cotton/blended</t>
        </is>
      </c>
      <c r="E421" s="30" t="inlineStr">
        <is>
          <t>midcap</t>
        </is>
      </c>
      <c r="F421" s="30" t="n">
        <v>19133.1</v>
      </c>
      <c r="G421" s="30" t="n">
        <v>657.45</v>
      </c>
      <c r="H421" s="30" t="n">
        <v>-0.6</v>
      </c>
      <c r="I421" s="30" t="n">
        <v>613055</v>
      </c>
      <c r="J421" s="30" t="inlineStr">
        <is>
          <t>502986</t>
        </is>
      </c>
    </row>
    <row r="422">
      <c r="A422" s="30" t="inlineStr">
        <is>
          <t>AVALON</t>
        </is>
      </c>
      <c r="B422" s="30" t="inlineStr">
        <is>
          <t>Avalon Technologies Ltd</t>
        </is>
      </c>
      <c r="C422" s="30" t="inlineStr">
        <is>
          <t>consumer discretionary</t>
        </is>
      </c>
      <c r="D422" s="30" t="inlineStr">
        <is>
          <t>electronics - components</t>
        </is>
      </c>
      <c r="E422" s="30" t="inlineStr">
        <is>
          <t>midcap</t>
        </is>
      </c>
      <c r="F422" s="30" t="n">
        <v>11719.46</v>
      </c>
      <c r="G422" s="30" t="n">
        <v>1744.6</v>
      </c>
      <c r="H422" s="30" t="n">
        <v>-0.61</v>
      </c>
      <c r="I422" s="30" t="n">
        <v>242389</v>
      </c>
      <c r="J422" s="30" t="inlineStr">
        <is>
          <t>543896</t>
        </is>
      </c>
    </row>
    <row r="423">
      <c r="A423" s="30" t="inlineStr">
        <is>
          <t>SOMANYCERA</t>
        </is>
      </c>
      <c r="B423" s="30" t="inlineStr">
        <is>
          <t>Somany Ceramics Limited</t>
        </is>
      </c>
      <c r="C423" s="30" t="inlineStr">
        <is>
          <t>building materials</t>
        </is>
      </c>
      <c r="D423" s="30" t="inlineStr">
        <is>
          <t>ceramics - tiles / sanitaryware</t>
        </is>
      </c>
      <c r="E423" s="30" t="inlineStr">
        <is>
          <t>smallcap</t>
        </is>
      </c>
      <c r="F423" s="30" t="n">
        <v>2131.03</v>
      </c>
      <c r="G423" s="30" t="n">
        <v>516.4</v>
      </c>
      <c r="H423" s="30" t="n">
        <v>-0.62</v>
      </c>
      <c r="I423" s="30" t="n">
        <v>37511</v>
      </c>
      <c r="J423" s="30" t="inlineStr">
        <is>
          <t>531548</t>
        </is>
      </c>
    </row>
    <row r="424">
      <c r="A424" s="30" t="inlineStr">
        <is>
          <t>RAMCOSYS</t>
        </is>
      </c>
      <c r="B424" s="30" t="inlineStr">
        <is>
          <t>Ramco Systems Limited</t>
        </is>
      </c>
      <c r="C424" s="30" t="inlineStr">
        <is>
          <t>i.t</t>
        </is>
      </c>
      <c r="D424" s="30" t="inlineStr">
        <is>
          <t>computers - software - medium / small</t>
        </is>
      </c>
      <c r="E424" s="30" t="inlineStr">
        <is>
          <t>smallcap</t>
        </is>
      </c>
      <c r="F424" s="30" t="n">
        <v>2097.87</v>
      </c>
      <c r="G424" s="30" t="n">
        <v>557.2</v>
      </c>
      <c r="H424" s="30" t="n">
        <v>-0.63</v>
      </c>
      <c r="I424" s="30" t="n">
        <v>245907</v>
      </c>
      <c r="J424" s="30" t="inlineStr">
        <is>
          <t>532370</t>
        </is>
      </c>
    </row>
    <row r="425">
      <c r="A425" s="30" t="inlineStr">
        <is>
          <t>OBEROIRLTY</t>
        </is>
      </c>
      <c r="B425" s="30" t="inlineStr">
        <is>
          <t>Oberoi Realty Limited</t>
        </is>
      </c>
      <c r="C425" s="30" t="inlineStr">
        <is>
          <t>realty</t>
        </is>
      </c>
      <c r="D425" s="30" t="inlineStr">
        <is>
          <t>construction</t>
        </is>
      </c>
      <c r="E425" s="30" t="inlineStr">
        <is>
          <t>largecap</t>
        </is>
      </c>
      <c r="F425" s="30" t="n">
        <v>61601.49</v>
      </c>
      <c r="G425" s="30" t="n">
        <v>1683.5</v>
      </c>
      <c r="H425" s="30" t="n">
        <v>-0.63</v>
      </c>
      <c r="I425" s="30" t="n">
        <v>168755</v>
      </c>
      <c r="J425" s="30" t="inlineStr">
        <is>
          <t>533273</t>
        </is>
      </c>
    </row>
    <row r="426">
      <c r="A426" s="30" t="inlineStr">
        <is>
          <t>YATHARTH</t>
        </is>
      </c>
      <c r="B426" s="30" t="inlineStr">
        <is>
          <t>Yatharth Hospital &amp; Trauma Care Services Ltd</t>
        </is>
      </c>
      <c r="C426" s="30" t="inlineStr">
        <is>
          <t>healthcare</t>
        </is>
      </c>
      <c r="D426" s="30" t="inlineStr">
        <is>
          <t>healthcare</t>
        </is>
      </c>
      <c r="E426" s="30" t="inlineStr">
        <is>
          <t>midcap</t>
        </is>
      </c>
      <c r="F426" s="30" t="n">
        <v>8143.39</v>
      </c>
      <c r="G426" s="30" t="n">
        <v>839.75</v>
      </c>
      <c r="H426" s="30" t="n">
        <v>-0.64</v>
      </c>
      <c r="I426" s="30" t="n">
        <v>291652</v>
      </c>
      <c r="J426" s="30" t="inlineStr">
        <is>
          <t>543950</t>
        </is>
      </c>
    </row>
    <row r="427">
      <c r="A427" s="30" t="inlineStr">
        <is>
          <t>INDIANB</t>
        </is>
      </c>
      <c r="B427" s="30" t="inlineStr">
        <is>
          <t>Indian Bank Ltd</t>
        </is>
      </c>
      <c r="C427" s="30" t="inlineStr">
        <is>
          <t>bank</t>
        </is>
      </c>
      <c r="D427" s="30" t="inlineStr">
        <is>
          <t>banks - public sector</t>
        </is>
      </c>
      <c r="E427" s="30" t="inlineStr">
        <is>
          <t>largecap</t>
        </is>
      </c>
      <c r="F427" s="30" t="n">
        <v>117953.64</v>
      </c>
      <c r="G427" s="30" t="n">
        <v>870.1</v>
      </c>
      <c r="H427" s="30" t="n">
        <v>-0.64</v>
      </c>
      <c r="I427" s="30" t="n">
        <v>1460346</v>
      </c>
      <c r="J427" s="30" t="inlineStr">
        <is>
          <t>532814</t>
        </is>
      </c>
    </row>
    <row r="428">
      <c r="A428" s="30" t="inlineStr">
        <is>
          <t>HITECHCORP</t>
        </is>
      </c>
      <c r="B428" s="30" t="inlineStr">
        <is>
          <t>Hitech Corporation</t>
        </is>
      </c>
      <c r="C428" s="30" t="inlineStr">
        <is>
          <t>industrials</t>
        </is>
      </c>
      <c r="D428" s="30" t="inlineStr">
        <is>
          <t>packaging</t>
        </is>
      </c>
      <c r="E428" s="30" t="inlineStr">
        <is>
          <t>smallcap</t>
        </is>
      </c>
      <c r="F428" s="30" t="n">
        <v>532.14</v>
      </c>
      <c r="G428" s="30" t="n">
        <v>307.73</v>
      </c>
      <c r="H428" s="30" t="n">
        <v>-0.67</v>
      </c>
      <c r="I428" s="30" t="n">
        <v>19495</v>
      </c>
      <c r="J428" s="30" t="inlineStr">
        <is>
          <t>526217</t>
        </is>
      </c>
    </row>
    <row r="429">
      <c r="A429" s="30" t="inlineStr">
        <is>
          <t>GUFICBIO</t>
        </is>
      </c>
      <c r="B429" s="30" t="inlineStr">
        <is>
          <t>Gufic Biosciences Limited</t>
        </is>
      </c>
      <c r="C429" s="30" t="inlineStr">
        <is>
          <t>healthcare</t>
        </is>
      </c>
      <c r="D429" s="30" t="inlineStr">
        <is>
          <t>pharmaceuticals - indian - bulk drugs &amp; formln</t>
        </is>
      </c>
      <c r="E429" s="30" t="inlineStr">
        <is>
          <t>smallcap</t>
        </is>
      </c>
      <c r="F429" s="30" t="n">
        <v>3586.6</v>
      </c>
      <c r="G429" s="30" t="n">
        <v>355.25</v>
      </c>
      <c r="H429" s="30" t="n">
        <v>-0.67</v>
      </c>
      <c r="I429" s="30" t="n">
        <v>70549</v>
      </c>
      <c r="J429" s="30" t="inlineStr">
        <is>
          <t>509079</t>
        </is>
      </c>
    </row>
    <row r="430">
      <c r="A430" s="30" t="inlineStr">
        <is>
          <t>MARKSANS</t>
        </is>
      </c>
      <c r="B430" s="30" t="inlineStr">
        <is>
          <t>Marksans Pharma Limited</t>
        </is>
      </c>
      <c r="C430" s="30" t="inlineStr">
        <is>
          <t>healthcare</t>
        </is>
      </c>
      <c r="D430" s="30" t="inlineStr">
        <is>
          <t>pharmaceuticals - indian - formulations</t>
        </is>
      </c>
      <c r="E430" s="30" t="inlineStr">
        <is>
          <t>midcap</t>
        </is>
      </c>
      <c r="F430" s="30" t="n">
        <v>11847.97</v>
      </c>
      <c r="G430" s="30" t="n">
        <v>259.67</v>
      </c>
      <c r="H430" s="30" t="n">
        <v>-0.68</v>
      </c>
      <c r="I430" s="30" t="n">
        <v>2398746</v>
      </c>
      <c r="J430" s="30" t="inlineStr">
        <is>
          <t>524404</t>
        </is>
      </c>
    </row>
    <row r="431">
      <c r="A431" s="30" t="inlineStr">
        <is>
          <t>SUPRAJIT</t>
        </is>
      </c>
      <c r="B431" s="30" t="inlineStr">
        <is>
          <t>Suprajit Engineering Limited</t>
        </is>
      </c>
      <c r="C431" s="30" t="inlineStr">
        <is>
          <t>auto</t>
        </is>
      </c>
      <c r="D431" s="30" t="inlineStr">
        <is>
          <t>auto ancillaries</t>
        </is>
      </c>
      <c r="E431" s="30" t="inlineStr">
        <is>
          <t>midcap</t>
        </is>
      </c>
      <c r="F431" s="30" t="n">
        <v>6444.3</v>
      </c>
      <c r="G431" s="30" t="n">
        <v>466.55</v>
      </c>
      <c r="H431" s="30" t="n">
        <v>-0.6899999999999999</v>
      </c>
      <c r="I431" s="30" t="n">
        <v>69636</v>
      </c>
      <c r="J431" s="30" t="inlineStr">
        <is>
          <t>532509</t>
        </is>
      </c>
    </row>
    <row r="432">
      <c r="A432" s="30" t="inlineStr">
        <is>
          <t>SKIPPER</t>
        </is>
      </c>
      <c r="B432" s="30" t="inlineStr">
        <is>
          <t>Skipper Limited</t>
        </is>
      </c>
      <c r="C432" s="30" t="inlineStr">
        <is>
          <t>industrials</t>
        </is>
      </c>
      <c r="D432" s="30" t="inlineStr">
        <is>
          <t>engineering</t>
        </is>
      </c>
      <c r="E432" s="30" t="inlineStr">
        <is>
          <t>midcap</t>
        </is>
      </c>
      <c r="F432" s="30" t="n">
        <v>6176.42</v>
      </c>
      <c r="G432" s="30" t="n">
        <v>543.3</v>
      </c>
      <c r="H432" s="30" t="n">
        <v>-0.6899999999999999</v>
      </c>
      <c r="I432" s="30" t="n">
        <v>534289</v>
      </c>
      <c r="J432" s="30" t="inlineStr">
        <is>
          <t>538562</t>
        </is>
      </c>
    </row>
    <row r="433">
      <c r="A433" s="30" t="inlineStr">
        <is>
          <t>BANKBARODA</t>
        </is>
      </c>
      <c r="B433" s="30" t="inlineStr">
        <is>
          <t>Bank Of Baroda Ltd</t>
        </is>
      </c>
      <c r="C433" s="30" t="inlineStr">
        <is>
          <t>bank</t>
        </is>
      </c>
      <c r="D433" s="30" t="inlineStr">
        <is>
          <t>banks - public sector</t>
        </is>
      </c>
      <c r="E433" s="30" t="inlineStr">
        <is>
          <t>largecap</t>
        </is>
      </c>
      <c r="F433" s="30" t="n">
        <v>146349.55</v>
      </c>
      <c r="G433" s="30" t="n">
        <v>281.05</v>
      </c>
      <c r="H433" s="30" t="n">
        <v>-0.6899999999999999</v>
      </c>
      <c r="I433" s="30" t="n">
        <v>4914684</v>
      </c>
      <c r="J433" s="30" t="inlineStr">
        <is>
          <t>532134</t>
        </is>
      </c>
    </row>
    <row r="434">
      <c r="A434" s="30" t="inlineStr">
        <is>
          <t>EIFFL</t>
        </is>
      </c>
      <c r="B434" s="30" t="inlineStr">
        <is>
          <t>Euro India Fresh Foods Ltd</t>
        </is>
      </c>
      <c r="C434" s="30" t="inlineStr">
        <is>
          <t>fmcg</t>
        </is>
      </c>
      <c r="D434" s="30" t="inlineStr">
        <is>
          <t>food - processing - indian</t>
        </is>
      </c>
      <c r="E434" s="30" t="inlineStr">
        <is>
          <t>smallcap</t>
        </is>
      </c>
      <c r="F434" s="30" t="n">
        <v>867.28</v>
      </c>
      <c r="G434" s="30" t="n">
        <v>347.24</v>
      </c>
      <c r="H434" s="30" t="n">
        <v>-0.71</v>
      </c>
      <c r="I434" s="30" t="n">
        <v>195241</v>
      </c>
      <c r="J434" s="30" t="inlineStr">
        <is>
          <t>538412</t>
        </is>
      </c>
    </row>
    <row r="435">
      <c r="A435" s="30" t="inlineStr">
        <is>
          <t>SKMEGGPROD</t>
        </is>
      </c>
      <c r="B435" s="30" t="inlineStr">
        <is>
          <t>Skm Egg Products Export (india) Limited</t>
        </is>
      </c>
      <c r="C435" s="30" t="inlineStr">
        <is>
          <t>fmcg</t>
        </is>
      </c>
      <c r="D435" s="30" t="inlineStr">
        <is>
          <t>food - processing - indian</t>
        </is>
      </c>
      <c r="E435" s="30" t="inlineStr">
        <is>
          <t>smallcap</t>
        </is>
      </c>
      <c r="F435" s="30" t="n">
        <v>1258.36</v>
      </c>
      <c r="G435" s="30" t="n">
        <v>237.26</v>
      </c>
      <c r="H435" s="30" t="n">
        <v>-0.71</v>
      </c>
      <c r="I435" s="30" t="n">
        <v>291463</v>
      </c>
      <c r="J435" s="30" t="inlineStr">
        <is>
          <t>532143</t>
        </is>
      </c>
    </row>
    <row r="436">
      <c r="A436" s="30" t="inlineStr">
        <is>
          <t>ELECTHERM</t>
        </is>
      </c>
      <c r="B436" s="30" t="inlineStr">
        <is>
          <t>Electrotherm (india) Limited</t>
        </is>
      </c>
      <c r="C436" s="30" t="inlineStr">
        <is>
          <t>metals &amp; mining</t>
        </is>
      </c>
      <c r="D436" s="30" t="inlineStr">
        <is>
          <t>steel - medium / small</t>
        </is>
      </c>
      <c r="E436" s="30" t="inlineStr">
        <is>
          <t>smallcap</t>
        </is>
      </c>
      <c r="F436" s="30" t="n">
        <v>1378.14</v>
      </c>
      <c r="G436" s="30" t="n">
        <v>1073.7</v>
      </c>
      <c r="H436" s="30" t="n">
        <v>-0.72</v>
      </c>
      <c r="I436" s="30" t="n">
        <v>26332</v>
      </c>
      <c r="J436" s="30" t="inlineStr">
        <is>
          <t>526608</t>
        </is>
      </c>
    </row>
    <row r="437">
      <c r="A437" s="30" t="inlineStr">
        <is>
          <t>SBIN</t>
        </is>
      </c>
      <c r="B437" s="30" t="inlineStr">
        <is>
          <t>State Bank Of India Ltd</t>
        </is>
      </c>
      <c r="C437" s="30" t="inlineStr">
        <is>
          <t>bank</t>
        </is>
      </c>
      <c r="D437" s="30" t="inlineStr">
        <is>
          <t>banks - public sector</t>
        </is>
      </c>
      <c r="E437" s="30" t="inlineStr">
        <is>
          <t>largecap</t>
        </is>
      </c>
      <c r="F437" s="30" t="n">
        <v>962476.5</v>
      </c>
      <c r="G437" s="30" t="n">
        <v>1035.1</v>
      </c>
      <c r="H437" s="30" t="n">
        <v>-0.73</v>
      </c>
      <c r="I437" s="30" t="n">
        <v>9099878</v>
      </c>
      <c r="J437" s="30" t="inlineStr">
        <is>
          <t>500112</t>
        </is>
      </c>
    </row>
    <row r="438">
      <c r="A438" s="30" t="inlineStr">
        <is>
          <t>HARSHA</t>
        </is>
      </c>
      <c r="B438" s="30" t="inlineStr">
        <is>
          <t>Harsha Engineers International Ltd</t>
        </is>
      </c>
      <c r="C438" s="30" t="inlineStr">
        <is>
          <t>industrials</t>
        </is>
      </c>
      <c r="D438" s="30" t="inlineStr">
        <is>
          <t>engineering</t>
        </is>
      </c>
      <c r="E438" s="30" t="inlineStr">
        <is>
          <t>smallcap</t>
        </is>
      </c>
      <c r="F438" s="30" t="n">
        <v>3953.59</v>
      </c>
      <c r="G438" s="30" t="n">
        <v>431.05</v>
      </c>
      <c r="H438" s="30" t="n">
        <v>-0.74</v>
      </c>
      <c r="I438" s="30" t="n">
        <v>131803</v>
      </c>
      <c r="J438" s="30" t="inlineStr">
        <is>
          <t>543600</t>
        </is>
      </c>
    </row>
    <row r="439">
      <c r="A439" s="30" t="inlineStr">
        <is>
          <t>BHAGERIA</t>
        </is>
      </c>
      <c r="B439" s="30" t="inlineStr">
        <is>
          <t>Bhageria Industries Limited</t>
        </is>
      </c>
      <c r="C439" s="30" t="inlineStr">
        <is>
          <t>chemicals</t>
        </is>
      </c>
      <c r="D439" s="30" t="inlineStr">
        <is>
          <t>dyes and pigments</t>
        </is>
      </c>
      <c r="E439" s="30" t="inlineStr">
        <is>
          <t>smallcap</t>
        </is>
      </c>
      <c r="F439" s="30" t="n">
        <v>987.89</v>
      </c>
      <c r="G439" s="30" t="n">
        <v>224.67</v>
      </c>
      <c r="H439" s="30" t="n">
        <v>-0.74</v>
      </c>
      <c r="I439" s="30" t="n">
        <v>73402</v>
      </c>
      <c r="J439" s="30" t="inlineStr">
        <is>
          <t>530803</t>
        </is>
      </c>
    </row>
    <row r="440">
      <c r="A440" s="30" t="inlineStr">
        <is>
          <t>DCBBANK</t>
        </is>
      </c>
      <c r="B440" s="30" t="inlineStr">
        <is>
          <t>Dcb Bank Limited</t>
        </is>
      </c>
      <c r="C440" s="30" t="inlineStr">
        <is>
          <t>bank</t>
        </is>
      </c>
      <c r="D440" s="30" t="inlineStr">
        <is>
          <t>banks - private sector</t>
        </is>
      </c>
      <c r="E440" s="30" t="inlineStr">
        <is>
          <t>midcap</t>
        </is>
      </c>
      <c r="F440" s="30" t="n">
        <v>5986.41</v>
      </c>
      <c r="G440" s="30" t="n">
        <v>184.59</v>
      </c>
      <c r="H440" s="30" t="n">
        <v>-0.74</v>
      </c>
      <c r="I440" s="30" t="n">
        <v>729086</v>
      </c>
      <c r="J440" s="30" t="inlineStr">
        <is>
          <t>532772</t>
        </is>
      </c>
    </row>
    <row r="441">
      <c r="A441" s="30" t="inlineStr">
        <is>
          <t>GPTINFRA</t>
        </is>
      </c>
      <c r="B441" s="30" t="inlineStr">
        <is>
          <t>Gpt Infraprojects Limited</t>
        </is>
      </c>
      <c r="C441" s="30" t="inlineStr">
        <is>
          <t>realty</t>
        </is>
      </c>
      <c r="D441" s="30" t="inlineStr">
        <is>
          <t>construction</t>
        </is>
      </c>
      <c r="E441" s="30" t="inlineStr">
        <is>
          <t>smallcap</t>
        </is>
      </c>
      <c r="F441" s="30" t="n">
        <v>1546.07</v>
      </c>
      <c r="G441" s="30" t="n">
        <v>121.39</v>
      </c>
      <c r="H441" s="30" t="n">
        <v>-0.78</v>
      </c>
      <c r="I441" s="30" t="n">
        <v>248348</v>
      </c>
      <c r="J441" s="30" t="inlineStr">
        <is>
          <t>533761</t>
        </is>
      </c>
    </row>
    <row r="442">
      <c r="A442" s="30" t="inlineStr">
        <is>
          <t>ASIANPAINT</t>
        </is>
      </c>
      <c r="B442" s="30" t="inlineStr">
        <is>
          <t>Asian Paints Limited</t>
        </is>
      </c>
      <c r="C442" s="30" t="inlineStr">
        <is>
          <t>building materials</t>
        </is>
      </c>
      <c r="D442" s="30" t="inlineStr">
        <is>
          <t>paints / varnishes</t>
        </is>
      </c>
      <c r="E442" s="30" t="inlineStr">
        <is>
          <t>largecap</t>
        </is>
      </c>
      <c r="F442" s="30" t="n">
        <v>264258.99</v>
      </c>
      <c r="G442" s="30" t="n">
        <v>2732.9</v>
      </c>
      <c r="H442" s="30" t="n">
        <v>-0.8</v>
      </c>
      <c r="I442" s="30" t="n">
        <v>838991</v>
      </c>
      <c r="J442" s="30" t="inlineStr">
        <is>
          <t>500820</t>
        </is>
      </c>
    </row>
    <row r="443">
      <c r="A443" s="30" t="inlineStr">
        <is>
          <t>MANAPPURAM</t>
        </is>
      </c>
      <c r="B443" s="30" t="inlineStr">
        <is>
          <t>Manappuram Finance Limited</t>
        </is>
      </c>
      <c r="C443" s="30" t="inlineStr">
        <is>
          <t>financials</t>
        </is>
      </c>
      <c r="D443" s="30" t="inlineStr">
        <is>
          <t>finance &amp; investments</t>
        </is>
      </c>
      <c r="E443" s="30" t="inlineStr">
        <is>
          <t>largecap</t>
        </is>
      </c>
      <c r="F443" s="30" t="n">
        <v>30185.57</v>
      </c>
      <c r="G443" s="30" t="n">
        <v>318.65</v>
      </c>
      <c r="H443" s="30" t="n">
        <v>-0.84</v>
      </c>
      <c r="I443" s="30" t="n">
        <v>3024159</v>
      </c>
      <c r="J443" s="30" t="inlineStr">
        <is>
          <t>531213</t>
        </is>
      </c>
    </row>
    <row r="444">
      <c r="A444" s="30" t="inlineStr">
        <is>
          <t>KOTAKBANK</t>
        </is>
      </c>
      <c r="B444" s="30" t="inlineStr">
        <is>
          <t>Kotak Mahindra Bank Limited</t>
        </is>
      </c>
      <c r="C444" s="30" t="inlineStr">
        <is>
          <t>bank</t>
        </is>
      </c>
      <c r="D444" s="30" t="inlineStr">
        <is>
          <t>banks - private sector</t>
        </is>
      </c>
      <c r="E444" s="30" t="inlineStr">
        <is>
          <t>largecap</t>
        </is>
      </c>
      <c r="F444" s="30" t="n">
        <v>80150.73</v>
      </c>
      <c r="G444" s="30" t="n">
        <v>399.25</v>
      </c>
      <c r="H444" s="30" t="n">
        <v>-0.92</v>
      </c>
      <c r="I444" s="30" t="n">
        <v>17504009</v>
      </c>
      <c r="J444" s="30" t="inlineStr">
        <is>
          <t>500247</t>
        </is>
      </c>
    </row>
    <row r="445">
      <c r="A445" s="30" t="inlineStr">
        <is>
          <t>CREDITACC</t>
        </is>
      </c>
      <c r="B445" s="30" t="inlineStr">
        <is>
          <t>CreditAccess Grameen Ltd</t>
        </is>
      </c>
      <c r="C445" s="30" t="inlineStr">
        <is>
          <t>financials</t>
        </is>
      </c>
      <c r="D445" s="30" t="inlineStr">
        <is>
          <t>finance &amp; investments</t>
        </is>
      </c>
      <c r="E445" s="30" t="inlineStr">
        <is>
          <t>largecap</t>
        </is>
      </c>
      <c r="F445" s="30" t="n">
        <v>22741.43</v>
      </c>
      <c r="G445" s="30" t="n">
        <v>1406.4</v>
      </c>
      <c r="H445" s="30" t="n">
        <v>-0.93</v>
      </c>
      <c r="I445" s="30" t="n">
        <v>118093</v>
      </c>
      <c r="J445" s="30" t="inlineStr">
        <is>
          <t>541770</t>
        </is>
      </c>
    </row>
    <row r="446">
      <c r="A446" s="30" t="inlineStr">
        <is>
          <t>SYRMA</t>
        </is>
      </c>
      <c r="B446" s="30" t="inlineStr">
        <is>
          <t>Syrma SGS Technology Ltd</t>
        </is>
      </c>
      <c r="C446" s="30" t="inlineStr">
        <is>
          <t>consumer discretionary</t>
        </is>
      </c>
      <c r="D446" s="30" t="inlineStr">
        <is>
          <t>electronics - components</t>
        </is>
      </c>
      <c r="E446" s="30" t="inlineStr">
        <is>
          <t>largecap</t>
        </is>
      </c>
      <c r="F446" s="30" t="n">
        <v>25970.41</v>
      </c>
      <c r="G446" s="30" t="n">
        <v>1334</v>
      </c>
      <c r="H446" s="30" t="n">
        <v>-0.95</v>
      </c>
      <c r="I446" s="30" t="n">
        <v>899504</v>
      </c>
      <c r="J446" s="30" t="inlineStr">
        <is>
          <t>543573</t>
        </is>
      </c>
    </row>
    <row r="447">
      <c r="A447" s="30" t="inlineStr">
        <is>
          <t>ENGINERSIN</t>
        </is>
      </c>
      <c r="B447" s="30" t="inlineStr">
        <is>
          <t>Engineers India Limited</t>
        </is>
      </c>
      <c r="C447" s="30" t="inlineStr">
        <is>
          <t>realty</t>
        </is>
      </c>
      <c r="D447" s="30" t="inlineStr">
        <is>
          <t>engineering - turnkey services</t>
        </is>
      </c>
      <c r="E447" s="30" t="inlineStr">
        <is>
          <t>midcap</t>
        </is>
      </c>
      <c r="F447" s="30" t="n">
        <v>14228.1</v>
      </c>
      <c r="G447" s="30" t="n">
        <v>250.74</v>
      </c>
      <c r="H447" s="30" t="n">
        <v>-0.95</v>
      </c>
      <c r="I447" s="30" t="n">
        <v>6016884</v>
      </c>
      <c r="J447" s="30" t="inlineStr">
        <is>
          <t>532178</t>
        </is>
      </c>
    </row>
    <row r="448">
      <c r="A448" s="30" t="inlineStr">
        <is>
          <t>OAL</t>
        </is>
      </c>
      <c r="B448" s="30" t="inlineStr">
        <is>
          <t>Oriental Aromatics Ltd</t>
        </is>
      </c>
      <c r="C448" s="30" t="inlineStr">
        <is>
          <t>chemicals</t>
        </is>
      </c>
      <c r="D448" s="30" t="inlineStr">
        <is>
          <t>chemicals</t>
        </is>
      </c>
      <c r="E448" s="30" t="inlineStr">
        <is>
          <t>smallcap</t>
        </is>
      </c>
      <c r="F448" s="30" t="n">
        <v>1166.77</v>
      </c>
      <c r="G448" s="30" t="n">
        <v>343.3</v>
      </c>
      <c r="H448" s="30" t="n">
        <v>-0.98</v>
      </c>
      <c r="I448" s="30" t="n">
        <v>19406</v>
      </c>
      <c r="J448" s="30" t="inlineStr">
        <is>
          <t>500078</t>
        </is>
      </c>
    </row>
    <row r="449">
      <c r="A449" s="30" t="inlineStr">
        <is>
          <t>ADANIENSOL</t>
        </is>
      </c>
      <c r="B449" s="30" t="inlineStr">
        <is>
          <t>Adani Energy Solutions Ltd</t>
        </is>
      </c>
      <c r="C449" s="30" t="inlineStr">
        <is>
          <t>power &amp; utilities</t>
        </is>
      </c>
      <c r="D449" s="30" t="inlineStr">
        <is>
          <t>power generation and supply</t>
        </is>
      </c>
      <c r="E449" s="30" t="inlineStr">
        <is>
          <t>largecap</t>
        </is>
      </c>
      <c r="F449" s="30" t="n">
        <v>182991.38</v>
      </c>
      <c r="G449" s="30" t="n">
        <v>1507.4</v>
      </c>
      <c r="H449" s="30" t="n">
        <v>-1.04</v>
      </c>
      <c r="I449" s="30" t="n">
        <v>2482204</v>
      </c>
      <c r="J449" s="30" t="inlineStr">
        <is>
          <t>539254</t>
        </is>
      </c>
    </row>
    <row r="450">
      <c r="A450" s="30" t="inlineStr">
        <is>
          <t>PGHL</t>
        </is>
      </c>
      <c r="B450" s="30" t="inlineStr">
        <is>
          <t>Procter &amp; Gamble Health Ltd</t>
        </is>
      </c>
      <c r="C450" s="30" t="inlineStr">
        <is>
          <t>healthcare</t>
        </is>
      </c>
      <c r="D450" s="30" t="inlineStr">
        <is>
          <t>pharmaceuticals - multinational</t>
        </is>
      </c>
      <c r="E450" s="30" t="inlineStr">
        <is>
          <t>midcap</t>
        </is>
      </c>
      <c r="F450" s="30" t="n">
        <v>10475.04</v>
      </c>
      <c r="G450" s="30" t="n">
        <v>6244</v>
      </c>
      <c r="H450" s="30" t="n">
        <v>-1.05</v>
      </c>
      <c r="I450" s="30" t="n">
        <v>12057</v>
      </c>
      <c r="J450" s="30" t="inlineStr">
        <is>
          <t>500126</t>
        </is>
      </c>
    </row>
    <row r="451">
      <c r="A451" s="30" t="inlineStr">
        <is>
          <t>GOLDIAM</t>
        </is>
      </c>
      <c r="B451" s="30" t="inlineStr">
        <is>
          <t>Goldiam International Limited</t>
        </is>
      </c>
      <c r="C451" s="30" t="inlineStr">
        <is>
          <t>consumer discretionary</t>
        </is>
      </c>
      <c r="D451" s="30" t="inlineStr">
        <is>
          <t>diamond cutting / jewellery</t>
        </is>
      </c>
      <c r="E451" s="30" t="inlineStr">
        <is>
          <t>midcap</t>
        </is>
      </c>
      <c r="F451" s="30" t="n">
        <v>5416.67</v>
      </c>
      <c r="G451" s="30" t="n">
        <v>474.6</v>
      </c>
      <c r="H451" s="30" t="n">
        <v>-1.06</v>
      </c>
      <c r="I451" s="30" t="n">
        <v>559318</v>
      </c>
      <c r="J451" s="30" t="inlineStr">
        <is>
          <t>526729</t>
        </is>
      </c>
    </row>
    <row r="452">
      <c r="A452" s="30" t="inlineStr">
        <is>
          <t>TITAGARH</t>
        </is>
      </c>
      <c r="B452" s="30" t="inlineStr">
        <is>
          <t>Titagarh Rail Systems Ltd</t>
        </is>
      </c>
      <c r="C452" s="30" t="inlineStr">
        <is>
          <t>industrials</t>
        </is>
      </c>
      <c r="D452" s="30" t="inlineStr">
        <is>
          <t>engineering</t>
        </is>
      </c>
      <c r="E452" s="30" t="inlineStr">
        <is>
          <t>midcap</t>
        </is>
      </c>
      <c r="F452" s="30" t="n">
        <v>12559.68</v>
      </c>
      <c r="G452" s="30" t="n">
        <v>922.45</v>
      </c>
      <c r="H452" s="30" t="n">
        <v>-1.09</v>
      </c>
      <c r="I452" s="30" t="n">
        <v>922105</v>
      </c>
      <c r="J452" s="30" t="inlineStr">
        <is>
          <t>532966</t>
        </is>
      </c>
    </row>
    <row r="453">
      <c r="A453" s="30" t="inlineStr">
        <is>
          <t>KAPSTON</t>
        </is>
      </c>
      <c r="B453" s="30" t="inlineStr">
        <is>
          <t>Kapston Services Ltd</t>
        </is>
      </c>
      <c r="C453" s="30" t="inlineStr">
        <is>
          <t>miscellaneous</t>
        </is>
      </c>
      <c r="D453" s="30" t="inlineStr">
        <is>
          <t>miscellaneous</t>
        </is>
      </c>
      <c r="E453" s="30" t="inlineStr">
        <is>
          <t>smallcap</t>
        </is>
      </c>
      <c r="F453" s="30" t="n">
        <v>1066.5</v>
      </c>
      <c r="G453" s="30" t="n">
        <v>346.6</v>
      </c>
      <c r="H453" s="30" t="n">
        <v>-1.1</v>
      </c>
      <c r="I453" s="30" t="n">
        <v>11596</v>
      </c>
      <c r="J453" s="30" t="inlineStr">
        <is>
          <t>535064</t>
        </is>
      </c>
    </row>
    <row r="454">
      <c r="A454" s="30" t="inlineStr">
        <is>
          <t>MFSL</t>
        </is>
      </c>
      <c r="B454" s="30" t="inlineStr">
        <is>
          <t>Max Financial Services Limited</t>
        </is>
      </c>
      <c r="C454" s="30" t="inlineStr">
        <is>
          <t>miscellaneous</t>
        </is>
      </c>
      <c r="D454" s="30" t="inlineStr">
        <is>
          <t>miscellaneous</t>
        </is>
      </c>
      <c r="E454" s="30" t="inlineStr">
        <is>
          <t>largecap</t>
        </is>
      </c>
      <c r="F454" s="30" t="n">
        <v>58262.28</v>
      </c>
      <c r="G454" s="30" t="n">
        <v>1669.3</v>
      </c>
      <c r="H454" s="30" t="n">
        <v>-1.12</v>
      </c>
      <c r="I454" s="30" t="n">
        <v>366339</v>
      </c>
      <c r="J454" s="30" t="inlineStr">
        <is>
          <t>500271</t>
        </is>
      </c>
    </row>
    <row r="455">
      <c r="A455" s="30" t="inlineStr">
        <is>
          <t>BEPL</t>
        </is>
      </c>
      <c r="B455" s="30" t="inlineStr">
        <is>
          <t>Bhansali Engineering Polymers Limited</t>
        </is>
      </c>
      <c r="C455" s="30" t="inlineStr">
        <is>
          <t>energy</t>
        </is>
      </c>
      <c r="D455" s="30" t="inlineStr">
        <is>
          <t>petrochemicals</t>
        </is>
      </c>
      <c r="E455" s="30" t="inlineStr">
        <is>
          <t>smallcap</t>
        </is>
      </c>
      <c r="F455" s="30" t="n">
        <v>2664.28</v>
      </c>
      <c r="G455" s="30" t="n">
        <v>105.86</v>
      </c>
      <c r="H455" s="30" t="n">
        <v>-1.12</v>
      </c>
      <c r="I455" s="30" t="n">
        <v>979119</v>
      </c>
      <c r="J455" s="30" t="inlineStr">
        <is>
          <t>500052</t>
        </is>
      </c>
    </row>
    <row r="456">
      <c r="A456" s="30" t="inlineStr">
        <is>
          <t>IIFLCAPS</t>
        </is>
      </c>
      <c r="B456" s="30" t="inlineStr">
        <is>
          <t>IIFL Capital Services Ltd</t>
        </is>
      </c>
      <c r="C456" s="30" t="inlineStr">
        <is>
          <t>financials</t>
        </is>
      </c>
      <c r="D456" s="30" t="inlineStr">
        <is>
          <t>finance &amp; investments</t>
        </is>
      </c>
      <c r="E456" s="30" t="inlineStr">
        <is>
          <t>midcap</t>
        </is>
      </c>
      <c r="F456" s="30" t="n">
        <v>10848.83</v>
      </c>
      <c r="G456" s="30" t="n">
        <v>344.4</v>
      </c>
      <c r="H456" s="30" t="n">
        <v>-1.13</v>
      </c>
      <c r="I456" s="30" t="n">
        <v>663406</v>
      </c>
      <c r="J456" s="30" t="inlineStr">
        <is>
          <t>542773</t>
        </is>
      </c>
    </row>
    <row r="457">
      <c r="A457" s="30" t="inlineStr">
        <is>
          <t>KTKBANK</t>
        </is>
      </c>
      <c r="B457" s="30" t="inlineStr">
        <is>
          <t>The Karnataka Bank Limited</t>
        </is>
      </c>
      <c r="C457" s="30" t="inlineStr">
        <is>
          <t>bank</t>
        </is>
      </c>
      <c r="D457" s="30" t="inlineStr">
        <is>
          <t>banks - private sector</t>
        </is>
      </c>
      <c r="E457" s="30" t="inlineStr">
        <is>
          <t>midcap</t>
        </is>
      </c>
      <c r="F457" s="30" t="n">
        <v>10508.52</v>
      </c>
      <c r="G457" s="30" t="n">
        <v>274.7</v>
      </c>
      <c r="H457" s="30" t="n">
        <v>-1.15</v>
      </c>
      <c r="I457" s="30" t="n">
        <v>1162649</v>
      </c>
      <c r="J457" s="30" t="inlineStr">
        <is>
          <t>532652</t>
        </is>
      </c>
    </row>
    <row r="458">
      <c r="A458" s="30" t="inlineStr">
        <is>
          <t>CAMS</t>
        </is>
      </c>
      <c r="B458" s="30" t="inlineStr">
        <is>
          <t>Computer Age Management Services Ltd</t>
        </is>
      </c>
      <c r="C458" s="30" t="inlineStr">
        <is>
          <t>financials</t>
        </is>
      </c>
      <c r="D458" s="30" t="inlineStr">
        <is>
          <t>miscellaneous</t>
        </is>
      </c>
      <c r="E458" s="30" t="inlineStr">
        <is>
          <t>largecap</t>
        </is>
      </c>
      <c r="F458" s="30" t="n">
        <v>20652.15</v>
      </c>
      <c r="G458" s="30" t="n">
        <v>823.15</v>
      </c>
      <c r="H458" s="30" t="n">
        <v>-1.16</v>
      </c>
      <c r="I458" s="30" t="n">
        <v>1162760</v>
      </c>
      <c r="J458" s="30" t="inlineStr">
        <is>
          <t>543232</t>
        </is>
      </c>
    </row>
    <row r="459">
      <c r="A459" s="30" t="inlineStr">
        <is>
          <t>MARINE</t>
        </is>
      </c>
      <c r="B459" s="30" t="inlineStr">
        <is>
          <t>Marine Electricals (India) Ltd</t>
        </is>
      </c>
      <c r="C459" s="30" t="inlineStr">
        <is>
          <t>industrials</t>
        </is>
      </c>
      <c r="D459" s="30" t="inlineStr">
        <is>
          <t>electric equipment</t>
        </is>
      </c>
      <c r="E459" s="30" t="inlineStr">
        <is>
          <t>smallcap</t>
        </is>
      </c>
      <c r="F459" s="30" t="n">
        <v>641.54</v>
      </c>
      <c r="G459" s="30" t="n">
        <v>258.45</v>
      </c>
      <c r="H459" s="30" t="n">
        <v>-1.17</v>
      </c>
      <c r="I459" s="30" t="n">
        <v>520331</v>
      </c>
      <c r="J459" s="30" t="inlineStr">
        <is>
          <t>535119</t>
        </is>
      </c>
    </row>
    <row r="460">
      <c r="A460" s="30" t="inlineStr">
        <is>
          <t>JINDALSAW</t>
        </is>
      </c>
      <c r="B460" s="30" t="inlineStr">
        <is>
          <t>Jindal Saw Limited</t>
        </is>
      </c>
      <c r="C460" s="30" t="inlineStr">
        <is>
          <t>industrials</t>
        </is>
      </c>
      <c r="D460" s="30" t="inlineStr">
        <is>
          <t>steel - large</t>
        </is>
      </c>
      <c r="E460" s="30" t="inlineStr">
        <is>
          <t>midcap</t>
        </is>
      </c>
      <c r="F460" s="30" t="n">
        <v>16886.85</v>
      </c>
      <c r="G460" s="30" t="n">
        <v>260.88</v>
      </c>
      <c r="H460" s="30" t="n">
        <v>-1.2</v>
      </c>
      <c r="I460" s="30" t="n">
        <v>3446472</v>
      </c>
      <c r="J460" s="30" t="inlineStr">
        <is>
          <t>500378</t>
        </is>
      </c>
    </row>
    <row r="461">
      <c r="A461" s="30" t="inlineStr">
        <is>
          <t>HCC</t>
        </is>
      </c>
      <c r="B461" s="30" t="inlineStr">
        <is>
          <t>Hindustan Construction Company Limited</t>
        </is>
      </c>
      <c r="C461" s="30" t="inlineStr">
        <is>
          <t>realty</t>
        </is>
      </c>
      <c r="D461" s="30" t="inlineStr">
        <is>
          <t>construction</t>
        </is>
      </c>
      <c r="E461" s="30" t="inlineStr">
        <is>
          <t>midcap</t>
        </is>
      </c>
      <c r="F461" s="30" t="n">
        <v>7164.25</v>
      </c>
      <c r="G461" s="30" t="n">
        <v>27.02</v>
      </c>
      <c r="H461" s="30" t="n">
        <v>-1.21</v>
      </c>
      <c r="I461" s="30" t="n">
        <v>57016131</v>
      </c>
      <c r="J461" s="30" t="inlineStr">
        <is>
          <t>500185</t>
        </is>
      </c>
    </row>
    <row r="462">
      <c r="A462" s="30" t="inlineStr">
        <is>
          <t>NAZARA</t>
        </is>
      </c>
      <c r="B462" s="30" t="inlineStr">
        <is>
          <t>Nazara Technologies Ltd</t>
        </is>
      </c>
      <c r="C462" s="30" t="inlineStr">
        <is>
          <t>i.t</t>
        </is>
      </c>
      <c r="D462" s="30" t="inlineStr">
        <is>
          <t>telecommunications - service provider</t>
        </is>
      </c>
      <c r="E462" s="30" t="inlineStr">
        <is>
          <t>midcap</t>
        </is>
      </c>
      <c r="F462" s="30" t="n">
        <v>11151</v>
      </c>
      <c r="G462" s="30" t="n">
        <v>297.35</v>
      </c>
      <c r="H462" s="30" t="n">
        <v>-1.21</v>
      </c>
      <c r="I462" s="30" t="n">
        <v>1132791</v>
      </c>
      <c r="J462" s="30" t="inlineStr">
        <is>
          <t>543280</t>
        </is>
      </c>
    </row>
    <row r="463">
      <c r="A463" s="30" t="inlineStr">
        <is>
          <t>GREENLAM</t>
        </is>
      </c>
      <c r="B463" s="30" t="inlineStr">
        <is>
          <t>Greenlam Industries Limited</t>
        </is>
      </c>
      <c r="C463" s="30" t="inlineStr">
        <is>
          <t>building materials</t>
        </is>
      </c>
      <c r="D463" s="30" t="inlineStr">
        <is>
          <t>miscellaneous</t>
        </is>
      </c>
      <c r="E463" s="30" t="inlineStr">
        <is>
          <t>midcap</t>
        </is>
      </c>
      <c r="F463" s="30" t="n">
        <v>6520.3</v>
      </c>
      <c r="G463" s="30" t="n">
        <v>252.25</v>
      </c>
      <c r="H463" s="30" t="n">
        <v>-1.29</v>
      </c>
      <c r="I463" s="30" t="n">
        <v>123223</v>
      </c>
      <c r="J463" s="30" t="inlineStr">
        <is>
          <t>538979</t>
        </is>
      </c>
    </row>
    <row r="464">
      <c r="A464" s="30" t="inlineStr">
        <is>
          <t>RAJRATAN</t>
        </is>
      </c>
      <c r="B464" s="30" t="inlineStr">
        <is>
          <t>Rajratan Global Wire Ltd</t>
        </is>
      </c>
      <c r="C464" s="30" t="inlineStr">
        <is>
          <t>metals &amp; mining</t>
        </is>
      </c>
      <c r="D464" s="30" t="inlineStr">
        <is>
          <t>steel - medium / small</t>
        </is>
      </c>
      <c r="E464" s="30" t="inlineStr">
        <is>
          <t>smallcap</t>
        </is>
      </c>
      <c r="F464" s="30" t="n">
        <v>2308.05</v>
      </c>
      <c r="G464" s="30" t="n">
        <v>448.6</v>
      </c>
      <c r="H464" s="30" t="n">
        <v>-1.32</v>
      </c>
      <c r="I464" s="30" t="n">
        <v>54525</v>
      </c>
      <c r="J464" s="30" t="inlineStr">
        <is>
          <t>517522</t>
        </is>
      </c>
    </row>
    <row r="465">
      <c r="A465" s="30" t="inlineStr">
        <is>
          <t>TEGA</t>
        </is>
      </c>
      <c r="B465" s="30" t="inlineStr">
        <is>
          <t>Tega Industries Ltd</t>
        </is>
      </c>
      <c r="C465" s="30" t="inlineStr">
        <is>
          <t>industrials</t>
        </is>
      </c>
      <c r="D465" s="30" t="inlineStr">
        <is>
          <t>engineering</t>
        </is>
      </c>
      <c r="E465" s="30" t="inlineStr">
        <is>
          <t>midcap</t>
        </is>
      </c>
      <c r="F465" s="30" t="n">
        <v>13670.99</v>
      </c>
      <c r="G465" s="30" t="n">
        <v>1794.9</v>
      </c>
      <c r="H465" s="30" t="n">
        <v>-1.36</v>
      </c>
      <c r="I465" s="30" t="n">
        <v>95703</v>
      </c>
      <c r="J465" s="30" t="inlineStr">
        <is>
          <t>543413</t>
        </is>
      </c>
    </row>
    <row r="466">
      <c r="A466" s="30" t="inlineStr">
        <is>
          <t>CEIGALL</t>
        </is>
      </c>
      <c r="B466" s="30" t="inlineStr">
        <is>
          <t>Ceigall India Ltd</t>
        </is>
      </c>
      <c r="C466" s="30" t="inlineStr">
        <is>
          <t>realty</t>
        </is>
      </c>
      <c r="D466" s="30" t="inlineStr">
        <is>
          <t>construction</t>
        </is>
      </c>
      <c r="E466" s="30" t="inlineStr">
        <is>
          <t>midcap</t>
        </is>
      </c>
      <c r="F466" s="30" t="n">
        <v>6616.3</v>
      </c>
      <c r="G466" s="30" t="n">
        <v>374.6</v>
      </c>
      <c r="H466" s="30" t="n">
        <v>-1.37</v>
      </c>
      <c r="I466" s="30" t="n">
        <v>944948</v>
      </c>
      <c r="J466" s="30" t="inlineStr">
        <is>
          <t>544223</t>
        </is>
      </c>
    </row>
    <row r="467">
      <c r="A467" s="30" t="inlineStr">
        <is>
          <t>SCPL</t>
        </is>
      </c>
      <c r="B467" s="30" t="inlineStr">
        <is>
          <t>Sheetal Cool Products Ltd</t>
        </is>
      </c>
      <c r="C467" s="30" t="inlineStr">
        <is>
          <t>fmcg</t>
        </is>
      </c>
      <c r="D467" s="30" t="inlineStr">
        <is>
          <t>food - processing - indian</t>
        </is>
      </c>
      <c r="E467" s="30" t="inlineStr">
        <is>
          <t>smallcap</t>
        </is>
      </c>
      <c r="F467" s="30" t="n">
        <v>514.29</v>
      </c>
      <c r="G467" s="30" t="n">
        <v>482.85</v>
      </c>
      <c r="H467" s="30" t="n">
        <v>-1.42</v>
      </c>
      <c r="I467" s="30" t="n">
        <v>6914</v>
      </c>
      <c r="J467" s="30" t="inlineStr">
        <is>
          <t>540757</t>
        </is>
      </c>
    </row>
    <row r="468">
      <c r="A468" s="30" t="inlineStr">
        <is>
          <t>WSTCSTPAPR</t>
        </is>
      </c>
      <c r="B468" s="30" t="inlineStr">
        <is>
          <t>West Coast Paper Mills Limited</t>
        </is>
      </c>
      <c r="C468" s="30" t="inlineStr">
        <is>
          <t>building materials</t>
        </is>
      </c>
      <c r="D468" s="30" t="inlineStr">
        <is>
          <t>paper</t>
        </is>
      </c>
      <c r="E468" s="30" t="inlineStr">
        <is>
          <t>smallcap</t>
        </is>
      </c>
      <c r="F468" s="30" t="n">
        <v>3440.16</v>
      </c>
      <c r="G468" s="30" t="n">
        <v>513.35</v>
      </c>
      <c r="H468" s="30" t="n">
        <v>-1.44</v>
      </c>
      <c r="I468" s="30" t="n">
        <v>92248</v>
      </c>
      <c r="J468" s="30" t="inlineStr">
        <is>
          <t>500444</t>
        </is>
      </c>
    </row>
    <row r="469">
      <c r="A469" s="30" t="inlineStr">
        <is>
          <t>GAIL</t>
        </is>
      </c>
      <c r="B469" s="30" t="inlineStr">
        <is>
          <t>Gail (india) Limited</t>
        </is>
      </c>
      <c r="C469" s="30" t="inlineStr">
        <is>
          <t>energy</t>
        </is>
      </c>
      <c r="D469" s="30" t="inlineStr">
        <is>
          <t>miscellaneous</t>
        </is>
      </c>
      <c r="E469" s="30" t="inlineStr">
        <is>
          <t>largecap</t>
        </is>
      </c>
      <c r="F469" s="30" t="n">
        <v>116011.06</v>
      </c>
      <c r="G469" s="30" t="n">
        <v>173.9</v>
      </c>
      <c r="H469" s="30" t="n">
        <v>-1.44</v>
      </c>
      <c r="I469" s="30" t="n">
        <v>11093745</v>
      </c>
      <c r="J469" s="30" t="inlineStr">
        <is>
          <t>532155</t>
        </is>
      </c>
    </row>
    <row r="470">
      <c r="A470" s="30" t="inlineStr">
        <is>
          <t>TATATECH</t>
        </is>
      </c>
      <c r="B470" s="30" t="inlineStr">
        <is>
          <t>Tata Technologies Ltd</t>
        </is>
      </c>
      <c r="C470" s="30" t="inlineStr">
        <is>
          <t>i.t</t>
        </is>
      </c>
      <c r="D470" s="30" t="inlineStr">
        <is>
          <t>computers - software - medium / small</t>
        </is>
      </c>
      <c r="E470" s="30" t="inlineStr">
        <is>
          <t>largecap</t>
        </is>
      </c>
      <c r="F470" s="30" t="n">
        <v>30598.66</v>
      </c>
      <c r="G470" s="30" t="n">
        <v>742.25</v>
      </c>
      <c r="H470" s="30" t="n">
        <v>-1.52</v>
      </c>
      <c r="I470" s="30" t="n">
        <v>1493749</v>
      </c>
      <c r="J470" s="30" t="inlineStr">
        <is>
          <t>544028</t>
        </is>
      </c>
    </row>
    <row r="471">
      <c r="A471" s="30" t="inlineStr">
        <is>
          <t>DEEDEV</t>
        </is>
      </c>
      <c r="B471" s="30" t="inlineStr">
        <is>
          <t>DEE Development Engineers Ltd</t>
        </is>
      </c>
      <c r="C471" s="30" t="inlineStr">
        <is>
          <t>metals &amp; mining</t>
        </is>
      </c>
      <c r="D471" s="30" t="inlineStr">
        <is>
          <t>steel - medium / small</t>
        </is>
      </c>
      <c r="E471" s="30" t="inlineStr">
        <is>
          <t>smallcap</t>
        </is>
      </c>
      <c r="F471" s="30" t="n">
        <v>4945.4</v>
      </c>
      <c r="G471" s="30" t="n">
        <v>703.05</v>
      </c>
      <c r="H471" s="30" t="n">
        <v>-1.53</v>
      </c>
      <c r="I471" s="30" t="n">
        <v>113714</v>
      </c>
      <c r="J471" s="30" t="n"/>
    </row>
    <row r="472">
      <c r="A472" s="30" t="inlineStr">
        <is>
          <t>GMRAIRPORT</t>
        </is>
      </c>
      <c r="B472" s="30" t="inlineStr">
        <is>
          <t>GMR Airports Ltd</t>
        </is>
      </c>
      <c r="C472" s="30" t="inlineStr">
        <is>
          <t>miscellaneous</t>
        </is>
      </c>
      <c r="D472" s="30" t="inlineStr">
        <is>
          <t>miscellaneous</t>
        </is>
      </c>
      <c r="E472" s="30" t="inlineStr">
        <is>
          <t>largecap</t>
        </is>
      </c>
      <c r="F472" s="30" t="n">
        <v>116729.48</v>
      </c>
      <c r="G472" s="30" t="n">
        <v>108.83</v>
      </c>
      <c r="H472" s="30" t="n">
        <v>-1.56</v>
      </c>
      <c r="I472" s="30" t="n">
        <v>23639680</v>
      </c>
      <c r="J472" s="30" t="inlineStr">
        <is>
          <t>532754</t>
        </is>
      </c>
    </row>
    <row r="473">
      <c r="A473" s="30" t="inlineStr">
        <is>
          <t>MANALIPETC</t>
        </is>
      </c>
      <c r="B473" s="30" t="inlineStr">
        <is>
          <t>Manali Petrochemicals Limited</t>
        </is>
      </c>
      <c r="C473" s="30" t="inlineStr">
        <is>
          <t>energy</t>
        </is>
      </c>
      <c r="D473" s="30" t="inlineStr">
        <is>
          <t>petrochemicals</t>
        </is>
      </c>
      <c r="E473" s="30" t="inlineStr">
        <is>
          <t>smallcap</t>
        </is>
      </c>
      <c r="F473" s="30" t="n">
        <v>1144.65</v>
      </c>
      <c r="G473" s="30" t="n">
        <v>65.5</v>
      </c>
      <c r="H473" s="30" t="n">
        <v>-1.58</v>
      </c>
      <c r="I473" s="30" t="n">
        <v>347843</v>
      </c>
      <c r="J473" s="30" t="inlineStr">
        <is>
          <t>500268</t>
        </is>
      </c>
    </row>
    <row r="474">
      <c r="A474" s="30" t="inlineStr">
        <is>
          <t>HNDFDS</t>
        </is>
      </c>
      <c r="B474" s="30" t="inlineStr">
        <is>
          <t>Hindustan Foods Ltd</t>
        </is>
      </c>
      <c r="C474" s="30" t="inlineStr">
        <is>
          <t>fmcg</t>
        </is>
      </c>
      <c r="D474" s="30" t="inlineStr">
        <is>
          <t>diversified - large</t>
        </is>
      </c>
      <c r="E474" s="30" t="inlineStr">
        <is>
          <t>midcap</t>
        </is>
      </c>
      <c r="F474" s="30" t="n">
        <v>6622.28</v>
      </c>
      <c r="G474" s="30" t="n">
        <v>545.4</v>
      </c>
      <c r="H474" s="30" t="n">
        <v>-1.6</v>
      </c>
      <c r="I474" s="30" t="n">
        <v>110538</v>
      </c>
      <c r="J474" s="30" t="inlineStr">
        <is>
          <t>519126</t>
        </is>
      </c>
    </row>
    <row r="475">
      <c r="A475" s="30" t="inlineStr">
        <is>
          <t>LALPATHLAB</t>
        </is>
      </c>
      <c r="B475" s="30" t="inlineStr">
        <is>
          <t>Dr. Lal Path Labs Ltd.</t>
        </is>
      </c>
      <c r="C475" s="30" t="inlineStr">
        <is>
          <t>healthcare</t>
        </is>
      </c>
      <c r="D475" s="30" t="inlineStr">
        <is>
          <t>healthcare</t>
        </is>
      </c>
      <c r="E475" s="30" t="inlineStr">
        <is>
          <t>largecap</t>
        </is>
      </c>
      <c r="F475" s="30" t="n">
        <v>27862.72</v>
      </c>
      <c r="G475" s="30" t="n">
        <v>1635.8</v>
      </c>
      <c r="H475" s="30" t="n">
        <v>-1.63</v>
      </c>
      <c r="I475" s="30" t="n">
        <v>226868</v>
      </c>
      <c r="J475" s="30" t="inlineStr">
        <is>
          <t>539524</t>
        </is>
      </c>
    </row>
    <row r="476">
      <c r="A476" s="30" t="inlineStr">
        <is>
          <t>VADILALIND</t>
        </is>
      </c>
      <c r="B476" s="30" t="inlineStr">
        <is>
          <t>Vadilal Industries Limited</t>
        </is>
      </c>
      <c r="C476" s="30" t="inlineStr">
        <is>
          <t>fmcg</t>
        </is>
      </c>
      <c r="D476" s="30" t="inlineStr">
        <is>
          <t>food - processing - indian</t>
        </is>
      </c>
      <c r="E476" s="30" t="inlineStr">
        <is>
          <t>smallcap</t>
        </is>
      </c>
      <c r="F476" s="30" t="n">
        <v>4465.3</v>
      </c>
      <c r="G476" s="30" t="n">
        <v>6108</v>
      </c>
      <c r="H476" s="30" t="n">
        <v>-1.68</v>
      </c>
      <c r="I476" s="30" t="n">
        <v>10920</v>
      </c>
      <c r="J476" s="30" t="inlineStr">
        <is>
          <t>519156</t>
        </is>
      </c>
    </row>
    <row r="477">
      <c r="A477" s="30" t="inlineStr">
        <is>
          <t>LOKESHMACH</t>
        </is>
      </c>
      <c r="B477" s="30" t="inlineStr">
        <is>
          <t>Lokesh Machines Limited</t>
        </is>
      </c>
      <c r="C477" s="30" t="inlineStr">
        <is>
          <t>industrials</t>
        </is>
      </c>
      <c r="D477" s="30" t="inlineStr">
        <is>
          <t>engineering</t>
        </is>
      </c>
      <c r="E477" s="30" t="inlineStr">
        <is>
          <t>smallcap</t>
        </is>
      </c>
      <c r="F477" s="30" t="n">
        <v>585.66</v>
      </c>
      <c r="G477" s="30" t="n">
        <v>270.25</v>
      </c>
      <c r="H477" s="30" t="n">
        <v>-1.73</v>
      </c>
      <c r="I477" s="30" t="n">
        <v>20309</v>
      </c>
      <c r="J477" s="30" t="inlineStr">
        <is>
          <t>532740</t>
        </is>
      </c>
    </row>
    <row r="478">
      <c r="A478" s="30" t="inlineStr">
        <is>
          <t>SHRIPISTON</t>
        </is>
      </c>
      <c r="B478" s="30" t="inlineStr">
        <is>
          <t>Shriram Pistons &amp; Rings Limited</t>
        </is>
      </c>
      <c r="C478" s="30" t="inlineStr">
        <is>
          <t>auto</t>
        </is>
      </c>
      <c r="D478" s="30" t="inlineStr">
        <is>
          <t>auto ancillaries</t>
        </is>
      </c>
      <c r="E478" s="30" t="inlineStr">
        <is>
          <t>midcap</t>
        </is>
      </c>
      <c r="F478" s="30" t="n">
        <v>16770.65</v>
      </c>
      <c r="G478" s="30" t="n">
        <v>3739.7</v>
      </c>
      <c r="H478" s="30" t="n">
        <v>-1.77</v>
      </c>
      <c r="I478" s="30" t="n">
        <v>66281</v>
      </c>
      <c r="J478" s="30" t="n"/>
    </row>
    <row r="479">
      <c r="A479" s="30" t="inlineStr">
        <is>
          <t>MUTHOOTMF</t>
        </is>
      </c>
      <c r="B479" s="30" t="inlineStr">
        <is>
          <t>Muthoot Microfin Ltd</t>
        </is>
      </c>
      <c r="C479" s="30" t="inlineStr">
        <is>
          <t>financials</t>
        </is>
      </c>
      <c r="D479" s="30" t="inlineStr">
        <is>
          <t>finance &amp; investments</t>
        </is>
      </c>
      <c r="E479" s="30" t="inlineStr">
        <is>
          <t>smallcap</t>
        </is>
      </c>
      <c r="F479" s="30" t="n">
        <v>3537.37</v>
      </c>
      <c r="G479" s="30" t="n">
        <v>203.77</v>
      </c>
      <c r="H479" s="30" t="n">
        <v>-1.79</v>
      </c>
      <c r="I479" s="30" t="n">
        <v>406619</v>
      </c>
      <c r="J479" s="30" t="inlineStr">
        <is>
          <t>544055</t>
        </is>
      </c>
    </row>
    <row r="480">
      <c r="A480" s="30" t="inlineStr">
        <is>
          <t>SPARC</t>
        </is>
      </c>
      <c r="B480" s="30" t="inlineStr">
        <is>
          <t>Sun Pharma Advanced Research Company Limited</t>
        </is>
      </c>
      <c r="C480" s="30" t="inlineStr">
        <is>
          <t>healthcare</t>
        </is>
      </c>
      <c r="D480" s="30" t="inlineStr">
        <is>
          <t>miscellaneous</t>
        </is>
      </c>
      <c r="E480" s="30" t="inlineStr">
        <is>
          <t>midcap</t>
        </is>
      </c>
      <c r="F480" s="30" t="n">
        <v>7868.67</v>
      </c>
      <c r="G480" s="30" t="n">
        <v>238.09</v>
      </c>
      <c r="H480" s="30" t="n">
        <v>-1.81</v>
      </c>
      <c r="I480" s="30" t="n">
        <v>1855116</v>
      </c>
      <c r="J480" s="30" t="inlineStr">
        <is>
          <t>532872</t>
        </is>
      </c>
    </row>
    <row r="481">
      <c r="A481" s="30" t="inlineStr">
        <is>
          <t>BBOX</t>
        </is>
      </c>
      <c r="B481" s="30" t="inlineStr">
        <is>
          <t>Black Box Ltd</t>
        </is>
      </c>
      <c r="C481" s="30" t="inlineStr">
        <is>
          <t>i.t</t>
        </is>
      </c>
      <c r="D481" s="30" t="inlineStr">
        <is>
          <t>computers - software - medium / small</t>
        </is>
      </c>
      <c r="E481" s="30" t="inlineStr">
        <is>
          <t>midcap</t>
        </is>
      </c>
      <c r="F481" s="30" t="n">
        <v>18495.01</v>
      </c>
      <c r="G481" s="30" t="n">
        <v>1023</v>
      </c>
      <c r="H481" s="30" t="n">
        <v>-1.82</v>
      </c>
      <c r="I481" s="30" t="n">
        <v>493024</v>
      </c>
      <c r="J481" s="30" t="inlineStr">
        <is>
          <t>500463</t>
        </is>
      </c>
    </row>
    <row r="482">
      <c r="A482" s="30" t="inlineStr">
        <is>
          <t>JAYBARMARU</t>
        </is>
      </c>
      <c r="B482" s="30" t="inlineStr">
        <is>
          <t>Jay Bharat Maruti Limited</t>
        </is>
      </c>
      <c r="C482" s="30" t="inlineStr">
        <is>
          <t>auto</t>
        </is>
      </c>
      <c r="D482" s="30" t="inlineStr">
        <is>
          <t>auto ancillaries</t>
        </is>
      </c>
      <c r="E482" s="30" t="inlineStr">
        <is>
          <t>smallcap</t>
        </is>
      </c>
      <c r="F482" s="30" t="n">
        <v>1870.45</v>
      </c>
      <c r="G482" s="30" t="n">
        <v>169.55</v>
      </c>
      <c r="H482" s="30" t="n">
        <v>-1.88</v>
      </c>
      <c r="I482" s="30" t="n">
        <v>1744373</v>
      </c>
      <c r="J482" s="30" t="inlineStr">
        <is>
          <t>520066</t>
        </is>
      </c>
    </row>
    <row r="483">
      <c r="A483" s="30" t="inlineStr">
        <is>
          <t>CAPITALSFB</t>
        </is>
      </c>
      <c r="B483" s="30" t="inlineStr">
        <is>
          <t>Capital Small Finance Bank Ltd</t>
        </is>
      </c>
      <c r="C483" s="30" t="inlineStr">
        <is>
          <t>bank</t>
        </is>
      </c>
      <c r="D483" s="30" t="inlineStr">
        <is>
          <t>banks - private sector</t>
        </is>
      </c>
      <c r="E483" s="30" t="inlineStr">
        <is>
          <t>smallcap</t>
        </is>
      </c>
      <c r="F483" s="30" t="n">
        <v>1321.69</v>
      </c>
      <c r="G483" s="30" t="n">
        <v>285.5</v>
      </c>
      <c r="H483" s="30" t="n">
        <v>-1.89</v>
      </c>
      <c r="I483" s="30" t="n">
        <v>21038</v>
      </c>
      <c r="J483" s="30" t="n"/>
    </row>
    <row r="484">
      <c r="A484" s="30" t="inlineStr">
        <is>
          <t>PRESTIGE</t>
        </is>
      </c>
      <c r="B484" s="30" t="inlineStr">
        <is>
          <t>Prestige Estates Projects Limited</t>
        </is>
      </c>
      <c r="C484" s="30" t="inlineStr">
        <is>
          <t>realty</t>
        </is>
      </c>
      <c r="D484" s="30" t="inlineStr">
        <is>
          <t>construction</t>
        </is>
      </c>
      <c r="E484" s="30" t="inlineStr">
        <is>
          <t>largecap</t>
        </is>
      </c>
      <c r="F484" s="30" t="n">
        <v>65802.66</v>
      </c>
      <c r="G484" s="30" t="n">
        <v>1497.3</v>
      </c>
      <c r="H484" s="30" t="n">
        <v>-1.99</v>
      </c>
      <c r="I484" s="30" t="n">
        <v>810768</v>
      </c>
      <c r="J484" s="30" t="inlineStr">
        <is>
          <t>533274</t>
        </is>
      </c>
    </row>
    <row r="485">
      <c r="A485" s="30" t="inlineStr">
        <is>
          <t>INGERRAND</t>
        </is>
      </c>
      <c r="B485" s="30" t="inlineStr">
        <is>
          <t>Ingersoll Rand (india) Limited</t>
        </is>
      </c>
      <c r="C485" s="30" t="inlineStr">
        <is>
          <t>industrials</t>
        </is>
      </c>
      <c r="D485" s="30" t="inlineStr">
        <is>
          <t>compressors / drilling equipment</t>
        </is>
      </c>
      <c r="E485" s="30" t="inlineStr">
        <is>
          <t>midcap</t>
        </is>
      </c>
      <c r="F485" s="30" t="n">
        <v>14881.47</v>
      </c>
      <c r="G485" s="30" t="n">
        <v>4611.3</v>
      </c>
      <c r="H485" s="30" t="n">
        <v>-2.18</v>
      </c>
      <c r="I485" s="30" t="n">
        <v>21389</v>
      </c>
      <c r="J485" s="30" t="inlineStr">
        <is>
          <t>500210</t>
        </is>
      </c>
    </row>
    <row r="486">
      <c r="A486" s="30" t="inlineStr">
        <is>
          <t>MAITHANALL</t>
        </is>
      </c>
      <c r="B486" s="30" t="inlineStr">
        <is>
          <t>Maithan Alloys Limited</t>
        </is>
      </c>
      <c r="C486" s="30" t="inlineStr">
        <is>
          <t>metals &amp; mining</t>
        </is>
      </c>
      <c r="D486" s="30" t="inlineStr">
        <is>
          <t>mining / minerals / metals</t>
        </is>
      </c>
      <c r="E486" s="30" t="inlineStr">
        <is>
          <t>smallcap</t>
        </is>
      </c>
      <c r="F486" s="30" t="n">
        <v>3307.65</v>
      </c>
      <c r="G486" s="30" t="n">
        <v>1111.2</v>
      </c>
      <c r="H486" s="30" t="n">
        <v>-2.2</v>
      </c>
      <c r="I486" s="30" t="n">
        <v>95747</v>
      </c>
      <c r="J486" s="30" t="inlineStr">
        <is>
          <t>590078</t>
        </is>
      </c>
    </row>
    <row r="487">
      <c r="A487" s="30" t="inlineStr">
        <is>
          <t>KPRMILL</t>
        </is>
      </c>
      <c r="B487" s="30" t="inlineStr">
        <is>
          <t>K.p.r. Mill Limited</t>
        </is>
      </c>
      <c r="C487" s="30" t="inlineStr">
        <is>
          <t>consumer discretionary</t>
        </is>
      </c>
      <c r="D487" s="30" t="inlineStr">
        <is>
          <t>textiles - products</t>
        </is>
      </c>
      <c r="E487" s="30" t="inlineStr">
        <is>
          <t>largecap</t>
        </is>
      </c>
      <c r="F487" s="30" t="n">
        <v>40552.81</v>
      </c>
      <c r="G487" s="30" t="n">
        <v>1159.75</v>
      </c>
      <c r="H487" s="30" t="n">
        <v>-2.25</v>
      </c>
      <c r="I487" s="30" t="n">
        <v>1246017</v>
      </c>
      <c r="J487" s="30" t="inlineStr">
        <is>
          <t>532889</t>
        </is>
      </c>
    </row>
    <row r="488">
      <c r="A488" s="30" t="inlineStr">
        <is>
          <t>UJJIVANSFB</t>
        </is>
      </c>
      <c r="B488" s="30" t="inlineStr">
        <is>
          <t>Ujjivan Small Finance Bank Ltd</t>
        </is>
      </c>
      <c r="C488" s="30" t="inlineStr">
        <is>
          <t>bank</t>
        </is>
      </c>
      <c r="D488" s="30" t="inlineStr">
        <is>
          <t>banks - private sector</t>
        </is>
      </c>
      <c r="E488" s="30" t="inlineStr">
        <is>
          <t>midcap</t>
        </is>
      </c>
      <c r="F488" s="30" t="n">
        <v>11388.19</v>
      </c>
      <c r="G488" s="30" t="n">
        <v>57.27</v>
      </c>
      <c r="H488" s="30" t="n">
        <v>-2.3</v>
      </c>
      <c r="I488" s="30" t="n">
        <v>6884920</v>
      </c>
      <c r="J488" s="30" t="inlineStr">
        <is>
          <t>542904</t>
        </is>
      </c>
    </row>
    <row r="489">
      <c r="A489" s="30" t="inlineStr">
        <is>
          <t>SASKEN</t>
        </is>
      </c>
      <c r="B489" s="30" t="inlineStr">
        <is>
          <t>Sasken Communication Technologies Limited</t>
        </is>
      </c>
      <c r="C489" s="30" t="inlineStr">
        <is>
          <t>i.t</t>
        </is>
      </c>
      <c r="D489" s="30" t="inlineStr">
        <is>
          <t>computers - software - medium / small</t>
        </is>
      </c>
      <c r="E489" s="30" t="inlineStr">
        <is>
          <t>smallcap</t>
        </is>
      </c>
      <c r="F489" s="30" t="n">
        <v>4021.23</v>
      </c>
      <c r="G489" s="30" t="n">
        <v>2586.1</v>
      </c>
      <c r="H489" s="30" t="n">
        <v>-2.33</v>
      </c>
      <c r="I489" s="30" t="n">
        <v>241298</v>
      </c>
      <c r="J489" s="30" t="inlineStr">
        <is>
          <t>532663</t>
        </is>
      </c>
    </row>
    <row r="490">
      <c r="A490" s="30" t="inlineStr">
        <is>
          <t>RATEGAIN</t>
        </is>
      </c>
      <c r="B490" s="30" t="inlineStr">
        <is>
          <t>Rategain Travel Technologies Ltd</t>
        </is>
      </c>
      <c r="C490" s="30" t="inlineStr">
        <is>
          <t>i.t</t>
        </is>
      </c>
      <c r="D490" s="30" t="inlineStr">
        <is>
          <t>computers - software - medium / small</t>
        </is>
      </c>
      <c r="E490" s="30" t="inlineStr">
        <is>
          <t>midcap</t>
        </is>
      </c>
      <c r="F490" s="30" t="n">
        <v>10504.91</v>
      </c>
      <c r="G490" s="30" t="n">
        <v>867.7</v>
      </c>
      <c r="H490" s="30" t="n">
        <v>-2.4</v>
      </c>
      <c r="I490" s="30" t="n">
        <v>962428</v>
      </c>
      <c r="J490" s="30" t="inlineStr">
        <is>
          <t>543417</t>
        </is>
      </c>
    </row>
    <row r="491">
      <c r="A491" s="30" t="inlineStr">
        <is>
          <t>SIMPLEXINF</t>
        </is>
      </c>
      <c r="B491" s="30" t="inlineStr">
        <is>
          <t>Simplex Infrastructures Limited</t>
        </is>
      </c>
      <c r="C491" s="30" t="inlineStr">
        <is>
          <t>realty</t>
        </is>
      </c>
      <c r="D491" s="30" t="inlineStr">
        <is>
          <t>construction</t>
        </is>
      </c>
      <c r="E491" s="30" t="inlineStr">
        <is>
          <t>smallcap</t>
        </is>
      </c>
      <c r="F491" s="30" t="n">
        <v>2230.49</v>
      </c>
      <c r="G491" s="30" t="n">
        <v>274.85</v>
      </c>
      <c r="H491" s="30" t="n">
        <v>-2.54</v>
      </c>
      <c r="I491" s="30" t="n">
        <v>1379517</v>
      </c>
      <c r="J491" s="30" t="inlineStr">
        <is>
          <t>523838</t>
        </is>
      </c>
    </row>
    <row r="492">
      <c r="A492" s="30" t="inlineStr">
        <is>
          <t>VAIBHAVGBL</t>
        </is>
      </c>
      <c r="B492" s="30" t="inlineStr">
        <is>
          <t>Vaibhav Global Limited</t>
        </is>
      </c>
      <c r="C492" s="30" t="inlineStr">
        <is>
          <t>consumer discretionary</t>
        </is>
      </c>
      <c r="D492" s="30" t="inlineStr">
        <is>
          <t>diamond cutting / jewellery</t>
        </is>
      </c>
      <c r="E492" s="30" t="inlineStr">
        <is>
          <t>smallcap</t>
        </is>
      </c>
      <c r="F492" s="30" t="n">
        <v>4196.74</v>
      </c>
      <c r="G492" s="30" t="n">
        <v>244.33</v>
      </c>
      <c r="H492" s="30" t="n">
        <v>-2.73</v>
      </c>
      <c r="I492" s="30" t="n">
        <v>308711</v>
      </c>
      <c r="J492" s="30" t="inlineStr">
        <is>
          <t>532156</t>
        </is>
      </c>
    </row>
    <row r="493">
      <c r="A493" s="30" t="inlineStr">
        <is>
          <t>SANOFICONR</t>
        </is>
      </c>
      <c r="B493" s="30" t="inlineStr">
        <is>
          <t>Sanofi Consumer Healthcare India Ltd</t>
        </is>
      </c>
      <c r="C493" s="30" t="inlineStr">
        <is>
          <t>healthcare</t>
        </is>
      </c>
      <c r="D493" s="30" t="inlineStr">
        <is>
          <t>pharmaceuticals - multinational</t>
        </is>
      </c>
      <c r="E493" s="30" t="inlineStr">
        <is>
          <t>midcap</t>
        </is>
      </c>
      <c r="F493" s="30" t="n">
        <v>11396.93</v>
      </c>
      <c r="G493" s="30" t="n">
        <v>4812.5</v>
      </c>
      <c r="H493" s="30" t="n">
        <v>-2.75</v>
      </c>
      <c r="I493" s="30" t="n">
        <v>15085</v>
      </c>
      <c r="J493" s="30" t="inlineStr">
        <is>
          <t>544250</t>
        </is>
      </c>
    </row>
    <row r="494">
      <c r="A494" s="30" t="inlineStr">
        <is>
          <t>ICIL</t>
        </is>
      </c>
      <c r="B494" s="30" t="inlineStr">
        <is>
          <t>Indo Count Industries Limited</t>
        </is>
      </c>
      <c r="C494" s="30" t="inlineStr">
        <is>
          <t>textiles</t>
        </is>
      </c>
      <c r="D494" s="30" t="inlineStr">
        <is>
          <t>textiles - cotton/blended</t>
        </is>
      </c>
      <c r="E494" s="30" t="inlineStr">
        <is>
          <t>midcap</t>
        </is>
      </c>
      <c r="F494" s="30" t="n">
        <v>8038.04</v>
      </c>
      <c r="G494" s="30" t="n">
        <v>394.6</v>
      </c>
      <c r="H494" s="30" t="n">
        <v>-2.77</v>
      </c>
      <c r="I494" s="30" t="n">
        <v>2676331</v>
      </c>
      <c r="J494" s="30" t="inlineStr">
        <is>
          <t>521016</t>
        </is>
      </c>
    </row>
    <row r="495">
      <c r="A495" s="30" t="inlineStr">
        <is>
          <t>HSCL</t>
        </is>
      </c>
      <c r="B495" s="30" t="inlineStr">
        <is>
          <t>Himadri Speciality Chemical Limited</t>
        </is>
      </c>
      <c r="C495" s="30" t="inlineStr">
        <is>
          <t>chemicals</t>
        </is>
      </c>
      <c r="D495" s="30" t="inlineStr">
        <is>
          <t>chemicals</t>
        </is>
      </c>
      <c r="E495" s="30" t="inlineStr">
        <is>
          <t>largecap</t>
        </is>
      </c>
      <c r="F495" s="30" t="n">
        <v>34828.51</v>
      </c>
      <c r="G495" s="30" t="n">
        <v>671.05</v>
      </c>
      <c r="H495" s="30" t="n">
        <v>-2.79</v>
      </c>
      <c r="I495" s="30" t="n">
        <v>13846530</v>
      </c>
      <c r="J495" s="30" t="inlineStr">
        <is>
          <t>500184</t>
        </is>
      </c>
    </row>
    <row r="496">
      <c r="A496" s="30" t="inlineStr">
        <is>
          <t>BANDHANBNK</t>
        </is>
      </c>
      <c r="B496" s="30" t="inlineStr">
        <is>
          <t>Bandhan Bank Ltd</t>
        </is>
      </c>
      <c r="C496" s="30" t="inlineStr">
        <is>
          <t>bank</t>
        </is>
      </c>
      <c r="D496" s="30" t="inlineStr">
        <is>
          <t>banks - private sector</t>
        </is>
      </c>
      <c r="E496" s="30" t="inlineStr">
        <is>
          <t>largecap</t>
        </is>
      </c>
      <c r="F496" s="30" t="n">
        <v>34519.91</v>
      </c>
      <c r="G496" s="30" t="n">
        <v>208.09</v>
      </c>
      <c r="H496" s="30" t="n">
        <v>-2.89</v>
      </c>
      <c r="I496" s="30" t="n">
        <v>7902818</v>
      </c>
      <c r="J496" s="30" t="inlineStr">
        <is>
          <t>541153</t>
        </is>
      </c>
    </row>
    <row r="497">
      <c r="A497" s="30" t="inlineStr">
        <is>
          <t>ORCHPHARMA</t>
        </is>
      </c>
      <c r="B497" s="30" t="inlineStr">
        <is>
          <t>Orchid Pharma Ltd</t>
        </is>
      </c>
      <c r="C497" s="30" t="inlineStr">
        <is>
          <t>healthcare</t>
        </is>
      </c>
      <c r="D497" s="30" t="inlineStr">
        <is>
          <t>pharmaceuticals - indian - bulk drugs &amp; formln</t>
        </is>
      </c>
      <c r="E497" s="30" t="inlineStr">
        <is>
          <t>midcap</t>
        </is>
      </c>
      <c r="F497" s="30" t="n">
        <v>5113.75</v>
      </c>
      <c r="G497" s="30" t="n">
        <v>979.05</v>
      </c>
      <c r="H497" s="30" t="n">
        <v>-2.9</v>
      </c>
      <c r="I497" s="30" t="n">
        <v>107623</v>
      </c>
      <c r="J497" s="30" t="inlineStr">
        <is>
          <t>524372</t>
        </is>
      </c>
    </row>
    <row r="498">
      <c r="A498" s="30" t="inlineStr">
        <is>
          <t>CARYSIL</t>
        </is>
      </c>
      <c r="B498" s="30" t="inlineStr">
        <is>
          <t>Carysil Ltd</t>
        </is>
      </c>
      <c r="C498" s="30" t="inlineStr">
        <is>
          <t>consumer discretionary</t>
        </is>
      </c>
      <c r="D498" s="30" t="inlineStr">
        <is>
          <t>domestic appliances</t>
        </is>
      </c>
      <c r="E498" s="30" t="inlineStr">
        <is>
          <t>smallcap</t>
        </is>
      </c>
      <c r="F498" s="30" t="n">
        <v>3520.63</v>
      </c>
      <c r="G498" s="30" t="n">
        <v>1199.3</v>
      </c>
      <c r="H498" s="30" t="n">
        <v>-3.11</v>
      </c>
      <c r="I498" s="30" t="n">
        <v>193796</v>
      </c>
      <c r="J498" s="30" t="inlineStr">
        <is>
          <t>524091</t>
        </is>
      </c>
    </row>
    <row r="499">
      <c r="A499" s="30" t="inlineStr">
        <is>
          <t>KAMDHENU</t>
        </is>
      </c>
      <c r="B499" s="30" t="inlineStr">
        <is>
          <t>Kamdhenu Limited</t>
        </is>
      </c>
      <c r="C499" s="30" t="inlineStr">
        <is>
          <t>metals &amp; mining</t>
        </is>
      </c>
      <c r="D499" s="30" t="inlineStr">
        <is>
          <t>steel - medium / small</t>
        </is>
      </c>
      <c r="E499" s="30" t="inlineStr">
        <is>
          <t>smallcap</t>
        </is>
      </c>
      <c r="F499" s="30" t="n">
        <v>838.88</v>
      </c>
      <c r="G499" s="30" t="n">
        <v>28.83</v>
      </c>
      <c r="H499" s="30" t="n">
        <v>-3.13</v>
      </c>
      <c r="I499" s="30" t="n">
        <v>782895</v>
      </c>
      <c r="J499" s="30" t="inlineStr">
        <is>
          <t>532741</t>
        </is>
      </c>
    </row>
    <row r="500">
      <c r="A500" s="30" t="inlineStr">
        <is>
          <t>BALAMINES</t>
        </is>
      </c>
      <c r="B500" s="30" t="inlineStr">
        <is>
          <t>Balaji Amines Limited</t>
        </is>
      </c>
      <c r="C500" s="30" t="inlineStr">
        <is>
          <t>chemicals</t>
        </is>
      </c>
      <c r="D500" s="30" t="inlineStr">
        <is>
          <t>chemicals</t>
        </is>
      </c>
      <c r="E500" s="30" t="inlineStr">
        <is>
          <t>midcap</t>
        </is>
      </c>
      <c r="F500" s="30" t="n">
        <v>7159</v>
      </c>
      <c r="G500" s="30" t="n">
        <v>2138.2</v>
      </c>
      <c r="H500" s="30" t="n">
        <v>-3.23</v>
      </c>
      <c r="I500" s="30" t="n">
        <v>152581</v>
      </c>
      <c r="J500" s="30" t="inlineStr">
        <is>
          <t>530999</t>
        </is>
      </c>
    </row>
    <row r="501">
      <c r="A501" s="30" t="inlineStr">
        <is>
          <t>KERNEX</t>
        </is>
      </c>
      <c r="B501" s="30" t="inlineStr">
        <is>
          <t>Kernex Microsystems (india) Limited</t>
        </is>
      </c>
      <c r="C501" s="30" t="inlineStr">
        <is>
          <t>consumer discretionary</t>
        </is>
      </c>
      <c r="D501" s="30" t="inlineStr">
        <is>
          <t>electronics - components</t>
        </is>
      </c>
      <c r="E501" s="30" t="inlineStr">
        <is>
          <t>smallcap</t>
        </is>
      </c>
      <c r="F501" s="30" t="n">
        <v>3491.04</v>
      </c>
      <c r="G501" s="30" t="n">
        <v>1999.5</v>
      </c>
      <c r="H501" s="30" t="n">
        <v>-3.76</v>
      </c>
      <c r="I501" s="30" t="n">
        <v>262760</v>
      </c>
      <c r="J501" s="30" t="inlineStr">
        <is>
          <t>532686</t>
        </is>
      </c>
    </row>
    <row r="502">
      <c r="A502" s="30" t="inlineStr">
        <is>
          <t>GAYAPROJ</t>
        </is>
      </c>
      <c r="B502" s="30" t="inlineStr">
        <is>
          <t>Gayatri Projects Limited</t>
        </is>
      </c>
      <c r="C502" s="30" t="inlineStr">
        <is>
          <t>realty</t>
        </is>
      </c>
      <c r="D502" s="30" t="inlineStr">
        <is>
          <t>construction</t>
        </is>
      </c>
      <c r="E502" s="30" t="inlineStr">
        <is>
          <t>smallcap</t>
        </is>
      </c>
      <c r="F502" s="30" t="n">
        <v>732.5</v>
      </c>
      <c r="G502" s="30" t="n">
        <v>23.52</v>
      </c>
      <c r="H502" s="30" t="n">
        <v>-4.89</v>
      </c>
      <c r="I502" s="30" t="n">
        <v>406806</v>
      </c>
      <c r="J502" s="30" t="inlineStr">
        <is>
          <t>532767</t>
        </is>
      </c>
    </row>
    <row r="503">
      <c r="A503" s="30" t="inlineStr">
        <is>
          <t>BLUSPRING</t>
        </is>
      </c>
      <c r="B503" s="30" t="inlineStr">
        <is>
          <t>Bluspring Enterprises Ltd</t>
        </is>
      </c>
      <c r="C503" s="30" t="inlineStr">
        <is>
          <t>miscellaneous</t>
        </is>
      </c>
      <c r="D503" s="30" t="inlineStr">
        <is>
          <t>diversified - large</t>
        </is>
      </c>
      <c r="E503" s="30" t="inlineStr">
        <is>
          <t>smallcap</t>
        </is>
      </c>
      <c r="F503" s="30" t="n">
        <v>1704.43</v>
      </c>
      <c r="G503" s="30" t="n">
        <v>108.39</v>
      </c>
      <c r="H503" s="30" t="n">
        <v>-5.16</v>
      </c>
      <c r="I503" s="30" t="n">
        <v>1077563</v>
      </c>
      <c r="J503" s="30" t="inlineStr">
        <is>
          <t>544414</t>
        </is>
      </c>
    </row>
  </sheetData>
  <autoFilter ref="A1:J5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IBULLSLTD</t>
        </is>
      </c>
      <c r="E2" s="30" t="inlineStr">
        <is>
          <t>Indiabulls Limited</t>
        </is>
      </c>
      <c r="F2" s="30" t="inlineStr">
        <is>
          <t>Diversified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21</v>
      </c>
      <c r="K2" s="30" t="n">
        <v>26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CUPID</t>
        </is>
      </c>
      <c r="E3" s="30" t="inlineStr">
        <is>
          <t>Cupid Limited</t>
        </is>
      </c>
      <c r="F3" s="30" t="inlineStr">
        <is>
          <t>Contraceptives/Protectives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27</v>
      </c>
      <c r="K3" s="30" t="n">
        <v>29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SIGMAADV</t>
        </is>
      </c>
      <c r="E4" s="30" t="inlineStr">
        <is>
          <t>Sigma Advanced System Ltd</t>
        </is>
      </c>
      <c r="F4" s="30" t="inlineStr">
        <is>
          <t>Aerospace &amp; Defence - Equipments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26</v>
      </c>
      <c r="K4" s="30" t="n">
        <v>30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CEMPRO</t>
        </is>
      </c>
      <c r="E5" s="30" t="inlineStr">
        <is>
          <t>Cemindia Projects Ltd</t>
        </is>
      </c>
      <c r="F5" s="30" t="inlineStr">
        <is>
          <t>Infra - Construction &amp; Contracting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19</v>
      </c>
      <c r="K5" s="30" t="n">
        <v>30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HFCL</t>
        </is>
      </c>
      <c r="E6" s="30" t="inlineStr">
        <is>
          <t>HFCL Ltd</t>
        </is>
      </c>
      <c r="F6" s="30" t="inlineStr">
        <is>
          <t>Telecom Services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23</v>
      </c>
      <c r="K6" s="30" t="n">
        <v>29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NYKAA</t>
        </is>
      </c>
      <c r="E7" s="30" t="inlineStr">
        <is>
          <t>FSN E-Commerce Ventures Ltd</t>
        </is>
      </c>
      <c r="F7" s="30" t="inlineStr">
        <is>
          <t>New age - Platform - E-Retail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20</v>
      </c>
      <c r="K7" s="30" t="n">
        <v>12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SATIN</t>
        </is>
      </c>
      <c r="E8" s="30" t="inlineStr">
        <is>
          <t>Satin Creditcare Network Limited</t>
        </is>
      </c>
      <c r="F8" s="30" t="inlineStr">
        <is>
          <t>Finance &amp; Investments - Microfinance</t>
        </is>
      </c>
      <c r="G8" s="30" t="n">
        <v>2</v>
      </c>
      <c r="H8" s="30" t="inlineStr">
        <is>
          <t>No</t>
        </is>
      </c>
      <c r="I8" s="30" t="inlineStr">
        <is>
          <t>Yes</t>
        </is>
      </c>
      <c r="J8" s="30" t="n">
        <v>22</v>
      </c>
      <c r="K8" s="30" t="n">
        <v>29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MAHABANK</t>
        </is>
      </c>
      <c r="E9" s="30" t="inlineStr">
        <is>
          <t>Bank Of Maharashtra Ltd</t>
        </is>
      </c>
      <c r="F9" s="30" t="inlineStr">
        <is>
          <t>Banks - PSU</t>
        </is>
      </c>
      <c r="G9" s="30" t="n">
        <v>2</v>
      </c>
      <c r="H9" s="30" t="inlineStr">
        <is>
          <t>No</t>
        </is>
      </c>
      <c r="I9" s="30" t="inlineStr">
        <is>
          <t>Yes</t>
        </is>
      </c>
      <c r="J9" s="30" t="n">
        <v>21</v>
      </c>
      <c r="K9" s="30" t="n">
        <v>15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BAJAJCON</t>
        </is>
      </c>
      <c r="E10" s="30" t="inlineStr">
        <is>
          <t>Bajaj Consumer Care Ltd</t>
        </is>
      </c>
      <c r="F10" s="30" t="inlineStr">
        <is>
          <t>FMCG - Personal Care</t>
        </is>
      </c>
      <c r="G10" s="30" t="n">
        <v>2</v>
      </c>
      <c r="H10" s="30" t="inlineStr">
        <is>
          <t>No</t>
        </is>
      </c>
      <c r="I10" s="30" t="inlineStr">
        <is>
          <t>Yes</t>
        </is>
      </c>
      <c r="J10" s="30" t="n">
        <v>25</v>
      </c>
      <c r="K10" s="30" t="n">
        <v>30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RBLBANK</t>
        </is>
      </c>
      <c r="E11" s="30" t="inlineStr">
        <is>
          <t>Rbl Bank Limited</t>
        </is>
      </c>
      <c r="F11" s="30" t="inlineStr">
        <is>
          <t>Banks - Private</t>
        </is>
      </c>
      <c r="G11" s="30" t="n">
        <v>2</v>
      </c>
      <c r="H11" s="30" t="inlineStr">
        <is>
          <t>52W Breakout</t>
        </is>
      </c>
      <c r="I11" s="30" t="inlineStr">
        <is>
          <t>Yes</t>
        </is>
      </c>
      <c r="J11" s="30" t="n">
        <v>11</v>
      </c>
      <c r="K11" s="30" t="n">
        <v>25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RPTECH</t>
        </is>
      </c>
      <c r="E12" s="30" t="inlineStr">
        <is>
          <t>Rashi Peripherals Ltd</t>
        </is>
      </c>
      <c r="F12" s="30" t="inlineStr">
        <is>
          <t>Trading</t>
        </is>
      </c>
      <c r="G12" s="30" t="n">
        <v>2</v>
      </c>
      <c r="H12" s="30" t="inlineStr">
        <is>
          <t>No</t>
        </is>
      </c>
      <c r="I12" s="30" t="inlineStr">
        <is>
          <t>Yes</t>
        </is>
      </c>
      <c r="J12" s="30" t="n">
        <v>28</v>
      </c>
      <c r="K12" s="30" t="n">
        <v>28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STYLAMIND</t>
        </is>
      </c>
      <c r="E13" s="30" t="inlineStr">
        <is>
          <t>Stylam Industries Ltd</t>
        </is>
      </c>
      <c r="F13" s="30" t="inlineStr">
        <is>
          <t>Plywood Boards/Laminates</t>
        </is>
      </c>
      <c r="G13" s="30" t="n">
        <v>2</v>
      </c>
      <c r="H13" s="30" t="inlineStr">
        <is>
          <t>52W Breakout</t>
        </is>
      </c>
      <c r="I13" s="30" t="inlineStr">
        <is>
          <t>Yes</t>
        </is>
      </c>
      <c r="J13" s="30" t="n">
        <v>14</v>
      </c>
      <c r="K13" s="30" t="n">
        <v>30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VENUSREM</t>
        </is>
      </c>
      <c r="E14" s="30" t="inlineStr">
        <is>
          <t>Venus Remedies Limited</t>
        </is>
      </c>
      <c r="F14" s="30" t="inlineStr">
        <is>
          <t>Pharmaceuticals - I V Fluids</t>
        </is>
      </c>
      <c r="G14" s="30" t="n">
        <v>2</v>
      </c>
      <c r="H14" s="30" t="inlineStr">
        <is>
          <t>No</t>
        </is>
      </c>
      <c r="I14" s="30" t="inlineStr">
        <is>
          <t>Yes</t>
        </is>
      </c>
      <c r="J14" s="30" t="n">
        <v>21</v>
      </c>
      <c r="K14" s="30" t="n">
        <v>28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RADICO</t>
        </is>
      </c>
      <c r="E15" s="30" t="inlineStr">
        <is>
          <t>Radico Khaitan Limited</t>
        </is>
      </c>
      <c r="F15" s="30" t="inlineStr">
        <is>
          <t>Alcoholic Beverages</t>
        </is>
      </c>
      <c r="G15" s="30" t="n">
        <v>2</v>
      </c>
      <c r="H15" s="30" t="inlineStr">
        <is>
          <t>52W Breakout</t>
        </is>
      </c>
      <c r="I15" s="30" t="inlineStr">
        <is>
          <t>Yes</t>
        </is>
      </c>
      <c r="J15" s="30" t="n">
        <v>14</v>
      </c>
      <c r="K15" s="30" t="n">
        <v>25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THANGAMAYL</t>
        </is>
      </c>
      <c r="E16" s="30" t="inlineStr">
        <is>
          <t>Thangamayil Jewellery Limited</t>
        </is>
      </c>
      <c r="F16" s="30" t="inlineStr">
        <is>
          <t>Diamond, Gems &amp; Jewellery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27</v>
      </c>
      <c r="K16" s="30" t="n">
        <v>20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MTARTECH</t>
        </is>
      </c>
      <c r="E17" s="30" t="inlineStr">
        <is>
          <t>MTAR Technologies Ltd</t>
        </is>
      </c>
      <c r="F17" s="30" t="inlineStr">
        <is>
          <t>Aerospace &amp; Defence - Equipments</t>
        </is>
      </c>
      <c r="G17" s="30" t="n">
        <v>2</v>
      </c>
      <c r="H17" s="30" t="inlineStr">
        <is>
          <t>No</t>
        </is>
      </c>
      <c r="I17" s="30" t="inlineStr">
        <is>
          <t>Yes</t>
        </is>
      </c>
      <c r="J17" s="30" t="n">
        <v>26</v>
      </c>
      <c r="K17" s="30" t="n">
        <v>24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GAYAPROJ</t>
        </is>
      </c>
      <c r="E18" s="30" t="inlineStr">
        <is>
          <t>Gayatri Projects Limited</t>
        </is>
      </c>
      <c r="F18" s="30" t="inlineStr">
        <is>
          <t>Construction - Civil/Turnkey</t>
        </is>
      </c>
      <c r="G18" s="30" t="n">
        <v>2</v>
      </c>
      <c r="H18" s="30" t="inlineStr">
        <is>
          <t>No</t>
        </is>
      </c>
      <c r="I18" s="30" t="inlineStr">
        <is>
          <t>Yes</t>
        </is>
      </c>
      <c r="J18" s="30" t="n">
        <v>21</v>
      </c>
      <c r="K18" s="30" t="n">
        <v>23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BLISSGVS</t>
        </is>
      </c>
      <c r="E19" s="30" t="inlineStr">
        <is>
          <t>Bliss Gvs Pharma Limited</t>
        </is>
      </c>
      <c r="F19" s="30" t="inlineStr">
        <is>
          <t>Pharma - Formulators</t>
        </is>
      </c>
      <c r="G19" s="30" t="n">
        <v>2</v>
      </c>
      <c r="H19" s="30" t="inlineStr">
        <is>
          <t>No</t>
        </is>
      </c>
      <c r="I19" s="30" t="inlineStr">
        <is>
          <t>Yes</t>
        </is>
      </c>
      <c r="J19" s="30" t="n">
        <v>21</v>
      </c>
      <c r="K19" s="30" t="n">
        <v>30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GVT&amp;D</t>
        </is>
      </c>
      <c r="E20" s="30" t="inlineStr">
        <is>
          <t>GE Vernova T&amp;D India Ltd</t>
        </is>
      </c>
      <c r="F20" s="30" t="inlineStr">
        <is>
          <t>Electrical Equipments/HVDC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20</v>
      </c>
      <c r="K20" s="30" t="n">
        <v>23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KPIL</t>
        </is>
      </c>
      <c r="E21" s="30" t="inlineStr">
        <is>
          <t>Kalpataru Projects International Ltd</t>
        </is>
      </c>
      <c r="F21" s="30" t="inlineStr">
        <is>
          <t>Infra - Power - Generation/Distribution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20</v>
      </c>
      <c r="K21" s="30" t="n">
        <v>24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SKMEGGPROD</t>
        </is>
      </c>
      <c r="E22" s="30" t="inlineStr">
        <is>
          <t>Skm Egg Products Export (india) Limited</t>
        </is>
      </c>
      <c r="F22" s="30" t="inlineStr">
        <is>
          <t>FMCG - Animal/Polutry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23</v>
      </c>
      <c r="K22" s="30" t="n">
        <v>25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GVPIL</t>
        </is>
      </c>
      <c r="E23" s="30" t="inlineStr">
        <is>
          <t>GE Power India Ltd</t>
        </is>
      </c>
      <c r="F23" s="30" t="inlineStr">
        <is>
          <t>Infra - General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21</v>
      </c>
      <c r="K23" s="30" t="n">
        <v>30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ACUTAAS</t>
        </is>
      </c>
      <c r="E24" s="30" t="inlineStr">
        <is>
          <t>Acutaas Chemicals Ltd</t>
        </is>
      </c>
      <c r="F24" s="30" t="inlineStr">
        <is>
          <t>Pharma - API &amp; CRAMS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25</v>
      </c>
      <c r="K24" s="30" t="n">
        <v>28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NIBE</t>
        </is>
      </c>
      <c r="E25" s="30" t="inlineStr">
        <is>
          <t>NIBE Ltd</t>
        </is>
      </c>
      <c r="F25" s="30" t="inlineStr">
        <is>
          <t>Aerospace &amp; Defence - Equipments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25</v>
      </c>
      <c r="K25" s="30" t="n">
        <v>5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FEDERALBNK</t>
        </is>
      </c>
      <c r="E26" s="30" t="inlineStr">
        <is>
          <t>The Federal Bank  Limited</t>
        </is>
      </c>
      <c r="F26" s="30" t="inlineStr">
        <is>
          <t>Banks - Private</t>
        </is>
      </c>
      <c r="G26" s="30" t="n">
        <v>2</v>
      </c>
      <c r="H26" s="30" t="inlineStr">
        <is>
          <t>52W Breakout</t>
        </is>
      </c>
      <c r="I26" s="30" t="inlineStr">
        <is>
          <t>Yes</t>
        </is>
      </c>
      <c r="J26" s="30" t="n">
        <v>11</v>
      </c>
      <c r="K26" s="30" t="n">
        <v>16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BHAGYANGR</t>
        </is>
      </c>
      <c r="E27" s="30" t="inlineStr">
        <is>
          <t>Bhagyanagar India</t>
        </is>
      </c>
      <c r="F27" s="30" t="inlineStr">
        <is>
          <t>Recycling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23</v>
      </c>
      <c r="K27" s="30" t="n">
        <v>22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AEGISLOG</t>
        </is>
      </c>
      <c r="E28" s="30" t="inlineStr">
        <is>
          <t>Aegis Logistics Ltd</t>
        </is>
      </c>
      <c r="F28" s="30" t="inlineStr">
        <is>
          <t>Logistics</t>
        </is>
      </c>
      <c r="G28" s="30" t="n">
        <v>2</v>
      </c>
      <c r="H28" s="30" t="inlineStr">
        <is>
          <t>No</t>
        </is>
      </c>
      <c r="I28" s="30" t="inlineStr">
        <is>
          <t>Yes</t>
        </is>
      </c>
      <c r="J28" s="30" t="n">
        <v>28</v>
      </c>
      <c r="K28" s="30" t="n">
        <v>16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ABSLAMC</t>
        </is>
      </c>
      <c r="E29" s="30" t="inlineStr">
        <is>
          <t>Aditya Birla Sun Life AMC Ltd</t>
        </is>
      </c>
      <c r="F29" s="30" t="inlineStr">
        <is>
          <t>Finance - AMC</t>
        </is>
      </c>
      <c r="G29" s="30" t="n">
        <v>2</v>
      </c>
      <c r="H29" s="30" t="inlineStr">
        <is>
          <t>52W Breakout</t>
        </is>
      </c>
      <c r="I29" s="30" t="inlineStr">
        <is>
          <t>Yes</t>
        </is>
      </c>
      <c r="J29" s="30" t="n">
        <v>12</v>
      </c>
      <c r="K29" s="30" t="n">
        <v>12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NITINSPIN</t>
        </is>
      </c>
      <c r="E30" s="30" t="inlineStr">
        <is>
          <t>Nitin Spinners Limited</t>
        </is>
      </c>
      <c r="F30" s="30" t="inlineStr">
        <is>
          <t>Textiles - Spinning</t>
        </is>
      </c>
      <c r="G30" s="30" t="n">
        <v>2</v>
      </c>
      <c r="H30" s="30" t="inlineStr">
        <is>
          <t>52W Breakout</t>
        </is>
      </c>
      <c r="I30" s="30" t="inlineStr">
        <is>
          <t>Yes</t>
        </is>
      </c>
      <c r="J30" s="30" t="n">
        <v>10</v>
      </c>
      <c r="K30" s="30" t="n">
        <v>30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PAISALO</t>
        </is>
      </c>
      <c r="E31" s="30" t="inlineStr">
        <is>
          <t>Paisalo Digital Ltd</t>
        </is>
      </c>
      <c r="F31" s="30" t="inlineStr">
        <is>
          <t>Finance - Capital Markets - Brokers</t>
        </is>
      </c>
      <c r="G31" s="30" t="n">
        <v>2</v>
      </c>
      <c r="H31" s="30" t="inlineStr">
        <is>
          <t>No</t>
        </is>
      </c>
      <c r="I31" s="30" t="inlineStr">
        <is>
          <t>Yes</t>
        </is>
      </c>
      <c r="J31" s="30" t="n">
        <v>20</v>
      </c>
      <c r="K31" s="30" t="n">
        <v>30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MARKSANS</t>
        </is>
      </c>
      <c r="E32" s="30" t="inlineStr">
        <is>
          <t>Marksans Pharma Limited</t>
        </is>
      </c>
      <c r="F32" s="30" t="inlineStr">
        <is>
          <t>Pharma - Formulators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22</v>
      </c>
      <c r="K32" s="30" t="n">
        <v>27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PARAS</t>
        </is>
      </c>
      <c r="E33" s="30" t="inlineStr">
        <is>
          <t>Paras Defence and Space Technologies Ltd</t>
        </is>
      </c>
      <c r="F33" s="30" t="inlineStr">
        <is>
          <t>Aerospace &amp; Defence - Equipments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25</v>
      </c>
      <c r="K33" s="30" t="n">
        <v>24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GOLDIAM</t>
        </is>
      </c>
      <c r="E34" s="30" t="inlineStr">
        <is>
          <t>Goldiam International Limited</t>
        </is>
      </c>
      <c r="F34" s="30" t="inlineStr">
        <is>
          <t>Lab Grown Diamonds</t>
        </is>
      </c>
      <c r="G34" s="30" t="n">
        <v>2</v>
      </c>
      <c r="H34" s="30" t="inlineStr">
        <is>
          <t>No</t>
        </is>
      </c>
      <c r="I34" s="30" t="inlineStr">
        <is>
          <t>Yes</t>
        </is>
      </c>
      <c r="J34" s="30" t="n">
        <v>21</v>
      </c>
      <c r="K34" s="30" t="n">
        <v>23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CEIGALL</t>
        </is>
      </c>
      <c r="E35" s="30" t="inlineStr">
        <is>
          <t>Ceigall India Ltd</t>
        </is>
      </c>
      <c r="F35" s="30" t="inlineStr">
        <is>
          <t>Construction - Civil/Turnkey</t>
        </is>
      </c>
      <c r="G35" s="30" t="n">
        <v>2</v>
      </c>
      <c r="H35" s="30" t="inlineStr">
        <is>
          <t>No</t>
        </is>
      </c>
      <c r="I35" s="30" t="inlineStr">
        <is>
          <t>Yes</t>
        </is>
      </c>
      <c r="J35" s="30" t="n">
        <v>20</v>
      </c>
      <c r="K35" s="30" t="n">
        <v>23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AVALON</t>
        </is>
      </c>
      <c r="E36" s="30" t="inlineStr">
        <is>
          <t>Avalon Technologies Ltd</t>
        </is>
      </c>
      <c r="F36" s="30" t="inlineStr">
        <is>
          <t>Consumer Electronics - EMS</t>
        </is>
      </c>
      <c r="G36" s="30" t="n">
        <v>2</v>
      </c>
      <c r="H36" s="30" t="inlineStr">
        <is>
          <t>No</t>
        </is>
      </c>
      <c r="I36" s="30" t="inlineStr">
        <is>
          <t>Yes</t>
        </is>
      </c>
      <c r="J36" s="30" t="n">
        <v>22</v>
      </c>
      <c r="K36" s="30" t="n">
        <v>30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MODISONLTD</t>
        </is>
      </c>
      <c r="E37" s="30" t="inlineStr">
        <is>
          <t>Modison Ltd</t>
        </is>
      </c>
      <c r="F37" s="30" t="inlineStr">
        <is>
          <t>Capital Goods - Electric General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21</v>
      </c>
      <c r="K37" s="30" t="n">
        <v>30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SIS</t>
        </is>
      </c>
      <c r="E38" s="30" t="inlineStr">
        <is>
          <t>Security &amp; Intelligence Services India</t>
        </is>
      </c>
      <c r="F38" s="30" t="inlineStr">
        <is>
          <t>Facility Management</t>
        </is>
      </c>
      <c r="G38" s="30" t="n">
        <v>2</v>
      </c>
      <c r="H38" s="30" t="inlineStr">
        <is>
          <t>No</t>
        </is>
      </c>
      <c r="I38" s="30" t="inlineStr">
        <is>
          <t>Yes</t>
        </is>
      </c>
      <c r="J38" s="30" t="n">
        <v>18</v>
      </c>
      <c r="K38" s="30" t="n">
        <v>30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SYRMA</t>
        </is>
      </c>
      <c r="E39" s="30" t="inlineStr">
        <is>
          <t>Syrma SGS Technology Ltd</t>
        </is>
      </c>
      <c r="F39" s="30" t="inlineStr">
        <is>
          <t>Consumer Electronics - EMS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21</v>
      </c>
      <c r="K39" s="30" t="n">
        <v>27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PSPPROJECT</t>
        </is>
      </c>
      <c r="E40" s="30" t="inlineStr">
        <is>
          <t>PSP Projects Ltd</t>
        </is>
      </c>
      <c r="F40" s="30" t="inlineStr">
        <is>
          <t>Construction &amp; Contracting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19</v>
      </c>
      <c r="K40" s="30" t="n">
        <v>22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CGCL</t>
        </is>
      </c>
      <c r="E41" s="30" t="inlineStr">
        <is>
          <t>Capri Global Capital Limited</t>
        </is>
      </c>
      <c r="F41" s="30" t="inlineStr">
        <is>
          <t>Finance &amp; Investments - Gold Loan</t>
        </is>
      </c>
      <c r="G41" s="30" t="n">
        <v>2</v>
      </c>
      <c r="H41" s="30" t="inlineStr">
        <is>
          <t>No</t>
        </is>
      </c>
      <c r="I41" s="30" t="inlineStr">
        <is>
          <t>Yes</t>
        </is>
      </c>
      <c r="J41" s="30" t="n">
        <v>24</v>
      </c>
      <c r="K41" s="30" t="n">
        <v>22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SENORES</t>
        </is>
      </c>
      <c r="E42" s="30" t="inlineStr">
        <is>
          <t>Senores Pharmaceuticals Ltd</t>
        </is>
      </c>
      <c r="F42" s="30" t="inlineStr">
        <is>
          <t>Pharma - API</t>
        </is>
      </c>
      <c r="G42" s="30" t="n">
        <v>2</v>
      </c>
      <c r="H42" s="30" t="inlineStr">
        <is>
          <t>No</t>
        </is>
      </c>
      <c r="I42" s="30" t="inlineStr">
        <is>
          <t>Yes</t>
        </is>
      </c>
      <c r="J42" s="30" t="n">
        <v>25</v>
      </c>
      <c r="K42" s="30" t="n">
        <v>23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INNOVACAP</t>
        </is>
      </c>
      <c r="E43" s="30" t="inlineStr">
        <is>
          <t>Innova Captab Ltd</t>
        </is>
      </c>
      <c r="F43" s="30" t="inlineStr">
        <is>
          <t>Pharma - API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18</v>
      </c>
      <c r="K43" s="30" t="n">
        <v>30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SPARC</t>
        </is>
      </c>
      <c r="E44" s="30" t="inlineStr">
        <is>
          <t>Sun Pharma Advanced Research Company Limited</t>
        </is>
      </c>
      <c r="F44" s="30" t="inlineStr">
        <is>
          <t>Pharma - Others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20</v>
      </c>
      <c r="K44" s="30" t="n">
        <v>28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RRKABEL</t>
        </is>
      </c>
      <c r="E45" s="30" t="inlineStr">
        <is>
          <t>R R Kabel Ltd</t>
        </is>
      </c>
      <c r="F45" s="30" t="inlineStr">
        <is>
          <t>Cables - Power</t>
        </is>
      </c>
      <c r="G45" s="30" t="n">
        <v>2</v>
      </c>
      <c r="H45" s="30" t="inlineStr">
        <is>
          <t>No</t>
        </is>
      </c>
      <c r="I45" s="30" t="inlineStr">
        <is>
          <t>Yes</t>
        </is>
      </c>
      <c r="J45" s="30" t="n">
        <v>18</v>
      </c>
      <c r="K45" s="30" t="n">
        <v>30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UNIPARTS</t>
        </is>
      </c>
      <c r="E46" s="30" t="inlineStr">
        <is>
          <t>Uniparts India Ltd</t>
        </is>
      </c>
      <c r="F46" s="30" t="inlineStr">
        <is>
          <t>Castings, Forgings &amp; Fastners</t>
        </is>
      </c>
      <c r="G46" s="30" t="n">
        <v>2</v>
      </c>
      <c r="H46" s="30" t="inlineStr">
        <is>
          <t>No</t>
        </is>
      </c>
      <c r="I46" s="30" t="inlineStr">
        <is>
          <t>Yes</t>
        </is>
      </c>
      <c r="J46" s="30" t="n">
        <v>23</v>
      </c>
      <c r="K46" s="30" t="n">
        <v>29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WALCHANNAG</t>
        </is>
      </c>
      <c r="E47" s="30" t="inlineStr">
        <is>
          <t>Walchandnagar Industries Limited</t>
        </is>
      </c>
      <c r="F47" s="30" t="inlineStr">
        <is>
          <t>Capital Goods - Engineering Heavy</t>
        </is>
      </c>
      <c r="G47" s="30" t="n">
        <v>2</v>
      </c>
      <c r="H47" s="30" t="inlineStr">
        <is>
          <t>No</t>
        </is>
      </c>
      <c r="I47" s="30" t="inlineStr">
        <is>
          <t>Yes</t>
        </is>
      </c>
      <c r="J47" s="30" t="n">
        <v>18</v>
      </c>
      <c r="K47" s="30" t="n">
        <v>19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KERNEX</t>
        </is>
      </c>
      <c r="E48" s="30" t="inlineStr">
        <is>
          <t>Kernex Microsystems (india) Limited</t>
        </is>
      </c>
      <c r="F48" s="30" t="inlineStr">
        <is>
          <t>Railways - Kavach/Springs</t>
        </is>
      </c>
      <c r="G48" s="30" t="n">
        <v>2</v>
      </c>
      <c r="H48" s="30" t="inlineStr">
        <is>
          <t>No</t>
        </is>
      </c>
      <c r="I48" s="30" t="inlineStr">
        <is>
          <t>Yes</t>
        </is>
      </c>
      <c r="J48" s="30" t="n">
        <v>20</v>
      </c>
      <c r="K48" s="30" t="n">
        <v>26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NRBBEARING</t>
        </is>
      </c>
      <c r="E49" s="30" t="inlineStr">
        <is>
          <t>Nrb Bearing Limited</t>
        </is>
      </c>
      <c r="F49" s="30" t="inlineStr">
        <is>
          <t>Bearings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18</v>
      </c>
      <c r="K49" s="30" t="n">
        <v>30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STLTECH</t>
        </is>
      </c>
      <c r="E50" s="30" t="inlineStr">
        <is>
          <t>Sterlite Technologies Limited</t>
        </is>
      </c>
      <c r="F50" s="30" t="inlineStr">
        <is>
          <t>Cables - Telecom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20</v>
      </c>
      <c r="K50" s="30" t="n">
        <v>30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ABCAPITAL</t>
        </is>
      </c>
      <c r="E51" s="30" t="inlineStr">
        <is>
          <t>Aditya Birla Capital Ltd</t>
        </is>
      </c>
      <c r="F51" s="30" t="inlineStr">
        <is>
          <t>Conglomerate Backed NBFC</t>
        </is>
      </c>
      <c r="G51" s="30" t="n">
        <v>2</v>
      </c>
      <c r="H51" s="30" t="inlineStr">
        <is>
          <t>52W Breakout</t>
        </is>
      </c>
      <c r="I51" s="30" t="inlineStr">
        <is>
          <t>Yes</t>
        </is>
      </c>
      <c r="J51" s="30" t="n">
        <v>9</v>
      </c>
      <c r="K51" s="30" t="n">
        <v>14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SKIPPER</t>
        </is>
      </c>
      <c r="E52" s="30" t="inlineStr">
        <is>
          <t>Skipper Limited</t>
        </is>
      </c>
      <c r="F52" s="30" t="inlineStr">
        <is>
          <t>Electrical Equipments/HVDC</t>
        </is>
      </c>
      <c r="G52" s="30" t="n">
        <v>2</v>
      </c>
      <c r="H52" s="30" t="inlineStr">
        <is>
          <t>No</t>
        </is>
      </c>
      <c r="I52" s="30" t="inlineStr">
        <is>
          <t>Yes</t>
        </is>
      </c>
      <c r="J52" s="30" t="n">
        <v>18</v>
      </c>
      <c r="K52" s="30" t="n">
        <v>23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MMTC</t>
        </is>
      </c>
      <c r="E53" s="30" t="inlineStr">
        <is>
          <t>Mmtc Limited</t>
        </is>
      </c>
      <c r="F53" s="30" t="inlineStr">
        <is>
          <t>Trading</t>
        </is>
      </c>
      <c r="G53" s="30" t="n">
        <v>2</v>
      </c>
      <c r="H53" s="30" t="inlineStr">
        <is>
          <t>No</t>
        </is>
      </c>
      <c r="I53" s="30" t="inlineStr">
        <is>
          <t>Yes</t>
        </is>
      </c>
      <c r="J53" s="30" t="n">
        <v>23</v>
      </c>
      <c r="K53" s="30" t="n">
        <v>7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NAM-INDIA</t>
        </is>
      </c>
      <c r="E54" s="30" t="inlineStr">
        <is>
          <t>Nippon Life India Asset Management Ltd</t>
        </is>
      </c>
      <c r="F54" s="30" t="inlineStr">
        <is>
          <t>Finance - AMC</t>
        </is>
      </c>
      <c r="G54" s="30" t="n">
        <v>2</v>
      </c>
      <c r="H54" s="30" t="inlineStr">
        <is>
          <t>52W Breakout</t>
        </is>
      </c>
      <c r="I54" s="30" t="inlineStr">
        <is>
          <t>Yes</t>
        </is>
      </c>
      <c r="J54" s="30" t="n">
        <v>17</v>
      </c>
      <c r="K54" s="30" t="n">
        <v>24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GRWRHITECH</t>
        </is>
      </c>
      <c r="E55" s="30" t="inlineStr">
        <is>
          <t>Garware Hi Tech Films Ltd</t>
        </is>
      </c>
      <c r="F55" s="30" t="inlineStr">
        <is>
          <t>Packaging - Films</t>
        </is>
      </c>
      <c r="G55" s="30" t="n">
        <v>2</v>
      </c>
      <c r="H55" s="30" t="inlineStr">
        <is>
          <t>52W Breakout</t>
        </is>
      </c>
      <c r="I55" s="30" t="inlineStr">
        <is>
          <t>Yes</t>
        </is>
      </c>
      <c r="J55" s="30" t="n">
        <v>13</v>
      </c>
      <c r="K55" s="30" t="n">
        <v>30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ARVIND</t>
        </is>
      </c>
      <c r="E56" s="30" t="inlineStr">
        <is>
          <t>Arvind Limited</t>
        </is>
      </c>
      <c r="F56" s="30" t="inlineStr">
        <is>
          <t>Textiles</t>
        </is>
      </c>
      <c r="G56" s="30" t="n">
        <v>2</v>
      </c>
      <c r="H56" s="30" t="inlineStr">
        <is>
          <t>52W Breakout</t>
        </is>
      </c>
      <c r="I56" s="30" t="inlineStr">
        <is>
          <t>Yes</t>
        </is>
      </c>
      <c r="J56" s="30" t="n">
        <v>12</v>
      </c>
      <c r="K56" s="30" t="n">
        <v>30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PREMEXPLN</t>
        </is>
      </c>
      <c r="E57" s="30" t="inlineStr">
        <is>
          <t>Premier Explosives Limited</t>
        </is>
      </c>
      <c r="F57" s="30" t="inlineStr">
        <is>
          <t>Industrial Explosives</t>
        </is>
      </c>
      <c r="G57" s="30" t="n">
        <v>2</v>
      </c>
      <c r="H57" s="30" t="inlineStr">
        <is>
          <t>No</t>
        </is>
      </c>
      <c r="I57" s="30" t="inlineStr">
        <is>
          <t>Yes</t>
        </is>
      </c>
      <c r="J57" s="30" t="n">
        <v>19</v>
      </c>
      <c r="K57" s="30" t="n">
        <v>27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SFL</t>
        </is>
      </c>
      <c r="E58" s="30" t="inlineStr">
        <is>
          <t>Sheela Foam Limited</t>
        </is>
      </c>
      <c r="F58" s="30" t="inlineStr">
        <is>
          <t>Mattress</t>
        </is>
      </c>
      <c r="G58" s="30" t="n">
        <v>2</v>
      </c>
      <c r="H58" s="30" t="inlineStr">
        <is>
          <t>No</t>
        </is>
      </c>
      <c r="I58" s="30" t="inlineStr">
        <is>
          <t>Yes</t>
        </is>
      </c>
      <c r="J58" s="30" t="n">
        <v>21</v>
      </c>
      <c r="K58" s="30" t="n">
        <v>19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AURUM</t>
        </is>
      </c>
      <c r="E59" s="30" t="inlineStr">
        <is>
          <t>Aurum Proptech Ltd</t>
        </is>
      </c>
      <c r="F59" s="30" t="inlineStr">
        <is>
          <t>IT Enabled Services</t>
        </is>
      </c>
      <c r="G59" s="30" t="n">
        <v>2</v>
      </c>
      <c r="H59" s="30" t="inlineStr">
        <is>
          <t>No</t>
        </is>
      </c>
      <c r="I59" s="30" t="inlineStr">
        <is>
          <t>Yes</t>
        </is>
      </c>
      <c r="J59" s="30" t="n">
        <v>19</v>
      </c>
      <c r="K59" s="30" t="n">
        <v>11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RPEL</t>
        </is>
      </c>
      <c r="E60" s="30" t="inlineStr">
        <is>
          <t>Raghav Productivity Enhancers Ltd</t>
        </is>
      </c>
      <c r="F60" s="30" t="inlineStr">
        <is>
          <t>Steel Products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23</v>
      </c>
      <c r="K60" s="30" t="n">
        <v>29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JAYBARMARU</t>
        </is>
      </c>
      <c r="E61" s="30" t="inlineStr">
        <is>
          <t>Jay Bharat Maruti Limited</t>
        </is>
      </c>
      <c r="F61" s="30" t="inlineStr">
        <is>
          <t>Auto Ancillaries - Diversified</t>
        </is>
      </c>
      <c r="G61" s="30" t="n">
        <v>2</v>
      </c>
      <c r="H61" s="30" t="inlineStr">
        <is>
          <t>No</t>
        </is>
      </c>
      <c r="I61" s="30" t="inlineStr">
        <is>
          <t>Yes</t>
        </is>
      </c>
      <c r="J61" s="30" t="n">
        <v>24</v>
      </c>
      <c r="K61" s="30" t="n">
        <v>27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HCC</t>
        </is>
      </c>
      <c r="E62" s="30" t="inlineStr">
        <is>
          <t>Hindustan Construction Company Limited</t>
        </is>
      </c>
      <c r="F62" s="30" t="inlineStr">
        <is>
          <t>Infra - Construction &amp; Contracting</t>
        </is>
      </c>
      <c r="G62" s="30" t="n">
        <v>2</v>
      </c>
      <c r="H62" s="30" t="inlineStr">
        <is>
          <t>No</t>
        </is>
      </c>
      <c r="I62" s="30" t="inlineStr">
        <is>
          <t>Yes</t>
        </is>
      </c>
      <c r="J62" s="30" t="n">
        <v>21</v>
      </c>
      <c r="K62" s="30" t="n">
        <v>1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SASKEN</t>
        </is>
      </c>
      <c r="E63" s="30" t="inlineStr">
        <is>
          <t>Sasken Communication Technologies Limited</t>
        </is>
      </c>
      <c r="F63" s="30" t="inlineStr">
        <is>
          <t>IT - Software</t>
        </is>
      </c>
      <c r="G63" s="30" t="n">
        <v>2</v>
      </c>
      <c r="H63" s="30" t="inlineStr">
        <is>
          <t>No</t>
        </is>
      </c>
      <c r="I63" s="30" t="inlineStr">
        <is>
          <t>Yes</t>
        </is>
      </c>
      <c r="J63" s="30" t="n">
        <v>18</v>
      </c>
      <c r="K63" s="30" t="n">
        <v>30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VADILALIND</t>
        </is>
      </c>
      <c r="E64" s="30" t="inlineStr">
        <is>
          <t>Vadilal Industries Limited</t>
        </is>
      </c>
      <c r="F64" s="30" t="inlineStr">
        <is>
          <t>FMCG - Dairy Products</t>
        </is>
      </c>
      <c r="G64" s="30" t="n">
        <v>2</v>
      </c>
      <c r="H64" s="30" t="inlineStr">
        <is>
          <t>No</t>
        </is>
      </c>
      <c r="I64" s="30" t="inlineStr">
        <is>
          <t>Yes</t>
        </is>
      </c>
      <c r="J64" s="30" t="n">
        <v>28</v>
      </c>
      <c r="K64" s="30" t="n">
        <v>17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FCL</t>
        </is>
      </c>
      <c r="E65" s="30" t="inlineStr">
        <is>
          <t>Fineotex Chemical Limited</t>
        </is>
      </c>
      <c r="F65" s="30" t="inlineStr">
        <is>
          <t>Speciality Chemicals</t>
        </is>
      </c>
      <c r="G65" s="30" t="n">
        <v>2</v>
      </c>
      <c r="H65" s="30" t="inlineStr">
        <is>
          <t>No</t>
        </is>
      </c>
      <c r="I65" s="30" t="inlineStr">
        <is>
          <t>Yes</t>
        </is>
      </c>
      <c r="J65" s="30" t="n">
        <v>20</v>
      </c>
      <c r="K65" s="30" t="n">
        <v>29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KMEW</t>
        </is>
      </c>
      <c r="E66" s="30" t="inlineStr">
        <is>
          <t>Knowledge Marine &amp; Engineering Works Ltd</t>
        </is>
      </c>
      <c r="F66" s="30" t="inlineStr">
        <is>
          <t>Shipping</t>
        </is>
      </c>
      <c r="G66" s="30" t="n">
        <v>2</v>
      </c>
      <c r="H66" s="30" t="inlineStr">
        <is>
          <t>No</t>
        </is>
      </c>
      <c r="I66" s="30" t="inlineStr">
        <is>
          <t>Yes</t>
        </is>
      </c>
      <c r="J66" s="30" t="n">
        <v>21</v>
      </c>
      <c r="K66" s="30" t="n">
        <v>11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AEROFLEX</t>
        </is>
      </c>
      <c r="E67" s="30" t="inlineStr">
        <is>
          <t>Aeroflex Industries Ltd</t>
        </is>
      </c>
      <c r="F67" s="30" t="inlineStr">
        <is>
          <t>Stainless Steel</t>
        </is>
      </c>
      <c r="G67" s="30" t="n">
        <v>2</v>
      </c>
      <c r="H67" s="30" t="inlineStr">
        <is>
          <t>No</t>
        </is>
      </c>
      <c r="I67" s="30" t="inlineStr">
        <is>
          <t>Yes</t>
        </is>
      </c>
      <c r="J67" s="30" t="n">
        <v>19</v>
      </c>
      <c r="K67" s="30" t="n">
        <v>29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MINDACORP</t>
        </is>
      </c>
      <c r="E68" s="30" t="inlineStr">
        <is>
          <t>Minda Corporation Limited</t>
        </is>
      </c>
      <c r="F68" s="30" t="inlineStr">
        <is>
          <t>Auto Ancillaries - Diversified</t>
        </is>
      </c>
      <c r="G68" s="30" t="n">
        <v>2</v>
      </c>
      <c r="H68" s="30" t="inlineStr">
        <is>
          <t>No</t>
        </is>
      </c>
      <c r="I68" s="30" t="inlineStr">
        <is>
          <t>Yes</t>
        </is>
      </c>
      <c r="J68" s="30" t="n">
        <v>20</v>
      </c>
      <c r="K68" s="30" t="n">
        <v>25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CRAFTSMAN</t>
        </is>
      </c>
      <c r="E69" s="30" t="inlineStr">
        <is>
          <t>Craftsman Automation Ltd</t>
        </is>
      </c>
      <c r="F69" s="30" t="inlineStr">
        <is>
          <t>Auto &amp; Auto Ancl - CV</t>
        </is>
      </c>
      <c r="G69" s="30" t="n">
        <v>2</v>
      </c>
      <c r="H69" s="30" t="inlineStr">
        <is>
          <t>No</t>
        </is>
      </c>
      <c r="I69" s="30" t="inlineStr">
        <is>
          <t>Yes</t>
        </is>
      </c>
      <c r="J69" s="30" t="n">
        <v>21</v>
      </c>
      <c r="K69" s="30" t="n">
        <v>29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JNKINDIA</t>
        </is>
      </c>
      <c r="E70" s="30" t="inlineStr">
        <is>
          <t>JNK India Ltd</t>
        </is>
      </c>
      <c r="F70" s="30" t="inlineStr">
        <is>
          <t>Capital Goods - Engineering Heavy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31</v>
      </c>
      <c r="K70" s="30" t="n">
        <v>26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AVL</t>
        </is>
      </c>
      <c r="E71" s="30" t="inlineStr">
        <is>
          <t>Aditya Vision Ltd</t>
        </is>
      </c>
      <c r="F71" s="30" t="inlineStr">
        <is>
          <t>Retail - Electronics</t>
        </is>
      </c>
      <c r="G71" s="30" t="n">
        <v>2</v>
      </c>
      <c r="H71" s="30" t="inlineStr">
        <is>
          <t>52W Breakout</t>
        </is>
      </c>
      <c r="I71" s="30" t="inlineStr">
        <is>
          <t>Yes</t>
        </is>
      </c>
      <c r="J71" s="30" t="n">
        <v>15</v>
      </c>
      <c r="K71" s="30" t="n">
        <v>12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POLYCAB</t>
        </is>
      </c>
      <c r="E72" s="30" t="inlineStr">
        <is>
          <t>Polycab India Ltd</t>
        </is>
      </c>
      <c r="F72" s="30" t="inlineStr">
        <is>
          <t>Cables - Power</t>
        </is>
      </c>
      <c r="G72" s="30" t="n">
        <v>2</v>
      </c>
      <c r="H72" s="30" t="inlineStr">
        <is>
          <t>52W Breakout</t>
        </is>
      </c>
      <c r="I72" s="30" t="inlineStr">
        <is>
          <t>Yes</t>
        </is>
      </c>
      <c r="J72" s="30" t="n">
        <v>11</v>
      </c>
      <c r="K72" s="30" t="n">
        <v>30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WABAG</t>
        </is>
      </c>
      <c r="E73" s="30" t="inlineStr">
        <is>
          <t>Va Tech Wabag Limited</t>
        </is>
      </c>
      <c r="F73" s="30" t="inlineStr">
        <is>
          <t>Water Treatment</t>
        </is>
      </c>
      <c r="G73" s="30" t="n">
        <v>2</v>
      </c>
      <c r="H73" s="30" t="inlineStr">
        <is>
          <t>No</t>
        </is>
      </c>
      <c r="I73" s="30" t="inlineStr">
        <is>
          <t>Yes</t>
        </is>
      </c>
      <c r="J73" s="30" t="n">
        <v>20</v>
      </c>
      <c r="K73" s="30" t="n">
        <v>23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DATAPATTNS</t>
        </is>
      </c>
      <c r="E74" s="30" t="inlineStr">
        <is>
          <t>Data Patterns (India) Ltd</t>
        </is>
      </c>
      <c r="F74" s="30" t="inlineStr">
        <is>
          <t>Aerospace &amp; Defence - Equipments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18</v>
      </c>
      <c r="K74" s="30" t="n">
        <v>20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LLOYDSENT</t>
        </is>
      </c>
      <c r="E75" s="30" t="inlineStr">
        <is>
          <t>Lloyds Enterprises Ltd</t>
        </is>
      </c>
      <c r="F75" s="30" t="inlineStr">
        <is>
          <t>Trading</t>
        </is>
      </c>
      <c r="G75" s="30" t="n">
        <v>2</v>
      </c>
      <c r="H75" s="30" t="inlineStr">
        <is>
          <t>No</t>
        </is>
      </c>
      <c r="I75" s="30" t="inlineStr">
        <is>
          <t>Yes</t>
        </is>
      </c>
      <c r="J75" s="30" t="n">
        <v>20</v>
      </c>
      <c r="K75" s="30" t="n">
        <v>1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SETL</t>
        </is>
      </c>
      <c r="E76" s="30" t="inlineStr">
        <is>
          <t>Standard Enginnering Technology Ltd</t>
        </is>
      </c>
      <c r="F76" s="30" t="inlineStr">
        <is>
          <t>Engineering - Heavy - Glass - lined Equipment</t>
        </is>
      </c>
      <c r="G76" s="30" t="n">
        <v>2</v>
      </c>
      <c r="H76" s="30" t="inlineStr">
        <is>
          <t>No</t>
        </is>
      </c>
      <c r="I76" s="30" t="inlineStr">
        <is>
          <t>Yes</t>
        </is>
      </c>
      <c r="J76" s="30" t="n">
        <v>19</v>
      </c>
      <c r="K76" s="30" t="n">
        <v>5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RML</t>
        </is>
      </c>
      <c r="E77" s="30" t="inlineStr">
        <is>
          <t>Rane (madras) Limited</t>
        </is>
      </c>
      <c r="F77" s="30" t="inlineStr">
        <is>
          <t>Auto Ancillaries - Gears</t>
        </is>
      </c>
      <c r="G77" s="30" t="n">
        <v>2</v>
      </c>
      <c r="H77" s="30" t="inlineStr">
        <is>
          <t>No</t>
        </is>
      </c>
      <c r="I77" s="30" t="inlineStr">
        <is>
          <t>Yes</t>
        </is>
      </c>
      <c r="J77" s="30" t="n">
        <v>24</v>
      </c>
      <c r="K77" s="30" t="n">
        <v>28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GALAPREC</t>
        </is>
      </c>
      <c r="E78" s="30" t="inlineStr">
        <is>
          <t>Gala Precision Engineering Ltd</t>
        </is>
      </c>
      <c r="F78" s="30" t="inlineStr">
        <is>
          <t>Castings, Forgings &amp; Fastners</t>
        </is>
      </c>
      <c r="G78" s="30" t="n">
        <v>2</v>
      </c>
      <c r="H78" s="30" t="inlineStr">
        <is>
          <t>No</t>
        </is>
      </c>
      <c r="I78" s="30" t="inlineStr">
        <is>
          <t>Yes</t>
        </is>
      </c>
      <c r="J78" s="30" t="n">
        <v>21</v>
      </c>
      <c r="K78" s="30" t="n">
        <v>28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LLOYDSENGG</t>
        </is>
      </c>
      <c r="E79" s="30" t="inlineStr">
        <is>
          <t>Lloyds Engineering Works Ltd</t>
        </is>
      </c>
      <c r="F79" s="30" t="inlineStr">
        <is>
          <t>Capital Goods - Electrical Equipment</t>
        </is>
      </c>
      <c r="G79" s="30" t="n">
        <v>2</v>
      </c>
      <c r="H79" s="30" t="inlineStr">
        <is>
          <t>No</t>
        </is>
      </c>
      <c r="I79" s="30" t="inlineStr">
        <is>
          <t>Yes</t>
        </is>
      </c>
      <c r="J79" s="30" t="n">
        <v>19</v>
      </c>
      <c r="K79" s="30" t="n">
        <v>28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APOLLO</t>
        </is>
      </c>
      <c r="E80" s="30" t="inlineStr">
        <is>
          <t>Apollo Micro Systems Ltd</t>
        </is>
      </c>
      <c r="F80" s="30" t="inlineStr">
        <is>
          <t>Aerospace &amp; Defence - Equipments</t>
        </is>
      </c>
      <c r="G80" s="30" t="n">
        <v>2</v>
      </c>
      <c r="H80" s="30" t="inlineStr">
        <is>
          <t>No</t>
        </is>
      </c>
      <c r="I80" s="30" t="inlineStr">
        <is>
          <t>Yes</t>
        </is>
      </c>
      <c r="J80" s="30" t="n">
        <v>22</v>
      </c>
      <c r="K80" s="30" t="n">
        <v>29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SOTL</t>
        </is>
      </c>
      <c r="E81" s="30" t="inlineStr">
        <is>
          <t>Savita Oil Technologies Limited</t>
        </is>
      </c>
      <c r="F81" s="30" t="inlineStr">
        <is>
          <t>Petrochem - Others</t>
        </is>
      </c>
      <c r="G81" s="30" t="n">
        <v>2</v>
      </c>
      <c r="H81" s="30" t="inlineStr">
        <is>
          <t>No</t>
        </is>
      </c>
      <c r="I81" s="30" t="inlineStr">
        <is>
          <t>Yes</t>
        </is>
      </c>
      <c r="J81" s="30" t="n">
        <v>21</v>
      </c>
      <c r="K81" s="30" t="n">
        <v>30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TBZ</t>
        </is>
      </c>
      <c r="E82" s="30" t="inlineStr">
        <is>
          <t>Tribhovandas Bhimji Zaveri Limited</t>
        </is>
      </c>
      <c r="F82" s="30" t="inlineStr">
        <is>
          <t>Diamond, Gems &amp; Jewellery</t>
        </is>
      </c>
      <c r="G82" s="30" t="n">
        <v>2</v>
      </c>
      <c r="H82" s="30" t="inlineStr">
        <is>
          <t>No</t>
        </is>
      </c>
      <c r="I82" s="30" t="inlineStr">
        <is>
          <t>Yes</t>
        </is>
      </c>
      <c r="J82" s="30" t="n">
        <v>21</v>
      </c>
      <c r="K82" s="30" t="n">
        <v>9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BHARATFORG</t>
        </is>
      </c>
      <c r="E83" s="30" t="inlineStr">
        <is>
          <t>Bharat Forge Limited</t>
        </is>
      </c>
      <c r="F83" s="30" t="inlineStr">
        <is>
          <t>Castings, Forgings &amp; Fastners</t>
        </is>
      </c>
      <c r="G83" s="30" t="n">
        <v>2</v>
      </c>
      <c r="H83" s="30" t="inlineStr">
        <is>
          <t>52W Breakout</t>
        </is>
      </c>
      <c r="I83" s="30" t="inlineStr">
        <is>
          <t>Yes</t>
        </is>
      </c>
      <c r="J83" s="30" t="n">
        <v>7</v>
      </c>
      <c r="K83" s="30" t="n">
        <v>17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NAVINFLUOR</t>
        </is>
      </c>
      <c r="E84" s="30" t="inlineStr">
        <is>
          <t>Navin Fluorine International Limited</t>
        </is>
      </c>
      <c r="F84" s="30" t="inlineStr">
        <is>
          <t>Chemicals - Flourine</t>
        </is>
      </c>
      <c r="G84" s="30" t="n">
        <v>2</v>
      </c>
      <c r="H84" s="30" t="inlineStr">
        <is>
          <t>52W Breakout</t>
        </is>
      </c>
      <c r="I84" s="30" t="inlineStr">
        <is>
          <t>Yes</t>
        </is>
      </c>
      <c r="J84" s="30" t="n">
        <v>18</v>
      </c>
      <c r="K84" s="30" t="n">
        <v>21</v>
      </c>
    </row>
    <row r="85">
      <c r="A85" s="30">
        <f>IF(B85=0,"",ROW()-1)</f>
        <v/>
      </c>
      <c r="B85" s="31">
        <f>IFERROR(INDEX('Monit Non Financial'!$B$2:$B$400, MATCH(D85, 'Monit Non Financial'!$C$2:$C$400, 0)), IFERROR(INDEX('Monit Banks NBFC'!$B$2:$B$100, MATCH(D85, 'Monit Banks NBFC'!$C$2:$C$100, 0)), 0))</f>
        <v/>
      </c>
      <c r="C85" s="30">
        <f>IFERROR(INDEX('Monit Non Financial'!$L$2:$L$400, MATCH(D85, 'Monit Non Financial'!$C$2:$C$400, 0)), IFERROR(INDEX('Monit Banks NBFC'!$L$2:$L$100, MATCH(D85, 'Monit Banks NBFC'!$C$2:$C$100, 0)), ""))</f>
        <v/>
      </c>
      <c r="D85" s="30" t="inlineStr">
        <is>
          <t>WHEELS</t>
        </is>
      </c>
      <c r="E85" s="30" t="inlineStr">
        <is>
          <t>Wheels India Limited</t>
        </is>
      </c>
      <c r="F85" s="30" t="inlineStr">
        <is>
          <t>Auto Ancillaries - Wheels</t>
        </is>
      </c>
      <c r="G85" s="30" t="n">
        <v>2</v>
      </c>
      <c r="H85" s="30" t="inlineStr">
        <is>
          <t>No</t>
        </is>
      </c>
      <c r="I85" s="30" t="inlineStr">
        <is>
          <t>Yes</t>
        </is>
      </c>
      <c r="J85" s="30" t="n">
        <v>19</v>
      </c>
      <c r="K85" s="30" t="n">
        <v>28</v>
      </c>
    </row>
    <row r="86">
      <c r="A86" s="30">
        <f>IF(B86=0,"",ROW()-1)</f>
        <v/>
      </c>
      <c r="B86" s="31">
        <f>IFERROR(INDEX('Monit Non Financial'!$B$2:$B$400, MATCH(D86, 'Monit Non Financial'!$C$2:$C$400, 0)), IFERROR(INDEX('Monit Banks NBFC'!$B$2:$B$100, MATCH(D86, 'Monit Banks NBFC'!$C$2:$C$100, 0)), 0))</f>
        <v/>
      </c>
      <c r="C86" s="30">
        <f>IFERROR(INDEX('Monit Non Financial'!$L$2:$L$400, MATCH(D86, 'Monit Non Financial'!$C$2:$C$400, 0)), IFERROR(INDEX('Monit Banks NBFC'!$L$2:$L$100, MATCH(D86, 'Monit Banks NBFC'!$C$2:$C$100, 0)), ""))</f>
        <v/>
      </c>
      <c r="D86" s="30" t="inlineStr">
        <is>
          <t>VINCOFE</t>
        </is>
      </c>
      <c r="E86" s="30" t="inlineStr">
        <is>
          <t>Vintage Coffee &amp; Beverages Ltd</t>
        </is>
      </c>
      <c r="F86" s="30" t="inlineStr">
        <is>
          <t>FMCG - Coffee</t>
        </is>
      </c>
      <c r="G86" s="30" t="n">
        <v>2</v>
      </c>
      <c r="H86" s="30" t="inlineStr">
        <is>
          <t>No</t>
        </is>
      </c>
      <c r="I86" s="30" t="inlineStr">
        <is>
          <t>Yes</t>
        </is>
      </c>
      <c r="J86" s="30" t="n">
        <v>21</v>
      </c>
      <c r="K86" s="30" t="n">
        <v>22</v>
      </c>
    </row>
    <row r="87">
      <c r="A87" s="30">
        <f>IF(B87=0,"",ROW()-1)</f>
        <v/>
      </c>
      <c r="B87" s="31">
        <f>IFERROR(INDEX('Monit Non Financial'!$B$2:$B$400, MATCH(D87, 'Monit Non Financial'!$C$2:$C$400, 0)), IFERROR(INDEX('Monit Banks NBFC'!$B$2:$B$100, MATCH(D87, 'Monit Banks NBFC'!$C$2:$C$100, 0)), 0))</f>
        <v/>
      </c>
      <c r="C87" s="30">
        <f>IFERROR(INDEX('Monit Non Financial'!$L$2:$L$400, MATCH(D87, 'Monit Non Financial'!$C$2:$C$400, 0)), IFERROR(INDEX('Monit Banks NBFC'!$L$2:$L$100, MATCH(D87, 'Monit Banks NBFC'!$C$2:$C$100, 0)), ""))</f>
        <v/>
      </c>
      <c r="D87" s="30" t="inlineStr">
        <is>
          <t>PANAMAPET</t>
        </is>
      </c>
      <c r="E87" s="30" t="inlineStr">
        <is>
          <t>Panama Petrochem Limited</t>
        </is>
      </c>
      <c r="F87" s="30" t="inlineStr">
        <is>
          <t>Speciality Chemicals</t>
        </is>
      </c>
      <c r="G87" s="30" t="n">
        <v>2</v>
      </c>
      <c r="H87" s="30" t="inlineStr">
        <is>
          <t>No</t>
        </is>
      </c>
      <c r="I87" s="30" t="inlineStr">
        <is>
          <t>Yes</t>
        </is>
      </c>
      <c r="J87" s="30" t="n">
        <v>24</v>
      </c>
      <c r="K87" s="30" t="n">
        <v>24</v>
      </c>
    </row>
    <row r="88">
      <c r="A88" s="30">
        <f>IF(B88=0,"",ROW()-1)</f>
        <v/>
      </c>
      <c r="B88" s="31">
        <f>IFERROR(INDEX('Monit Non Financial'!$B$2:$B$400, MATCH(D88, 'Monit Non Financial'!$C$2:$C$400, 0)), IFERROR(INDEX('Monit Banks NBFC'!$B$2:$B$100, MATCH(D88, 'Monit Banks NBFC'!$C$2:$C$100, 0)), 0))</f>
        <v/>
      </c>
      <c r="C88" s="30">
        <f>IFERROR(INDEX('Monit Non Financial'!$L$2:$L$400, MATCH(D88, 'Monit Non Financial'!$C$2:$C$400, 0)), IFERROR(INDEX('Monit Banks NBFC'!$L$2:$L$100, MATCH(D88, 'Monit Banks NBFC'!$C$2:$C$100, 0)), ""))</f>
        <v/>
      </c>
      <c r="D88" s="30" t="inlineStr">
        <is>
          <t>AEROENTER</t>
        </is>
      </c>
      <c r="E88" s="30" t="inlineStr">
        <is>
          <t>Aeroflex Enterprises Ltd</t>
        </is>
      </c>
      <c r="F88" s="30" t="inlineStr">
        <is>
          <t>Miscellaneous</t>
        </is>
      </c>
      <c r="G88" s="30" t="n">
        <v>2</v>
      </c>
      <c r="H88" s="30" t="inlineStr">
        <is>
          <t>No</t>
        </is>
      </c>
      <c r="I88" s="30" t="inlineStr">
        <is>
          <t>Yes</t>
        </is>
      </c>
      <c r="J88" s="30" t="n">
        <v>24</v>
      </c>
      <c r="K88" s="30" t="n">
        <v>21</v>
      </c>
    </row>
    <row r="89">
      <c r="A89" s="30">
        <f>IF(B89=0,"",ROW()-1)</f>
        <v/>
      </c>
      <c r="B89" s="31">
        <f>IFERROR(INDEX('Monit Non Financial'!$B$2:$B$400, MATCH(D89, 'Monit Non Financial'!$C$2:$C$400, 0)), IFERROR(INDEX('Monit Banks NBFC'!$B$2:$B$100, MATCH(D89, 'Monit Banks NBFC'!$C$2:$C$100, 0)), 0))</f>
        <v/>
      </c>
      <c r="C89" s="30">
        <f>IFERROR(INDEX('Monit Non Financial'!$L$2:$L$400, MATCH(D89, 'Monit Non Financial'!$C$2:$C$400, 0)), IFERROR(INDEX('Monit Banks NBFC'!$L$2:$L$100, MATCH(D89, 'Monit Banks NBFC'!$C$2:$C$100, 0)), ""))</f>
        <v/>
      </c>
      <c r="D89" s="30" t="inlineStr">
        <is>
          <t>TVSSCS</t>
        </is>
      </c>
      <c r="E89" s="30" t="inlineStr">
        <is>
          <t>TVS Supply Chain Solutions Ltd</t>
        </is>
      </c>
      <c r="F89" s="30" t="inlineStr">
        <is>
          <t>Logistics - Warehousing/Supply Chain</t>
        </is>
      </c>
      <c r="G89" s="30" t="n">
        <v>2</v>
      </c>
      <c r="H89" s="30" t="inlineStr">
        <is>
          <t>No</t>
        </is>
      </c>
      <c r="I89" s="30" t="inlineStr">
        <is>
          <t>Yes</t>
        </is>
      </c>
      <c r="J89" s="30" t="n">
        <v>22</v>
      </c>
      <c r="K89" s="30" t="n">
        <v>18</v>
      </c>
    </row>
    <row r="90">
      <c r="A90" s="30">
        <f>IF(B90=0,"",ROW()-1)</f>
        <v/>
      </c>
      <c r="B90" s="31">
        <f>IFERROR(INDEX('Monit Non Financial'!$B$2:$B$400, MATCH(D90, 'Monit Non Financial'!$C$2:$C$400, 0)), IFERROR(INDEX('Monit Banks NBFC'!$B$2:$B$100, MATCH(D90, 'Monit Banks NBFC'!$C$2:$C$100, 0)), 0))</f>
        <v/>
      </c>
      <c r="C90" s="30">
        <f>IFERROR(INDEX('Monit Non Financial'!$L$2:$L$400, MATCH(D90, 'Monit Non Financial'!$C$2:$C$400, 0)), IFERROR(INDEX('Monit Banks NBFC'!$L$2:$L$100, MATCH(D90, 'Monit Banks NBFC'!$C$2:$C$100, 0)), ""))</f>
        <v/>
      </c>
      <c r="D90" s="30" t="inlineStr">
        <is>
          <t>SBC</t>
        </is>
      </c>
      <c r="E90" s="30" t="inlineStr">
        <is>
          <t>SBC Exports Ltd</t>
        </is>
      </c>
      <c r="F90" s="30" t="inlineStr">
        <is>
          <t>Textiles - Readymade Apparel</t>
        </is>
      </c>
      <c r="G90" s="30" t="n">
        <v>2</v>
      </c>
      <c r="H90" s="30" t="inlineStr">
        <is>
          <t>No</t>
        </is>
      </c>
      <c r="I90" s="30" t="inlineStr">
        <is>
          <t>Yes</t>
        </is>
      </c>
      <c r="J90" s="30" t="n">
        <v>22</v>
      </c>
      <c r="K90" s="30" t="n">
        <v>27</v>
      </c>
    </row>
    <row r="91">
      <c r="A91" s="30">
        <f>IF(B91=0,"",ROW()-1)</f>
        <v/>
      </c>
      <c r="B91" s="31">
        <f>IFERROR(INDEX('Monit Non Financial'!$B$2:$B$400, MATCH(D91, 'Monit Non Financial'!$C$2:$C$400, 0)), IFERROR(INDEX('Monit Banks NBFC'!$B$2:$B$100, MATCH(D91, 'Monit Banks NBFC'!$C$2:$C$100, 0)), 0))</f>
        <v/>
      </c>
      <c r="C91" s="30">
        <f>IFERROR(INDEX('Monit Non Financial'!$L$2:$L$400, MATCH(D91, 'Monit Non Financial'!$C$2:$C$400, 0)), IFERROR(INDEX('Monit Banks NBFC'!$L$2:$L$100, MATCH(D91, 'Monit Banks NBFC'!$C$2:$C$100, 0)), ""))</f>
        <v/>
      </c>
      <c r="D91" s="30" t="inlineStr">
        <is>
          <t>MSTCLTD</t>
        </is>
      </c>
      <c r="E91" s="30" t="inlineStr">
        <is>
          <t>MSTC Ltd</t>
        </is>
      </c>
      <c r="F91" s="30" t="inlineStr">
        <is>
          <t>E-Commerce - Platform - Utility</t>
        </is>
      </c>
      <c r="G91" s="30" t="n">
        <v>2</v>
      </c>
      <c r="H91" s="30" t="inlineStr">
        <is>
          <t>No</t>
        </is>
      </c>
      <c r="I91" s="30" t="inlineStr">
        <is>
          <t>Yes</t>
        </is>
      </c>
      <c r="J91" s="30" t="n">
        <v>20</v>
      </c>
      <c r="K91" s="30" t="n">
        <v>14</v>
      </c>
    </row>
    <row r="92">
      <c r="A92" s="30">
        <f>IF(B92=0,"",ROW()-1)</f>
        <v/>
      </c>
      <c r="B92" s="31">
        <f>IFERROR(INDEX('Monit Non Financial'!$B$2:$B$400, MATCH(D92, 'Monit Non Financial'!$C$2:$C$400, 0)), IFERROR(INDEX('Monit Banks NBFC'!$B$2:$B$100, MATCH(D92, 'Monit Banks NBFC'!$C$2:$C$100, 0)), 0))</f>
        <v/>
      </c>
      <c r="C92" s="30">
        <f>IFERROR(INDEX('Monit Non Financial'!$L$2:$L$400, MATCH(D92, 'Monit Non Financial'!$C$2:$C$400, 0)), IFERROR(INDEX('Monit Banks NBFC'!$L$2:$L$100, MATCH(D92, 'Monit Banks NBFC'!$C$2:$C$100, 0)), ""))</f>
        <v/>
      </c>
      <c r="D92" s="30" t="inlineStr">
        <is>
          <t>ICICIGI</t>
        </is>
      </c>
      <c r="E92" s="30" t="inlineStr">
        <is>
          <t>ICICI Lombard General Insurance Company Ltd</t>
        </is>
      </c>
      <c r="F92" s="30" t="inlineStr">
        <is>
          <t>Finance - Non Life Insurance</t>
        </is>
      </c>
      <c r="G92" s="30" t="n">
        <v>2</v>
      </c>
      <c r="H92" s="30" t="inlineStr">
        <is>
          <t>EMA Crossover</t>
        </is>
      </c>
      <c r="I92" s="30" t="inlineStr">
        <is>
          <t>Yes</t>
        </is>
      </c>
      <c r="J92" s="30" t="n">
        <v>4</v>
      </c>
      <c r="K92" s="30" t="n">
        <v>1</v>
      </c>
    </row>
    <row r="93">
      <c r="A93" s="30">
        <f>IF(B93=0,"",ROW()-1)</f>
        <v/>
      </c>
      <c r="B93" s="31">
        <f>IFERROR(INDEX('Monit Non Financial'!$B$2:$B$400, MATCH(D93, 'Monit Non Financial'!$C$2:$C$400, 0)), IFERROR(INDEX('Monit Banks NBFC'!$B$2:$B$100, MATCH(D93, 'Monit Banks NBFC'!$C$2:$C$100, 0)), 0))</f>
        <v/>
      </c>
      <c r="C93" s="30">
        <f>IFERROR(INDEX('Monit Non Financial'!$L$2:$L$400, MATCH(D93, 'Monit Non Financial'!$C$2:$C$400, 0)), IFERROR(INDEX('Monit Banks NBFC'!$L$2:$L$100, MATCH(D93, 'Monit Banks NBFC'!$C$2:$C$100, 0)), ""))</f>
        <v/>
      </c>
      <c r="D93" s="30" t="inlineStr">
        <is>
          <t>BHARTIARTL</t>
        </is>
      </c>
      <c r="E93" s="30" t="inlineStr">
        <is>
          <t>Bharti Airtel Limited</t>
        </is>
      </c>
      <c r="F93" s="30" t="inlineStr">
        <is>
          <t>Telecom Services</t>
        </is>
      </c>
      <c r="G93" s="30" t="n">
        <v>2</v>
      </c>
      <c r="H93" s="30" t="inlineStr">
        <is>
          <t>EMA Crossover</t>
        </is>
      </c>
      <c r="I93" s="30" t="inlineStr">
        <is>
          <t>Yes</t>
        </is>
      </c>
      <c r="J93" s="30" t="n">
        <v>3</v>
      </c>
      <c r="K93" s="30" t="n">
        <v>3</v>
      </c>
    </row>
    <row r="94">
      <c r="A94" s="30">
        <f>IF(B94=0,"",ROW()-1)</f>
        <v/>
      </c>
      <c r="B94" s="31">
        <f>IFERROR(INDEX('Monit Non Financial'!$B$2:$B$400, MATCH(D94, 'Monit Non Financial'!$C$2:$C$400, 0)), IFERROR(INDEX('Monit Banks NBFC'!$B$2:$B$100, MATCH(D94, 'Monit Banks NBFC'!$C$2:$C$100, 0)), 0))</f>
        <v/>
      </c>
      <c r="C94" s="30">
        <f>IFERROR(INDEX('Monit Non Financial'!$L$2:$L$400, MATCH(D94, 'Monit Non Financial'!$C$2:$C$400, 0)), IFERROR(INDEX('Monit Banks NBFC'!$L$2:$L$100, MATCH(D94, 'Monit Banks NBFC'!$C$2:$C$100, 0)), ""))</f>
        <v/>
      </c>
      <c r="D94" s="30" t="inlineStr">
        <is>
          <t>ANGELONE</t>
        </is>
      </c>
      <c r="E94" s="30" t="inlineStr">
        <is>
          <t>Angel One Ltd</t>
        </is>
      </c>
      <c r="F94" s="30" t="inlineStr">
        <is>
          <t>Finance - Capital Markets - Brokers</t>
        </is>
      </c>
      <c r="G94" s="30" t="n">
        <v>2</v>
      </c>
      <c r="H94" s="30" t="inlineStr">
        <is>
          <t>No</t>
        </is>
      </c>
      <c r="I94" s="30" t="inlineStr">
        <is>
          <t>Yes</t>
        </is>
      </c>
      <c r="J94" s="30" t="n">
        <v>19</v>
      </c>
      <c r="K94" s="30" t="n">
        <v>25</v>
      </c>
    </row>
    <row r="95">
      <c r="A95" s="30">
        <f>IF(B95=0,"",ROW()-1)</f>
        <v/>
      </c>
      <c r="B95" s="31">
        <f>IFERROR(INDEX('Monit Non Financial'!$B$2:$B$400, MATCH(D95, 'Monit Non Financial'!$C$2:$C$400, 0)), IFERROR(INDEX('Monit Banks NBFC'!$B$2:$B$100, MATCH(D95, 'Monit Banks NBFC'!$C$2:$C$100, 0)), 0))</f>
        <v/>
      </c>
      <c r="C95" s="30">
        <f>IFERROR(INDEX('Monit Non Financial'!$L$2:$L$400, MATCH(D95, 'Monit Non Financial'!$C$2:$C$400, 0)), IFERROR(INDEX('Monit Banks NBFC'!$L$2:$L$100, MATCH(D95, 'Monit Banks NBFC'!$C$2:$C$100, 0)), ""))</f>
        <v/>
      </c>
      <c r="D95" s="30" t="inlineStr">
        <is>
          <t>YASHO</t>
        </is>
      </c>
      <c r="E95" s="30" t="inlineStr">
        <is>
          <t>Yasho Industries Ltd</t>
        </is>
      </c>
      <c r="F95" s="30" t="inlineStr">
        <is>
          <t>Speciality Chemicals</t>
        </is>
      </c>
      <c r="G95" s="30" t="n">
        <v>2</v>
      </c>
      <c r="H95" s="30" t="inlineStr">
        <is>
          <t>No</t>
        </is>
      </c>
      <c r="I95" s="30" t="inlineStr">
        <is>
          <t>Yes</t>
        </is>
      </c>
      <c r="J95" s="30" t="n">
        <v>18</v>
      </c>
      <c r="K95" s="30" t="n">
        <v>28</v>
      </c>
    </row>
    <row r="96">
      <c r="A96" s="30">
        <f>IF(B96=0,"",ROW()-1)</f>
        <v/>
      </c>
      <c r="B96" s="31">
        <f>IFERROR(INDEX('Monit Non Financial'!$B$2:$B$400, MATCH(D96, 'Monit Non Financial'!$C$2:$C$400, 0)), IFERROR(INDEX('Monit Banks NBFC'!$B$2:$B$100, MATCH(D96, 'Monit Banks NBFC'!$C$2:$C$100, 0)), 0))</f>
        <v/>
      </c>
      <c r="C96" s="30">
        <f>IFERROR(INDEX('Monit Non Financial'!$L$2:$L$400, MATCH(D96, 'Monit Non Financial'!$C$2:$C$400, 0)), IFERROR(INDEX('Monit Banks NBFC'!$L$2:$L$100, MATCH(D96, 'Monit Banks NBFC'!$C$2:$C$100, 0)), ""))</f>
        <v/>
      </c>
      <c r="D96" s="30" t="inlineStr">
        <is>
          <t>NETWEB</t>
        </is>
      </c>
      <c r="E96" s="30" t="inlineStr">
        <is>
          <t>Netweb Technologies India Ltd</t>
        </is>
      </c>
      <c r="F96" s="30" t="inlineStr">
        <is>
          <t>Data Centre</t>
        </is>
      </c>
      <c r="G96" s="30" t="n">
        <v>2</v>
      </c>
      <c r="H96" s="30" t="inlineStr">
        <is>
          <t>No</t>
        </is>
      </c>
      <c r="I96" s="30" t="inlineStr">
        <is>
          <t>Yes</t>
        </is>
      </c>
      <c r="J96" s="30" t="n">
        <v>21</v>
      </c>
      <c r="K96" s="30" t="n">
        <v>19</v>
      </c>
    </row>
    <row r="97">
      <c r="A97" s="30">
        <f>IF(B97=0,"",ROW()-1)</f>
        <v/>
      </c>
      <c r="B97" s="31">
        <f>IFERROR(INDEX('Monit Non Financial'!$B$2:$B$400, MATCH(D97, 'Monit Non Financial'!$C$2:$C$400, 0)), IFERROR(INDEX('Monit Banks NBFC'!$B$2:$B$100, MATCH(D97, 'Monit Banks NBFC'!$C$2:$C$100, 0)), 0))</f>
        <v/>
      </c>
      <c r="C97" s="30">
        <f>IFERROR(INDEX('Monit Non Financial'!$L$2:$L$400, MATCH(D97, 'Monit Non Financial'!$C$2:$C$400, 0)), IFERROR(INDEX('Monit Banks NBFC'!$L$2:$L$100, MATCH(D97, 'Monit Banks NBFC'!$C$2:$C$100, 0)), ""))</f>
        <v/>
      </c>
      <c r="D97" s="30" t="inlineStr">
        <is>
          <t>DIACABS</t>
        </is>
      </c>
      <c r="E97" s="30" t="inlineStr">
        <is>
          <t>Diamond Power Infrastructure Ltd</t>
        </is>
      </c>
      <c r="F97" s="30" t="inlineStr">
        <is>
          <t>Cables - Power</t>
        </is>
      </c>
      <c r="G97" s="30" t="n">
        <v>2</v>
      </c>
      <c r="H97" s="30" t="inlineStr">
        <is>
          <t>No</t>
        </is>
      </c>
      <c r="I97" s="30" t="inlineStr">
        <is>
          <t>Yes</t>
        </is>
      </c>
      <c r="J97" s="30" t="n">
        <v>22</v>
      </c>
      <c r="K97" s="30" t="n">
        <v>28</v>
      </c>
    </row>
    <row r="98">
      <c r="A98" s="30">
        <f>IF(B98=0,"",ROW()-1)</f>
        <v/>
      </c>
      <c r="B98" s="31">
        <f>IFERROR(INDEX('Monit Non Financial'!$B$2:$B$400, MATCH(D98, 'Monit Non Financial'!$C$2:$C$400, 0)), IFERROR(INDEX('Monit Banks NBFC'!$B$2:$B$100, MATCH(D98, 'Monit Banks NBFC'!$C$2:$C$100, 0)), 0))</f>
        <v/>
      </c>
      <c r="C98" s="30">
        <f>IFERROR(INDEX('Monit Non Financial'!$L$2:$L$400, MATCH(D98, 'Monit Non Financial'!$C$2:$C$400, 0)), IFERROR(INDEX('Monit Banks NBFC'!$L$2:$L$100, MATCH(D98, 'Monit Banks NBFC'!$C$2:$C$100, 0)), ""))</f>
        <v/>
      </c>
      <c r="D98" s="30" t="inlineStr">
        <is>
          <t>OLECTRA</t>
        </is>
      </c>
      <c r="E98" s="30" t="inlineStr">
        <is>
          <t>Olectra Greentech Ltd</t>
        </is>
      </c>
      <c r="F98" s="30" t="inlineStr">
        <is>
          <t>Auto - Bus/LCVs</t>
        </is>
      </c>
      <c r="G98" s="30" t="n">
        <v>2</v>
      </c>
      <c r="H98" s="30" t="inlineStr">
        <is>
          <t>No</t>
        </is>
      </c>
      <c r="I98" s="30" t="inlineStr">
        <is>
          <t>Yes</t>
        </is>
      </c>
      <c r="J98" s="30" t="n">
        <v>20</v>
      </c>
      <c r="K98" s="30" t="n">
        <v>2</v>
      </c>
    </row>
    <row r="99">
      <c r="A99" s="30">
        <f>IF(B99=0,"",ROW()-1)</f>
        <v/>
      </c>
      <c r="B99" s="31">
        <f>IFERROR(INDEX('Monit Non Financial'!$B$2:$B$400, MATCH(D99, 'Monit Non Financial'!$C$2:$C$400, 0)), IFERROR(INDEX('Monit Banks NBFC'!$B$2:$B$100, MATCH(D99, 'Monit Banks NBFC'!$C$2:$C$100, 0)), 0))</f>
        <v/>
      </c>
      <c r="C99" s="30">
        <f>IFERROR(INDEX('Monit Non Financial'!$L$2:$L$400, MATCH(D99, 'Monit Non Financial'!$C$2:$C$400, 0)), IFERROR(INDEX('Monit Banks NBFC'!$L$2:$L$100, MATCH(D99, 'Monit Banks NBFC'!$C$2:$C$100, 0)), ""))</f>
        <v/>
      </c>
      <c r="D99" s="30" t="inlineStr">
        <is>
          <t>MAYURUNIQ</t>
        </is>
      </c>
      <c r="E99" s="30" t="inlineStr">
        <is>
          <t>Mayur Uniquoters Ltd</t>
        </is>
      </c>
      <c r="F99" s="30" t="inlineStr">
        <is>
          <t>Plastics - Plastic &amp; Plastic Products</t>
        </is>
      </c>
      <c r="G99" s="30" t="n">
        <v>2</v>
      </c>
      <c r="H99" s="30" t="inlineStr">
        <is>
          <t>No</t>
        </is>
      </c>
      <c r="I99" s="30" t="inlineStr">
        <is>
          <t>Yes</t>
        </is>
      </c>
      <c r="J99" s="30" t="n">
        <v>18</v>
      </c>
      <c r="K99" s="30" t="n">
        <v>30</v>
      </c>
    </row>
    <row r="100">
      <c r="A100" s="30">
        <f>IF(B100=0,"",ROW()-1)</f>
        <v/>
      </c>
      <c r="B100" s="31">
        <f>IFERROR(INDEX('Monit Non Financial'!$B$2:$B$400, MATCH(D100, 'Monit Non Financial'!$C$2:$C$400, 0)), IFERROR(INDEX('Monit Banks NBFC'!$B$2:$B$100, MATCH(D100, 'Monit Banks NBFC'!$C$2:$C$100, 0)), 0))</f>
        <v/>
      </c>
      <c r="C100" s="30">
        <f>IFERROR(INDEX('Monit Non Financial'!$L$2:$L$400, MATCH(D100, 'Monit Non Financial'!$C$2:$C$400, 0)), IFERROR(INDEX('Monit Banks NBFC'!$L$2:$L$100, MATCH(D100, 'Monit Banks NBFC'!$C$2:$C$100, 0)), ""))</f>
        <v/>
      </c>
      <c r="D100" s="30" t="inlineStr">
        <is>
          <t>CAPLIPOINT</t>
        </is>
      </c>
      <c r="E100" s="30" t="inlineStr">
        <is>
          <t>Caplin Point Laboratories Limited</t>
        </is>
      </c>
      <c r="F100" s="30" t="inlineStr">
        <is>
          <t>Pharma - Formulators</t>
        </is>
      </c>
      <c r="G100" s="30" t="n">
        <v>2</v>
      </c>
      <c r="H100" s="30" t="inlineStr">
        <is>
          <t>No</t>
        </is>
      </c>
      <c r="I100" s="30" t="inlineStr">
        <is>
          <t>Yes</t>
        </is>
      </c>
      <c r="J100" s="30" t="n">
        <v>19</v>
      </c>
      <c r="K100" s="30" t="n">
        <v>30</v>
      </c>
    </row>
    <row r="101">
      <c r="A101" s="30">
        <f>IF(B101=0,"",ROW()-1)</f>
        <v/>
      </c>
      <c r="B101" s="31">
        <f>IFERROR(INDEX('Monit Non Financial'!$B$2:$B$400, MATCH(D101, 'Monit Non Financial'!$C$2:$C$400, 0)), IFERROR(INDEX('Monit Banks NBFC'!$B$2:$B$100, MATCH(D101, 'Monit Banks NBFC'!$C$2:$C$100, 0)), 0))</f>
        <v/>
      </c>
      <c r="C101" s="30">
        <f>IFERROR(INDEX('Monit Non Financial'!$L$2:$L$400, MATCH(D101, 'Monit Non Financial'!$C$2:$C$400, 0)), IFERROR(INDEX('Monit Banks NBFC'!$L$2:$L$100, MATCH(D101, 'Monit Banks NBFC'!$C$2:$C$100, 0)), ""))</f>
        <v/>
      </c>
      <c r="D101" s="30" t="inlineStr">
        <is>
          <t>KIRLPNU</t>
        </is>
      </c>
      <c r="E101" s="30" t="inlineStr">
        <is>
          <t>Kirloskar Pneumatic Company Ltd</t>
        </is>
      </c>
      <c r="F101" s="30" t="inlineStr">
        <is>
          <t>Compressors</t>
        </is>
      </c>
      <c r="G101" s="30" t="n">
        <v>2</v>
      </c>
      <c r="H101" s="30" t="inlineStr">
        <is>
          <t>No</t>
        </is>
      </c>
      <c r="I101" s="30" t="inlineStr">
        <is>
          <t>Yes</t>
        </is>
      </c>
      <c r="J101" s="30" t="n">
        <v>23</v>
      </c>
      <c r="K101" s="30" t="n">
        <v>28</v>
      </c>
    </row>
    <row r="102">
      <c r="A102" s="30">
        <f>IF(B102=0,"",ROW()-1)</f>
        <v/>
      </c>
      <c r="B102" s="31">
        <f>IFERROR(INDEX('Monit Non Financial'!$B$2:$B$400, MATCH(D102, 'Monit Non Financial'!$C$2:$C$400, 0)), IFERROR(INDEX('Monit Banks NBFC'!$B$2:$B$100, MATCH(D102, 'Monit Banks NBFC'!$C$2:$C$100, 0)), 0))</f>
        <v/>
      </c>
      <c r="C102" s="30">
        <f>IFERROR(INDEX('Monit Non Financial'!$L$2:$L$400, MATCH(D102, 'Monit Non Financial'!$C$2:$C$400, 0)), IFERROR(INDEX('Monit Banks NBFC'!$L$2:$L$100, MATCH(D102, 'Monit Banks NBFC'!$C$2:$C$100, 0)), ""))</f>
        <v/>
      </c>
      <c r="D102" s="30" t="inlineStr">
        <is>
          <t>NGLFINE</t>
        </is>
      </c>
      <c r="E102" s="30" t="inlineStr">
        <is>
          <t>NGL Fine Chem Ltd</t>
        </is>
      </c>
      <c r="F102" s="30" t="inlineStr">
        <is>
          <t>Pharma - Animal</t>
        </is>
      </c>
      <c r="G102" s="30" t="n">
        <v>2</v>
      </c>
      <c r="H102" s="30" t="inlineStr">
        <is>
          <t>No</t>
        </is>
      </c>
      <c r="I102" s="30" t="inlineStr">
        <is>
          <t>Yes</t>
        </is>
      </c>
      <c r="J102" s="30" t="n">
        <v>25</v>
      </c>
      <c r="K102" s="30" t="n">
        <v>26</v>
      </c>
    </row>
  </sheetData>
  <autoFilter ref="A1:K102"/>
  <conditionalFormatting sqref="G2:G10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102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42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IF(B2=0,"",RANK(B2,$B$2:$B$427,0))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BLUSPRING</t>
        </is>
      </c>
      <c r="D2" s="30" t="inlineStr">
        <is>
          <t>Bluspring Enterprises Ltd</t>
        </is>
      </c>
      <c r="E2" s="30" t="inlineStr">
        <is>
          <t>miscellaneous</t>
        </is>
      </c>
      <c r="F2" s="30" t="inlineStr">
        <is>
          <t>diversified - large</t>
        </is>
      </c>
      <c r="G2" s="30" t="inlineStr">
        <is>
          <t>smallcap</t>
        </is>
      </c>
      <c r="H2" s="31" t="n">
        <v>1704.43</v>
      </c>
      <c r="I2" s="31" t="n">
        <v>108.39</v>
      </c>
      <c r="J2" s="31" t="n">
        <v>-5.16</v>
      </c>
      <c r="K2" s="31" t="n">
        <v>1077563</v>
      </c>
      <c r="L2" s="30" t="n">
        <v>95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74.2</v>
      </c>
      <c r="P2" s="31" t="n">
        <v>34.45</v>
      </c>
      <c r="Q2" s="31" t="n">
        <v>76.52</v>
      </c>
      <c r="R2" s="30" t="inlineStr">
        <is>
          <t>Volume Spike &amp; Near 52W High Breakout</t>
        </is>
      </c>
      <c r="S2" s="30" t="inlineStr">
        <is>
          <t>Nifty 50</t>
        </is>
      </c>
      <c r="T2" s="31" t="n">
        <v>-4.38</v>
      </c>
      <c r="U2" s="31" t="n">
        <v>50.96</v>
      </c>
      <c r="V2" s="31" t="n">
        <v>57.87</v>
      </c>
      <c r="W2" s="31" t="n">
        <v>48.06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20 to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Between 50% to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IF(B3=0,"",RANK(B3,$B$2:$B$427,0))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SAKAR</t>
        </is>
      </c>
      <c r="D3" s="30" t="inlineStr">
        <is>
          <t>Sakar Healthcare Ltd</t>
        </is>
      </c>
      <c r="E3" s="30" t="inlineStr">
        <is>
          <t>healthcare</t>
        </is>
      </c>
      <c r="F3" s="30" t="inlineStr">
        <is>
          <t>pharmaceuticals - indian - bulk drugs &amp; formln</t>
        </is>
      </c>
      <c r="G3" s="30" t="inlineStr">
        <is>
          <t>smallcap</t>
        </is>
      </c>
      <c r="H3" s="31" t="n">
        <v>1770.87</v>
      </c>
      <c r="I3" s="31" t="n">
        <v>803.6</v>
      </c>
      <c r="J3" s="31" t="n">
        <v>0.97</v>
      </c>
      <c r="K3" s="31" t="n">
        <v>53400</v>
      </c>
      <c r="L3" s="30" t="n">
        <v>86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73.33</v>
      </c>
      <c r="P3" s="31" t="n">
        <v>53.87</v>
      </c>
      <c r="Q3" s="31" t="n">
        <v>576.11</v>
      </c>
      <c r="R3" s="30" t="inlineStr">
        <is>
          <t>Near 52W High Breakout</t>
        </is>
      </c>
      <c r="S3" s="30" t="inlineStr">
        <is>
          <t>Nifty Pharma</t>
        </is>
      </c>
      <c r="T3" s="31" t="n">
        <v>13.17</v>
      </c>
      <c r="U3" s="31" t="n">
        <v>130.09</v>
      </c>
      <c r="V3" s="31" t="n">
        <v>103.31</v>
      </c>
      <c r="W3" s="31" t="n">
        <v>29.94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Annuity, Lower One Time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Yes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IF(B4=0,"",RANK(B4,$B$2:$B$427,0))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BAJAJCON</t>
        </is>
      </c>
      <c r="D4" s="30" t="inlineStr">
        <is>
          <t>Bajaj Consumer Care Ltd</t>
        </is>
      </c>
      <c r="E4" s="30" t="inlineStr">
        <is>
          <t>fmcg</t>
        </is>
      </c>
      <c r="F4" s="30" t="inlineStr">
        <is>
          <t>personal care - indian</t>
        </is>
      </c>
      <c r="G4" s="30" t="inlineStr">
        <is>
          <t>midcap</t>
        </is>
      </c>
      <c r="H4" s="31" t="n">
        <v>8104.87</v>
      </c>
      <c r="I4" s="31" t="n">
        <v>625.25</v>
      </c>
      <c r="J4" s="31" t="n">
        <v>0.77</v>
      </c>
      <c r="K4" s="31" t="n">
        <v>456196</v>
      </c>
      <c r="L4" s="30" t="n">
        <v>95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79.55</v>
      </c>
      <c r="P4" s="31" t="n">
        <v>56.1</v>
      </c>
      <c r="Q4" s="31" t="n">
        <v>492.9</v>
      </c>
      <c r="R4" s="30" t="inlineStr">
        <is>
          <t>Near 52W High Breakout</t>
        </is>
      </c>
      <c r="S4" s="30" t="inlineStr">
        <is>
          <t>Nifty FMCG</t>
        </is>
      </c>
      <c r="T4" s="31" t="n">
        <v>-9.279999999999999</v>
      </c>
      <c r="U4" s="31" t="n">
        <v>269.42</v>
      </c>
      <c r="V4" s="31" t="n">
        <v>307.23</v>
      </c>
      <c r="W4" s="31" t="n">
        <v>47.22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B2C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Annuity, Lower One Time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Yes</t>
        </is>
      </c>
      <c r="BS4" s="30">
        <f>IF(BR4="NO",5,0)</f>
        <v/>
      </c>
      <c r="BT4" s="30" t="inlineStr">
        <is>
          <t>Above 2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IF(B5=0,"",RANK(B5,$B$2:$B$427,0))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RPTECH</t>
        </is>
      </c>
      <c r="D5" s="30" t="inlineStr">
        <is>
          <t>Rashi Peripherals Ltd</t>
        </is>
      </c>
      <c r="E5" s="30" t="inlineStr">
        <is>
          <t>services</t>
        </is>
      </c>
      <c r="F5" s="30" t="inlineStr">
        <is>
          <t>trading</t>
        </is>
      </c>
      <c r="G5" s="30" t="inlineStr">
        <is>
          <t>smallcap</t>
        </is>
      </c>
      <c r="H5" s="31" t="n">
        <v>4810.68</v>
      </c>
      <c r="I5" s="31" t="n">
        <v>750.65</v>
      </c>
      <c r="J5" s="31" t="n">
        <v>2.83</v>
      </c>
      <c r="K5" s="31" t="n">
        <v>4217460</v>
      </c>
      <c r="L5" s="30" t="n">
        <v>96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88.43000000000001</v>
      </c>
      <c r="P5" s="31" t="n">
        <v>53.89</v>
      </c>
      <c r="Q5" s="31" t="n">
        <v>587.2</v>
      </c>
      <c r="R5" s="30" t="inlineStr">
        <is>
          <t>Volume Spike &amp; Near 52W High Breakout</t>
        </is>
      </c>
      <c r="S5" s="30" t="inlineStr">
        <is>
          <t>Nifty 50</t>
        </is>
      </c>
      <c r="T5" s="31" t="n">
        <v>-4.38</v>
      </c>
      <c r="U5" s="31" t="n">
        <v>155.29</v>
      </c>
      <c r="V5" s="31" t="n">
        <v>166.98</v>
      </c>
      <c r="W5" s="31" t="n">
        <v>50.88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Less than 50%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IF(B6=0,"",RANK(B6,$B$2:$B$427,0))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STYLAMIND</t>
        </is>
      </c>
      <c r="D6" s="30" t="inlineStr">
        <is>
          <t>Stylam Industries Ltd</t>
        </is>
      </c>
      <c r="E6" s="30" t="inlineStr">
        <is>
          <t>building materials</t>
        </is>
      </c>
      <c r="F6" s="30" t="inlineStr">
        <is>
          <t>miscellaneous</t>
        </is>
      </c>
      <c r="G6" s="30" t="inlineStr">
        <is>
          <t>midcap</t>
        </is>
      </c>
      <c r="H6" s="31" t="n">
        <v>5614.72</v>
      </c>
      <c r="I6" s="31" t="n">
        <v>3327.8</v>
      </c>
      <c r="J6" s="31" t="n">
        <v>0.45</v>
      </c>
      <c r="K6" s="31" t="n">
        <v>25216</v>
      </c>
      <c r="L6" s="30" t="n">
        <v>83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91.55</v>
      </c>
      <c r="P6" s="31" t="n">
        <v>59.62</v>
      </c>
      <c r="Q6" s="31" t="n">
        <v>2846.23</v>
      </c>
      <c r="R6" s="30" t="inlineStr">
        <is>
          <t>Near 52W High Breakout</t>
        </is>
      </c>
      <c r="S6" s="30" t="inlineStr">
        <is>
          <t>Nifty Infra</t>
        </is>
      </c>
      <c r="T6" s="31" t="n">
        <v>4.18</v>
      </c>
      <c r="U6" s="31" t="n">
        <v>102.16</v>
      </c>
      <c r="V6" s="31" t="n">
        <v>94.06</v>
      </c>
      <c r="W6" s="31" t="n">
        <v>26.84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Above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IF(B7=0,"",RANK(B7,$B$2:$B$427,0))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RADICO</t>
        </is>
      </c>
      <c r="D7" s="30" t="inlineStr">
        <is>
          <t>Radico Khaitan Limited</t>
        </is>
      </c>
      <c r="E7" s="30" t="inlineStr">
        <is>
          <t>fmcg</t>
        </is>
      </c>
      <c r="F7" s="30" t="inlineStr">
        <is>
          <t>breweries &amp; distilleries</t>
        </is>
      </c>
      <c r="G7" s="30" t="inlineStr">
        <is>
          <t>largecap</t>
        </is>
      </c>
      <c r="H7" s="31" t="n">
        <v>49408.34</v>
      </c>
      <c r="I7" s="31" t="n">
        <v>3769.2</v>
      </c>
      <c r="J7" s="31" t="n">
        <v>2.15</v>
      </c>
      <c r="K7" s="31" t="n">
        <v>746962</v>
      </c>
      <c r="L7" s="30" t="n">
        <v>64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73.90000000000001</v>
      </c>
      <c r="P7" s="31" t="n">
        <v>36.19</v>
      </c>
      <c r="Q7" s="31" t="n">
        <v>3105.49</v>
      </c>
      <c r="R7" s="30" t="inlineStr">
        <is>
          <t>Near 52W High Breakout</t>
        </is>
      </c>
      <c r="S7" s="30" t="inlineStr">
        <is>
          <t>Nifty FMCG</t>
        </is>
      </c>
      <c r="T7" s="31" t="n">
        <v>-9.279999999999999</v>
      </c>
      <c r="U7" s="31" t="n">
        <v>43.37</v>
      </c>
      <c r="V7" s="31" t="n">
        <v>58.04</v>
      </c>
      <c r="W7" s="31" t="n">
        <v>17.48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B2C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Annuity, Lower One Time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20 to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Yes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IF(B8=0,"",RANK(B8,$B$2:$B$427,0))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IOLCP</t>
        </is>
      </c>
      <c r="D8" s="30" t="inlineStr">
        <is>
          <t>Iol Chemicals And Pharmaceuticals Limited</t>
        </is>
      </c>
      <c r="E8" s="30" t="inlineStr">
        <is>
          <t>healthcare</t>
        </is>
      </c>
      <c r="F8" s="30" t="inlineStr">
        <is>
          <t>pharmaceuticals - indian - bulk drugs &amp; formln</t>
        </is>
      </c>
      <c r="G8" s="30" t="inlineStr">
        <is>
          <t>smallcap</t>
        </is>
      </c>
      <c r="H8" s="31" t="n">
        <v>3765.96</v>
      </c>
      <c r="I8" s="31" t="n">
        <v>130.21</v>
      </c>
      <c r="J8" s="31" t="n">
        <v>1.49</v>
      </c>
      <c r="K8" s="31" t="n">
        <v>1066231</v>
      </c>
      <c r="L8" s="30" t="n">
        <v>86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76</v>
      </c>
      <c r="P8" s="31" t="n">
        <v>44.83</v>
      </c>
      <c r="Q8" s="31" t="n">
        <v>100.18</v>
      </c>
      <c r="R8" s="30" t="inlineStr">
        <is>
          <t>Near 52W High Breakout</t>
        </is>
      </c>
      <c r="S8" s="30" t="inlineStr">
        <is>
          <t>Nifty Pharma</t>
        </is>
      </c>
      <c r="T8" s="31" t="n">
        <v>13.17</v>
      </c>
      <c r="U8" s="31" t="n">
        <v>52.96</v>
      </c>
      <c r="V8" s="31" t="n">
        <v>35.16</v>
      </c>
      <c r="W8" s="31" t="n">
        <v>29.88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Annuity, Lower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Above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IF(B9=0,"",RANK(B9,$B$2:$B$427,0))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EMCURE</t>
        </is>
      </c>
      <c r="D9" s="30" t="inlineStr">
        <is>
          <t>Emcure Pharmaceuticals Ltd</t>
        </is>
      </c>
      <c r="E9" s="30" t="inlineStr">
        <is>
          <t>healthcare</t>
        </is>
      </c>
      <c r="F9" s="30" t="inlineStr">
        <is>
          <t>pharmaceuticals - indian - bulk drugs &amp; formln</t>
        </is>
      </c>
      <c r="G9" s="30" t="inlineStr">
        <is>
          <t>largecap</t>
        </is>
      </c>
      <c r="H9" s="31" t="n">
        <v>33238.84</v>
      </c>
      <c r="I9" s="31" t="n">
        <v>1776</v>
      </c>
      <c r="J9" s="31" t="n">
        <v>1.3</v>
      </c>
      <c r="K9" s="31" t="n">
        <v>86127</v>
      </c>
      <c r="L9" s="30" t="n">
        <v>41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65.84</v>
      </c>
      <c r="P9" s="31" t="n">
        <v>47.27</v>
      </c>
      <c r="Q9" s="31" t="n">
        <v>1391.21</v>
      </c>
      <c r="R9" s="30" t="inlineStr">
        <is>
          <t>Near 52W High Breakout</t>
        </is>
      </c>
      <c r="S9" s="30" t="inlineStr">
        <is>
          <t>Nifty Pharma</t>
        </is>
      </c>
      <c r="T9" s="31" t="n">
        <v>13.17</v>
      </c>
      <c r="U9" s="31" t="n">
        <v>35.6</v>
      </c>
      <c r="V9" s="31" t="n">
        <v>19.82</v>
      </c>
      <c r="W9" s="31" t="n">
        <v>10.54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Between 50% to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IF(B10=0,"",RANK(B10,$B$2:$B$427,0))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VENUSREM</t>
        </is>
      </c>
      <c r="D10" s="30" t="inlineStr">
        <is>
          <t>Venus Remedies Limited</t>
        </is>
      </c>
      <c r="E10" s="30" t="inlineStr">
        <is>
          <t>healthcare</t>
        </is>
      </c>
      <c r="F10" s="30" t="inlineStr">
        <is>
          <t>pharmaceuticals - indian - formulations</t>
        </is>
      </c>
      <c r="G10" s="30" t="inlineStr">
        <is>
          <t>smallcap</t>
        </is>
      </c>
      <c r="H10" s="31" t="n">
        <v>2324.65</v>
      </c>
      <c r="I10" s="31" t="n">
        <v>1739.1</v>
      </c>
      <c r="J10" s="31" t="n">
        <v>0</v>
      </c>
      <c r="K10" s="31" t="n">
        <v>44027</v>
      </c>
      <c r="L10" s="30" t="n">
        <v>96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79.03</v>
      </c>
      <c r="P10" s="31" t="n">
        <v>52.86</v>
      </c>
      <c r="Q10" s="31" t="n">
        <v>1352.57</v>
      </c>
      <c r="R10" s="30" t="inlineStr">
        <is>
          <t>Near 52W High Breakout</t>
        </is>
      </c>
      <c r="S10" s="30" t="inlineStr">
        <is>
          <t>Nifty Pharma</t>
        </is>
      </c>
      <c r="T10" s="31" t="n">
        <v>13.17</v>
      </c>
      <c r="U10" s="31" t="n">
        <v>301.32</v>
      </c>
      <c r="V10" s="31" t="n">
        <v>254.6</v>
      </c>
      <c r="W10" s="31" t="n">
        <v>58.23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Annuity, Lower One Time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Above 2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IF(B11=0,"",RANK(B11,$B$2:$B$427,0))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SCPL</t>
        </is>
      </c>
      <c r="D11" s="30" t="inlineStr">
        <is>
          <t>Sheetal Cool Products Ltd</t>
        </is>
      </c>
      <c r="E11" s="30" t="inlineStr">
        <is>
          <t>fmcg</t>
        </is>
      </c>
      <c r="F11" s="30" t="inlineStr">
        <is>
          <t>food - processing - indian</t>
        </is>
      </c>
      <c r="G11" s="30" t="inlineStr">
        <is>
          <t>smallcap</t>
        </is>
      </c>
      <c r="H11" s="31" t="n">
        <v>514.29</v>
      </c>
      <c r="I11" s="31" t="n">
        <v>482.85</v>
      </c>
      <c r="J11" s="31" t="n">
        <v>-1.42</v>
      </c>
      <c r="K11" s="31" t="n">
        <v>6914</v>
      </c>
      <c r="L11" s="30" t="n">
        <v>78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71.62</v>
      </c>
      <c r="P11" s="31" t="n">
        <v>31.41</v>
      </c>
      <c r="Q11" s="31" t="n">
        <v>351.73</v>
      </c>
      <c r="R11" s="30" t="inlineStr">
        <is>
          <t>Volume Spike &amp; Near 52W High Breakout</t>
        </is>
      </c>
      <c r="S11" s="30" t="inlineStr">
        <is>
          <t>Nifty FMCG</t>
        </is>
      </c>
      <c r="T11" s="31" t="n">
        <v>-9.279999999999999</v>
      </c>
      <c r="U11" s="31" t="n">
        <v>54.86</v>
      </c>
      <c r="V11" s="31" t="n">
        <v>70.70999999999999</v>
      </c>
      <c r="W11" s="31" t="n">
        <v>24.06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B2C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Annuity, Lower One Time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20 to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Close to 52 week high or retracement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IF(B12=0,"",RANK(B12,$B$2:$B$427,0))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IBULLSLTD</t>
        </is>
      </c>
      <c r="D12" s="30" t="inlineStr">
        <is>
          <t>Indiabulls Limited</t>
        </is>
      </c>
      <c r="E12" s="30" t="inlineStr">
        <is>
          <t>miscellaneous</t>
        </is>
      </c>
      <c r="F12" s="30" t="inlineStr">
        <is>
          <t>diversified - medium / small</t>
        </is>
      </c>
      <c r="G12" s="30" t="inlineStr">
        <is>
          <t>midcap</t>
        </is>
      </c>
      <c r="H12" s="31" t="n">
        <v>5869.06</v>
      </c>
      <c r="I12" s="31" t="n">
        <v>26.51</v>
      </c>
      <c r="J12" s="31" t="n">
        <v>4.99</v>
      </c>
      <c r="K12" s="31" t="n">
        <v>7814526</v>
      </c>
      <c r="L12" s="30" t="n">
        <v>96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76.61</v>
      </c>
      <c r="P12" s="31" t="n">
        <v>36.42</v>
      </c>
      <c r="Q12" s="31" t="n">
        <v>19.06</v>
      </c>
      <c r="R12" s="30" t="inlineStr">
        <is>
          <t>Near 52W High Breakout</t>
        </is>
      </c>
      <c r="S12" s="30" t="inlineStr">
        <is>
          <t>Nifty 50</t>
        </is>
      </c>
      <c r="T12" s="31" t="n">
        <v>-4.38</v>
      </c>
      <c r="U12" s="31" t="n">
        <v>51.05</v>
      </c>
      <c r="V12" s="31" t="n">
        <v>57.97</v>
      </c>
      <c r="W12" s="31" t="n">
        <v>57.75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20 to 40</t>
        </is>
      </c>
      <c r="AY12" s="30">
        <f>IF(AX12="Above 40",20,IF(AX12="20 to 40",10,IF(AX12="0 to 20",-5,0)))</f>
        <v/>
      </c>
      <c r="AZ12" s="30" t="inlineStr">
        <is>
          <t>Above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Between 50% to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IF(B13=0,"",RANK(B13,$B$2:$B$427,0))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CONFIPET</t>
        </is>
      </c>
      <c r="D13" s="30" t="inlineStr">
        <is>
          <t>Confidence Petroleum India Ltd</t>
        </is>
      </c>
      <c r="E13" s="30" t="inlineStr">
        <is>
          <t>miscellaneous</t>
        </is>
      </c>
      <c r="F13" s="30" t="inlineStr">
        <is>
          <t>miscellaneous</t>
        </is>
      </c>
      <c r="G13" s="30" t="inlineStr">
        <is>
          <t>smallcap</t>
        </is>
      </c>
      <c r="H13" s="31" t="n">
        <v>2255.58</v>
      </c>
      <c r="I13" s="31" t="n">
        <v>70.44</v>
      </c>
      <c r="J13" s="31" t="n">
        <v>3.76</v>
      </c>
      <c r="K13" s="31" t="n">
        <v>4124933</v>
      </c>
      <c r="L13" s="30" t="n">
        <v>86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68.68000000000001</v>
      </c>
      <c r="P13" s="31" t="n">
        <v>52.01</v>
      </c>
      <c r="Q13" s="31" t="n">
        <v>52.69</v>
      </c>
      <c r="R13" s="30" t="inlineStr">
        <is>
          <t>Earnings / Momentum Support</t>
        </is>
      </c>
      <c r="S13" s="30" t="inlineStr">
        <is>
          <t>Nifty Energy</t>
        </is>
      </c>
      <c r="T13" s="31" t="n">
        <v>13.9</v>
      </c>
      <c r="U13" s="31" t="n">
        <v>24.87</v>
      </c>
      <c r="V13" s="31" t="n">
        <v>9.630000000000001</v>
      </c>
      <c r="W13" s="31" t="n">
        <v>30.09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No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Close to 52 week high or retracement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IF(B14=0,"",RANK(B14,$B$2:$B$427,0))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PREMIERPOL</t>
        </is>
      </c>
      <c r="D14" s="30" t="inlineStr">
        <is>
          <t>Premier Polyfilm Limited</t>
        </is>
      </c>
      <c r="E14" s="30" t="inlineStr">
        <is>
          <t>plastic products</t>
        </is>
      </c>
      <c r="F14" s="30" t="inlineStr">
        <is>
          <t>plastics products</t>
        </is>
      </c>
      <c r="G14" s="30" t="inlineStr">
        <is>
          <t>smallcap</t>
        </is>
      </c>
      <c r="H14" s="31" t="n">
        <v>640.1900000000001</v>
      </c>
      <c r="I14" s="31" t="n">
        <v>63.33</v>
      </c>
      <c r="J14" s="31" t="n">
        <v>3.62</v>
      </c>
      <c r="K14" s="31" t="n">
        <v>137231</v>
      </c>
      <c r="L14" s="30" t="n">
        <v>27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62.4</v>
      </c>
      <c r="P14" s="31" t="n">
        <v>44.23</v>
      </c>
      <c r="Q14" s="31" t="n">
        <v>43.98</v>
      </c>
      <c r="R14" s="30" t="inlineStr">
        <is>
          <t>Volume Spike &amp; Near 52W High Breakout</t>
        </is>
      </c>
      <c r="S14" s="30" t="inlineStr">
        <is>
          <t>Nifty 50</t>
        </is>
      </c>
      <c r="T14" s="31" t="n">
        <v>-4.38</v>
      </c>
      <c r="U14" s="31" t="n">
        <v>24.62</v>
      </c>
      <c r="V14" s="31" t="n">
        <v>30.32</v>
      </c>
      <c r="W14" s="31" t="n">
        <v>7.66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Close to 52 week high or retracement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Between 50% to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IF(B15=0,"",RANK(B15,$B$2:$B$427,0))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PGIL</t>
        </is>
      </c>
      <c r="D15" s="30" t="inlineStr">
        <is>
          <t>Pearl Global Industries Limited</t>
        </is>
      </c>
      <c r="E15" s="30" t="inlineStr">
        <is>
          <t>consumer discretionary</t>
        </is>
      </c>
      <c r="F15" s="30" t="inlineStr">
        <is>
          <t>textiles - products</t>
        </is>
      </c>
      <c r="G15" s="30" t="inlineStr">
        <is>
          <t>midcap</t>
        </is>
      </c>
      <c r="H15" s="31" t="n">
        <v>8045.56</v>
      </c>
      <c r="I15" s="31" t="n">
        <v>1793.5</v>
      </c>
      <c r="J15" s="31" t="n">
        <v>2.87</v>
      </c>
      <c r="K15" s="31" t="n">
        <v>191093</v>
      </c>
      <c r="L15" s="30" t="n">
        <v>35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61.59</v>
      </c>
      <c r="P15" s="31" t="n">
        <v>32.2</v>
      </c>
      <c r="Q15" s="31" t="n">
        <v>1320.72</v>
      </c>
      <c r="R15" s="30" t="inlineStr">
        <is>
          <t>Near 52W High Breakout</t>
        </is>
      </c>
      <c r="S15" s="30" t="inlineStr">
        <is>
          <t>Nifty 50</t>
        </is>
      </c>
      <c r="T15" s="31" t="n">
        <v>-4.38</v>
      </c>
      <c r="U15" s="31" t="n">
        <v>21.52</v>
      </c>
      <c r="V15" s="31" t="n">
        <v>27.08</v>
      </c>
      <c r="W15" s="31" t="n">
        <v>9.01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20 to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IF(B16=0,"",RANK(B16,$B$2:$B$427,0))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INDOBORAX</t>
        </is>
      </c>
      <c r="D16" s="30" t="inlineStr">
        <is>
          <t>Indo Borax &amp; Chemicals Ltd</t>
        </is>
      </c>
      <c r="E16" s="30" t="inlineStr">
        <is>
          <t>chemicals</t>
        </is>
      </c>
      <c r="F16" s="30" t="inlineStr">
        <is>
          <t>chemicals</t>
        </is>
      </c>
      <c r="G16" s="30" t="inlineStr">
        <is>
          <t>smallcap</t>
        </is>
      </c>
      <c r="H16" s="31" t="n">
        <v>1154.92</v>
      </c>
      <c r="I16" s="31" t="n">
        <v>364.1</v>
      </c>
      <c r="J16" s="31" t="n">
        <v>1.17</v>
      </c>
      <c r="K16" s="31" t="n">
        <v>26870</v>
      </c>
      <c r="L16" s="30" t="n">
        <v>79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77.48999999999999</v>
      </c>
      <c r="P16" s="31" t="n">
        <v>52.58</v>
      </c>
      <c r="Q16" s="31" t="n">
        <v>294.71</v>
      </c>
      <c r="R16" s="30" t="inlineStr">
        <is>
          <t>Near 52W High Breakout</t>
        </is>
      </c>
      <c r="S16" s="30" t="inlineStr">
        <is>
          <t>Nifty 50</t>
        </is>
      </c>
      <c r="T16" s="31" t="n">
        <v>-4.38</v>
      </c>
      <c r="U16" s="31" t="n">
        <v>82.31999999999999</v>
      </c>
      <c r="V16" s="31" t="n">
        <v>90.67</v>
      </c>
      <c r="W16" s="31" t="n">
        <v>24.3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IF(B17=0,"",RANK(B17,$B$2:$B$427,0))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MTARTECH</t>
        </is>
      </c>
      <c r="D17" s="30" t="inlineStr">
        <is>
          <t>MTAR Technologies Ltd</t>
        </is>
      </c>
      <c r="E17" s="30" t="inlineStr">
        <is>
          <t>aerospace &amp; defence</t>
        </is>
      </c>
      <c r="F17" s="30" t="inlineStr">
        <is>
          <t>engineering</t>
        </is>
      </c>
      <c r="G17" s="30" t="inlineStr">
        <is>
          <t>largecap</t>
        </is>
      </c>
      <c r="H17" s="31" t="n">
        <v>25547.38</v>
      </c>
      <c r="I17" s="31" t="n">
        <v>8374.5</v>
      </c>
      <c r="J17" s="31" t="n">
        <v>0.83</v>
      </c>
      <c r="K17" s="31" t="n">
        <v>2734902</v>
      </c>
      <c r="L17" s="30" t="n">
        <v>98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80.7</v>
      </c>
      <c r="P17" s="31" t="n">
        <v>63.69</v>
      </c>
      <c r="Q17" s="31" t="n">
        <v>5890.13</v>
      </c>
      <c r="R17" s="30" t="inlineStr">
        <is>
          <t>Volume Spike &amp; Near 52W High Breakout</t>
        </is>
      </c>
      <c r="S17" s="30" t="inlineStr">
        <is>
          <t>Nifty 50</t>
        </is>
      </c>
      <c r="T17" s="31" t="n">
        <v>-4.38</v>
      </c>
      <c r="U17" s="31" t="n">
        <v>387.83</v>
      </c>
      <c r="V17" s="31" t="n">
        <v>410.16</v>
      </c>
      <c r="W17" s="31" t="n">
        <v>72.13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Above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Yes</t>
        </is>
      </c>
      <c r="BS17" s="30">
        <f>IF(BR17="NO",5,0)</f>
        <v/>
      </c>
      <c r="BT17" s="30" t="inlineStr">
        <is>
          <t>Above 2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IF(B18=0,"",RANK(B18,$B$2:$B$427,0))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THANGAMAYL</t>
        </is>
      </c>
      <c r="D18" s="30" t="inlineStr">
        <is>
          <t>Thangamayil Jewellery Limited</t>
        </is>
      </c>
      <c r="E18" s="30" t="inlineStr">
        <is>
          <t>consumer discretionary</t>
        </is>
      </c>
      <c r="F18" s="30" t="inlineStr">
        <is>
          <t>diamond cutting / jewellery</t>
        </is>
      </c>
      <c r="G18" s="30" t="inlineStr">
        <is>
          <t>midcap</t>
        </is>
      </c>
      <c r="H18" s="31" t="n">
        <v>16895.25</v>
      </c>
      <c r="I18" s="31" t="n">
        <v>5454.6</v>
      </c>
      <c r="J18" s="31" t="n">
        <v>0.35</v>
      </c>
      <c r="K18" s="31" t="n">
        <v>58334</v>
      </c>
      <c r="L18" s="30" t="n">
        <v>93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70.75</v>
      </c>
      <c r="P18" s="31" t="n">
        <v>40.06</v>
      </c>
      <c r="Q18" s="31" t="n">
        <v>3980.52</v>
      </c>
      <c r="R18" s="30" t="inlineStr">
        <is>
          <t>Near 52W High Breakout</t>
        </is>
      </c>
      <c r="S18" s="30" t="inlineStr">
        <is>
          <t>Nifty 50</t>
        </is>
      </c>
      <c r="T18" s="31" t="n">
        <v>-4.38</v>
      </c>
      <c r="U18" s="31" t="n">
        <v>191.88</v>
      </c>
      <c r="V18" s="31" t="n">
        <v>205.25</v>
      </c>
      <c r="W18" s="31" t="n">
        <v>39.54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Yes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Between 50% to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IF(B19=0,"",RANK(B19,$B$2:$B$427,0))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GAYAPROJ</t>
        </is>
      </c>
      <c r="D19" s="30" t="inlineStr">
        <is>
          <t>Gayatri Projects Limited</t>
        </is>
      </c>
      <c r="E19" s="30" t="inlineStr">
        <is>
          <t>realty</t>
        </is>
      </c>
      <c r="F19" s="30" t="inlineStr">
        <is>
          <t>construction</t>
        </is>
      </c>
      <c r="G19" s="30" t="inlineStr">
        <is>
          <t>smallcap</t>
        </is>
      </c>
      <c r="H19" s="31" t="n">
        <v>732.5</v>
      </c>
      <c r="I19" s="31" t="n">
        <v>23.52</v>
      </c>
      <c r="J19" s="31" t="n">
        <v>-4.89</v>
      </c>
      <c r="K19" s="31" t="n">
        <v>406806</v>
      </c>
      <c r="L19" s="30" t="n">
        <v>93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78.56999999999999</v>
      </c>
      <c r="P19" s="31" t="n">
        <v>60.47</v>
      </c>
      <c r="Q19" s="31" t="n">
        <v>18.53</v>
      </c>
      <c r="R19" s="30" t="inlineStr">
        <is>
          <t>Volume Spike &amp; Near 52W High Breakout</t>
        </is>
      </c>
      <c r="S19" s="30" t="inlineStr">
        <is>
          <t>Nifty Realty</t>
        </is>
      </c>
      <c r="T19" s="31" t="n">
        <v>-19.9</v>
      </c>
      <c r="U19" s="31" t="n">
        <v>175.09</v>
      </c>
      <c r="V19" s="31" t="n">
        <v>243.44</v>
      </c>
      <c r="W19" s="31" t="n">
        <v>40.22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Above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IF(B20=0,"",RANK(B20,$B$2:$B$427,0))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CUPID</t>
        </is>
      </c>
      <c r="D20" s="30" t="inlineStr">
        <is>
          <t>Cupid Limited</t>
        </is>
      </c>
      <c r="E20" s="30" t="inlineStr">
        <is>
          <t>fmcg</t>
        </is>
      </c>
      <c r="F20" s="30" t="inlineStr">
        <is>
          <t>personal care - indian</t>
        </is>
      </c>
      <c r="G20" s="30" t="inlineStr">
        <is>
          <t>largecap</t>
        </is>
      </c>
      <c r="H20" s="31" t="n">
        <v>22750.31</v>
      </c>
      <c r="I20" s="31" t="n">
        <v>176.92</v>
      </c>
      <c r="J20" s="31" t="n">
        <v>4.57</v>
      </c>
      <c r="K20" s="31" t="n">
        <v>32137212</v>
      </c>
      <c r="L20" s="30" t="n">
        <v>99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84.37</v>
      </c>
      <c r="P20" s="31" t="n">
        <v>48.69</v>
      </c>
      <c r="Q20" s="31" t="n">
        <v>138.09</v>
      </c>
      <c r="R20" s="30" t="inlineStr">
        <is>
          <t>Volume Spike &amp; Near 52W High Breakout</t>
        </is>
      </c>
      <c r="S20" s="30" t="inlineStr">
        <is>
          <t>Nifty FMCG</t>
        </is>
      </c>
      <c r="T20" s="31" t="n">
        <v>-9.279999999999999</v>
      </c>
      <c r="U20" s="31" t="n">
        <v>852</v>
      </c>
      <c r="V20" s="31" t="n">
        <v>949.4400000000001</v>
      </c>
      <c r="W20" s="31" t="n">
        <v>94.59999999999999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B2C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Annuity, Lower One Time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Yes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Less than 50%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IF(B21=0,"",RANK(B21,$B$2:$B$427,0))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BLISSGVS</t>
        </is>
      </c>
      <c r="D21" s="30" t="inlineStr">
        <is>
          <t>Bliss Gvs Pharma Limited</t>
        </is>
      </c>
      <c r="E21" s="30" t="inlineStr">
        <is>
          <t>healthcare</t>
        </is>
      </c>
      <c r="F21" s="30" t="inlineStr">
        <is>
          <t>pharmaceuticals - indian - formulations</t>
        </is>
      </c>
      <c r="G21" s="30" t="inlineStr">
        <is>
          <t>midcap</t>
        </is>
      </c>
      <c r="H21" s="31" t="n">
        <v>5109.08</v>
      </c>
      <c r="I21" s="31" t="n">
        <v>486.3</v>
      </c>
      <c r="J21" s="31" t="n">
        <v>0.6899999999999999</v>
      </c>
      <c r="K21" s="31" t="n">
        <v>987034</v>
      </c>
      <c r="L21" s="30" t="n">
        <v>97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90.31999999999999</v>
      </c>
      <c r="P21" s="31" t="n">
        <v>63.52</v>
      </c>
      <c r="Q21" s="31" t="n">
        <v>373.9</v>
      </c>
      <c r="R21" s="30" t="inlineStr">
        <is>
          <t>Near 52W High Breakout</t>
        </is>
      </c>
      <c r="S21" s="30" t="inlineStr">
        <is>
          <t>Nifty Pharma</t>
        </is>
      </c>
      <c r="T21" s="31" t="n">
        <v>13.17</v>
      </c>
      <c r="U21" s="31" t="n">
        <v>253.16</v>
      </c>
      <c r="V21" s="31" t="n">
        <v>212.05</v>
      </c>
      <c r="W21" s="31" t="n">
        <v>61.69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Annuity, Lower One Time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IF(B22=0,"",RANK(B22,$B$2:$B$427,0))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GVT&amp;D</t>
        </is>
      </c>
      <c r="D22" s="30" t="inlineStr">
        <is>
          <t>GE Vernova T&amp;D India Ltd</t>
        </is>
      </c>
      <c r="E22" s="30" t="inlineStr">
        <is>
          <t>industrials</t>
        </is>
      </c>
      <c r="F22" s="30" t="inlineStr">
        <is>
          <t>electric equipment</t>
        </is>
      </c>
      <c r="G22" s="30" t="inlineStr">
        <is>
          <t>largecap</t>
        </is>
      </c>
      <c r="H22" s="31" t="n">
        <v>134424.43</v>
      </c>
      <c r="I22" s="31" t="n">
        <v>5533.5</v>
      </c>
      <c r="J22" s="31" t="n">
        <v>5.4</v>
      </c>
      <c r="K22" s="31" t="n">
        <v>1247092</v>
      </c>
      <c r="L22" s="30" t="n">
        <v>87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75.39</v>
      </c>
      <c r="P22" s="31" t="n">
        <v>51.03</v>
      </c>
      <c r="Q22" s="31" t="n">
        <v>4192.72</v>
      </c>
      <c r="R22" s="30" t="inlineStr">
        <is>
          <t>Near 52W High Breakout</t>
        </is>
      </c>
      <c r="S22" s="30" t="inlineStr">
        <is>
          <t>Nifty 50</t>
        </is>
      </c>
      <c r="T22" s="31" t="n">
        <v>-4.38</v>
      </c>
      <c r="U22" s="31" t="n">
        <v>135.27</v>
      </c>
      <c r="V22" s="31" t="n">
        <v>146.04</v>
      </c>
      <c r="W22" s="31" t="n">
        <v>30.47</v>
      </c>
      <c r="X22" s="30" t="inlineStr">
        <is>
          <t>Cyclical in an Upturn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IF(B23=0,"",RANK(B23,$B$2:$B$427,0))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KPIL</t>
        </is>
      </c>
      <c r="D23" s="30" t="inlineStr">
        <is>
          <t>Kalpataru Projects International Ltd</t>
        </is>
      </c>
      <c r="E23" s="30" t="inlineStr">
        <is>
          <t>realty</t>
        </is>
      </c>
      <c r="F23" s="30" t="inlineStr">
        <is>
          <t>transmisson line towers / equipment</t>
        </is>
      </c>
      <c r="G23" s="30" t="inlineStr">
        <is>
          <t>largecap</t>
        </is>
      </c>
      <c r="H23" s="31" t="n">
        <v>23359.98</v>
      </c>
      <c r="I23" s="31" t="n">
        <v>1398.7</v>
      </c>
      <c r="J23" s="31" t="n">
        <v>2.25</v>
      </c>
      <c r="K23" s="31" t="n">
        <v>380962</v>
      </c>
      <c r="L23" s="30" t="n">
        <v>43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68.66</v>
      </c>
      <c r="P23" s="31" t="n">
        <v>22.46</v>
      </c>
      <c r="Q23" s="31" t="n">
        <v>1141.92</v>
      </c>
      <c r="R23" s="30" t="inlineStr">
        <is>
          <t>Volume Spike &amp; Near 52W High Breakout</t>
        </is>
      </c>
      <c r="S23" s="30" t="inlineStr">
        <is>
          <t>Nifty Realty</t>
        </is>
      </c>
      <c r="T23" s="31" t="n">
        <v>-19.9</v>
      </c>
      <c r="U23" s="31" t="n">
        <v>21.5</v>
      </c>
      <c r="V23" s="31" t="n">
        <v>51.69</v>
      </c>
      <c r="W23" s="31" t="n">
        <v>11.04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20 to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Between 50% to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IF(B24=0,"",RANK(B24,$B$2:$B$427,0))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SANSERA</t>
        </is>
      </c>
      <c r="D24" s="30" t="inlineStr">
        <is>
          <t>Sansera Engineering Ltd</t>
        </is>
      </c>
      <c r="E24" s="30" t="inlineStr">
        <is>
          <t>auto</t>
        </is>
      </c>
      <c r="F24" s="30" t="inlineStr">
        <is>
          <t>auto ancillaries</t>
        </is>
      </c>
      <c r="G24" s="30" t="inlineStr">
        <is>
          <t>midcap</t>
        </is>
      </c>
      <c r="H24" s="31" t="n">
        <v>17994.02</v>
      </c>
      <c r="I24" s="31" t="n">
        <v>2945.8</v>
      </c>
      <c r="J24" s="31" t="n">
        <v>2.04</v>
      </c>
      <c r="K24" s="31" t="n">
        <v>192639</v>
      </c>
      <c r="L24" s="30" t="n">
        <v>80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73.76000000000001</v>
      </c>
      <c r="P24" s="31" t="n">
        <v>41.37</v>
      </c>
      <c r="Q24" s="31" t="n">
        <v>2297.3</v>
      </c>
      <c r="R24" s="30" t="inlineStr">
        <is>
          <t>Near 52W High Breakout</t>
        </is>
      </c>
      <c r="S24" s="30" t="inlineStr">
        <is>
          <t>Nifty Auto</t>
        </is>
      </c>
      <c r="T24" s="31" t="n">
        <v>12.26</v>
      </c>
      <c r="U24" s="31" t="n">
        <v>122.46</v>
      </c>
      <c r="V24" s="31" t="n">
        <v>98.16</v>
      </c>
      <c r="W24" s="31" t="n">
        <v>25.01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Yes</t>
        </is>
      </c>
      <c r="BS24" s="30">
        <f>IF(BR24="NO",5,0)</f>
        <v/>
      </c>
      <c r="BT24" s="30" t="inlineStr">
        <is>
          <t>Above 2</t>
        </is>
      </c>
      <c r="BU24" s="30">
        <f>IF(BT24="Above 2",0,IF(BT24="Between 1.5 to 2",5,IF(BT24="Less than 1.5",10,0)))</f>
        <v/>
      </c>
      <c r="BV24" s="30" t="inlineStr">
        <is>
          <t>Between 50% to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IF(B25=0,"",RANK(B25,$B$2:$B$427,0))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AMBIKCO</t>
        </is>
      </c>
      <c r="D25" s="30" t="inlineStr">
        <is>
          <t>Ambika Cotton Mills Limited</t>
        </is>
      </c>
      <c r="E25" s="30" t="inlineStr">
        <is>
          <t>textiles</t>
        </is>
      </c>
      <c r="F25" s="30" t="inlineStr">
        <is>
          <t>textiles - cotton/blended</t>
        </is>
      </c>
      <c r="G25" s="30" t="inlineStr">
        <is>
          <t>smallcap</t>
        </is>
      </c>
      <c r="H25" s="31" t="n">
        <v>949.89</v>
      </c>
      <c r="I25" s="31" t="n">
        <v>1679.1</v>
      </c>
      <c r="J25" s="31" t="n">
        <v>1.2</v>
      </c>
      <c r="K25" s="31" t="n">
        <v>21214</v>
      </c>
      <c r="L25" s="30" t="n">
        <v>40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66.87</v>
      </c>
      <c r="P25" s="31" t="n">
        <v>24.51</v>
      </c>
      <c r="Q25" s="31" t="n">
        <v>1332.96</v>
      </c>
      <c r="R25" s="30" t="inlineStr">
        <is>
          <t>Near 52W High Breakout</t>
        </is>
      </c>
      <c r="S25" s="30" t="inlineStr">
        <is>
          <t>Nifty 50</t>
        </is>
      </c>
      <c r="T25" s="31" t="n">
        <v>-4.38</v>
      </c>
      <c r="U25" s="31" t="n">
        <v>14.29</v>
      </c>
      <c r="V25" s="31" t="n">
        <v>19.52</v>
      </c>
      <c r="W25" s="31" t="n">
        <v>10.06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Close to 52 week high or retracement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IF(B26=0,"",RANK(B26,$B$2:$B$427,0))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NRL</t>
        </is>
      </c>
      <c r="D26" s="30" t="inlineStr">
        <is>
          <t>Nupur Recyclers Ltd</t>
        </is>
      </c>
      <c r="E26" s="30" t="inlineStr">
        <is>
          <t>services</t>
        </is>
      </c>
      <c r="F26" s="30" t="inlineStr">
        <is>
          <t>trading</t>
        </is>
      </c>
      <c r="G26" s="30" t="inlineStr">
        <is>
          <t>smallcap</t>
        </is>
      </c>
      <c r="H26" s="31" t="n">
        <v>546.34</v>
      </c>
      <c r="I26" s="31" t="n">
        <v>79.73999999999999</v>
      </c>
      <c r="J26" s="31" t="n">
        <v>0.8100000000000001</v>
      </c>
      <c r="K26" s="31" t="n">
        <v>73253</v>
      </c>
      <c r="L26" s="30" t="n">
        <v>61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73.88</v>
      </c>
      <c r="P26" s="31" t="n">
        <v>32.22</v>
      </c>
      <c r="Q26" s="31" t="n">
        <v>60.74</v>
      </c>
      <c r="R26" s="30" t="inlineStr">
        <is>
          <t>Near 52W High Breakout</t>
        </is>
      </c>
      <c r="S26" s="30" t="inlineStr">
        <is>
          <t>Nifty 50</t>
        </is>
      </c>
      <c r="T26" s="31" t="n">
        <v>-4.38</v>
      </c>
      <c r="U26" s="31" t="n">
        <v>4.96</v>
      </c>
      <c r="V26" s="31" t="n">
        <v>9.77</v>
      </c>
      <c r="W26" s="31" t="n">
        <v>16.38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IF(B27=0,"",RANK(B27,$B$2:$B$427,0))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SANGHVIMOV</t>
        </is>
      </c>
      <c r="D27" s="30" t="inlineStr">
        <is>
          <t>Sanghvi Movers Limited</t>
        </is>
      </c>
      <c r="E27" s="30" t="inlineStr">
        <is>
          <t>miscellaneous</t>
        </is>
      </c>
      <c r="F27" s="30" t="inlineStr">
        <is>
          <t>miscellaneous</t>
        </is>
      </c>
      <c r="G27" s="30" t="inlineStr">
        <is>
          <t>smallcap</t>
        </is>
      </c>
      <c r="H27" s="31" t="n">
        <v>3569.53</v>
      </c>
      <c r="I27" s="31" t="n">
        <v>414.75</v>
      </c>
      <c r="J27" s="31" t="n">
        <v>0.59</v>
      </c>
      <c r="K27" s="31" t="n">
        <v>335442</v>
      </c>
      <c r="L27" s="30" t="n">
        <v>84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67.97</v>
      </c>
      <c r="P27" s="31" t="n">
        <v>21.36</v>
      </c>
      <c r="Q27" s="31" t="n">
        <v>302.04</v>
      </c>
      <c r="R27" s="30" t="inlineStr">
        <is>
          <t>Near 52W High Breakout</t>
        </is>
      </c>
      <c r="S27" s="30" t="inlineStr">
        <is>
          <t>Nifty 50</t>
        </is>
      </c>
      <c r="T27" s="31" t="n">
        <v>-4.38</v>
      </c>
      <c r="U27" s="31" t="n">
        <v>48.47</v>
      </c>
      <c r="V27" s="31" t="n">
        <v>55.27</v>
      </c>
      <c r="W27" s="31" t="n">
        <v>27.89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20 to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Between 50% to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IF(B28=0,"",RANK(B28,$B$2:$B$427,0))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SJS</t>
        </is>
      </c>
      <c r="D28" s="30" t="inlineStr">
        <is>
          <t>S J S Enterprises Ltd</t>
        </is>
      </c>
      <c r="E28" s="30" t="inlineStr">
        <is>
          <t>auto</t>
        </is>
      </c>
      <c r="F28" s="30" t="inlineStr">
        <is>
          <t>plastics products</t>
        </is>
      </c>
      <c r="G28" s="30" t="inlineStr">
        <is>
          <t>midcap</t>
        </is>
      </c>
      <c r="H28" s="31" t="n">
        <v>7090.81</v>
      </c>
      <c r="I28" s="31" t="n">
        <v>2215.3</v>
      </c>
      <c r="J28" s="31" t="n">
        <v>-0.04</v>
      </c>
      <c r="K28" s="31" t="n">
        <v>60172</v>
      </c>
      <c r="L28" s="30" t="n">
        <v>74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66.68000000000001</v>
      </c>
      <c r="P28" s="31" t="n">
        <v>24.29</v>
      </c>
      <c r="Q28" s="31" t="n">
        <v>1736.73</v>
      </c>
      <c r="R28" s="30" t="inlineStr">
        <is>
          <t>Near 52W High Breakout</t>
        </is>
      </c>
      <c r="S28" s="30" t="inlineStr">
        <is>
          <t>Nifty Auto</t>
        </is>
      </c>
      <c r="T28" s="31" t="n">
        <v>12.26</v>
      </c>
      <c r="U28" s="31" t="n">
        <v>79.11</v>
      </c>
      <c r="V28" s="31" t="n">
        <v>59.54</v>
      </c>
      <c r="W28" s="31" t="n">
        <v>21.52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Yes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IF(B29=0,"",RANK(B29,$B$2:$B$427,0))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IDEA</t>
        </is>
      </c>
      <c r="D29" s="30" t="inlineStr">
        <is>
          <t>Vodafone Idea Ltd</t>
        </is>
      </c>
      <c r="E29" s="30" t="inlineStr">
        <is>
          <t>telecom-service</t>
        </is>
      </c>
      <c r="F29" s="30" t="inlineStr">
        <is>
          <t>telecommunications - service provider</t>
        </is>
      </c>
      <c r="G29" s="30" t="inlineStr">
        <is>
          <t>largecap</t>
        </is>
      </c>
      <c r="H29" s="31" t="n">
        <v>162622.9</v>
      </c>
      <c r="I29" s="31" t="n">
        <v>14.92</v>
      </c>
      <c r="J29" s="31" t="n">
        <v>-0.6</v>
      </c>
      <c r="K29" s="31" t="n">
        <v>416172167</v>
      </c>
      <c r="L29" s="30" t="n">
        <v>89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74.83</v>
      </c>
      <c r="P29" s="31" t="n">
        <v>28.8</v>
      </c>
      <c r="Q29" s="31" t="n">
        <v>11.71</v>
      </c>
      <c r="R29" s="30" t="inlineStr">
        <is>
          <t>Near 52W High Breakout</t>
        </is>
      </c>
      <c r="S29" s="30" t="inlineStr">
        <is>
          <t>Nifty 50</t>
        </is>
      </c>
      <c r="T29" s="31" t="n">
        <v>-4.38</v>
      </c>
      <c r="U29" s="31" t="n">
        <v>127.44</v>
      </c>
      <c r="V29" s="31" t="n">
        <v>137.85</v>
      </c>
      <c r="W29" s="31" t="n">
        <v>33.6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Oligopoly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Close to 52 week high or retracement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IF(B30=0,"",RANK(B30,$B$2:$B$427,0))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CARYSIL</t>
        </is>
      </c>
      <c r="D30" s="30" t="inlineStr">
        <is>
          <t>Carysil Ltd</t>
        </is>
      </c>
      <c r="E30" s="30" t="inlineStr">
        <is>
          <t>consumer discretionary</t>
        </is>
      </c>
      <c r="F30" s="30" t="inlineStr">
        <is>
          <t>domestic appliances</t>
        </is>
      </c>
      <c r="G30" s="30" t="inlineStr">
        <is>
          <t>smallcap</t>
        </is>
      </c>
      <c r="H30" s="31" t="n">
        <v>3520.63</v>
      </c>
      <c r="I30" s="31" t="n">
        <v>1199.3</v>
      </c>
      <c r="J30" s="31" t="n">
        <v>-3.11</v>
      </c>
      <c r="K30" s="31" t="n">
        <v>193796</v>
      </c>
      <c r="L30" s="30" t="n">
        <v>70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72.23</v>
      </c>
      <c r="P30" s="31" t="n">
        <v>23.52</v>
      </c>
      <c r="Q30" s="31" t="n">
        <v>902.41</v>
      </c>
      <c r="R30" s="30" t="inlineStr">
        <is>
          <t>Near 52W High Breakout</t>
        </is>
      </c>
      <c r="S30" s="30" t="inlineStr">
        <is>
          <t>Nifty 50</t>
        </is>
      </c>
      <c r="T30" s="31" t="n">
        <v>-4.38</v>
      </c>
      <c r="U30" s="31" t="n">
        <v>39.43</v>
      </c>
      <c r="V30" s="31" t="n">
        <v>45.82</v>
      </c>
      <c r="W30" s="31" t="n">
        <v>19.68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Between 50% to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IF(B31=0,"",RANK(B31,$B$2:$B$427,0))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GVPIL</t>
        </is>
      </c>
      <c r="D31" s="30" t="inlineStr">
        <is>
          <t>GE Power India Ltd</t>
        </is>
      </c>
      <c r="E31" s="30" t="inlineStr">
        <is>
          <t>realty</t>
        </is>
      </c>
      <c r="F31" s="30" t="inlineStr">
        <is>
          <t>engineering - turnkey services</t>
        </is>
      </c>
      <c r="G31" s="30" t="inlineStr">
        <is>
          <t>midcap</t>
        </is>
      </c>
      <c r="H31" s="31" t="n">
        <v>6739.22</v>
      </c>
      <c r="I31" s="31" t="n">
        <v>1052.55</v>
      </c>
      <c r="J31" s="31" t="n">
        <v>5</v>
      </c>
      <c r="K31" s="31" t="n">
        <v>429266</v>
      </c>
      <c r="L31" s="30" t="n">
        <v>97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90.56</v>
      </c>
      <c r="P31" s="31" t="n">
        <v>58.79</v>
      </c>
      <c r="Q31" s="31" t="n">
        <v>819.1799999999999</v>
      </c>
      <c r="R31" s="30" t="inlineStr">
        <is>
          <t>Near 52W High Breakout</t>
        </is>
      </c>
      <c r="S31" s="30" t="inlineStr">
        <is>
          <t>Nifty Realty</t>
        </is>
      </c>
      <c r="T31" s="31" t="n">
        <v>-19.9</v>
      </c>
      <c r="U31" s="31" t="n">
        <v>246.4</v>
      </c>
      <c r="V31" s="31" t="n">
        <v>332.48</v>
      </c>
      <c r="W31" s="31" t="n">
        <v>67.06999999999999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Duopoly That Cooperate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Shallow Cyclical (2 to 3 Years Growth)</t>
        </is>
      </c>
      <c r="AG31" s="30">
        <f>IF(AF31="Structural (10 Years Consistency)",10,IF(AF31="Shallow Cyclical (2 to 3 years growth)",5,0))</f>
        <v/>
      </c>
      <c r="AH31" s="30" t="inlineStr">
        <is>
          <t>Yes due to Product Mix change or Operating Leverage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B2C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Fully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only for next 1 to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Above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Close to 52 week high or retracement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Yes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Between 50% to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Between 0.7 to 1.2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IF(B32=0,"",RANK(B32,$B$2:$B$427,0))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NINSYS</t>
        </is>
      </c>
      <c r="D32" s="30" t="inlineStr">
        <is>
          <t>NINtec Systems Ltd</t>
        </is>
      </c>
      <c r="E32" s="30" t="inlineStr">
        <is>
          <t>i.t</t>
        </is>
      </c>
      <c r="F32" s="30" t="inlineStr">
        <is>
          <t>computers - software - medium / small</t>
        </is>
      </c>
      <c r="G32" s="30" t="inlineStr">
        <is>
          <t>smallcap</t>
        </is>
      </c>
      <c r="H32" s="31" t="n">
        <v>1290.57</v>
      </c>
      <c r="I32" s="31" t="n">
        <v>720.3</v>
      </c>
      <c r="J32" s="31" t="n">
        <v>3.68</v>
      </c>
      <c r="K32" s="31" t="n">
        <v>8981</v>
      </c>
      <c r="L32" s="30" t="n">
        <v>96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79.95999999999999</v>
      </c>
      <c r="P32" s="31" t="n">
        <v>51.6</v>
      </c>
      <c r="Q32" s="31" t="n">
        <v>542.5700000000001</v>
      </c>
      <c r="R32" s="30" t="inlineStr">
        <is>
          <t>Near 52W High Breakout</t>
        </is>
      </c>
      <c r="S32" s="30" t="inlineStr">
        <is>
          <t>Nifty IT</t>
        </is>
      </c>
      <c r="T32" s="31" t="n">
        <v>-29.66</v>
      </c>
      <c r="U32" s="31" t="n">
        <v>59.84</v>
      </c>
      <c r="V32" s="31" t="n">
        <v>127.23</v>
      </c>
      <c r="W32" s="31" t="n">
        <v>51.59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Annuity, Lower One Time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Between 12 to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Between 50% to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IF(B33=0,"",RANK(B33,$B$2:$B$427,0))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ACUTAAS</t>
        </is>
      </c>
      <c r="D33" s="30" t="inlineStr">
        <is>
          <t>Acutaas Chemicals Ltd</t>
        </is>
      </c>
      <c r="E33" s="30" t="inlineStr">
        <is>
          <t>healthcare</t>
        </is>
      </c>
      <c r="F33" s="30" t="inlineStr">
        <is>
          <t>pharmaceuticals - indian - bulk drugs</t>
        </is>
      </c>
      <c r="G33" s="30" t="inlineStr">
        <is>
          <t>largecap</t>
        </is>
      </c>
      <c r="H33" s="31" t="n">
        <v>25677.24</v>
      </c>
      <c r="I33" s="31" t="n">
        <v>3246.2</v>
      </c>
      <c r="J33" s="31" t="n">
        <v>3.5</v>
      </c>
      <c r="K33" s="31" t="n">
        <v>340557</v>
      </c>
      <c r="L33" s="30" t="n">
        <v>88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73.26000000000001</v>
      </c>
      <c r="P33" s="31" t="n">
        <v>65.34999999999999</v>
      </c>
      <c r="Q33" s="31" t="n">
        <v>2564.43</v>
      </c>
      <c r="R33" s="30" t="inlineStr">
        <is>
          <t>Near 52W High Breakout</t>
        </is>
      </c>
      <c r="S33" s="30" t="inlineStr">
        <is>
          <t>Nifty Pharma</t>
        </is>
      </c>
      <c r="T33" s="31" t="n">
        <v>13.17</v>
      </c>
      <c r="U33" s="31" t="n">
        <v>187.01</v>
      </c>
      <c r="V33" s="31" t="n">
        <v>153.6</v>
      </c>
      <c r="W33" s="31" t="n">
        <v>31.61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Annuity, Lower One Time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Between 50% to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IF(B34=0,"",RANK(B34,$B$2:$B$427,0))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METROPOLIS</t>
        </is>
      </c>
      <c r="D34" s="30" t="inlineStr">
        <is>
          <t>Metropolis Healthcare Ltd</t>
        </is>
      </c>
      <c r="E34" s="30" t="inlineStr">
        <is>
          <t>healthcare</t>
        </is>
      </c>
      <c r="F34" s="30" t="inlineStr">
        <is>
          <t>healthcare</t>
        </is>
      </c>
      <c r="G34" s="30" t="inlineStr">
        <is>
          <t>midcap</t>
        </is>
      </c>
      <c r="H34" s="31" t="n">
        <v>11247.53</v>
      </c>
      <c r="I34" s="31" t="n">
        <v>552.75</v>
      </c>
      <c r="J34" s="31" t="n">
        <v>1.89</v>
      </c>
      <c r="K34" s="31" t="n">
        <v>227539</v>
      </c>
      <c r="L34" s="30" t="n">
        <v>46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62.39</v>
      </c>
      <c r="P34" s="31" t="n">
        <v>26.69</v>
      </c>
      <c r="Q34" s="31" t="n">
        <v>435.8</v>
      </c>
      <c r="R34" s="30" t="inlineStr">
        <is>
          <t>Near 52W High Breakout</t>
        </is>
      </c>
      <c r="S34" s="30" t="inlineStr">
        <is>
          <t>Nifty Pharma</t>
        </is>
      </c>
      <c r="T34" s="31" t="n">
        <v>13.17</v>
      </c>
      <c r="U34" s="31" t="n">
        <v>28.75</v>
      </c>
      <c r="V34" s="31" t="n">
        <v>13.77</v>
      </c>
      <c r="W34" s="31" t="n">
        <v>11.4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Annuity, Lower One Time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IF(B35=0,"",RANK(B35,$B$2:$B$427,0))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GRANULES</t>
        </is>
      </c>
      <c r="D35" s="30" t="inlineStr">
        <is>
          <t>Granules India Limited</t>
        </is>
      </c>
      <c r="E35" s="30" t="inlineStr">
        <is>
          <t>healthcare</t>
        </is>
      </c>
      <c r="F35" s="30" t="inlineStr">
        <is>
          <t>pharmaceuticals - indian - bulk drugs &amp; formln</t>
        </is>
      </c>
      <c r="G35" s="30" t="inlineStr">
        <is>
          <t>midcap</t>
        </is>
      </c>
      <c r="H35" s="31" t="n">
        <v>19380.2</v>
      </c>
      <c r="I35" s="31" t="n">
        <v>786.9</v>
      </c>
      <c r="J35" s="31" t="n">
        <v>0.61</v>
      </c>
      <c r="K35" s="31" t="n">
        <v>1781812</v>
      </c>
      <c r="L35" s="30" t="n">
        <v>64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73.45999999999999</v>
      </c>
      <c r="P35" s="31" t="n">
        <v>36.37</v>
      </c>
      <c r="Q35" s="31" t="n">
        <v>657.76</v>
      </c>
      <c r="R35" s="30" t="inlineStr">
        <is>
          <t>Near 52W High Breakout</t>
        </is>
      </c>
      <c r="S35" s="30" t="inlineStr">
        <is>
          <t>Nifty Pharma</t>
        </is>
      </c>
      <c r="T35" s="31" t="n">
        <v>13.17</v>
      </c>
      <c r="U35" s="31" t="n">
        <v>61.96</v>
      </c>
      <c r="V35" s="31" t="n">
        <v>43.11</v>
      </c>
      <c r="W35" s="31" t="n">
        <v>17.36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Annuity, Lower One Time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20 to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Between 50% to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IF(B36=0,"",RANK(B36,$B$2:$B$427,0))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ADFFOODS</t>
        </is>
      </c>
      <c r="D36" s="30" t="inlineStr">
        <is>
          <t>Adf Foods Limited</t>
        </is>
      </c>
      <c r="E36" s="30" t="inlineStr">
        <is>
          <t>fmcg</t>
        </is>
      </c>
      <c r="F36" s="30" t="inlineStr">
        <is>
          <t>food - processing - indian</t>
        </is>
      </c>
      <c r="G36" s="30" t="inlineStr">
        <is>
          <t>smallcap</t>
        </is>
      </c>
      <c r="H36" s="31" t="n">
        <v>3357.43</v>
      </c>
      <c r="I36" s="31" t="n">
        <v>306.85</v>
      </c>
      <c r="J36" s="31" t="n">
        <v>0.41</v>
      </c>
      <c r="K36" s="31" t="n">
        <v>182179</v>
      </c>
      <c r="L36" s="30" t="n">
        <v>75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68.53</v>
      </c>
      <c r="P36" s="31" t="n">
        <v>31.4</v>
      </c>
      <c r="Q36" s="31" t="n">
        <v>223.57</v>
      </c>
      <c r="R36" s="30" t="inlineStr">
        <is>
          <t>Near 52W High Breakout</t>
        </is>
      </c>
      <c r="S36" s="30" t="inlineStr">
        <is>
          <t>Nifty FMCG</t>
        </is>
      </c>
      <c r="T36" s="31" t="n">
        <v>-9.279999999999999</v>
      </c>
      <c r="U36" s="31" t="n">
        <v>13.09</v>
      </c>
      <c r="V36" s="31" t="n">
        <v>24.67</v>
      </c>
      <c r="W36" s="31" t="n">
        <v>22.19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B2C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Annuity, Lower One Time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Close to 52 week high or retracement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Less than 50%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IF(B37=0,"",RANK(B37,$B$2:$B$427,0))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SUPRIYA</t>
        </is>
      </c>
      <c r="D37" s="30" t="inlineStr">
        <is>
          <t>Supriya Lifescience Ltd</t>
        </is>
      </c>
      <c r="E37" s="30" t="inlineStr">
        <is>
          <t>healthcare</t>
        </is>
      </c>
      <c r="F37" s="30" t="inlineStr">
        <is>
          <t>pharmaceuticals - indian - bulk drugs &amp; formln</t>
        </is>
      </c>
      <c r="G37" s="30" t="inlineStr">
        <is>
          <t>midcap</t>
        </is>
      </c>
      <c r="H37" s="31" t="n">
        <v>7503.01</v>
      </c>
      <c r="I37" s="31" t="n">
        <v>932.2</v>
      </c>
      <c r="J37" s="31" t="n">
        <v>-0.01</v>
      </c>
      <c r="K37" s="31" t="n">
        <v>129230</v>
      </c>
      <c r="L37" s="30" t="n">
        <v>73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69.98999999999999</v>
      </c>
      <c r="P37" s="31" t="n">
        <v>35.54</v>
      </c>
      <c r="Q37" s="31" t="n">
        <v>736.14</v>
      </c>
      <c r="R37" s="30" t="inlineStr">
        <is>
          <t>Near 52W High Breakout</t>
        </is>
      </c>
      <c r="S37" s="30" t="inlineStr">
        <is>
          <t>Nifty Pharma</t>
        </is>
      </c>
      <c r="T37" s="31" t="n">
        <v>13.17</v>
      </c>
      <c r="U37" s="31" t="n">
        <v>36.93</v>
      </c>
      <c r="V37" s="31" t="n">
        <v>20.99</v>
      </c>
      <c r="W37" s="31" t="n">
        <v>21.32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Annuity, Lower One Time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Between 50% to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IF(B38=0,"",RANK(B38,$B$2:$B$427,0))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AVTNPL</t>
        </is>
      </c>
      <c r="D38" s="30" t="inlineStr">
        <is>
          <t>Avt Natural Products Limited</t>
        </is>
      </c>
      <c r="E38" s="30" t="inlineStr">
        <is>
          <t>fmcg</t>
        </is>
      </c>
      <c r="F38" s="30" t="inlineStr">
        <is>
          <t>solvent extraction</t>
        </is>
      </c>
      <c r="G38" s="30" t="inlineStr">
        <is>
          <t>smallcap</t>
        </is>
      </c>
      <c r="H38" s="31" t="n">
        <v>1105.13</v>
      </c>
      <c r="I38" s="31" t="n">
        <v>72.17</v>
      </c>
      <c r="J38" s="31" t="n">
        <v>-0.55</v>
      </c>
      <c r="K38" s="31" t="n">
        <v>38113</v>
      </c>
      <c r="L38" s="30" t="n">
        <v>27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59.57</v>
      </c>
      <c r="P38" s="31" t="n">
        <v>25.52</v>
      </c>
      <c r="Q38" s="31" t="n">
        <v>55.17</v>
      </c>
      <c r="R38" s="30" t="inlineStr">
        <is>
          <t>Near 52W High Breakout</t>
        </is>
      </c>
      <c r="S38" s="30" t="inlineStr">
        <is>
          <t>Nifty FMCG</t>
        </is>
      </c>
      <c r="T38" s="31" t="n">
        <v>-9.279999999999999</v>
      </c>
      <c r="U38" s="31" t="n">
        <v>11.89</v>
      </c>
      <c r="V38" s="31" t="n">
        <v>23.35</v>
      </c>
      <c r="W38" s="31" t="n">
        <v>7.63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B2C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Annuity, Lower One Time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20 to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Close to 52 week high or retracement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Less than 50%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IF(B39=0,"",RANK(B39,$B$2:$B$427,0))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SKMEGGPROD</t>
        </is>
      </c>
      <c r="D39" s="30" t="inlineStr">
        <is>
          <t>Skm Egg Products Export (india) Limited</t>
        </is>
      </c>
      <c r="E39" s="30" t="inlineStr">
        <is>
          <t>fmcg</t>
        </is>
      </c>
      <c r="F39" s="30" t="inlineStr">
        <is>
          <t>food - processing - indian</t>
        </is>
      </c>
      <c r="G39" s="30" t="inlineStr">
        <is>
          <t>smallcap</t>
        </is>
      </c>
      <c r="H39" s="31" t="n">
        <v>1258.36</v>
      </c>
      <c r="I39" s="31" t="n">
        <v>237.26</v>
      </c>
      <c r="J39" s="31" t="n">
        <v>-0.71</v>
      </c>
      <c r="K39" s="31" t="n">
        <v>291463</v>
      </c>
      <c r="L39" s="30" t="n">
        <v>83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67.48999999999999</v>
      </c>
      <c r="P39" s="31" t="n">
        <v>22.1</v>
      </c>
      <c r="Q39" s="31" t="n">
        <v>170.69</v>
      </c>
      <c r="R39" s="30" t="inlineStr">
        <is>
          <t>Near 52W High Breakout</t>
        </is>
      </c>
      <c r="S39" s="30" t="inlineStr">
        <is>
          <t>Nifty FMCG</t>
        </is>
      </c>
      <c r="T39" s="31" t="n">
        <v>-9.279999999999999</v>
      </c>
      <c r="U39" s="31" t="n">
        <v>88.34</v>
      </c>
      <c r="V39" s="31" t="n">
        <v>107.61</v>
      </c>
      <c r="W39" s="31" t="n">
        <v>27.66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B2C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Less than 50%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IF(B40=0,"",RANK(B40,$B$2:$B$427,0))</f>
        <v/>
      </c>
      <c r="B40" s="31">
        <f>SUM(N40,Y40,AA40,AC40,AE40,AG40,AI40,AK40,AM40,AO40,AQ40,AS40,AU40,AW40,AY40,BA40,BC40,BE40,BG40,BI40,BK40,BM40,BO40,BQ40,BS40,BU40,BW40,BY40,CA40,CC40,CE40)</f>
        <v/>
      </c>
      <c r="C40" s="32" t="inlineStr">
        <is>
          <t>PGHL</t>
        </is>
      </c>
      <c r="D40" s="32" t="inlineStr">
        <is>
          <t>Procter &amp; Gamble Health Ltd</t>
        </is>
      </c>
      <c r="E40" s="30" t="inlineStr">
        <is>
          <t>healthcare</t>
        </is>
      </c>
      <c r="F40" s="30" t="inlineStr">
        <is>
          <t>pharmaceuticals - multinational</t>
        </is>
      </c>
      <c r="G40" s="30" t="inlineStr">
        <is>
          <t>midcap</t>
        </is>
      </c>
      <c r="H40" s="31" t="n">
        <v>10475.04</v>
      </c>
      <c r="I40" s="31" t="n">
        <v>6244</v>
      </c>
      <c r="J40" s="31" t="n">
        <v>-1.05</v>
      </c>
      <c r="K40" s="31" t="n">
        <v>12057</v>
      </c>
      <c r="L40" s="30" t="n">
        <v>33</v>
      </c>
      <c r="M40" s="30" t="inlineStr">
        <is>
          <t>Underperforming</t>
        </is>
      </c>
      <c r="N40" s="31">
        <f>IF(M40="Underperforming",-5,IF(L40&gt;=95,15,IF(L40&gt;=90,10,IF(L40&gt;=80,5,0))))</f>
        <v/>
      </c>
      <c r="O40" s="31" t="n">
        <v>73.48</v>
      </c>
      <c r="P40" s="31" t="n">
        <v>39.99</v>
      </c>
      <c r="Q40" s="31" t="n">
        <v>5341.03</v>
      </c>
      <c r="R40" s="30" t="inlineStr">
        <is>
          <t>Near 52W High Breakout</t>
        </is>
      </c>
      <c r="S40" s="30" t="inlineStr">
        <is>
          <t>Nifty Pharma</t>
        </is>
      </c>
      <c r="T40" s="31" t="n">
        <v>13.17</v>
      </c>
      <c r="U40" s="31" t="n">
        <v>9.66</v>
      </c>
      <c r="V40" s="31" t="n">
        <v>-3.1</v>
      </c>
      <c r="W40" s="31" t="n">
        <v>8.57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Annuity, Lower One Time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IF(B41=0,"",RANK(B41,$B$2:$B$427,0))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KANORICHEM</t>
        </is>
      </c>
      <c r="D41" s="30" t="inlineStr">
        <is>
          <t>Kanoria Chemicals &amp; Industries Limited</t>
        </is>
      </c>
      <c r="E41" s="30" t="inlineStr">
        <is>
          <t>chemicals</t>
        </is>
      </c>
      <c r="F41" s="30" t="inlineStr">
        <is>
          <t>chemicals</t>
        </is>
      </c>
      <c r="G41" s="30" t="inlineStr">
        <is>
          <t>smallcap</t>
        </is>
      </c>
      <c r="H41" s="31" t="n">
        <v>502.39</v>
      </c>
      <c r="I41" s="31" t="n">
        <v>120.72</v>
      </c>
      <c r="J41" s="31" t="n">
        <v>4.99</v>
      </c>
      <c r="K41" s="31" t="n">
        <v>120295</v>
      </c>
      <c r="L41" s="30" t="n">
        <v>86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72.05</v>
      </c>
      <c r="P41" s="31" t="n">
        <v>33.45</v>
      </c>
      <c r="Q41" s="31" t="n">
        <v>88.7</v>
      </c>
      <c r="R41" s="30" t="inlineStr">
        <is>
          <t>Volume Spike &amp; Near 52W High Breakout</t>
        </is>
      </c>
      <c r="S41" s="30" t="inlineStr">
        <is>
          <t>Nifty 50</t>
        </is>
      </c>
      <c r="T41" s="31" t="n">
        <v>-4.38</v>
      </c>
      <c r="U41" s="31" t="n">
        <v>28.81</v>
      </c>
      <c r="V41" s="31" t="n">
        <v>34.71</v>
      </c>
      <c r="W41" s="31" t="n">
        <v>29.34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Close to 52 week high or retracement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IF(B42=0,"",RANK(B42,$B$2:$B$427,0))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NIBE</t>
        </is>
      </c>
      <c r="D42" s="30" t="inlineStr">
        <is>
          <t>NIBE Ltd</t>
        </is>
      </c>
      <c r="E42" s="30" t="inlineStr">
        <is>
          <t>aerospace &amp; defence</t>
        </is>
      </c>
      <c r="F42" s="30" t="inlineStr">
        <is>
          <t>engineering</t>
        </is>
      </c>
      <c r="G42" s="30" t="inlineStr">
        <is>
          <t>smallcap</t>
        </is>
      </c>
      <c r="H42" s="31" t="n">
        <v>2668.28</v>
      </c>
      <c r="I42" s="31" t="n">
        <v>1815.4</v>
      </c>
      <c r="J42" s="31" t="n">
        <v>3.83</v>
      </c>
      <c r="K42" s="31" t="n">
        <v>433116</v>
      </c>
      <c r="L42" s="30" t="n">
        <v>81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74.66</v>
      </c>
      <c r="P42" s="31" t="n">
        <v>22.15</v>
      </c>
      <c r="Q42" s="31" t="n">
        <v>1317.28</v>
      </c>
      <c r="R42" s="30" t="inlineStr">
        <is>
          <t>Near 52W High Breakout</t>
        </is>
      </c>
      <c r="S42" s="30" t="inlineStr">
        <is>
          <t>Nifty 50</t>
        </is>
      </c>
      <c r="T42" s="31" t="n">
        <v>-4.38</v>
      </c>
      <c r="U42" s="31" t="n">
        <v>6.7</v>
      </c>
      <c r="V42" s="31" t="n">
        <v>11.58</v>
      </c>
      <c r="W42" s="31" t="n">
        <v>25.47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IF(B43=0,"",RANK(B43,$B$2:$B$427,0))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ADOR</t>
        </is>
      </c>
      <c r="D43" s="30" t="inlineStr">
        <is>
          <t>Ador Welding Ltd</t>
        </is>
      </c>
      <c r="E43" s="30" t="inlineStr">
        <is>
          <t>industrials</t>
        </is>
      </c>
      <c r="F43" s="30" t="inlineStr">
        <is>
          <t>electrodes - welding equipment</t>
        </is>
      </c>
      <c r="G43" s="30" t="inlineStr">
        <is>
          <t>smallcap</t>
        </is>
      </c>
      <c r="H43" s="31" t="n">
        <v>2044.48</v>
      </c>
      <c r="I43" s="31" t="n">
        <v>1216.4</v>
      </c>
      <c r="J43" s="31" t="n">
        <v>3.54</v>
      </c>
      <c r="K43" s="31" t="n">
        <v>51749</v>
      </c>
      <c r="L43" s="30" t="n">
        <v>46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67.38</v>
      </c>
      <c r="P43" s="31" t="n">
        <v>23.52</v>
      </c>
      <c r="Q43" s="31" t="n">
        <v>953.15</v>
      </c>
      <c r="R43" s="30" t="inlineStr">
        <is>
          <t>Near 52W High Breakout</t>
        </is>
      </c>
      <c r="S43" s="30" t="inlineStr">
        <is>
          <t>Nifty 50</t>
        </is>
      </c>
      <c r="T43" s="31" t="n">
        <v>-4.38</v>
      </c>
      <c r="U43" s="31" t="n">
        <v>23.66</v>
      </c>
      <c r="V43" s="31" t="n">
        <v>29.32</v>
      </c>
      <c r="W43" s="31" t="n">
        <v>11.8</v>
      </c>
      <c r="X43" s="30" t="inlineStr">
        <is>
          <t>Cyclical in an Upturn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IF(B44=0,"",RANK(B44,$B$2:$B$427,0))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MENONBE</t>
        </is>
      </c>
      <c r="D44" s="30" t="inlineStr">
        <is>
          <t>Menon Bearings Limited</t>
        </is>
      </c>
      <c r="E44" s="30" t="inlineStr">
        <is>
          <t>auto</t>
        </is>
      </c>
      <c r="F44" s="30" t="inlineStr">
        <is>
          <t>auto ancillaries</t>
        </is>
      </c>
      <c r="G44" s="30" t="inlineStr">
        <is>
          <t>smallcap</t>
        </is>
      </c>
      <c r="H44" s="31" t="n">
        <v>950.66</v>
      </c>
      <c r="I44" s="31" t="n">
        <v>175.43</v>
      </c>
      <c r="J44" s="31" t="n">
        <v>3.41</v>
      </c>
      <c r="K44" s="31" t="n">
        <v>313911</v>
      </c>
      <c r="L44" s="30" t="n">
        <v>70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73.23999999999999</v>
      </c>
      <c r="P44" s="31" t="n">
        <v>32.82</v>
      </c>
      <c r="Q44" s="31" t="n">
        <v>130.41</v>
      </c>
      <c r="R44" s="30" t="inlineStr">
        <is>
          <t>Near 52W High Breakout</t>
        </is>
      </c>
      <c r="S44" s="30" t="inlineStr">
        <is>
          <t>Nifty Auto</t>
        </is>
      </c>
      <c r="T44" s="31" t="n">
        <v>12.26</v>
      </c>
      <c r="U44" s="31" t="n">
        <v>47.68</v>
      </c>
      <c r="V44" s="31" t="n">
        <v>31.54</v>
      </c>
      <c r="W44" s="31" t="n">
        <v>19.94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Less than 50%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IF(B45=0,"",RANK(B45,$B$2:$B$427,0))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GOCLCORP</t>
        </is>
      </c>
      <c r="D45" s="30" t="inlineStr">
        <is>
          <t>Gocl Corporation Limited</t>
        </is>
      </c>
      <c r="E45" s="30" t="inlineStr">
        <is>
          <t>miscellaneous</t>
        </is>
      </c>
      <c r="F45" s="30" t="inlineStr">
        <is>
          <t>diversified - medium / small</t>
        </is>
      </c>
      <c r="G45" s="30" t="inlineStr">
        <is>
          <t>smallcap</t>
        </is>
      </c>
      <c r="H45" s="31" t="n">
        <v>2106.58</v>
      </c>
      <c r="I45" s="31" t="n">
        <v>437.5</v>
      </c>
      <c r="J45" s="31" t="n">
        <v>2.95</v>
      </c>
      <c r="K45" s="31" t="n">
        <v>394379</v>
      </c>
      <c r="L45" s="30" t="n">
        <v>82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73.25</v>
      </c>
      <c r="P45" s="31" t="n">
        <v>28.43</v>
      </c>
      <c r="Q45" s="31" t="n">
        <v>325.16</v>
      </c>
      <c r="R45" s="30" t="inlineStr">
        <is>
          <t>Volume Spike &amp; Near 52W High Breakout</t>
        </is>
      </c>
      <c r="S45" s="30" t="inlineStr">
        <is>
          <t>Nifty 50</t>
        </is>
      </c>
      <c r="T45" s="31" t="n">
        <v>-4.38</v>
      </c>
      <c r="U45" s="31" t="n">
        <v>22.56</v>
      </c>
      <c r="V45" s="31" t="n">
        <v>28.17</v>
      </c>
      <c r="W45" s="31" t="n">
        <v>26.7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Close to 52 week high or retracement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IF(B46=0,"",RANK(B46,$B$2:$B$427,0))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BHAGYANGR</t>
        </is>
      </c>
      <c r="D46" s="30" t="inlineStr">
        <is>
          <t>Bhagyanagar India</t>
        </is>
      </c>
      <c r="E46" s="30" t="inlineStr">
        <is>
          <t>power &amp; utilities</t>
        </is>
      </c>
      <c r="F46" s="30" t="inlineStr">
        <is>
          <t>power generation and supply</t>
        </is>
      </c>
      <c r="G46" s="30" t="inlineStr">
        <is>
          <t>smallcap</t>
        </is>
      </c>
      <c r="H46" s="31" t="n">
        <v>1207.65</v>
      </c>
      <c r="I46" s="31" t="n">
        <v>388.05</v>
      </c>
      <c r="J46" s="31" t="n">
        <v>2.81</v>
      </c>
      <c r="K46" s="31" t="n">
        <v>221676</v>
      </c>
      <c r="L46" s="30" t="n">
        <v>98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82.28</v>
      </c>
      <c r="P46" s="31" t="n">
        <v>60.3</v>
      </c>
      <c r="Q46" s="31" t="n">
        <v>278.68</v>
      </c>
      <c r="R46" s="30" t="inlineStr">
        <is>
          <t>Near 52W High Breakout</t>
        </is>
      </c>
      <c r="S46" s="30" t="inlineStr">
        <is>
          <t>Nifty IT</t>
        </is>
      </c>
      <c r="T46" s="31" t="n">
        <v>-29.66</v>
      </c>
      <c r="U46" s="31" t="n">
        <v>394.52</v>
      </c>
      <c r="V46" s="31" t="n">
        <v>603.04</v>
      </c>
      <c r="W46" s="31" t="n">
        <v>80.73999999999999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Above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Between 50% to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Between 0.7 to 1.2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IF(B47=0,"",RANK(B47,$B$2:$B$427,0))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BHEL</t>
        </is>
      </c>
      <c r="D47" s="30" t="inlineStr">
        <is>
          <t>Bharat Heavy Electricals Limited</t>
        </is>
      </c>
      <c r="E47" s="30" t="inlineStr">
        <is>
          <t>industrials</t>
        </is>
      </c>
      <c r="F47" s="30" t="inlineStr">
        <is>
          <t>electric equipment</t>
        </is>
      </c>
      <c r="G47" s="30" t="inlineStr">
        <is>
          <t>largecap</t>
        </is>
      </c>
      <c r="H47" s="31" t="n">
        <v>141336.95</v>
      </c>
      <c r="I47" s="31" t="n">
        <v>414.35</v>
      </c>
      <c r="J47" s="31" t="n">
        <v>2.08</v>
      </c>
      <c r="K47" s="31" t="n">
        <v>22020572</v>
      </c>
      <c r="L47" s="30" t="n">
        <v>79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70.7</v>
      </c>
      <c r="P47" s="31" t="n">
        <v>40.34</v>
      </c>
      <c r="Q47" s="31" t="n">
        <v>335.08</v>
      </c>
      <c r="R47" s="30" t="inlineStr">
        <is>
          <t>Near 52W High Breakout</t>
        </is>
      </c>
      <c r="S47" s="30" t="inlineStr">
        <is>
          <t>Nifty 50</t>
        </is>
      </c>
      <c r="T47" s="31" t="n">
        <v>-4.38</v>
      </c>
      <c r="U47" s="31" t="n">
        <v>65.79000000000001</v>
      </c>
      <c r="V47" s="31" t="n">
        <v>73.38</v>
      </c>
      <c r="W47" s="31" t="n">
        <v>24.49</v>
      </c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IF(B48=0,"",RANK(B48,$B$2:$B$427,0))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TALBROAUTO</t>
        </is>
      </c>
      <c r="D48" s="30" t="inlineStr">
        <is>
          <t>Talbros Automotive Components Limited</t>
        </is>
      </c>
      <c r="E48" s="30" t="inlineStr">
        <is>
          <t>auto</t>
        </is>
      </c>
      <c r="F48" s="30" t="inlineStr">
        <is>
          <t>auto ancillaries</t>
        </is>
      </c>
      <c r="G48" s="30" t="inlineStr">
        <is>
          <t>smallcap</t>
        </is>
      </c>
      <c r="H48" s="31" t="n">
        <v>2185.49</v>
      </c>
      <c r="I48" s="31" t="n">
        <v>360.45</v>
      </c>
      <c r="J48" s="31" t="n">
        <v>1.81</v>
      </c>
      <c r="K48" s="31" t="n">
        <v>137375</v>
      </c>
      <c r="L48" s="30" t="n">
        <v>63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68.83</v>
      </c>
      <c r="P48" s="31" t="n">
        <v>28.47</v>
      </c>
      <c r="Q48" s="31" t="n">
        <v>266.65</v>
      </c>
      <c r="R48" s="30" t="inlineStr">
        <is>
          <t>Near 52W High Breakout</t>
        </is>
      </c>
      <c r="S48" s="30" t="inlineStr">
        <is>
          <t>Nifty Auto</t>
        </is>
      </c>
      <c r="T48" s="31" t="n">
        <v>12.26</v>
      </c>
      <c r="U48" s="31" t="n">
        <v>24.38</v>
      </c>
      <c r="V48" s="31" t="n">
        <v>10.79</v>
      </c>
      <c r="W48" s="31" t="n">
        <v>17.16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Between 12 to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Between 50% to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IF(B49=0,"",RANK(B49,$B$2:$B$427,0))</f>
        <v/>
      </c>
      <c r="B49" s="31">
        <f>SUM(N49,Y49,AA49,AC49,AE49,AG49,AI49,AK49,AM49,AO49,AQ49,AS49,AU49,AW49,AY49,BA49,BC49,BE49,BG49,BI49,BK49,BM49,BO49,BQ49,BS49,BU49,BW49,BY49,CA49,CC49,CE49)</f>
        <v/>
      </c>
      <c r="C49" s="32" t="inlineStr">
        <is>
          <t>GANESHBE</t>
        </is>
      </c>
      <c r="D49" s="32" t="inlineStr">
        <is>
          <t>Ganesh Benzoplast Ltd</t>
        </is>
      </c>
      <c r="E49" s="30" t="inlineStr">
        <is>
          <t>miscellaneous</t>
        </is>
      </c>
      <c r="F49" s="30" t="inlineStr">
        <is>
          <t>miscellaneous</t>
        </is>
      </c>
      <c r="G49" s="30" t="inlineStr">
        <is>
          <t>smallcap</t>
        </is>
      </c>
      <c r="H49" s="31" t="n">
        <v>757.54</v>
      </c>
      <c r="I49" s="31" t="n">
        <v>106.98</v>
      </c>
      <c r="J49" s="31" t="n">
        <v>1.66</v>
      </c>
      <c r="K49" s="31" t="n">
        <v>502035</v>
      </c>
      <c r="L49" s="30" t="n">
        <v>45</v>
      </c>
      <c r="M49" s="30" t="inlineStr">
        <is>
          <t>Underperforming</t>
        </is>
      </c>
      <c r="N49" s="31">
        <f>IF(M49="Underperforming",-5,IF(L49&gt;=95,15,IF(L49&gt;=90,10,IF(L49&gt;=80,5,0))))</f>
        <v/>
      </c>
      <c r="O49" s="31" t="n">
        <v>62.73</v>
      </c>
      <c r="P49" s="31" t="n">
        <v>24.33</v>
      </c>
      <c r="Q49" s="31" t="n">
        <v>81.97</v>
      </c>
      <c r="R49" s="30" t="inlineStr">
        <is>
          <t>Near 52W High Breakout</t>
        </is>
      </c>
      <c r="S49" s="30" t="inlineStr">
        <is>
          <t>Nifty Energy</t>
        </is>
      </c>
      <c r="T49" s="31" t="n">
        <v>13.9</v>
      </c>
      <c r="U49" s="31" t="n">
        <v>9.19</v>
      </c>
      <c r="V49" s="31" t="n">
        <v>-4.14</v>
      </c>
      <c r="W49" s="31" t="n">
        <v>11.28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IF(B50=0,"",RANK(B50,$B$2:$B$427,0))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NITINSPIN</t>
        </is>
      </c>
      <c r="D50" s="30" t="inlineStr">
        <is>
          <t>Nitin Spinners Limited</t>
        </is>
      </c>
      <c r="E50" s="30" t="inlineStr">
        <is>
          <t>textiles</t>
        </is>
      </c>
      <c r="F50" s="30" t="inlineStr">
        <is>
          <t>textiles - cotton/blended</t>
        </is>
      </c>
      <c r="G50" s="30" t="inlineStr">
        <is>
          <t>smallcap</t>
        </is>
      </c>
      <c r="H50" s="31" t="n">
        <v>3153.94</v>
      </c>
      <c r="I50" s="31" t="n">
        <v>568.7</v>
      </c>
      <c r="J50" s="31" t="n">
        <v>1.37</v>
      </c>
      <c r="K50" s="31" t="n">
        <v>113794</v>
      </c>
      <c r="L50" s="30" t="n">
        <v>75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81.87</v>
      </c>
      <c r="P50" s="31" t="n">
        <v>57.18</v>
      </c>
      <c r="Q50" s="31" t="n">
        <v>446.52</v>
      </c>
      <c r="R50" s="30" t="inlineStr">
        <is>
          <t>Near 52W High Breakout</t>
        </is>
      </c>
      <c r="S50" s="30" t="inlineStr">
        <is>
          <t>Nifty 50</t>
        </is>
      </c>
      <c r="T50" s="31" t="n">
        <v>-4.38</v>
      </c>
      <c r="U50" s="31" t="n">
        <v>54.93</v>
      </c>
      <c r="V50" s="31" t="n">
        <v>62.02</v>
      </c>
      <c r="W50" s="31" t="n">
        <v>22.1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Less than 1.5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Between 0.7 to 1.2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IF(B51=0,"",RANK(B51,$B$2:$B$427,0))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ZFCVINDIA</t>
        </is>
      </c>
      <c r="D51" s="30" t="inlineStr">
        <is>
          <t>ZF Commercial Vehicle Control System India Ltd</t>
        </is>
      </c>
      <c r="E51" s="30" t="inlineStr">
        <is>
          <t>auto</t>
        </is>
      </c>
      <c r="F51" s="30" t="inlineStr">
        <is>
          <t>auto ancillaries</t>
        </is>
      </c>
      <c r="G51" s="30" t="inlineStr">
        <is>
          <t>largecap</t>
        </is>
      </c>
      <c r="H51" s="31" t="n">
        <v>29553.39</v>
      </c>
      <c r="I51" s="31" t="n">
        <v>15795</v>
      </c>
      <c r="J51" s="31" t="n">
        <v>1.37</v>
      </c>
      <c r="K51" s="31" t="n">
        <v>22859</v>
      </c>
      <c r="L51" s="30" t="n">
        <v>24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61.88</v>
      </c>
      <c r="P51" s="31" t="n">
        <v>24.99</v>
      </c>
      <c r="Q51" s="31" t="n">
        <v>12813.57</v>
      </c>
      <c r="R51" s="30" t="inlineStr">
        <is>
          <t>Volume Spike &amp; Near 52W High Breakout</t>
        </is>
      </c>
      <c r="S51" s="30" t="inlineStr">
        <is>
          <t>Nifty Auto</t>
        </is>
      </c>
      <c r="T51" s="31" t="n">
        <v>12.26</v>
      </c>
      <c r="U51" s="31" t="n">
        <v>19.76</v>
      </c>
      <c r="V51" s="31" t="n">
        <v>6.67</v>
      </c>
      <c r="W51" s="31" t="n">
        <v>7.1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Close to 52 week high or retracement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IF(B52=0,"",RANK(B52,$B$2:$B$427,0))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IDEAFORGE</t>
        </is>
      </c>
      <c r="D52" s="30" t="inlineStr">
        <is>
          <t>Ideaforge Technology Ltd</t>
        </is>
      </c>
      <c r="E52" s="30" t="inlineStr">
        <is>
          <t>aerospace &amp; defence</t>
        </is>
      </c>
      <c r="F52" s="30" t="inlineStr">
        <is>
          <t>engineering</t>
        </is>
      </c>
      <c r="G52" s="30" t="inlineStr">
        <is>
          <t>smallcap</t>
        </is>
      </c>
      <c r="H52" s="31" t="n">
        <v>3980.3</v>
      </c>
      <c r="I52" s="31" t="n">
        <v>931.45</v>
      </c>
      <c r="J52" s="31" t="n">
        <v>1.27</v>
      </c>
      <c r="K52" s="31" t="n">
        <v>278657</v>
      </c>
      <c r="L52" s="30" t="n">
        <v>94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74.16</v>
      </c>
      <c r="P52" s="31" t="n">
        <v>46.96</v>
      </c>
      <c r="Q52" s="31" t="n">
        <v>668.13</v>
      </c>
      <c r="R52" s="30" t="inlineStr">
        <is>
          <t>Near 52W High Breakout</t>
        </is>
      </c>
      <c r="S52" s="30" t="inlineStr">
        <is>
          <t>Nifty 50</t>
        </is>
      </c>
      <c r="T52" s="31" t="n">
        <v>-4.38</v>
      </c>
      <c r="U52" s="31" t="n">
        <v>62.36</v>
      </c>
      <c r="V52" s="31" t="n">
        <v>69.79000000000001</v>
      </c>
      <c r="W52" s="31" t="n">
        <v>43.36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Negative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IF(B53=0,"",RANK(B53,$B$2:$B$427,0))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VERANDA</t>
        </is>
      </c>
      <c r="D53" s="30" t="inlineStr">
        <is>
          <t>Veranda Learning Solutions Ltd</t>
        </is>
      </c>
      <c r="E53" s="30" t="inlineStr">
        <is>
          <t>services</t>
        </is>
      </c>
      <c r="F53" s="30" t="inlineStr">
        <is>
          <t>miscellaneous</t>
        </is>
      </c>
      <c r="G53" s="30" t="inlineStr">
        <is>
          <t>smallcap</t>
        </is>
      </c>
      <c r="H53" s="31" t="n">
        <v>2331.54</v>
      </c>
      <c r="I53" s="31" t="n">
        <v>244.89</v>
      </c>
      <c r="J53" s="31" t="n">
        <v>1.01</v>
      </c>
      <c r="K53" s="31" t="n">
        <v>438301</v>
      </c>
      <c r="L53" s="30" t="n">
        <v>79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65.02</v>
      </c>
      <c r="P53" s="31" t="n">
        <v>30.42</v>
      </c>
      <c r="Q53" s="31" t="n">
        <v>174.36</v>
      </c>
      <c r="R53" s="30" t="inlineStr">
        <is>
          <t>Near 52W High Breakout</t>
        </is>
      </c>
      <c r="S53" s="30" t="inlineStr">
        <is>
          <t>Nifty 50</t>
        </is>
      </c>
      <c r="T53" s="31" t="n">
        <v>-4.38</v>
      </c>
      <c r="U53" s="31" t="n">
        <v>23.14</v>
      </c>
      <c r="V53" s="31" t="n">
        <v>28.78</v>
      </c>
      <c r="W53" s="31" t="n">
        <v>24.99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Close to 52 week high or retracement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Between 50% to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IF(B54=0,"",RANK(B54,$B$2:$B$427,0))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BELRISE</t>
        </is>
      </c>
      <c r="D54" s="30" t="inlineStr">
        <is>
          <t>Belrise Industries Ltd</t>
        </is>
      </c>
      <c r="E54" s="30" t="inlineStr">
        <is>
          <t>auto</t>
        </is>
      </c>
      <c r="F54" s="30" t="inlineStr">
        <is>
          <t>auto ancillaries</t>
        </is>
      </c>
      <c r="G54" s="30" t="inlineStr">
        <is>
          <t>largecap</t>
        </is>
      </c>
      <c r="H54" s="31" t="n">
        <v>21289.47</v>
      </c>
      <c r="I54" s="31" t="n">
        <v>241.09</v>
      </c>
      <c r="J54" s="31" t="n">
        <v>0.77</v>
      </c>
      <c r="K54" s="31" t="n">
        <v>3749142</v>
      </c>
      <c r="L54" s="30" t="n">
        <v>81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73.65000000000001</v>
      </c>
      <c r="P54" s="31" t="n">
        <v>52.7</v>
      </c>
      <c r="Q54" s="31" t="n">
        <v>191.46</v>
      </c>
      <c r="R54" s="30" t="inlineStr">
        <is>
          <t>Near 52W High Breakout</t>
        </is>
      </c>
      <c r="S54" s="30" t="inlineStr">
        <is>
          <t>Nifty Auto</t>
        </is>
      </c>
      <c r="T54" s="31" t="n">
        <v>12.26</v>
      </c>
      <c r="U54" s="31" t="n">
        <v>137.33</v>
      </c>
      <c r="V54" s="31" t="n">
        <v>111.41</v>
      </c>
      <c r="W54" s="31" t="n">
        <v>25.9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Less than 12%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IF(B55=0,"",RANK(B55,$B$2:$B$427,0))</f>
        <v/>
      </c>
      <c r="B55" s="31">
        <f>SUM(N55,Y55,AA55,AC55,AE55,AG55,AI55,AK55,AM55,AO55,AQ55,AS55,AU55,AW55,AY55,BA55,BC55,BE55,BG55,BI55,BK55,BM55,BO55,BQ55,BS55,BU55,BW55,BY55,CA55,CC55,CE55)</f>
        <v/>
      </c>
      <c r="C55" s="32" t="inlineStr">
        <is>
          <t>STCINDIA</t>
        </is>
      </c>
      <c r="D55" s="32" t="inlineStr">
        <is>
          <t>The State Trading Corporation Of India Limited</t>
        </is>
      </c>
      <c r="E55" s="30" t="inlineStr">
        <is>
          <t>services</t>
        </is>
      </c>
      <c r="F55" s="30" t="inlineStr">
        <is>
          <t>trading</t>
        </is>
      </c>
      <c r="G55" s="30" t="inlineStr">
        <is>
          <t>smallcap</t>
        </is>
      </c>
      <c r="H55" s="31" t="n">
        <v>814.5599999999999</v>
      </c>
      <c r="I55" s="31" t="n">
        <v>135.95</v>
      </c>
      <c r="J55" s="31" t="n">
        <v>0.14</v>
      </c>
      <c r="K55" s="31" t="n">
        <v>187058</v>
      </c>
      <c r="L55" s="30" t="n">
        <v>16</v>
      </c>
      <c r="M55" s="30" t="inlineStr">
        <is>
          <t>Underperforming</t>
        </is>
      </c>
      <c r="N55" s="31">
        <f>IF(M55="Underperforming",-5,IF(L55&gt;=95,15,IF(L55&gt;=90,10,IF(L55&gt;=80,5,0))))</f>
        <v/>
      </c>
      <c r="O55" s="31" t="n">
        <v>60.84</v>
      </c>
      <c r="P55" s="31" t="n">
        <v>22.83</v>
      </c>
      <c r="Q55" s="31" t="n">
        <v>95.31</v>
      </c>
      <c r="R55" s="30" t="inlineStr">
        <is>
          <t>Volume Spike / Accumulation</t>
        </is>
      </c>
      <c r="S55" s="30" t="inlineStr">
        <is>
          <t>Nifty 50</t>
        </is>
      </c>
      <c r="T55" s="31" t="n">
        <v>-4.38</v>
      </c>
      <c r="U55" s="31" t="n">
        <v>-6.99</v>
      </c>
      <c r="V55" s="31" t="n">
        <v>-2.73</v>
      </c>
      <c r="W55" s="31" t="n">
        <v>4.83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IF(B56=0,"",RANK(B56,$B$2:$B$427,0))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AEGISLOG</t>
        </is>
      </c>
      <c r="D56" s="30" t="inlineStr">
        <is>
          <t>Aegis Logistics Ltd</t>
        </is>
      </c>
      <c r="E56" s="30" t="inlineStr">
        <is>
          <t>services</t>
        </is>
      </c>
      <c r="F56" s="30" t="inlineStr">
        <is>
          <t>trading</t>
        </is>
      </c>
      <c r="G56" s="30" t="inlineStr">
        <is>
          <t>largecap</t>
        </is>
      </c>
      <c r="H56" s="31" t="n">
        <v>35342.19</v>
      </c>
      <c r="I56" s="31" t="n">
        <v>1007.8</v>
      </c>
      <c r="J56" s="31" t="n">
        <v>0.09</v>
      </c>
      <c r="K56" s="31" t="n">
        <v>747988</v>
      </c>
      <c r="L56" s="30" t="n">
        <v>73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75.52</v>
      </c>
      <c r="P56" s="31" t="n">
        <v>23.33</v>
      </c>
      <c r="Q56" s="31" t="n">
        <v>783.34</v>
      </c>
      <c r="R56" s="30" t="inlineStr">
        <is>
          <t>Near 52W High Breakout</t>
        </is>
      </c>
      <c r="S56" s="30" t="inlineStr">
        <is>
          <t>Nifty 50</t>
        </is>
      </c>
      <c r="T56" s="31" t="n">
        <v>-4.38</v>
      </c>
      <c r="U56" s="31" t="n">
        <v>29.34</v>
      </c>
      <c r="V56" s="31" t="n">
        <v>35.26</v>
      </c>
      <c r="W56" s="31" t="n">
        <v>21.44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20 to 40</t>
        </is>
      </c>
      <c r="AY56" s="30">
        <f>IF(AX56="Above 40",20,IF(AX56="20 to 40",10,IF(AX56="0 to 20",-5,0)))</f>
        <v/>
      </c>
      <c r="AZ56" s="30" t="inlineStr">
        <is>
          <t>Above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No</t>
        </is>
      </c>
      <c r="BS56" s="30">
        <f>IF(BR56="NO",5,0)</f>
        <v/>
      </c>
      <c r="BT56" s="30" t="inlineStr">
        <is>
          <t>Less than 1.5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IF(B57=0,"",RANK(B57,$B$2:$B$427,0))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ICIL</t>
        </is>
      </c>
      <c r="D57" s="30" t="inlineStr">
        <is>
          <t>Indo Count Industries Limited</t>
        </is>
      </c>
      <c r="E57" s="30" t="inlineStr">
        <is>
          <t>textiles</t>
        </is>
      </c>
      <c r="F57" s="30" t="inlineStr">
        <is>
          <t>textiles - cotton/blended</t>
        </is>
      </c>
      <c r="G57" s="30" t="inlineStr">
        <is>
          <t>midcap</t>
        </is>
      </c>
      <c r="H57" s="31" t="n">
        <v>8038.04</v>
      </c>
      <c r="I57" s="31" t="n">
        <v>394.6</v>
      </c>
      <c r="J57" s="31" t="n">
        <v>-2.77</v>
      </c>
      <c r="K57" s="31" t="n">
        <v>2676331</v>
      </c>
      <c r="L57" s="30" t="n">
        <v>80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71.47</v>
      </c>
      <c r="P57" s="31" t="n">
        <v>28.69</v>
      </c>
      <c r="Q57" s="31" t="n">
        <v>289.67</v>
      </c>
      <c r="R57" s="30" t="inlineStr">
        <is>
          <t>Volume Spike &amp; Near 52W High Breakout</t>
        </is>
      </c>
      <c r="S57" s="30" t="inlineStr">
        <is>
          <t>Nifty 50</t>
        </is>
      </c>
      <c r="T57" s="31" t="n">
        <v>-4.38</v>
      </c>
      <c r="U57" s="31" t="n">
        <v>46.3</v>
      </c>
      <c r="V57" s="31" t="n">
        <v>53</v>
      </c>
      <c r="W57" s="31" t="n">
        <v>25.12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IF(B58=0,"",RANK(B58,$B$2:$B$427,0))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AUROPHARMA</t>
        </is>
      </c>
      <c r="D58" s="30" t="inlineStr">
        <is>
          <t>Aurobindo Pharma Limited</t>
        </is>
      </c>
      <c r="E58" s="30" t="inlineStr">
        <is>
          <t>healthcare</t>
        </is>
      </c>
      <c r="F58" s="30" t="inlineStr">
        <is>
          <t>pharmaceuticals - indian - bulk drugs &amp; formln</t>
        </is>
      </c>
      <c r="G58" s="30" t="inlineStr">
        <is>
          <t>largecap</t>
        </is>
      </c>
      <c r="H58" s="31" t="n">
        <v>83850.33</v>
      </c>
      <c r="I58" s="31" t="n">
        <v>1497.8</v>
      </c>
      <c r="J58" s="31" t="n">
        <v>3.75</v>
      </c>
      <c r="K58" s="31" t="n">
        <v>2506592</v>
      </c>
      <c r="L58" s="30" t="n">
        <v>38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68.64</v>
      </c>
      <c r="P58" s="31" t="n">
        <v>44.42</v>
      </c>
      <c r="Q58" s="31" t="n">
        <v>1275.75</v>
      </c>
      <c r="R58" s="30" t="inlineStr">
        <is>
          <t>Near 52W High Breakout</t>
        </is>
      </c>
      <c r="S58" s="30" t="inlineStr">
        <is>
          <t>Nifty Pharma</t>
        </is>
      </c>
      <c r="T58" s="31" t="n">
        <v>13.17</v>
      </c>
      <c r="U58" s="31" t="n">
        <v>37.02</v>
      </c>
      <c r="V58" s="31" t="n">
        <v>21.07</v>
      </c>
      <c r="W58" s="31" t="n">
        <v>9.85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Annuity, Lower One Time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Less than 12%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IF(B59=0,"",RANK(B59,$B$2:$B$427,0))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MANORAMA</t>
        </is>
      </c>
      <c r="D59" s="30" t="inlineStr">
        <is>
          <t>Manorama Industries Ltd</t>
        </is>
      </c>
      <c r="E59" s="30" t="inlineStr">
        <is>
          <t>fmcg</t>
        </is>
      </c>
      <c r="F59" s="30" t="inlineStr">
        <is>
          <t>food - processing - indian</t>
        </is>
      </c>
      <c r="G59" s="30" t="inlineStr">
        <is>
          <t>midcap</t>
        </is>
      </c>
      <c r="H59" s="31" t="n">
        <v>9131.23</v>
      </c>
      <c r="I59" s="31" t="n">
        <v>1558.2</v>
      </c>
      <c r="J59" s="31" t="n">
        <v>1.89</v>
      </c>
      <c r="K59" s="31" t="n">
        <v>126904</v>
      </c>
      <c r="L59" s="30" t="n">
        <v>29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59.1</v>
      </c>
      <c r="P59" s="31" t="n">
        <v>13.91</v>
      </c>
      <c r="Q59" s="31" t="n">
        <v>1182.97</v>
      </c>
      <c r="R59" s="30" t="inlineStr">
        <is>
          <t>Near 52W High Breakout</t>
        </is>
      </c>
      <c r="S59" s="30" t="inlineStr">
        <is>
          <t>Nifty FMCG</t>
        </is>
      </c>
      <c r="T59" s="31" t="n">
        <v>-9.279999999999999</v>
      </c>
      <c r="U59" s="31" t="n">
        <v>15.28</v>
      </c>
      <c r="V59" s="31" t="n">
        <v>27.08</v>
      </c>
      <c r="W59" s="31" t="n">
        <v>7.89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B2C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Annuity, Lower One Time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0 to 20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Less than 1.5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IF(B60=0,"",RANK(B60,$B$2:$B$427,0))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TINNARUBR</t>
        </is>
      </c>
      <c r="D60" s="30" t="inlineStr">
        <is>
          <t>Tinna Rubber &amp; Infrastructure Ltd</t>
        </is>
      </c>
      <c r="E60" s="30" t="inlineStr">
        <is>
          <t>fmcg</t>
        </is>
      </c>
      <c r="F60" s="30" t="inlineStr">
        <is>
          <t>miscellaneous</t>
        </is>
      </c>
      <c r="G60" s="30" t="inlineStr">
        <is>
          <t>smallcap</t>
        </is>
      </c>
      <c r="H60" s="31" t="n">
        <v>1589.98</v>
      </c>
      <c r="I60" s="31" t="n">
        <v>891.25</v>
      </c>
      <c r="J60" s="31" t="n">
        <v>0.99</v>
      </c>
      <c r="K60" s="31" t="n">
        <v>97757</v>
      </c>
      <c r="L60" s="30" t="n">
        <v>38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59.84</v>
      </c>
      <c r="P60" s="31" t="n">
        <v>22.33</v>
      </c>
      <c r="Q60" s="31" t="n">
        <v>639.8200000000001</v>
      </c>
      <c r="R60" s="30" t="inlineStr">
        <is>
          <t>Earnings / Momentum Support</t>
        </is>
      </c>
      <c r="S60" s="30" t="inlineStr">
        <is>
          <t>Nifty FMCG</t>
        </is>
      </c>
      <c r="T60" s="31" t="n">
        <v>-9.279999999999999</v>
      </c>
      <c r="U60" s="31" t="n">
        <v>-3.32</v>
      </c>
      <c r="V60" s="31" t="n">
        <v>6.58</v>
      </c>
      <c r="W60" s="31" t="n">
        <v>9.789999999999999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B2C</t>
        </is>
      </c>
      <c r="AO60" s="30">
        <f>IF(AN60="B2C",10,IF(AN60="B2B",5,0))</f>
        <v/>
      </c>
      <c r="AP60" s="30" t="inlineStr">
        <is>
          <t>No</t>
        </is>
      </c>
      <c r="AQ60" s="30">
        <f>IF(AP60="Yes",10,0)</f>
        <v/>
      </c>
      <c r="AR60" s="30" t="inlineStr">
        <is>
          <t>Higher Annuity, Lower One Time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Less than 1.5</t>
        </is>
      </c>
      <c r="BU60" s="30">
        <f>IF(BT60="Above 2",0,IF(BT60="Between 1.5 to 2",5,IF(BT60="Less than 1.5",10,0)))</f>
        <v/>
      </c>
      <c r="BV60" s="30" t="inlineStr">
        <is>
          <t>Between 50% to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IF(B61=0,"",RANK(B61,$B$2:$B$427,0))</f>
        <v/>
      </c>
      <c r="B61" s="31">
        <f>SUM(N61,Y61,AA61,AC61,AE61,AG61,AI61,AK61,AM61,AO61,AQ61,AS61,AU61,AW61,AY61,BA61,BC61,BE61,BG61,BI61,BK61,BM61,BO61,BQ61,BS61,BU61,BW61,BY61,CA61,CC61,CE61)</f>
        <v/>
      </c>
      <c r="C61" s="32" t="inlineStr">
        <is>
          <t>MARKSANS</t>
        </is>
      </c>
      <c r="D61" s="32" t="inlineStr">
        <is>
          <t>Marksans Pharma Limited</t>
        </is>
      </c>
      <c r="E61" s="30" t="inlineStr">
        <is>
          <t>healthcare</t>
        </is>
      </c>
      <c r="F61" s="30" t="inlineStr">
        <is>
          <t>pharmaceuticals - indian - formulations</t>
        </is>
      </c>
      <c r="G61" s="30" t="inlineStr">
        <is>
          <t>midcap</t>
        </is>
      </c>
      <c r="H61" s="31" t="n">
        <v>11847.97</v>
      </c>
      <c r="I61" s="31" t="n">
        <v>259.67</v>
      </c>
      <c r="J61" s="31" t="n">
        <v>-0.68</v>
      </c>
      <c r="K61" s="31" t="n">
        <v>2398746</v>
      </c>
      <c r="L61" s="30" t="n">
        <v>58</v>
      </c>
      <c r="M61" s="30" t="inlineStr">
        <is>
          <t>Underperforming</t>
        </is>
      </c>
      <c r="N61" s="31">
        <f>IF(M61="Underperforming",-5,IF(L61&gt;=95,15,IF(L61&gt;=90,10,IF(L61&gt;=80,5,0))))</f>
        <v/>
      </c>
      <c r="O61" s="31" t="n">
        <v>73.41</v>
      </c>
      <c r="P61" s="31" t="n">
        <v>32.42</v>
      </c>
      <c r="Q61" s="31" t="n">
        <v>200.71</v>
      </c>
      <c r="R61" s="30" t="inlineStr">
        <is>
          <t>Near 52W High Breakout</t>
        </is>
      </c>
      <c r="S61" s="30" t="inlineStr">
        <is>
          <t>Nifty Pharma</t>
        </is>
      </c>
      <c r="T61" s="31" t="n">
        <v>13.17</v>
      </c>
      <c r="U61" s="31" t="n">
        <v>8.58</v>
      </c>
      <c r="V61" s="31" t="n">
        <v>-4.06</v>
      </c>
      <c r="W61" s="31" t="n">
        <v>15.08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Yes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Annuity, Lower One Time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IF(B62=0,"",RANK(B62,$B$2:$B$427,0))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RATEGAIN</t>
        </is>
      </c>
      <c r="D62" s="30" t="inlineStr">
        <is>
          <t>Rategain Travel Technologies Ltd</t>
        </is>
      </c>
      <c r="E62" s="30" t="inlineStr">
        <is>
          <t>i.t</t>
        </is>
      </c>
      <c r="F62" s="30" t="inlineStr">
        <is>
          <t>computers - software - medium / small</t>
        </is>
      </c>
      <c r="G62" s="30" t="inlineStr">
        <is>
          <t>midcap</t>
        </is>
      </c>
      <c r="H62" s="31" t="n">
        <v>10504.91</v>
      </c>
      <c r="I62" s="31" t="n">
        <v>867.7</v>
      </c>
      <c r="J62" s="31" t="n">
        <v>-2.4</v>
      </c>
      <c r="K62" s="31" t="n">
        <v>962428</v>
      </c>
      <c r="L62" s="30" t="n">
        <v>91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77.69</v>
      </c>
      <c r="P62" s="31" t="n">
        <v>26.88</v>
      </c>
      <c r="Q62" s="31" t="n">
        <v>672.38</v>
      </c>
      <c r="R62" s="30" t="inlineStr">
        <is>
          <t>Near 52W High Breakout</t>
        </is>
      </c>
      <c r="S62" s="30" t="inlineStr">
        <is>
          <t>Nifty IT</t>
        </is>
      </c>
      <c r="T62" s="31" t="n">
        <v>-29.66</v>
      </c>
      <c r="U62" s="31" t="n">
        <v>100.42</v>
      </c>
      <c r="V62" s="31" t="n">
        <v>184.92</v>
      </c>
      <c r="W62" s="31" t="n">
        <v>36.8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Annuity, Lower One Time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Above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Between 1.5 to 2</t>
        </is>
      </c>
      <c r="BU62" s="30">
        <f>IF(BT62="Above 2",0,IF(BT62="Between 1.5 to 2",5,IF(BT62="Less than 1.5",10,0)))</f>
        <v/>
      </c>
      <c r="BV62" s="30" t="inlineStr">
        <is>
          <t>Between 50% to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IF(B63=0,"",RANK(B63,$B$2:$B$427,0))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PARAS</t>
        </is>
      </c>
      <c r="D63" s="30" t="inlineStr">
        <is>
          <t>Paras Defence and Space Technologies Ltd</t>
        </is>
      </c>
      <c r="E63" s="30" t="inlineStr">
        <is>
          <t>aerospace &amp; defence</t>
        </is>
      </c>
      <c r="F63" s="30" t="inlineStr">
        <is>
          <t>engineering</t>
        </is>
      </c>
      <c r="G63" s="30" t="inlineStr">
        <is>
          <t>midcap</t>
        </is>
      </c>
      <c r="H63" s="31" t="n">
        <v>10559.36</v>
      </c>
      <c r="I63" s="31" t="n">
        <v>1408.65</v>
      </c>
      <c r="J63" s="31" t="n">
        <v>7.51</v>
      </c>
      <c r="K63" s="31" t="n">
        <v>19692749</v>
      </c>
      <c r="L63" s="30" t="n">
        <v>94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81.19</v>
      </c>
      <c r="P63" s="31" t="n">
        <v>41.47</v>
      </c>
      <c r="Q63" s="31" t="n">
        <v>1060.26</v>
      </c>
      <c r="R63" s="30" t="inlineStr">
        <is>
          <t>Volume Spike &amp; Near 52W High Breakout</t>
        </is>
      </c>
      <c r="S63" s="30" t="inlineStr">
        <is>
          <t>Nifty 50</t>
        </is>
      </c>
      <c r="T63" s="31" t="n">
        <v>-4.38</v>
      </c>
      <c r="U63" s="31" t="n">
        <v>70.44</v>
      </c>
      <c r="V63" s="31" t="n">
        <v>78.25</v>
      </c>
      <c r="W63" s="31" t="n">
        <v>44.65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Between 1.5 to 2</t>
        </is>
      </c>
      <c r="BU63" s="30">
        <f>IF(BT63="Above 2",0,IF(BT63="Between 1.5 to 2",5,IF(BT63="Less than 1.5",10,0)))</f>
        <v/>
      </c>
      <c r="BV63" s="30" t="inlineStr">
        <is>
          <t>Less than 50%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IF(B64=0,"",RANK(B64,$B$2:$B$427,0))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PSPPROJECT</t>
        </is>
      </c>
      <c r="D64" s="30" t="inlineStr">
        <is>
          <t>PSP Projects Ltd</t>
        </is>
      </c>
      <c r="E64" s="30" t="inlineStr">
        <is>
          <t>realty</t>
        </is>
      </c>
      <c r="F64" s="30" t="inlineStr">
        <is>
          <t>construction</t>
        </is>
      </c>
      <c r="G64" s="30" t="inlineStr">
        <is>
          <t>smallcap</t>
        </is>
      </c>
      <c r="H64" s="31" t="n">
        <v>3611.96</v>
      </c>
      <c r="I64" s="31" t="n">
        <v>969.1</v>
      </c>
      <c r="J64" s="31" t="n">
        <v>6.36</v>
      </c>
      <c r="K64" s="31" t="n">
        <v>474690</v>
      </c>
      <c r="L64" s="30" t="n">
        <v>66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66.95</v>
      </c>
      <c r="P64" s="31" t="n">
        <v>23.94</v>
      </c>
      <c r="Q64" s="31" t="n">
        <v>720.64</v>
      </c>
      <c r="R64" s="30" t="inlineStr">
        <is>
          <t>Near 52W High Breakout</t>
        </is>
      </c>
      <c r="S64" s="30" t="inlineStr">
        <is>
          <t>Nifty Realty</t>
        </is>
      </c>
      <c r="T64" s="31" t="n">
        <v>-19.9</v>
      </c>
      <c r="U64" s="31" t="n">
        <v>31.99</v>
      </c>
      <c r="V64" s="31" t="n">
        <v>64.79000000000001</v>
      </c>
      <c r="W64" s="31" t="n">
        <v>17.98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Blue sky scenario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IF(B65=0,"",RANK(B65,$B$2:$B$427,0))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SIGMAADV</t>
        </is>
      </c>
      <c r="D65" s="30" t="inlineStr">
        <is>
          <t>Sigma Advanced System Ltd</t>
        </is>
      </c>
      <c r="E65" s="30" t="inlineStr">
        <is>
          <t>aerospace &amp; defence</t>
        </is>
      </c>
      <c r="F65" s="30" t="inlineStr">
        <is>
          <t>electronics - components</t>
        </is>
      </c>
      <c r="G65" s="30" t="inlineStr">
        <is>
          <t>midcap</t>
        </is>
      </c>
      <c r="H65" s="31" t="n">
        <v>8812.870000000001</v>
      </c>
      <c r="I65" s="31" t="n">
        <v>525.05</v>
      </c>
      <c r="J65" s="31" t="n">
        <v>5</v>
      </c>
      <c r="K65" s="31" t="n">
        <v>144015</v>
      </c>
      <c r="L65" s="30" t="n">
        <v>99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87.90000000000001</v>
      </c>
      <c r="P65" s="31" t="n">
        <v>43.56</v>
      </c>
      <c r="Q65" s="31" t="n">
        <v>397.01</v>
      </c>
      <c r="R65" s="30" t="inlineStr">
        <is>
          <t>Near 52W High Breakout</t>
        </is>
      </c>
      <c r="S65" s="30" t="inlineStr">
        <is>
          <t>Nifty 50</t>
        </is>
      </c>
      <c r="T65" s="31" t="n">
        <v>-4.38</v>
      </c>
      <c r="U65" s="31" t="n">
        <v>514.6</v>
      </c>
      <c r="V65" s="31" t="n">
        <v>542.73</v>
      </c>
      <c r="W65" s="31" t="n">
        <v>100.48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Above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Less than 1.5</t>
        </is>
      </c>
      <c r="BU65" s="30">
        <f>IF(BT65="Above 2",0,IF(BT65="Between 1.5 to 2",5,IF(BT65="Less than 1.5",10,0)))</f>
        <v/>
      </c>
      <c r="BV65" s="30" t="inlineStr">
        <is>
          <t>Negative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Between 0.7 to 1.2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IF(B66=0,"",RANK(B66,$B$2:$B$427,0))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HMT</t>
        </is>
      </c>
      <c r="D66" s="30" t="inlineStr">
        <is>
          <t>Hmt Limited</t>
        </is>
      </c>
      <c r="E66" s="30" t="inlineStr">
        <is>
          <t>consumer discretionary</t>
        </is>
      </c>
      <c r="F66" s="30" t="inlineStr">
        <is>
          <t>miscellaneous</t>
        </is>
      </c>
      <c r="G66" s="30" t="inlineStr">
        <is>
          <t>midcap</t>
        </is>
      </c>
      <c r="H66" s="31" t="n">
        <v>7424.43</v>
      </c>
      <c r="I66" s="31" t="n">
        <v>64.73999999999999</v>
      </c>
      <c r="J66" s="31" t="n">
        <v>5</v>
      </c>
      <c r="K66" s="31" t="n">
        <v>7409</v>
      </c>
      <c r="L66" s="30" t="n">
        <v>8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60.36</v>
      </c>
      <c r="P66" s="31" t="n">
        <v>26.65</v>
      </c>
      <c r="Q66" s="31" t="n">
        <v>48.22</v>
      </c>
      <c r="R66" s="30" t="inlineStr">
        <is>
          <t>Earnings / Momentum Support</t>
        </is>
      </c>
      <c r="S66" s="30" t="inlineStr">
        <is>
          <t>Nifty 50</t>
        </is>
      </c>
      <c r="T66" s="31" t="n">
        <v>-4.38</v>
      </c>
      <c r="U66" s="31" t="n">
        <v>-2.4</v>
      </c>
      <c r="V66" s="31" t="n">
        <v>2.07</v>
      </c>
      <c r="W66" s="31" t="n">
        <v>3.42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No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No</t>
        </is>
      </c>
      <c r="BS66" s="30">
        <f>IF(BR66="NO",5,0)</f>
        <v/>
      </c>
      <c r="BT66" s="30" t="inlineStr">
        <is>
          <t>Less than 1.5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IF(B67=0,"",RANK(B67,$B$2:$B$427,0))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CEMPRO</t>
        </is>
      </c>
      <c r="D67" s="30" t="inlineStr">
        <is>
          <t>Cemindia Projects Ltd</t>
        </is>
      </c>
      <c r="E67" s="30" t="inlineStr">
        <is>
          <t>realty</t>
        </is>
      </c>
      <c r="F67" s="30" t="inlineStr">
        <is>
          <t>construction</t>
        </is>
      </c>
      <c r="G67" s="30" t="inlineStr">
        <is>
          <t>largecap</t>
        </is>
      </c>
      <c r="H67" s="31" t="n">
        <v>20483.95</v>
      </c>
      <c r="I67" s="31" t="n">
        <v>1252</v>
      </c>
      <c r="J67" s="31" t="n">
        <v>5</v>
      </c>
      <c r="K67" s="31" t="n">
        <v>366853</v>
      </c>
      <c r="L67" s="30" t="n">
        <v>95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79.34999999999999</v>
      </c>
      <c r="P67" s="31" t="n">
        <v>39.36</v>
      </c>
      <c r="Q67" s="31" t="n">
        <v>953.67</v>
      </c>
      <c r="R67" s="30" t="inlineStr">
        <is>
          <t>Near 52W High Breakout</t>
        </is>
      </c>
      <c r="S67" s="30" t="inlineStr">
        <is>
          <t>Nifty Realty</t>
        </is>
      </c>
      <c r="T67" s="31" t="n">
        <v>-19.9</v>
      </c>
      <c r="U67" s="31" t="n">
        <v>56.14</v>
      </c>
      <c r="V67" s="31" t="n">
        <v>94.94</v>
      </c>
      <c r="W67" s="31" t="n">
        <v>46.47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20 to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Less than 50%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IF(B68=0,"",RANK(B68,$B$2:$B$427,0))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MODISONLTD</t>
        </is>
      </c>
      <c r="D68" s="30" t="inlineStr">
        <is>
          <t>Modison Ltd</t>
        </is>
      </c>
      <c r="E68" s="30" t="inlineStr">
        <is>
          <t>industrials</t>
        </is>
      </c>
      <c r="F68" s="30" t="inlineStr">
        <is>
          <t>electric equipment</t>
        </is>
      </c>
      <c r="G68" s="30" t="inlineStr">
        <is>
          <t>smallcap</t>
        </is>
      </c>
      <c r="H68" s="31" t="n">
        <v>996.22</v>
      </c>
      <c r="I68" s="31" t="n">
        <v>322.15</v>
      </c>
      <c r="J68" s="31" t="n">
        <v>4.93</v>
      </c>
      <c r="K68" s="31" t="n">
        <v>152547</v>
      </c>
      <c r="L68" s="30" t="n">
        <v>96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72.83</v>
      </c>
      <c r="P68" s="31" t="n">
        <v>38.28</v>
      </c>
      <c r="Q68" s="31" t="n">
        <v>269.44</v>
      </c>
      <c r="R68" s="30" t="inlineStr">
        <is>
          <t>Earnings / Momentum Support</t>
        </is>
      </c>
      <c r="S68" s="30" t="inlineStr">
        <is>
          <t>Nifty 50</t>
        </is>
      </c>
      <c r="T68" s="31" t="n">
        <v>-4.38</v>
      </c>
      <c r="U68" s="31" t="n">
        <v>108.73</v>
      </c>
      <c r="V68" s="31" t="n">
        <v>118.28</v>
      </c>
      <c r="W68" s="31" t="n">
        <v>58.53</v>
      </c>
      <c r="X68" s="30" t="inlineStr">
        <is>
          <t>Cyclical in an Upturn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No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IF(B69=0,"",RANK(B69,$B$2:$B$427,0))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PRECOT</t>
        </is>
      </c>
      <c r="D69" s="30" t="inlineStr">
        <is>
          <t>Precot Meridian Limited</t>
        </is>
      </c>
      <c r="E69" s="30" t="inlineStr">
        <is>
          <t>textiles</t>
        </is>
      </c>
      <c r="F69" s="30" t="inlineStr">
        <is>
          <t>textiles - cotton/blended</t>
        </is>
      </c>
      <c r="G69" s="30" t="inlineStr">
        <is>
          <t>smallcap</t>
        </is>
      </c>
      <c r="H69" s="31" t="n">
        <v>872.88</v>
      </c>
      <c r="I69" s="31" t="n">
        <v>753.3</v>
      </c>
      <c r="J69" s="31" t="n">
        <v>3.56</v>
      </c>
      <c r="K69" s="31" t="n">
        <v>6046</v>
      </c>
      <c r="L69" s="30" t="n">
        <v>71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66.61</v>
      </c>
      <c r="P69" s="31" t="n">
        <v>40.47</v>
      </c>
      <c r="Q69" s="31" t="n">
        <v>568.28</v>
      </c>
      <c r="R69" s="30" t="inlineStr">
        <is>
          <t>Earnings / Momentum Support</t>
        </is>
      </c>
      <c r="S69" s="30" t="inlineStr">
        <is>
          <t>Nifty 50</t>
        </is>
      </c>
      <c r="T69" s="31" t="n">
        <v>-4.38</v>
      </c>
      <c r="U69" s="31" t="n">
        <v>41.17</v>
      </c>
      <c r="V69" s="31" t="n">
        <v>47.64</v>
      </c>
      <c r="W69" s="31" t="n">
        <v>20.67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No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Close to 52 week high or retracement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Between 0.7 to 1.2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IF(B70=0,"",RANK(B70,$B$2:$B$427,0))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CENTENKA</t>
        </is>
      </c>
      <c r="D70" s="30" t="inlineStr">
        <is>
          <t>Century Enka Limited</t>
        </is>
      </c>
      <c r="E70" s="30" t="inlineStr">
        <is>
          <t>textiles</t>
        </is>
      </c>
      <c r="F70" s="30" t="inlineStr">
        <is>
          <t>textiles - manmade</t>
        </is>
      </c>
      <c r="G70" s="30" t="inlineStr">
        <is>
          <t>smallcap</t>
        </is>
      </c>
      <c r="H70" s="31" t="n">
        <v>1107.61</v>
      </c>
      <c r="I70" s="31" t="n">
        <v>524.85</v>
      </c>
      <c r="J70" s="31" t="n">
        <v>3.54</v>
      </c>
      <c r="K70" s="31" t="n">
        <v>172891</v>
      </c>
      <c r="L70" s="30" t="n">
        <v>26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61.68</v>
      </c>
      <c r="P70" s="31" t="n">
        <v>31.9</v>
      </c>
      <c r="Q70" s="31" t="n">
        <v>404.68</v>
      </c>
      <c r="R70" s="30" t="inlineStr">
        <is>
          <t>Near 52W High Breakout</t>
        </is>
      </c>
      <c r="S70" s="30" t="inlineStr">
        <is>
          <t>Nifty 50</t>
        </is>
      </c>
      <c r="T70" s="31" t="n">
        <v>-4.38</v>
      </c>
      <c r="U70" s="31" t="n">
        <v>7.95</v>
      </c>
      <c r="V70" s="31" t="n">
        <v>12.89</v>
      </c>
      <c r="W70" s="31" t="n">
        <v>7.51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Close to 52 week high or retracement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IF(B71=0,"",RANK(B71,$B$2:$B$427,0))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KENNAMET</t>
        </is>
      </c>
      <c r="D71" s="30" t="inlineStr">
        <is>
          <t>Kennametal India Ltd</t>
        </is>
      </c>
      <c r="E71" s="30" t="inlineStr">
        <is>
          <t>industrials</t>
        </is>
      </c>
      <c r="F71" s="30" t="inlineStr">
        <is>
          <t>castings &amp; forgings</t>
        </is>
      </c>
      <c r="G71" s="30" t="inlineStr">
        <is>
          <t>midcap</t>
        </is>
      </c>
      <c r="H71" s="31" t="n">
        <v>6496.77</v>
      </c>
      <c r="I71" s="31" t="n">
        <v>2999.3</v>
      </c>
      <c r="J71" s="31" t="n">
        <v>1.46</v>
      </c>
      <c r="K71" s="31" t="n">
        <v>6279</v>
      </c>
      <c r="L71" s="30" t="n">
        <v>52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66.34999999999999</v>
      </c>
      <c r="P71" s="31" t="n">
        <v>41.84</v>
      </c>
      <c r="Q71" s="31" t="n">
        <v>2396.99</v>
      </c>
      <c r="R71" s="30" t="inlineStr">
        <is>
          <t>Near 52W High Breakout</t>
        </is>
      </c>
      <c r="S71" s="30" t="inlineStr">
        <is>
          <t>Nifty Infra</t>
        </is>
      </c>
      <c r="T71" s="31" t="n">
        <v>4.18</v>
      </c>
      <c r="U71" s="31" t="n">
        <v>26.62</v>
      </c>
      <c r="V71" s="31" t="n">
        <v>21.54</v>
      </c>
      <c r="W71" s="31" t="n">
        <v>13.3</v>
      </c>
      <c r="X71" s="30" t="inlineStr">
        <is>
          <t>Cyclical in an Upturn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IF(B72=0,"",RANK(B72,$B$2:$B$427,0))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SIS</t>
        </is>
      </c>
      <c r="D72" s="30" t="inlineStr">
        <is>
          <t>Security &amp; Intelligence Services India</t>
        </is>
      </c>
      <c r="E72" s="30" t="inlineStr">
        <is>
          <t>miscellaneous</t>
        </is>
      </c>
      <c r="F72" s="30" t="inlineStr">
        <is>
          <t>miscellaneous</t>
        </is>
      </c>
      <c r="G72" s="30" t="inlineStr">
        <is>
          <t>midcap</t>
        </is>
      </c>
      <c r="H72" s="31" t="n">
        <v>5992.77</v>
      </c>
      <c r="I72" s="31" t="n">
        <v>429.75</v>
      </c>
      <c r="J72" s="31" t="n">
        <v>1.31</v>
      </c>
      <c r="K72" s="31" t="n">
        <v>221039</v>
      </c>
      <c r="L72" s="30" t="n">
        <v>64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77.47</v>
      </c>
      <c r="P72" s="31" t="n">
        <v>41.22</v>
      </c>
      <c r="Q72" s="31" t="n">
        <v>343.58</v>
      </c>
      <c r="R72" s="30" t="inlineStr">
        <is>
          <t>Near 52W High Breakout</t>
        </is>
      </c>
      <c r="S72" s="30" t="inlineStr">
        <is>
          <t>Nifty 50</t>
        </is>
      </c>
      <c r="T72" s="31" t="n">
        <v>-4.38</v>
      </c>
      <c r="U72" s="31" t="n">
        <v>19.27</v>
      </c>
      <c r="V72" s="31" t="n">
        <v>24.73</v>
      </c>
      <c r="W72" s="31" t="n">
        <v>17.66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Above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Less than 1.5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Between 0.7 to 1.2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IF(B73=0,"",RANK(B73,$B$2:$B$427,0))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STLTECH</t>
        </is>
      </c>
      <c r="D73" s="30" t="inlineStr">
        <is>
          <t>Sterlite Technologies Limited</t>
        </is>
      </c>
      <c r="E73" s="30" t="inlineStr">
        <is>
          <t>industrials</t>
        </is>
      </c>
      <c r="F73" s="30" t="inlineStr">
        <is>
          <t>cables - telephone</t>
        </is>
      </c>
      <c r="G73" s="30" t="inlineStr">
        <is>
          <t>largecap</t>
        </is>
      </c>
      <c r="H73" s="31" t="n">
        <v>31591.94</v>
      </c>
      <c r="I73" s="31" t="n">
        <v>654.35</v>
      </c>
      <c r="J73" s="31" t="n">
        <v>1.1</v>
      </c>
      <c r="K73" s="31" t="n">
        <v>2652413</v>
      </c>
      <c r="L73" s="30" t="n">
        <v>99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89.72</v>
      </c>
      <c r="P73" s="31" t="n">
        <v>81.75</v>
      </c>
      <c r="Q73" s="31" t="n">
        <v>499.93</v>
      </c>
      <c r="R73" s="30" t="inlineStr">
        <is>
          <t>Near 52W High Breakout</t>
        </is>
      </c>
      <c r="S73" s="30" t="inlineStr">
        <is>
          <t>Nifty Infra</t>
        </is>
      </c>
      <c r="T73" s="31" t="n">
        <v>4.18</v>
      </c>
      <c r="U73" s="31" t="n">
        <v>517.6</v>
      </c>
      <c r="V73" s="31" t="n">
        <v>492.84</v>
      </c>
      <c r="W73" s="31" t="n">
        <v>116.11</v>
      </c>
      <c r="X73" s="30" t="inlineStr">
        <is>
          <t>Cyclical in an Upturn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Above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Between 0.7 to 1.2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IF(B74=0,"",RANK(B74,$B$2:$B$427,0))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RAIN</t>
        </is>
      </c>
      <c r="D74" s="30" t="inlineStr">
        <is>
          <t>Rain Industries Limited</t>
        </is>
      </c>
      <c r="E74" s="30" t="inlineStr">
        <is>
          <t>miscellaneous</t>
        </is>
      </c>
      <c r="F74" s="30" t="inlineStr">
        <is>
          <t>miscellaneous</t>
        </is>
      </c>
      <c r="G74" s="30" t="inlineStr">
        <is>
          <t>midcap</t>
        </is>
      </c>
      <c r="H74" s="31" t="n">
        <v>6361.98</v>
      </c>
      <c r="I74" s="31" t="n">
        <v>191</v>
      </c>
      <c r="J74" s="31" t="n">
        <v>0.98</v>
      </c>
      <c r="K74" s="31" t="n">
        <v>3687315</v>
      </c>
      <c r="L74" s="30" t="n">
        <v>80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68.75</v>
      </c>
      <c r="P74" s="31" t="n">
        <v>25.42</v>
      </c>
      <c r="Q74" s="31" t="n">
        <v>144.48</v>
      </c>
      <c r="R74" s="30" t="inlineStr">
        <is>
          <t>Near 52W High Breakout</t>
        </is>
      </c>
      <c r="S74" s="30" t="inlineStr">
        <is>
          <t>Nifty 50</t>
        </is>
      </c>
      <c r="T74" s="31" t="n">
        <v>-4.38</v>
      </c>
      <c r="U74" s="31" t="n">
        <v>35.85</v>
      </c>
      <c r="V74" s="31" t="n">
        <v>42.07</v>
      </c>
      <c r="W74" s="31" t="n">
        <v>25.32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More than 1.2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IF(B75=0,"",RANK(B75,$B$2:$B$427,0))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PTL</t>
        </is>
      </c>
      <c r="D75" s="30" t="inlineStr">
        <is>
          <t>Ptl Enterprises Limited</t>
        </is>
      </c>
      <c r="E75" s="30" t="inlineStr">
        <is>
          <t>miscellaneous</t>
        </is>
      </c>
      <c r="F75" s="30" t="inlineStr">
        <is>
          <t>miscellaneous</t>
        </is>
      </c>
      <c r="G75" s="30" t="inlineStr">
        <is>
          <t>smallcap</t>
        </is>
      </c>
      <c r="H75" s="31" t="n">
        <v>555.3200000000001</v>
      </c>
      <c r="I75" s="31" t="n">
        <v>42.29</v>
      </c>
      <c r="J75" s="31" t="n">
        <v>0.8100000000000001</v>
      </c>
      <c r="K75" s="31" t="n">
        <v>72509</v>
      </c>
      <c r="L75" s="30" t="n">
        <v>14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64.65000000000001</v>
      </c>
      <c r="P75" s="31" t="n">
        <v>11.32</v>
      </c>
      <c r="Q75" s="31" t="n">
        <v>36.35</v>
      </c>
      <c r="R75" s="30" t="inlineStr">
        <is>
          <t>Volume Spike &amp; Near 52W High Breakout</t>
        </is>
      </c>
      <c r="S75" s="30" t="inlineStr">
        <is>
          <t>Nifty 50</t>
        </is>
      </c>
      <c r="T75" s="31" t="n">
        <v>-4.38</v>
      </c>
      <c r="U75" s="31" t="n">
        <v>10.69</v>
      </c>
      <c r="V75" s="31" t="n">
        <v>15.76</v>
      </c>
      <c r="W75" s="31" t="n">
        <v>4.62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0 to 20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Less than 1.5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IF(B76=0,"",RANK(B76,$B$2:$B$427,0))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HAPPYFORGE</t>
        </is>
      </c>
      <c r="D76" s="30" t="inlineStr">
        <is>
          <t>Happy Forgings Ltd</t>
        </is>
      </c>
      <c r="E76" s="30" t="inlineStr">
        <is>
          <t>industrials</t>
        </is>
      </c>
      <c r="F76" s="30" t="inlineStr">
        <is>
          <t>castings &amp; forgings</t>
        </is>
      </c>
      <c r="G76" s="30" t="inlineStr">
        <is>
          <t>midcap</t>
        </is>
      </c>
      <c r="H76" s="31" t="n">
        <v>13717.61</v>
      </c>
      <c r="I76" s="31" t="n">
        <v>1465</v>
      </c>
      <c r="J76" s="31" t="n">
        <v>0.76</v>
      </c>
      <c r="K76" s="31" t="n">
        <v>813443</v>
      </c>
      <c r="L76" s="30" t="n">
        <v>48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65.81</v>
      </c>
      <c r="P76" s="31" t="n">
        <v>33.45</v>
      </c>
      <c r="Q76" s="31" t="n">
        <v>1145.26</v>
      </c>
      <c r="R76" s="30" t="inlineStr">
        <is>
          <t>Volume Spike &amp; Near 52W High Breakout</t>
        </is>
      </c>
      <c r="S76" s="30" t="inlineStr">
        <is>
          <t>Nifty 50</t>
        </is>
      </c>
      <c r="T76" s="31" t="n">
        <v>-4.38</v>
      </c>
      <c r="U76" s="31" t="n">
        <v>52.94</v>
      </c>
      <c r="V76" s="31" t="n">
        <v>59.94</v>
      </c>
      <c r="W76" s="31" t="n">
        <v>12.28</v>
      </c>
      <c r="X76" s="30" t="inlineStr">
        <is>
          <t>Cyclical in an Upturn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Between 1.5 to 2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IF(B77=0,"",RANK(B77,$B$2:$B$427,0))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OCCLLTD</t>
        </is>
      </c>
      <c r="D77" s="30" t="inlineStr">
        <is>
          <t>OCCL Ltd</t>
        </is>
      </c>
      <c r="E77" s="30" t="inlineStr">
        <is>
          <t>chemicals</t>
        </is>
      </c>
      <c r="F77" s="30" t="inlineStr">
        <is>
          <t>chemicals</t>
        </is>
      </c>
      <c r="G77" s="30" t="inlineStr">
        <is>
          <t>smallcap</t>
        </is>
      </c>
      <c r="H77" s="31" t="n">
        <v>640.41</v>
      </c>
      <c r="I77" s="31" t="n">
        <v>129.05</v>
      </c>
      <c r="J77" s="31" t="n">
        <v>0.66</v>
      </c>
      <c r="K77" s="31" t="n">
        <v>19524</v>
      </c>
      <c r="L77" s="30" t="n">
        <v>55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68.84</v>
      </c>
      <c r="P77" s="31" t="n">
        <v>23.33</v>
      </c>
      <c r="Q77" s="31" t="n">
        <v>90.67</v>
      </c>
      <c r="R77" s="30" t="inlineStr">
        <is>
          <t>Earnings / Momentum Support</t>
        </is>
      </c>
      <c r="S77" s="30" t="inlineStr">
        <is>
          <t>Nifty 50</t>
        </is>
      </c>
      <c r="T77" s="31" t="n">
        <v>-4.38</v>
      </c>
      <c r="U77" s="31" t="n">
        <v>9.17</v>
      </c>
      <c r="V77" s="31" t="n">
        <v>14.16</v>
      </c>
      <c r="W77" s="31" t="n">
        <v>14.3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No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Less than 1.5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IF(B78=0,"",RANK(B78,$B$2:$B$427,0))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ABB</t>
        </is>
      </c>
      <c r="D78" s="30" t="inlineStr">
        <is>
          <t>Abb India Limited</t>
        </is>
      </c>
      <c r="E78" s="30" t="inlineStr">
        <is>
          <t>industrials</t>
        </is>
      </c>
      <c r="F78" s="30" t="inlineStr">
        <is>
          <t>electric equipment</t>
        </is>
      </c>
      <c r="G78" s="30" t="inlineStr">
        <is>
          <t>largecap</t>
        </is>
      </c>
      <c r="H78" s="31" t="n">
        <v>153188.56</v>
      </c>
      <c r="I78" s="31" t="n">
        <v>7248</v>
      </c>
      <c r="J78" s="31" t="n">
        <v>0.26</v>
      </c>
      <c r="K78" s="31" t="n">
        <v>241827</v>
      </c>
      <c r="L78" s="30" t="n">
        <v>28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62.38</v>
      </c>
      <c r="P78" s="31" t="n">
        <v>42.54</v>
      </c>
      <c r="Q78" s="31" t="n">
        <v>5917.68</v>
      </c>
      <c r="R78" s="30" t="inlineStr">
        <is>
          <t>Near 52W High Breakout</t>
        </is>
      </c>
      <c r="S78" s="30" t="inlineStr">
        <is>
          <t>Nifty 50</t>
        </is>
      </c>
      <c r="T78" s="31" t="n">
        <v>-4.38</v>
      </c>
      <c r="U78" s="31" t="n">
        <v>22.17</v>
      </c>
      <c r="V78" s="31" t="n">
        <v>27.76</v>
      </c>
      <c r="W78" s="31" t="n">
        <v>7.85</v>
      </c>
      <c r="X78" s="30" t="inlineStr">
        <is>
          <t>Cyclical in an Upturn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Above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IF(B79=0,"",RANK(B79,$B$2:$B$427,0))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SPORTKING</t>
        </is>
      </c>
      <c r="D79" s="30" t="inlineStr">
        <is>
          <t>Sportking India Ltd</t>
        </is>
      </c>
      <c r="E79" s="30" t="inlineStr">
        <is>
          <t>textiles</t>
        </is>
      </c>
      <c r="F79" s="30" t="inlineStr">
        <is>
          <t>textiles - spinning - synthetic / blended</t>
        </is>
      </c>
      <c r="G79" s="30" t="inlineStr">
        <is>
          <t>smallcap</t>
        </is>
      </c>
      <c r="H79" s="31" t="n">
        <v>2321.61</v>
      </c>
      <c r="I79" s="31" t="n">
        <v>183.07</v>
      </c>
      <c r="J79" s="31" t="n">
        <v>0.2</v>
      </c>
      <c r="K79" s="31" t="n">
        <v>178466</v>
      </c>
      <c r="L79" s="30" t="n">
        <v>80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81.05</v>
      </c>
      <c r="P79" s="31" t="n">
        <v>57.62</v>
      </c>
      <c r="Q79" s="31" t="n">
        <v>136.55</v>
      </c>
      <c r="R79" s="30" t="inlineStr">
        <is>
          <t>Near 52W High Breakout</t>
        </is>
      </c>
      <c r="S79" s="30" t="inlineStr">
        <is>
          <t>Nifty 50</t>
        </is>
      </c>
      <c r="T79" s="31" t="n">
        <v>-4.38</v>
      </c>
      <c r="U79" s="31" t="n">
        <v>72.73</v>
      </c>
      <c r="V79" s="31" t="n">
        <v>80.64</v>
      </c>
      <c r="W79" s="31" t="n">
        <v>25.4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Above 40</t>
        </is>
      </c>
      <c r="AY79" s="30">
        <f>IF(AX79="Above 40",20,IF(AX79="20 to 40",10,IF(AX79="0 to 20",-5,0)))</f>
        <v/>
      </c>
      <c r="AZ79" s="30" t="inlineStr">
        <is>
          <t>Above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Less than 12%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IF(B80=0,"",RANK(B80,$B$2:$B$427,0))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CUMMINSIND</t>
        </is>
      </c>
      <c r="D80" s="30" t="inlineStr">
        <is>
          <t>Cummins India Limited</t>
        </is>
      </c>
      <c r="E80" s="30" t="inlineStr">
        <is>
          <t>industrials</t>
        </is>
      </c>
      <c r="F80" s="30" t="inlineStr">
        <is>
          <t>engines</t>
        </is>
      </c>
      <c r="G80" s="30" t="inlineStr">
        <is>
          <t>largecap</t>
        </is>
      </c>
      <c r="H80" s="31" t="n">
        <v>162383.76</v>
      </c>
      <c r="I80" s="31" t="n">
        <v>5865</v>
      </c>
      <c r="J80" s="31" t="n">
        <v>0.12</v>
      </c>
      <c r="K80" s="31" t="n">
        <v>323514</v>
      </c>
      <c r="L80" s="30" t="n">
        <v>67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73.13</v>
      </c>
      <c r="P80" s="31" t="n">
        <v>42.82</v>
      </c>
      <c r="Q80" s="31" t="n">
        <v>4963.12</v>
      </c>
      <c r="R80" s="30" t="inlineStr">
        <is>
          <t>Near 52W High Breakout</t>
        </is>
      </c>
      <c r="S80" s="30" t="inlineStr">
        <is>
          <t>Nifty 500</t>
        </is>
      </c>
      <c r="T80" s="31" t="n">
        <v>0.45</v>
      </c>
      <c r="U80" s="31" t="n">
        <v>81.79000000000001</v>
      </c>
      <c r="V80" s="31" t="n">
        <v>80.98</v>
      </c>
      <c r="W80" s="31" t="n">
        <v>18.65</v>
      </c>
      <c r="X80" s="30" t="inlineStr">
        <is>
          <t>Cyclical in an Upturn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Above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Between 50% to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IF(B81=0,"",RANK(B81,$B$2:$B$427,0))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PIDILITIND</t>
        </is>
      </c>
      <c r="D81" s="30" t="inlineStr">
        <is>
          <t>Pidilite Industries Limited</t>
        </is>
      </c>
      <c r="E81" s="30" t="inlineStr">
        <is>
          <t>chemicals</t>
        </is>
      </c>
      <c r="F81" s="30" t="inlineStr">
        <is>
          <t>chemicals</t>
        </is>
      </c>
      <c r="G81" s="30" t="inlineStr">
        <is>
          <t>largecap</t>
        </is>
      </c>
      <c r="H81" s="31" t="n">
        <v>160919.03</v>
      </c>
      <c r="I81" s="31" t="n">
        <v>1579.9</v>
      </c>
      <c r="J81" s="31" t="n">
        <v>-0.08</v>
      </c>
      <c r="K81" s="31" t="n">
        <v>847276</v>
      </c>
      <c r="L81" s="30" t="n">
        <v>18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65.77</v>
      </c>
      <c r="P81" s="31" t="n">
        <v>20.97</v>
      </c>
      <c r="Q81" s="31" t="n">
        <v>1368.51</v>
      </c>
      <c r="R81" s="30" t="inlineStr">
        <is>
          <t>Near 52W High Breakout</t>
        </is>
      </c>
      <c r="S81" s="30" t="inlineStr">
        <is>
          <t>Nifty 50</t>
        </is>
      </c>
      <c r="T81" s="31" t="n">
        <v>-4.38</v>
      </c>
      <c r="U81" s="31" t="n">
        <v>7.62</v>
      </c>
      <c r="V81" s="31" t="n">
        <v>12.55</v>
      </c>
      <c r="W81" s="31" t="n">
        <v>5.41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Between 1.5 to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IF(B82=0,"",RANK(B82,$B$2:$B$427,0))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AVALON</t>
        </is>
      </c>
      <c r="D82" s="30" t="inlineStr">
        <is>
          <t>Avalon Technologies Ltd</t>
        </is>
      </c>
      <c r="E82" s="30" t="inlineStr">
        <is>
          <t>consumer discretionary</t>
        </is>
      </c>
      <c r="F82" s="30" t="inlineStr">
        <is>
          <t>electronics - components</t>
        </is>
      </c>
      <c r="G82" s="30" t="inlineStr">
        <is>
          <t>midcap</t>
        </is>
      </c>
      <c r="H82" s="31" t="n">
        <v>11719.46</v>
      </c>
      <c r="I82" s="31" t="n">
        <v>1744.6</v>
      </c>
      <c r="J82" s="31" t="n">
        <v>-0.61</v>
      </c>
      <c r="K82" s="31" t="n">
        <v>242389</v>
      </c>
      <c r="L82" s="30" t="n">
        <v>91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77.64</v>
      </c>
      <c r="P82" s="31" t="n">
        <v>37.56</v>
      </c>
      <c r="Q82" s="31" t="n">
        <v>1293.36</v>
      </c>
      <c r="R82" s="30" t="inlineStr">
        <is>
          <t>Near 52W High Breakout</t>
        </is>
      </c>
      <c r="S82" s="30" t="inlineStr">
        <is>
          <t>Nifty 50</t>
        </is>
      </c>
      <c r="T82" s="31" t="n">
        <v>-4.38</v>
      </c>
      <c r="U82" s="31" t="n">
        <v>108.8</v>
      </c>
      <c r="V82" s="31" t="n">
        <v>118.36</v>
      </c>
      <c r="W82" s="31" t="n">
        <v>36.35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20 to 40</t>
        </is>
      </c>
      <c r="AY82" s="30">
        <f>IF(AX82="Above 40",20,IF(AX82="20 to 40",10,IF(AX82="0 to 20",-5,0)))</f>
        <v/>
      </c>
      <c r="AZ82" s="30" t="inlineStr">
        <is>
          <t>Above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Less than 1.5</t>
        </is>
      </c>
      <c r="BU82" s="30">
        <f>IF(BT82="Above 2",0,IF(BT82="Between 1.5 to 2",5,IF(BT82="Less than 1.5",10,0)))</f>
        <v/>
      </c>
      <c r="BV82" s="30" t="inlineStr">
        <is>
          <t>Less than 50%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IF(B83=0,"",RANK(B83,$B$2:$B$427,0))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SYRMA</t>
        </is>
      </c>
      <c r="D83" s="30" t="inlineStr">
        <is>
          <t>Syrma SGS Technology Ltd</t>
        </is>
      </c>
      <c r="E83" s="30" t="inlineStr">
        <is>
          <t>consumer discretionary</t>
        </is>
      </c>
      <c r="F83" s="30" t="inlineStr">
        <is>
          <t>electronics - components</t>
        </is>
      </c>
      <c r="G83" s="30" t="inlineStr">
        <is>
          <t>largecap</t>
        </is>
      </c>
      <c r="H83" s="31" t="n">
        <v>25970.41</v>
      </c>
      <c r="I83" s="31" t="n">
        <v>1334</v>
      </c>
      <c r="J83" s="31" t="n">
        <v>-0.95</v>
      </c>
      <c r="K83" s="31" t="n">
        <v>899504</v>
      </c>
      <c r="L83" s="30" t="n">
        <v>93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76.70999999999999</v>
      </c>
      <c r="P83" s="31" t="n">
        <v>37.66</v>
      </c>
      <c r="Q83" s="31" t="n">
        <v>1047.92</v>
      </c>
      <c r="R83" s="30" t="inlineStr">
        <is>
          <t>Near 52W High Breakout</t>
        </is>
      </c>
      <c r="S83" s="30" t="inlineStr">
        <is>
          <t>Nifty 50</t>
        </is>
      </c>
      <c r="T83" s="31" t="n">
        <v>-4.38</v>
      </c>
      <c r="U83" s="31" t="n">
        <v>163.79</v>
      </c>
      <c r="V83" s="31" t="n">
        <v>175.86</v>
      </c>
      <c r="W83" s="31" t="n">
        <v>39.89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Above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Between 1.5 to 2</t>
        </is>
      </c>
      <c r="BU83" s="30">
        <f>IF(BT83="Above 2",0,IF(BT83="Between 1.5 to 2",5,IF(BT83="Less than 1.5",10,0)))</f>
        <v/>
      </c>
      <c r="BV83" s="30" t="inlineStr">
        <is>
          <t>Between 50% to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IF(B84=0,"",RANK(B84,$B$2:$B$427,0))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GOLDIAM</t>
        </is>
      </c>
      <c r="D84" s="30" t="inlineStr">
        <is>
          <t>Goldiam International Limited</t>
        </is>
      </c>
      <c r="E84" s="30" t="inlineStr">
        <is>
          <t>consumer discretionary</t>
        </is>
      </c>
      <c r="F84" s="30" t="inlineStr">
        <is>
          <t>diamond cutting / jewellery</t>
        </is>
      </c>
      <c r="G84" s="30" t="inlineStr">
        <is>
          <t>midcap</t>
        </is>
      </c>
      <c r="H84" s="31" t="n">
        <v>5416.67</v>
      </c>
      <c r="I84" s="31" t="n">
        <v>474.6</v>
      </c>
      <c r="J84" s="31" t="n">
        <v>-1.06</v>
      </c>
      <c r="K84" s="31" t="n">
        <v>559318</v>
      </c>
      <c r="L84" s="30" t="n">
        <v>75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64.2</v>
      </c>
      <c r="P84" s="31" t="n">
        <v>28.74</v>
      </c>
      <c r="Q84" s="31" t="n">
        <v>342.47</v>
      </c>
      <c r="R84" s="30" t="inlineStr">
        <is>
          <t>Near 52W High Breakout</t>
        </is>
      </c>
      <c r="S84" s="30" t="inlineStr">
        <is>
          <t>Nifty 50</t>
        </is>
      </c>
      <c r="T84" s="31" t="n">
        <v>-4.38</v>
      </c>
      <c r="U84" s="31" t="n">
        <v>38.16</v>
      </c>
      <c r="V84" s="31" t="n">
        <v>44.49</v>
      </c>
      <c r="W84" s="31" t="n">
        <v>21.83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Less than 50%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IF(B85=0,"",RANK(B85,$B$2:$B$427,0))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CEIGALL</t>
        </is>
      </c>
      <c r="D85" s="30" t="inlineStr">
        <is>
          <t>Ceigall India Ltd</t>
        </is>
      </c>
      <c r="E85" s="30" t="inlineStr">
        <is>
          <t>realty</t>
        </is>
      </c>
      <c r="F85" s="30" t="inlineStr">
        <is>
          <t>construction</t>
        </is>
      </c>
      <c r="G85" s="30" t="inlineStr">
        <is>
          <t>midcap</t>
        </is>
      </c>
      <c r="H85" s="31" t="n">
        <v>6616.3</v>
      </c>
      <c r="I85" s="31" t="n">
        <v>374.6</v>
      </c>
      <c r="J85" s="31" t="n">
        <v>-1.37</v>
      </c>
      <c r="K85" s="31" t="n">
        <v>944948</v>
      </c>
      <c r="L85" s="30" t="n">
        <v>65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71.81</v>
      </c>
      <c r="P85" s="31" t="n">
        <v>45.93</v>
      </c>
      <c r="Q85" s="31" t="n">
        <v>296.6</v>
      </c>
      <c r="R85" s="30" t="inlineStr">
        <is>
          <t>Near 52W High Breakout</t>
        </is>
      </c>
      <c r="S85" s="30" t="inlineStr">
        <is>
          <t>Nifty Realty</t>
        </is>
      </c>
      <c r="T85" s="31" t="n">
        <v>-19.9</v>
      </c>
      <c r="U85" s="31" t="n">
        <v>53.61</v>
      </c>
      <c r="V85" s="31" t="n">
        <v>91.78</v>
      </c>
      <c r="W85" s="31" t="n">
        <v>17.89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Above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Negative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IF(B86=0,"",RANK(B86,$B$2:$B$427,0))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VIJAYA</t>
        </is>
      </c>
      <c r="D86" s="30" t="inlineStr">
        <is>
          <t>Vijaya Diagnostic Centre Ltd</t>
        </is>
      </c>
      <c r="E86" s="30" t="inlineStr">
        <is>
          <t>healthcare</t>
        </is>
      </c>
      <c r="F86" s="30" t="inlineStr">
        <is>
          <t>healthcare</t>
        </is>
      </c>
      <c r="G86" s="30" t="inlineStr">
        <is>
          <t>midcap</t>
        </is>
      </c>
      <c r="H86" s="31" t="n">
        <v>13434.2</v>
      </c>
      <c r="I86" s="31" t="n">
        <v>1364.2</v>
      </c>
      <c r="J86" s="31" t="n">
        <v>4.49</v>
      </c>
      <c r="K86" s="31" t="n">
        <v>327949</v>
      </c>
      <c r="L86" s="30" t="n">
        <v>70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66.79000000000001</v>
      </c>
      <c r="P86" s="31" t="n">
        <v>35.05</v>
      </c>
      <c r="Q86" s="31" t="n">
        <v>1077.78</v>
      </c>
      <c r="R86" s="30" t="inlineStr">
        <is>
          <t>Near 52W High Breakout</t>
        </is>
      </c>
      <c r="S86" s="30" t="inlineStr">
        <is>
          <t>Nifty Pharma</t>
        </is>
      </c>
      <c r="T86" s="31" t="n">
        <v>13.17</v>
      </c>
      <c r="U86" s="31" t="n">
        <v>46.94</v>
      </c>
      <c r="V86" s="31" t="n">
        <v>29.84</v>
      </c>
      <c r="W86" s="31" t="n">
        <v>20.11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Yes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Annuity, Lower One Time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IF(B87=0,"",RANK(B87,$B$2:$B$427,0))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LAURUSLABS</t>
        </is>
      </c>
      <c r="D87" s="30" t="inlineStr">
        <is>
          <t>Laurus Labs Limited</t>
        </is>
      </c>
      <c r="E87" s="30" t="inlineStr">
        <is>
          <t>healthcare</t>
        </is>
      </c>
      <c r="F87" s="30" t="inlineStr">
        <is>
          <t>pharmaceuticals - indian - bulk drugs &amp; formln</t>
        </is>
      </c>
      <c r="G87" s="30" t="inlineStr">
        <is>
          <t>largecap</t>
        </is>
      </c>
      <c r="H87" s="31" t="n">
        <v>73895.57000000001</v>
      </c>
      <c r="I87" s="31" t="n">
        <v>1412.9</v>
      </c>
      <c r="J87" s="31" t="n">
        <v>3.22</v>
      </c>
      <c r="K87" s="31" t="n">
        <v>2349174</v>
      </c>
      <c r="L87" s="30" t="n">
        <v>83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73.83</v>
      </c>
      <c r="P87" s="31" t="n">
        <v>36.07</v>
      </c>
      <c r="Q87" s="31" t="n">
        <v>1221.11</v>
      </c>
      <c r="R87" s="30" t="inlineStr">
        <is>
          <t>Near 52W High Breakout</t>
        </is>
      </c>
      <c r="S87" s="30" t="inlineStr">
        <is>
          <t>Nifty Pharma</t>
        </is>
      </c>
      <c r="T87" s="31" t="n">
        <v>13.17</v>
      </c>
      <c r="U87" s="31" t="n">
        <v>117.43</v>
      </c>
      <c r="V87" s="31" t="n">
        <v>92.12</v>
      </c>
      <c r="W87" s="31" t="n">
        <v>27.28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Yes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Annuity, Lower One Time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Between 12 to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Yes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IF(B88=0,"",RANK(B88,$B$2:$B$427,0))</f>
        <v/>
      </c>
      <c r="B88" s="31">
        <f>SUM(N88,Y88,AA88,AC88,AE88,AG88,AI88,AK88,AM88,AO88,AQ88,AS88,AU88,AW88,AY88,BA88,BC88,BE88,BG88,BI88,BK88,BM88,BO88,BQ88,BS88,BU88,BW88,BY88,CA88,CC88,CE88)</f>
        <v/>
      </c>
      <c r="C88" s="32" t="inlineStr">
        <is>
          <t>INNOVACAP</t>
        </is>
      </c>
      <c r="D88" s="32" t="inlineStr">
        <is>
          <t>Innova Captab Ltd</t>
        </is>
      </c>
      <c r="E88" s="30" t="inlineStr">
        <is>
          <t>healthcare</t>
        </is>
      </c>
      <c r="F88" s="30" t="inlineStr">
        <is>
          <t>pharmaceuticals - indian - bulk drugs &amp; formln</t>
        </is>
      </c>
      <c r="G88" s="30" t="inlineStr">
        <is>
          <t>midcap</t>
        </is>
      </c>
      <c r="H88" s="31" t="n">
        <v>5338.8</v>
      </c>
      <c r="I88" s="31" t="n">
        <v>949.55</v>
      </c>
      <c r="J88" s="31" t="n">
        <v>1.78</v>
      </c>
      <c r="K88" s="31" t="n">
        <v>28432</v>
      </c>
      <c r="L88" s="30" t="n">
        <v>47</v>
      </c>
      <c r="M88" s="30" t="inlineStr">
        <is>
          <t>Underperforming</t>
        </is>
      </c>
      <c r="N88" s="31">
        <f>IF(M88="Underperforming",-5,IF(L88&gt;=95,15,IF(L88&gt;=90,10,IF(L88&gt;=80,5,0))))</f>
        <v/>
      </c>
      <c r="O88" s="31" t="n">
        <v>71.98999999999999</v>
      </c>
      <c r="P88" s="31" t="n">
        <v>31.94</v>
      </c>
      <c r="Q88" s="31" t="n">
        <v>744.46</v>
      </c>
      <c r="R88" s="30" t="inlineStr">
        <is>
          <t>Near 52W High Breakout</t>
        </is>
      </c>
      <c r="S88" s="30" t="inlineStr">
        <is>
          <t>Nifty Pharma</t>
        </is>
      </c>
      <c r="T88" s="31" t="n">
        <v>13.17</v>
      </c>
      <c r="U88" s="31" t="n">
        <v>12.36</v>
      </c>
      <c r="V88" s="31" t="n">
        <v>-0.72</v>
      </c>
      <c r="W88" s="31" t="n">
        <v>11.99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Yes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Annuity, Lower One Time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Less than 1.5</t>
        </is>
      </c>
      <c r="BU88" s="30">
        <f>IF(BT88="Above 2",0,IF(BT88="Between 1.5 to 2",5,IF(BT88="Less than 1.5",10,0)))</f>
        <v/>
      </c>
      <c r="BV88" s="30" t="inlineStr">
        <is>
          <t>Between 50% to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IF(B89=0,"",RANK(B89,$B$2:$B$427,0))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ZYDUSWELL</t>
        </is>
      </c>
      <c r="D89" s="30" t="inlineStr">
        <is>
          <t>Zydus Wellness Limited</t>
        </is>
      </c>
      <c r="E89" s="30" t="inlineStr">
        <is>
          <t>fmcg</t>
        </is>
      </c>
      <c r="F89" s="30" t="inlineStr">
        <is>
          <t>food - processing - indian</t>
        </is>
      </c>
      <c r="G89" s="30" t="inlineStr">
        <is>
          <t>midcap</t>
        </is>
      </c>
      <c r="H89" s="31" t="n">
        <v>16055.98</v>
      </c>
      <c r="I89" s="31" t="n">
        <v>512.35</v>
      </c>
      <c r="J89" s="31" t="n">
        <v>1.53</v>
      </c>
      <c r="K89" s="31" t="n">
        <v>189453</v>
      </c>
      <c r="L89" s="30" t="n">
        <v>41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62.22</v>
      </c>
      <c r="P89" s="31" t="n">
        <v>40.93</v>
      </c>
      <c r="Q89" s="31" t="n">
        <v>401.95</v>
      </c>
      <c r="R89" s="30" t="inlineStr">
        <is>
          <t>Near 52W High Breakout</t>
        </is>
      </c>
      <c r="S89" s="30" t="inlineStr">
        <is>
          <t>Nifty FMCG</t>
        </is>
      </c>
      <c r="T89" s="31" t="n">
        <v>-9.279999999999999</v>
      </c>
      <c r="U89" s="31" t="n">
        <v>28.32</v>
      </c>
      <c r="V89" s="31" t="n">
        <v>41.46</v>
      </c>
      <c r="W89" s="31" t="n">
        <v>10.55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B2C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Annuity, Lower One Time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Above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Blue sky scenario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Less than 12%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Yes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Less than 50%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IF(B90=0,"",RANK(B90,$B$2:$B$427,0))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PIXTRANS</t>
        </is>
      </c>
      <c r="D90" s="30" t="inlineStr">
        <is>
          <t>Pix Transmission Ltd</t>
        </is>
      </c>
      <c r="E90" s="30" t="inlineStr">
        <is>
          <t>fmcg</t>
        </is>
      </c>
      <c r="F90" s="30" t="inlineStr">
        <is>
          <t>miscellaneous</t>
        </is>
      </c>
      <c r="G90" s="30" t="inlineStr">
        <is>
          <t>smallcap</t>
        </is>
      </c>
      <c r="H90" s="31" t="n">
        <v>2202.51</v>
      </c>
      <c r="I90" s="31" t="n">
        <v>1640.6</v>
      </c>
      <c r="J90" s="31" t="n">
        <v>1.49</v>
      </c>
      <c r="K90" s="31" t="n">
        <v>19589</v>
      </c>
      <c r="L90" s="30" t="n">
        <v>10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62.37</v>
      </c>
      <c r="P90" s="31" t="n">
        <v>23.06</v>
      </c>
      <c r="Q90" s="31" t="n">
        <v>1336.57</v>
      </c>
      <c r="R90" s="30" t="inlineStr">
        <is>
          <t>Near 52W High Breakout</t>
        </is>
      </c>
      <c r="S90" s="30" t="inlineStr">
        <is>
          <t>Nifty FMCG</t>
        </is>
      </c>
      <c r="T90" s="31" t="n">
        <v>-9.279999999999999</v>
      </c>
      <c r="U90" s="31" t="n">
        <v>4.53</v>
      </c>
      <c r="V90" s="31" t="n">
        <v>15.23</v>
      </c>
      <c r="W90" s="31" t="n">
        <v>3.72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B2C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Annuity, Lower One Time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20 to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Less than 12%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IF(B91=0,"",RANK(B91,$B$2:$B$427,0))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THYROCARE</t>
        </is>
      </c>
      <c r="D91" s="30" t="inlineStr">
        <is>
          <t>Thyrocare Technologies Limited</t>
        </is>
      </c>
      <c r="E91" s="30" t="inlineStr">
        <is>
          <t>healthcare</t>
        </is>
      </c>
      <c r="F91" s="30" t="inlineStr">
        <is>
          <t>healthcare</t>
        </is>
      </c>
      <c r="G91" s="30" t="inlineStr">
        <is>
          <t>midcap</t>
        </is>
      </c>
      <c r="H91" s="31" t="n">
        <v>8505.790000000001</v>
      </c>
      <c r="I91" s="31" t="n">
        <v>540.55</v>
      </c>
      <c r="J91" s="31" t="n">
        <v>1.15</v>
      </c>
      <c r="K91" s="31" t="n">
        <v>138650</v>
      </c>
      <c r="L91" s="30" t="n">
        <v>77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70.39</v>
      </c>
      <c r="P91" s="31" t="n">
        <v>29.47</v>
      </c>
      <c r="Q91" s="31" t="n">
        <v>411.2</v>
      </c>
      <c r="R91" s="30" t="inlineStr">
        <is>
          <t>Near 52W High Breakout</t>
        </is>
      </c>
      <c r="S91" s="30" t="inlineStr">
        <is>
          <t>Nifty Pharma</t>
        </is>
      </c>
      <c r="T91" s="31" t="n">
        <v>13.17</v>
      </c>
      <c r="U91" s="31" t="n">
        <v>64.05</v>
      </c>
      <c r="V91" s="31" t="n">
        <v>44.96</v>
      </c>
      <c r="W91" s="31" t="n">
        <v>23.74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Yes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Annuity, Lower One Time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Yes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IF(B92=0,"",RANK(B92,$B$2:$B$427,0))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LUPIN</t>
        </is>
      </c>
      <c r="D92" s="30" t="inlineStr">
        <is>
          <t>Lupin Limited</t>
        </is>
      </c>
      <c r="E92" s="30" t="inlineStr">
        <is>
          <t>healthcare</t>
        </is>
      </c>
      <c r="F92" s="30" t="inlineStr">
        <is>
          <t>pharmaceuticals - indian - bulk drugs &amp; formln</t>
        </is>
      </c>
      <c r="G92" s="30" t="inlineStr">
        <is>
          <t>largecap</t>
        </is>
      </c>
      <c r="H92" s="31" t="n">
        <v>106390.15</v>
      </c>
      <c r="I92" s="31" t="n">
        <v>2351.6</v>
      </c>
      <c r="J92" s="31" t="n">
        <v>1.05</v>
      </c>
      <c r="K92" s="31" t="n">
        <v>1186959</v>
      </c>
      <c r="L92" s="30" t="n">
        <v>12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61.91</v>
      </c>
      <c r="P92" s="31" t="n">
        <v>12.3</v>
      </c>
      <c r="Q92" s="31" t="n">
        <v>2079.19</v>
      </c>
      <c r="R92" s="30" t="inlineStr">
        <is>
          <t>Near 52W High Breakout</t>
        </is>
      </c>
      <c r="S92" s="30" t="inlineStr">
        <is>
          <t>Nifty Pharma</t>
        </is>
      </c>
      <c r="T92" s="31" t="n">
        <v>13.17</v>
      </c>
      <c r="U92" s="31" t="n">
        <v>21.47</v>
      </c>
      <c r="V92" s="31" t="n">
        <v>7.33</v>
      </c>
      <c r="W92" s="31" t="n">
        <v>4.27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Yes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Annuity, Lower One Time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0 to 20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Blue sky scenario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Less than 1.5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IF(B93=0,"",RANK(B93,$B$2:$B$427,0))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SHILPAMED</t>
        </is>
      </c>
      <c r="D93" s="30" t="inlineStr">
        <is>
          <t>Shilpa Medicare Limited</t>
        </is>
      </c>
      <c r="E93" s="30" t="inlineStr">
        <is>
          <t>healthcare</t>
        </is>
      </c>
      <c r="F93" s="30" t="inlineStr">
        <is>
          <t>pharmaceuticals - indian - formulations</t>
        </is>
      </c>
      <c r="G93" s="30" t="inlineStr">
        <is>
          <t>midcap</t>
        </is>
      </c>
      <c r="H93" s="31" t="n">
        <v>10670.94</v>
      </c>
      <c r="I93" s="31" t="n">
        <v>551.35</v>
      </c>
      <c r="J93" s="31" t="n">
        <v>1.05</v>
      </c>
      <c r="K93" s="31" t="n">
        <v>543714</v>
      </c>
      <c r="L93" s="30" t="n">
        <v>76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79.93000000000001</v>
      </c>
      <c r="P93" s="31" t="n">
        <v>49.81</v>
      </c>
      <c r="Q93" s="31" t="n">
        <v>423.36</v>
      </c>
      <c r="R93" s="30" t="inlineStr">
        <is>
          <t>Near 52W High Breakout</t>
        </is>
      </c>
      <c r="S93" s="30" t="inlineStr">
        <is>
          <t>Nifty Pharma</t>
        </is>
      </c>
      <c r="T93" s="31" t="n">
        <v>13.17</v>
      </c>
      <c r="U93" s="31" t="n">
        <v>25.39</v>
      </c>
      <c r="V93" s="31" t="n">
        <v>10.8</v>
      </c>
      <c r="W93" s="31" t="n">
        <v>22.64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Yes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Annuity, Lower One Time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Above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Blue sky scenario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Yes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IF(B94=0,"",RANK(B94,$B$2:$B$427,0))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NEULANDLAB</t>
        </is>
      </c>
      <c r="D94" s="30" t="inlineStr">
        <is>
          <t>Neuland Laboratories Limited</t>
        </is>
      </c>
      <c r="E94" s="30" t="inlineStr">
        <is>
          <t>healthcare</t>
        </is>
      </c>
      <c r="F94" s="30" t="inlineStr">
        <is>
          <t>pharmaceuticals - indian - bulk drugs</t>
        </is>
      </c>
      <c r="G94" s="30" t="inlineStr">
        <is>
          <t>largecap</t>
        </is>
      </c>
      <c r="H94" s="31" t="n">
        <v>22093.07</v>
      </c>
      <c r="I94" s="31" t="n">
        <v>17345</v>
      </c>
      <c r="J94" s="31" t="n">
        <v>0.73</v>
      </c>
      <c r="K94" s="31" t="n">
        <v>26662</v>
      </c>
      <c r="L94" s="30" t="n">
        <v>68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62.82</v>
      </c>
      <c r="P94" s="31" t="n">
        <v>32.41</v>
      </c>
      <c r="Q94" s="31" t="n">
        <v>13873.84</v>
      </c>
      <c r="R94" s="30" t="inlineStr">
        <is>
          <t>Near 52W High Breakout</t>
        </is>
      </c>
      <c r="S94" s="30" t="inlineStr">
        <is>
          <t>Nifty Pharma</t>
        </is>
      </c>
      <c r="T94" s="31" t="n">
        <v>13.17</v>
      </c>
      <c r="U94" s="31" t="n">
        <v>41.77</v>
      </c>
      <c r="V94" s="31" t="n">
        <v>25.26</v>
      </c>
      <c r="W94" s="31" t="n">
        <v>18.82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Yes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Annuity, Lower One Time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20 to 40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Blue sky scenario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Yes</t>
        </is>
      </c>
      <c r="BS94" s="30">
        <f>IF(BR94="NO",5,0)</f>
        <v/>
      </c>
      <c r="BT94" s="30" t="inlineStr">
        <is>
          <t>Above 2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IF(B95=0,"",RANK(B95,$B$2:$B$427,0))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KEI</t>
        </is>
      </c>
      <c r="D95" s="30" t="inlineStr">
        <is>
          <t>Kei Industries Limited</t>
        </is>
      </c>
      <c r="E95" s="30" t="inlineStr">
        <is>
          <t>industrials</t>
        </is>
      </c>
      <c r="F95" s="30" t="inlineStr">
        <is>
          <t>cables - power</t>
        </is>
      </c>
      <c r="G95" s="30" t="inlineStr">
        <is>
          <t>largecap</t>
        </is>
      </c>
      <c r="H95" s="31" t="n">
        <v>53827.92</v>
      </c>
      <c r="I95" s="31" t="n">
        <v>5631</v>
      </c>
      <c r="J95" s="31" t="n">
        <v>0.01</v>
      </c>
      <c r="K95" s="31" t="n">
        <v>339856</v>
      </c>
      <c r="L95" s="30" t="inlineStr"/>
      <c r="M95" s="30" t="inlineStr"/>
      <c r="N95" s="31">
        <f>IF(M95="Underperforming",-5,IF(L95&gt;=95,15,IF(L95&gt;=90,10,IF(L95&gt;=80,5,0))))</f>
        <v/>
      </c>
      <c r="O95" s="31" t="inlineStr"/>
      <c r="P95" s="31" t="inlineStr"/>
      <c r="Q95" s="31" t="inlineStr"/>
      <c r="R95" s="30" t="inlineStr"/>
      <c r="S95" s="30" t="inlineStr"/>
      <c r="T95" s="31" t="inlineStr"/>
      <c r="U95" s="31" t="inlineStr"/>
      <c r="V95" s="31" t="inlineStr"/>
      <c r="W95" s="31" t="inlineStr"/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No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Fully Annuity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Above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Close to 52 week high or retracement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Yes</t>
        </is>
      </c>
      <c r="BQ95" s="30">
        <f>IF(BP95="No",10,0)</f>
        <v/>
      </c>
      <c r="BR95" s="30" t="inlineStr">
        <is>
          <t>No</t>
        </is>
      </c>
      <c r="BS95" s="30">
        <f>IF(BR95="NO",5,0)</f>
        <v/>
      </c>
      <c r="BT95" s="30" t="inlineStr">
        <is>
          <t>Less than 1.5</t>
        </is>
      </c>
      <c r="BU95" s="30">
        <f>IF(BT95="Above 2",0,IF(BT95="Between 1.5 to 2",5,IF(BT95="Less than 1.5",10,0)))</f>
        <v/>
      </c>
      <c r="BV95" s="30" t="inlineStr">
        <is>
          <t>Above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Yes, More Than 10%</t>
        </is>
      </c>
      <c r="CE95" s="30">
        <f>IF(CD95="Yes, more than 10%",-10,IF(CD95="No",10,0))</f>
        <v/>
      </c>
    </row>
    <row r="96">
      <c r="A96" s="30">
        <f>IF(B96=0,"",RANK(B96,$B$2:$B$427,0))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SENORES</t>
        </is>
      </c>
      <c r="D96" s="30" t="inlineStr">
        <is>
          <t>Senores Pharmaceuticals Ltd</t>
        </is>
      </c>
      <c r="E96" s="30" t="inlineStr">
        <is>
          <t>healthcare</t>
        </is>
      </c>
      <c r="F96" s="30" t="inlineStr">
        <is>
          <t>pharmaceuticals - indian - formulations</t>
        </is>
      </c>
      <c r="G96" s="30" t="inlineStr">
        <is>
          <t>midcap</t>
        </is>
      </c>
      <c r="H96" s="31" t="n">
        <v>6057.89</v>
      </c>
      <c r="I96" s="31" t="n">
        <v>1315</v>
      </c>
      <c r="J96" s="31" t="n">
        <v>-0.03</v>
      </c>
      <c r="K96" s="31" t="n">
        <v>185610</v>
      </c>
      <c r="L96" s="30" t="n">
        <v>92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78.22</v>
      </c>
      <c r="P96" s="31" t="n">
        <v>44.88</v>
      </c>
      <c r="Q96" s="31" t="n">
        <v>1014.72</v>
      </c>
      <c r="R96" s="30" t="inlineStr">
        <is>
          <t>Near 52W High Breakout</t>
        </is>
      </c>
      <c r="S96" s="30" t="inlineStr">
        <is>
          <t>Nifty Pharma</t>
        </is>
      </c>
      <c r="T96" s="31" t="n">
        <v>13.17</v>
      </c>
      <c r="U96" s="31" t="n">
        <v>152.81</v>
      </c>
      <c r="V96" s="31" t="n">
        <v>123.38</v>
      </c>
      <c r="W96" s="31" t="n">
        <v>38.66</v>
      </c>
      <c r="X96" s="30" t="inlineStr">
        <is>
          <t>Growing Industry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Yes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Annuity, Lower One Time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Above 40</t>
        </is>
      </c>
      <c r="AY96" s="30">
        <f>IF(AX96="Above 40",20,IF(AX96="20 to 40",10,IF(AX96="0 to 20",-5,0)))</f>
        <v/>
      </c>
      <c r="AZ96" s="30" t="inlineStr">
        <is>
          <t>Above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Blue sky scenario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More than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Yes</t>
        </is>
      </c>
      <c r="BS96" s="30">
        <f>IF(BR96="NO",5,0)</f>
        <v/>
      </c>
      <c r="BT96" s="30" t="inlineStr">
        <is>
          <t>Above 2</t>
        </is>
      </c>
      <c r="BU96" s="30">
        <f>IF(BT96="Above 2",0,IF(BT96="Between 1.5 to 2",5,IF(BT96="Less than 1.5",10,0)))</f>
        <v/>
      </c>
      <c r="BV96" s="30" t="inlineStr">
        <is>
          <t>Less than 50%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IF(B97=0,"",RANK(B97,$B$2:$B$427,0))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SPARC</t>
        </is>
      </c>
      <c r="D97" s="30" t="inlineStr">
        <is>
          <t>Sun Pharma Advanced Research Company Limited</t>
        </is>
      </c>
      <c r="E97" s="30" t="inlineStr">
        <is>
          <t>healthcare</t>
        </is>
      </c>
      <c r="F97" s="30" t="inlineStr">
        <is>
          <t>miscellaneous</t>
        </is>
      </c>
      <c r="G97" s="30" t="inlineStr">
        <is>
          <t>midcap</t>
        </is>
      </c>
      <c r="H97" s="31" t="n">
        <v>7868.67</v>
      </c>
      <c r="I97" s="31" t="n">
        <v>238.09</v>
      </c>
      <c r="J97" s="31" t="n">
        <v>-1.81</v>
      </c>
      <c r="K97" s="31" t="n">
        <v>1855116</v>
      </c>
      <c r="L97" s="30" t="n">
        <v>92</v>
      </c>
      <c r="M97" s="30" t="inlineStr">
        <is>
          <t>Outperforming</t>
        </is>
      </c>
      <c r="N97" s="31">
        <f>IF(M97="Underperforming",-5,IF(L97&gt;=95,15,IF(L97&gt;=90,10,IF(L97&gt;=80,5,0))))</f>
        <v/>
      </c>
      <c r="O97" s="31" t="n">
        <v>78.79000000000001</v>
      </c>
      <c r="P97" s="31" t="n">
        <v>50.15</v>
      </c>
      <c r="Q97" s="31" t="n">
        <v>168.22</v>
      </c>
      <c r="R97" s="30" t="inlineStr">
        <is>
          <t>Near 52W High Breakout</t>
        </is>
      </c>
      <c r="S97" s="30" t="inlineStr">
        <is>
          <t>Nifty Pharma</t>
        </is>
      </c>
      <c r="T97" s="31" t="n">
        <v>13.17</v>
      </c>
      <c r="U97" s="31" t="n">
        <v>51.97</v>
      </c>
      <c r="V97" s="31" t="n">
        <v>34.28</v>
      </c>
      <c r="W97" s="31" t="n">
        <v>36.93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Yes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Annuity, Lower One Time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Above 40</t>
        </is>
      </c>
      <c r="AY97" s="30">
        <f>IF(AX97="Above 40",20,IF(AX97="20 to 40",10,IF(AX97="0 to 20",-5,0)))</f>
        <v/>
      </c>
      <c r="AZ97" s="30" t="inlineStr">
        <is>
          <t>Above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Close to 52 week high or retracement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No</t>
        </is>
      </c>
      <c r="BS97" s="30">
        <f>IF(BR97="NO",5,0)</f>
        <v/>
      </c>
      <c r="BT97" s="30" t="inlineStr">
        <is>
          <t>Less than 1.5</t>
        </is>
      </c>
      <c r="BU97" s="30">
        <f>IF(BT97="Above 2",0,IF(BT97="Between 1.5 to 2",5,IF(BT97="Less than 1.5",10,0)))</f>
        <v/>
      </c>
      <c r="BV97" s="30" t="inlineStr">
        <is>
          <t>Negative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IF(B98=0,"",RANK(B98,$B$2:$B$427,0))</f>
        <v/>
      </c>
      <c r="B98" s="31">
        <f>SUM(N98,Y98,AA98,AC98,AE98,AG98,AI98,AK98,AM98,AO98,AQ98,AS98,AU98,AW98,AY98,BA98,BC98,BE98,BG98,BI98,BK98,BM98,BO98,BQ98,BS98,BU98,BW98,BY98,CA98,CC98,CE98)</f>
        <v/>
      </c>
      <c r="C98" s="32" t="inlineStr">
        <is>
          <t>SANOFICONR</t>
        </is>
      </c>
      <c r="D98" s="32" t="inlineStr">
        <is>
          <t>Sanofi Consumer Healthcare India Ltd</t>
        </is>
      </c>
      <c r="E98" s="30" t="inlineStr">
        <is>
          <t>healthcare</t>
        </is>
      </c>
      <c r="F98" s="30" t="inlineStr">
        <is>
          <t>pharmaceuticals - multinational</t>
        </is>
      </c>
      <c r="G98" s="30" t="inlineStr">
        <is>
          <t>midcap</t>
        </is>
      </c>
      <c r="H98" s="31" t="n">
        <v>11396.93</v>
      </c>
      <c r="I98" s="31" t="n">
        <v>4812.5</v>
      </c>
      <c r="J98" s="31" t="n">
        <v>-2.75</v>
      </c>
      <c r="K98" s="31" t="n">
        <v>15085</v>
      </c>
      <c r="L98" s="30" t="n">
        <v>5</v>
      </c>
      <c r="M98" s="30" t="inlineStr">
        <is>
          <t>Underperforming</t>
        </is>
      </c>
      <c r="N98" s="31">
        <f>IF(M98="Underperforming",-5,IF(L98&gt;=95,15,IF(L98&gt;=90,10,IF(L98&gt;=80,5,0))))</f>
        <v/>
      </c>
      <c r="O98" s="31" t="n">
        <v>57.1</v>
      </c>
      <c r="P98" s="31" t="n">
        <v>34.61</v>
      </c>
      <c r="Q98" s="31" t="n">
        <v>3790.19</v>
      </c>
      <c r="R98" s="30" t="inlineStr">
        <is>
          <t>Volume Spike / Accumulation</t>
        </is>
      </c>
      <c r="S98" s="30" t="inlineStr">
        <is>
          <t>Nifty Pharma</t>
        </is>
      </c>
      <c r="T98" s="31" t="n">
        <v>13.17</v>
      </c>
      <c r="U98" s="31" t="n">
        <v>-3.33</v>
      </c>
      <c r="V98" s="31" t="n">
        <v>-14.58</v>
      </c>
      <c r="W98" s="31" t="n">
        <v>2.7</v>
      </c>
      <c r="X98" s="30" t="inlineStr">
        <is>
          <t>Growing Industry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Yes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Annuity, Lower One Time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20 to 40</t>
        </is>
      </c>
      <c r="AY98" s="30">
        <f>IF(AX98="Above 40",20,IF(AX98="20 to 40",10,IF(AX98="0 to 20",-5,0)))</f>
        <v/>
      </c>
      <c r="AZ98" s="30" t="inlineStr">
        <is>
          <t>Between 50 to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Close to 52 week high or retracement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More than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Yes</t>
        </is>
      </c>
      <c r="BS98" s="30">
        <f>IF(BR98="NO",5,0)</f>
        <v/>
      </c>
      <c r="BT98" s="30" t="inlineStr">
        <is>
          <t>Less than 1.5</t>
        </is>
      </c>
      <c r="BU98" s="30">
        <f>IF(BT98="Above 2",0,IF(BT98="Between 1.5 to 2",5,IF(BT98="Less than 1.5",10,0)))</f>
        <v/>
      </c>
      <c r="BV98" s="30" t="inlineStr">
        <is>
          <t>Above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IF(B99=0,"",RANK(B99,$B$2:$B$427,0))</f>
        <v/>
      </c>
      <c r="B99" s="31">
        <f>SUM(N99,Y99,AA99,AC99,AE99,AG99,AI99,AK99,AM99,AO99,AQ99,AS99,AU99,AW99,AY99,BA99,BC99,BE99,BG99,BI99,BK99,BM99,BO99,BQ99,BS99,BU99,BW99,BY99,CA99,CC99,CE99)</f>
        <v/>
      </c>
      <c r="C99" s="30" t="inlineStr">
        <is>
          <t>WALCHANNAG</t>
        </is>
      </c>
      <c r="D99" s="30" t="inlineStr">
        <is>
          <t>Walchandnagar Industries Limited</t>
        </is>
      </c>
      <c r="E99" s="30" t="inlineStr">
        <is>
          <t>industrials</t>
        </is>
      </c>
      <c r="F99" s="30" t="inlineStr">
        <is>
          <t>engineering</t>
        </is>
      </c>
      <c r="G99" s="30" t="inlineStr">
        <is>
          <t>smallcap</t>
        </is>
      </c>
      <c r="H99" s="31" t="n">
        <v>2044.42</v>
      </c>
      <c r="I99" s="31" t="n">
        <v>312.05</v>
      </c>
      <c r="J99" s="31" t="n">
        <v>3.55</v>
      </c>
      <c r="K99" s="31" t="n">
        <v>5681026</v>
      </c>
      <c r="L99" s="30" t="n">
        <v>91</v>
      </c>
      <c r="M99" s="30" t="inlineStr">
        <is>
          <t>Outperforming</t>
        </is>
      </c>
      <c r="N99" s="31">
        <f>IF(M99="Underperforming",-5,IF(L99&gt;=95,15,IF(L99&gt;=90,10,IF(L99&gt;=80,5,0))))</f>
        <v/>
      </c>
      <c r="O99" s="31" t="n">
        <v>73.04000000000001</v>
      </c>
      <c r="P99" s="31" t="n">
        <v>29.41</v>
      </c>
      <c r="Q99" s="31" t="n">
        <v>221.73</v>
      </c>
      <c r="R99" s="30" t="inlineStr">
        <is>
          <t>Volume Spike &amp; Near 52W High Breakout</t>
        </is>
      </c>
      <c r="S99" s="30" t="inlineStr">
        <is>
          <t>Nifty 50</t>
        </is>
      </c>
      <c r="T99" s="31" t="n">
        <v>-4.38</v>
      </c>
      <c r="U99" s="31" t="n">
        <v>38.39</v>
      </c>
      <c r="V99" s="31" t="n">
        <v>44.72</v>
      </c>
      <c r="W99" s="31" t="n">
        <v>36.67</v>
      </c>
      <c r="X99" s="30" t="inlineStr">
        <is>
          <t>Cyclical in an Upturn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No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One Time, Lower Annuity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20 to 40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Close to 52 week high or retracement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No</t>
        </is>
      </c>
      <c r="BS99" s="30">
        <f>IF(BR99="NO",5,0)</f>
        <v/>
      </c>
      <c r="BT99" s="30" t="inlineStr">
        <is>
          <t>Less than 1.5</t>
        </is>
      </c>
      <c r="BU99" s="30">
        <f>IF(BT99="Above 2",0,IF(BT99="Between 1.5 to 2",5,IF(BT99="Less than 1.5",10,0)))</f>
        <v/>
      </c>
      <c r="BV99" s="30" t="inlineStr">
        <is>
          <t>Negative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IF(B100=0,"",RANK(B100,$B$2:$B$427,0))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UNIPARTS</t>
        </is>
      </c>
      <c r="D100" s="30" t="inlineStr">
        <is>
          <t>Uniparts India Ltd</t>
        </is>
      </c>
      <c r="E100" s="30" t="inlineStr">
        <is>
          <t>industrials</t>
        </is>
      </c>
      <c r="F100" s="30" t="inlineStr">
        <is>
          <t>engineering</t>
        </is>
      </c>
      <c r="G100" s="30" t="inlineStr">
        <is>
          <t>smallcap</t>
        </is>
      </c>
      <c r="H100" s="31" t="n">
        <v>2947.39</v>
      </c>
      <c r="I100" s="31" t="n">
        <v>674.7</v>
      </c>
      <c r="J100" s="31" t="n">
        <v>3.34</v>
      </c>
      <c r="K100" s="31" t="n">
        <v>674525</v>
      </c>
      <c r="L100" s="30" t="n">
        <v>81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75.08</v>
      </c>
      <c r="P100" s="31" t="n">
        <v>38.18</v>
      </c>
      <c r="Q100" s="31" t="n">
        <v>524.1900000000001</v>
      </c>
      <c r="R100" s="30" t="inlineStr">
        <is>
          <t>Near 52W High Breakout</t>
        </is>
      </c>
      <c r="S100" s="30" t="inlineStr">
        <is>
          <t>Nifty 50</t>
        </is>
      </c>
      <c r="T100" s="31" t="n">
        <v>-4.38</v>
      </c>
      <c r="U100" s="31" t="n">
        <v>95.94</v>
      </c>
      <c r="V100" s="31" t="n">
        <v>104.91</v>
      </c>
      <c r="W100" s="31" t="n">
        <v>25.43</v>
      </c>
      <c r="X100" s="30" t="inlineStr">
        <is>
          <t>Cyclical in an Upturn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One Time, Lower Annuity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20 to 40</t>
        </is>
      </c>
      <c r="AY100" s="30">
        <f>IF(AX100="Above 40",20,IF(AX100="20 to 40",10,IF(AX100="0 to 20",-5,0)))</f>
        <v/>
      </c>
      <c r="AZ100" s="30" t="inlineStr">
        <is>
          <t>Above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Blue sky scenario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More than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No</t>
        </is>
      </c>
      <c r="BS100" s="30">
        <f>IF(BR100="NO",5,0)</f>
        <v/>
      </c>
      <c r="BT100" s="30" t="inlineStr">
        <is>
          <t>Above 2</t>
        </is>
      </c>
      <c r="BU100" s="30">
        <f>IF(BT100="Above 2",0,IF(BT100="Between 1.5 to 2",5,IF(BT100="Less than 1.5",10,0)))</f>
        <v/>
      </c>
      <c r="BV100" s="30" t="inlineStr">
        <is>
          <t>Above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IF(B101=0,"",RANK(B101,$B$2:$B$427,0))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GRWRHITECH</t>
        </is>
      </c>
      <c r="D101" s="30" t="inlineStr">
        <is>
          <t>Garware Hi Tech Films Ltd</t>
        </is>
      </c>
      <c r="E101" s="30" t="inlineStr">
        <is>
          <t>industrials</t>
        </is>
      </c>
      <c r="F101" s="30" t="inlineStr">
        <is>
          <t>packaging</t>
        </is>
      </c>
      <c r="G101" s="30" t="inlineStr">
        <is>
          <t>midcap</t>
        </is>
      </c>
      <c r="H101" s="31" t="n">
        <v>15275.3</v>
      </c>
      <c r="I101" s="31" t="n">
        <v>6785.5</v>
      </c>
      <c r="J101" s="31" t="n">
        <v>3.2</v>
      </c>
      <c r="K101" s="31" t="n">
        <v>105921</v>
      </c>
      <c r="L101" s="30" t="n">
        <v>89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77.98</v>
      </c>
      <c r="P101" s="31" t="n">
        <v>30.96</v>
      </c>
      <c r="Q101" s="31" t="n">
        <v>5109.51</v>
      </c>
      <c r="R101" s="30" t="inlineStr">
        <is>
          <t>Near 52W High Breakout</t>
        </is>
      </c>
      <c r="S101" s="30" t="inlineStr">
        <is>
          <t>Nifty 50</t>
        </is>
      </c>
      <c r="T101" s="31" t="n">
        <v>-4.38</v>
      </c>
      <c r="U101" s="31" t="n">
        <v>69.03</v>
      </c>
      <c r="V101" s="31" t="n">
        <v>76.77</v>
      </c>
      <c r="W101" s="31" t="n">
        <v>32.81</v>
      </c>
      <c r="X101" s="30" t="inlineStr">
        <is>
          <t>Cyclical in an Upturn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One Time, Lower Annuity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20 to 40</t>
        </is>
      </c>
      <c r="AY101" s="30">
        <f>IF(AX101="Above 40",20,IF(AX101="20 to 40",10,IF(AX101="0 to 20",-5,0)))</f>
        <v/>
      </c>
      <c r="AZ101" s="30" t="inlineStr">
        <is>
          <t>Above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Blue sky scenario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More than 20%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Yes</t>
        </is>
      </c>
      <c r="BS101" s="30">
        <f>IF(BR101="NO",5,0)</f>
        <v/>
      </c>
      <c r="BT101" s="30" t="inlineStr">
        <is>
          <t>Less than 1.5</t>
        </is>
      </c>
      <c r="BU101" s="30">
        <f>IF(BT101="Above 2",0,IF(BT101="Between 1.5 to 2",5,IF(BT101="Less than 1.5",10,0)))</f>
        <v/>
      </c>
      <c r="BV101" s="30" t="inlineStr">
        <is>
          <t>Between 50% to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IF(B102=0,"",RANK(B102,$B$2:$B$427,0))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FINEORG</t>
        </is>
      </c>
      <c r="D102" s="30" t="inlineStr">
        <is>
          <t>Fine Organic Industries Ltd</t>
        </is>
      </c>
      <c r="E102" s="30" t="inlineStr">
        <is>
          <t>chemicals</t>
        </is>
      </c>
      <c r="F102" s="30" t="inlineStr">
        <is>
          <t>chemicals</t>
        </is>
      </c>
      <c r="G102" s="30" t="inlineStr">
        <is>
          <t>midcap</t>
        </is>
      </c>
      <c r="H102" s="31" t="n">
        <v>15792.65</v>
      </c>
      <c r="I102" s="31" t="n">
        <v>5285.8</v>
      </c>
      <c r="J102" s="31" t="n">
        <v>2.62</v>
      </c>
      <c r="K102" s="31" t="n">
        <v>49844</v>
      </c>
      <c r="L102" s="30" t="n">
        <v>34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67.23999999999999</v>
      </c>
      <c r="P102" s="31" t="n">
        <v>12.23</v>
      </c>
      <c r="Q102" s="31" t="n">
        <v>4272.78</v>
      </c>
      <c r="R102" s="30" t="inlineStr">
        <is>
          <t>Volume Spike &amp; Near 52W High Breakout</t>
        </is>
      </c>
      <c r="S102" s="30" t="inlineStr">
        <is>
          <t>Nifty 50</t>
        </is>
      </c>
      <c r="T102" s="31" t="n">
        <v>-4.38</v>
      </c>
      <c r="U102" s="31" t="n">
        <v>16.59</v>
      </c>
      <c r="V102" s="31" t="n">
        <v>21.92</v>
      </c>
      <c r="W102" s="31" t="n">
        <v>8.66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0 to 20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Blue sky scenario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More than 20%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No</t>
        </is>
      </c>
      <c r="BS102" s="30">
        <f>IF(BR102="NO",5,0)</f>
        <v/>
      </c>
      <c r="BT102" s="30" t="inlineStr">
        <is>
          <t>Between 1.5 to 2</t>
        </is>
      </c>
      <c r="BU102" s="30">
        <f>IF(BT102="Above 2",0,IF(BT102="Between 1.5 to 2",5,IF(BT102="Less than 1.5",10,0)))</f>
        <v/>
      </c>
      <c r="BV102" s="30" t="inlineStr">
        <is>
          <t>Above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IF(B103=0,"",RANK(B103,$B$2:$B$427,0))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LINDEINDIA</t>
        </is>
      </c>
      <c r="D103" s="30" t="inlineStr">
        <is>
          <t>Linde India Limited</t>
        </is>
      </c>
      <c r="E103" s="30" t="inlineStr">
        <is>
          <t>chemicals</t>
        </is>
      </c>
      <c r="F103" s="30" t="inlineStr">
        <is>
          <t>chemicals</t>
        </is>
      </c>
      <c r="G103" s="30" t="inlineStr">
        <is>
          <t>largecap</t>
        </is>
      </c>
      <c r="H103" s="31" t="n">
        <v>62048.54</v>
      </c>
      <c r="I103" s="31" t="n">
        <v>7460.5</v>
      </c>
      <c r="J103" s="31" t="n">
        <v>2.54</v>
      </c>
      <c r="K103" s="31" t="n">
        <v>48489</v>
      </c>
      <c r="L103" s="30" t="n">
        <v>13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61.21</v>
      </c>
      <c r="P103" s="31" t="n">
        <v>26.66</v>
      </c>
      <c r="Q103" s="31" t="n">
        <v>6408.17</v>
      </c>
      <c r="R103" s="30" t="inlineStr">
        <is>
          <t>Near 52W High Breakout</t>
        </is>
      </c>
      <c r="S103" s="30" t="inlineStr">
        <is>
          <t>Nifty 50</t>
        </is>
      </c>
      <c r="T103" s="31" t="n">
        <v>-4.38</v>
      </c>
      <c r="U103" s="31" t="n">
        <v>14.59</v>
      </c>
      <c r="V103" s="31" t="n">
        <v>19.84</v>
      </c>
      <c r="W103" s="31" t="n">
        <v>4.41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Yes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20 to 40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Close to 52 week high or retracement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More than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Yes</t>
        </is>
      </c>
      <c r="BS103" s="30">
        <f>IF(BR103="NO",5,0)</f>
        <v/>
      </c>
      <c r="BT103" s="30" t="inlineStr">
        <is>
          <t>Above 2</t>
        </is>
      </c>
      <c r="BU103" s="30">
        <f>IF(BT103="Above 2",0,IF(BT103="Between 1.5 to 2",5,IF(BT103="Less than 1.5",10,0)))</f>
        <v/>
      </c>
      <c r="BV103" s="30" t="inlineStr">
        <is>
          <t>Above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IF(B104=0,"",RANK(B104,$B$2:$B$427,0))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NRBBEARING</t>
        </is>
      </c>
      <c r="D104" s="30" t="inlineStr">
        <is>
          <t>Nrb Bearing Limited</t>
        </is>
      </c>
      <c r="E104" s="30" t="inlineStr">
        <is>
          <t>industrials</t>
        </is>
      </c>
      <c r="F104" s="30" t="inlineStr">
        <is>
          <t>bearings</t>
        </is>
      </c>
      <c r="G104" s="30" t="inlineStr">
        <is>
          <t>smallcap</t>
        </is>
      </c>
      <c r="H104" s="31" t="n">
        <v>4068.81</v>
      </c>
      <c r="I104" s="31" t="n">
        <v>428.25</v>
      </c>
      <c r="J104" s="31" t="n">
        <v>2.01</v>
      </c>
      <c r="K104" s="31" t="n">
        <v>434365</v>
      </c>
      <c r="L104" s="30" t="n">
        <v>84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79.23</v>
      </c>
      <c r="P104" s="31" t="n">
        <v>33.01</v>
      </c>
      <c r="Q104" s="31" t="n">
        <v>333.35</v>
      </c>
      <c r="R104" s="30" t="inlineStr">
        <is>
          <t>Near 52W High Breakout</t>
        </is>
      </c>
      <c r="S104" s="30" t="inlineStr">
        <is>
          <t>Nifty 50</t>
        </is>
      </c>
      <c r="T104" s="31" t="n">
        <v>-4.38</v>
      </c>
      <c r="U104" s="31" t="n">
        <v>53.89</v>
      </c>
      <c r="V104" s="31" t="n">
        <v>60.94</v>
      </c>
      <c r="W104" s="31" t="n">
        <v>28.38</v>
      </c>
      <c r="X104" s="30" t="inlineStr">
        <is>
          <t>Cyclical in an Upturn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Yes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20 to 40</t>
        </is>
      </c>
      <c r="AY104" s="30">
        <f>IF(AX104="Above 40",20,IF(AX104="20 to 40",10,IF(AX104="0 to 20",-5,0)))</f>
        <v/>
      </c>
      <c r="AZ104" s="30" t="inlineStr">
        <is>
          <t>Above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Blue sky scenario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No</t>
        </is>
      </c>
      <c r="BS104" s="30">
        <f>IF(BR104="NO",5,0)</f>
        <v/>
      </c>
      <c r="BT104" s="30" t="inlineStr">
        <is>
          <t>Above 2</t>
        </is>
      </c>
      <c r="BU104" s="30">
        <f>IF(BT104="Above 2",0,IF(BT104="Between 1.5 to 2",5,IF(BT104="Less than 1.5",10,0)))</f>
        <v/>
      </c>
      <c r="BV104" s="30" t="inlineStr">
        <is>
          <t>Above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IF(B105=0,"",RANK(B105,$B$2:$B$427,0))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WELCORP</t>
        </is>
      </c>
      <c r="D105" s="30" t="inlineStr">
        <is>
          <t>Welspun Corp Limited</t>
        </is>
      </c>
      <c r="E105" s="30" t="inlineStr">
        <is>
          <t>industrials</t>
        </is>
      </c>
      <c r="F105" s="30" t="inlineStr">
        <is>
          <t>steel - large</t>
        </is>
      </c>
      <c r="G105" s="30" t="inlineStr">
        <is>
          <t>largecap</t>
        </is>
      </c>
      <c r="H105" s="31" t="n">
        <v>36862.1</v>
      </c>
      <c r="I105" s="31" t="n">
        <v>1423.4</v>
      </c>
      <c r="J105" s="31" t="n">
        <v>1.86</v>
      </c>
      <c r="K105" s="31" t="n">
        <v>707135</v>
      </c>
      <c r="L105" s="30" t="n">
        <v>85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82.83</v>
      </c>
      <c r="P105" s="31" t="n">
        <v>52.94</v>
      </c>
      <c r="Q105" s="31" t="n">
        <v>1167.52</v>
      </c>
      <c r="R105" s="30" t="inlineStr">
        <is>
          <t>Near 52W High Breakout</t>
        </is>
      </c>
      <c r="S105" s="30" t="inlineStr">
        <is>
          <t>Nifty Metal</t>
        </is>
      </c>
      <c r="T105" s="31" t="n">
        <v>42.48</v>
      </c>
      <c r="U105" s="31" t="n">
        <v>56.38</v>
      </c>
      <c r="V105" s="31" t="n">
        <v>9.76</v>
      </c>
      <c r="W105" s="31" t="n">
        <v>28.57</v>
      </c>
      <c r="X105" s="30" t="inlineStr">
        <is>
          <t>Cyclical in an Upturn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Above 40</t>
        </is>
      </c>
      <c r="AY105" s="30">
        <f>IF(AX105="Above 40",20,IF(AX105="20 to 40",10,IF(AX105="0 to 20",-5,0)))</f>
        <v/>
      </c>
      <c r="AZ105" s="30" t="inlineStr">
        <is>
          <t>Above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Blue sky scenario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Less than 12%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No</t>
        </is>
      </c>
      <c r="BS105" s="30">
        <f>IF(BR105="NO",5,0)</f>
        <v/>
      </c>
      <c r="BT105" s="30" t="inlineStr">
        <is>
          <t>Above 2</t>
        </is>
      </c>
      <c r="BU105" s="30">
        <f>IF(BT105="Above 2",0,IF(BT105="Between 1.5 to 2",5,IF(BT105="Less than 1.5",10,0)))</f>
        <v/>
      </c>
      <c r="BV105" s="30" t="inlineStr">
        <is>
          <t>Above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IF(B106=0,"",RANK(B106,$B$2:$B$427,0))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ARVIND</t>
        </is>
      </c>
      <c r="D106" s="30" t="inlineStr">
        <is>
          <t>Arvind Limited</t>
        </is>
      </c>
      <c r="E106" s="30" t="inlineStr">
        <is>
          <t>textiles</t>
        </is>
      </c>
      <c r="F106" s="30" t="inlineStr">
        <is>
          <t>textiles - cotton/blended</t>
        </is>
      </c>
      <c r="G106" s="30" t="inlineStr">
        <is>
          <t>midcap</t>
        </is>
      </c>
      <c r="H106" s="31" t="n">
        <v>13384.88</v>
      </c>
      <c r="I106" s="31" t="n">
        <v>516.6</v>
      </c>
      <c r="J106" s="31" t="n">
        <v>1.17</v>
      </c>
      <c r="K106" s="31" t="n">
        <v>527238</v>
      </c>
      <c r="L106" s="30" t="n">
        <v>66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78.92</v>
      </c>
      <c r="P106" s="31" t="n">
        <v>41.89</v>
      </c>
      <c r="Q106" s="31" t="n">
        <v>416.55</v>
      </c>
      <c r="R106" s="30" t="inlineStr">
        <is>
          <t>Near 52W High Breakout</t>
        </is>
      </c>
      <c r="S106" s="30" t="inlineStr">
        <is>
          <t>Nifty 50</t>
        </is>
      </c>
      <c r="T106" s="31" t="n">
        <v>-4.38</v>
      </c>
      <c r="U106" s="31" t="n">
        <v>49.37</v>
      </c>
      <c r="V106" s="31" t="n">
        <v>56.21</v>
      </c>
      <c r="W106" s="31" t="n">
        <v>18.48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No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Above 40</t>
        </is>
      </c>
      <c r="AY106" s="30">
        <f>IF(AX106="Above 40",20,IF(AX106="20 to 40",10,IF(AX106="0 to 20",-5,0)))</f>
        <v/>
      </c>
      <c r="AZ106" s="30" t="inlineStr">
        <is>
          <t>Above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Blue sky scenario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Less than 12%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No</t>
        </is>
      </c>
      <c r="BS106" s="30">
        <f>IF(BR106="NO",5,0)</f>
        <v/>
      </c>
      <c r="BT106" s="30" t="inlineStr">
        <is>
          <t>Above 2</t>
        </is>
      </c>
      <c r="BU106" s="30">
        <f>IF(BT106="Above 2",0,IF(BT106="Between 1.5 to 2",5,IF(BT106="Less than 1.5",10,0)))</f>
        <v/>
      </c>
      <c r="BV106" s="30" t="inlineStr">
        <is>
          <t>Above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IF(B107=0,"",RANK(B107,$B$2:$B$427,0))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RRKABEL</t>
        </is>
      </c>
      <c r="D107" s="30" t="inlineStr">
        <is>
          <t>R R Kabel Ltd</t>
        </is>
      </c>
      <c r="E107" s="30" t="inlineStr">
        <is>
          <t>industrials</t>
        </is>
      </c>
      <c r="F107" s="30" t="inlineStr">
        <is>
          <t>cables - power</t>
        </is>
      </c>
      <c r="G107" s="30" t="inlineStr">
        <is>
          <t>largecap</t>
        </is>
      </c>
      <c r="H107" s="31" t="n">
        <v>25971.29</v>
      </c>
      <c r="I107" s="31" t="n">
        <v>2321.1</v>
      </c>
      <c r="J107" s="31" t="n">
        <v>1.08</v>
      </c>
      <c r="K107" s="31" t="n">
        <v>732638</v>
      </c>
      <c r="L107" s="30" t="n">
        <v>85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78.06</v>
      </c>
      <c r="P107" s="31" t="n">
        <v>40.35</v>
      </c>
      <c r="Q107" s="31" t="n">
        <v>1846.25</v>
      </c>
      <c r="R107" s="30" t="inlineStr">
        <is>
          <t>Near 52W High Breakout</t>
        </is>
      </c>
      <c r="S107" s="30" t="inlineStr">
        <is>
          <t>Nifty Energy</t>
        </is>
      </c>
      <c r="T107" s="31" t="n">
        <v>13.9</v>
      </c>
      <c r="U107" s="31" t="n">
        <v>77.58</v>
      </c>
      <c r="V107" s="31" t="n">
        <v>55.91</v>
      </c>
      <c r="W107" s="31" t="n">
        <v>28.47</v>
      </c>
      <c r="X107" s="30" t="inlineStr">
        <is>
          <t>Cyclical in an Upturn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Higher One Time, Lower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Above 40</t>
        </is>
      </c>
      <c r="AY107" s="30">
        <f>IF(AX107="Above 40",20,IF(AX107="20 to 40",10,IF(AX107="0 to 20",-5,0)))</f>
        <v/>
      </c>
      <c r="AZ107" s="30" t="inlineStr">
        <is>
          <t>Above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Blue sky scenario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Yes</t>
        </is>
      </c>
      <c r="BS107" s="30">
        <f>IF(BR107="NO",5,0)</f>
        <v/>
      </c>
      <c r="BT107" s="30" t="inlineStr">
        <is>
          <t>Between 1.5 to 2</t>
        </is>
      </c>
      <c r="BU107" s="30">
        <f>IF(BT107="Above 2",0,IF(BT107="Between 1.5 to 2",5,IF(BT107="Less than 1.5",10,0)))</f>
        <v/>
      </c>
      <c r="BV107" s="30" t="inlineStr">
        <is>
          <t>Less than 50%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IF(B108=0,"",RANK(B108,$B$2:$B$427,0))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POWERMECH</t>
        </is>
      </c>
      <c r="D108" s="30" t="inlineStr">
        <is>
          <t>Power Mech Projects Limited</t>
        </is>
      </c>
      <c r="E108" s="30" t="inlineStr">
        <is>
          <t>realty</t>
        </is>
      </c>
      <c r="F108" s="30" t="inlineStr">
        <is>
          <t>engineering - turnkey services</t>
        </is>
      </c>
      <c r="G108" s="30" t="inlineStr">
        <is>
          <t>midcap</t>
        </is>
      </c>
      <c r="H108" s="31" t="n">
        <v>8897.459999999999</v>
      </c>
      <c r="I108" s="31" t="n">
        <v>2839.9</v>
      </c>
      <c r="J108" s="31" t="n">
        <v>0.91</v>
      </c>
      <c r="K108" s="31" t="n">
        <v>64257</v>
      </c>
      <c r="L108" s="30" t="n">
        <v>36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65.87</v>
      </c>
      <c r="P108" s="31" t="n">
        <v>20.26</v>
      </c>
      <c r="Q108" s="31" t="n">
        <v>2192.37</v>
      </c>
      <c r="R108" s="30" t="inlineStr">
        <is>
          <t>Earnings / Momentum Support</t>
        </is>
      </c>
      <c r="S108" s="30" t="inlineStr">
        <is>
          <t>Nifty Realty</t>
        </is>
      </c>
      <c r="T108" s="31" t="n">
        <v>-19.9</v>
      </c>
      <c r="U108" s="31" t="n">
        <v>-6.66</v>
      </c>
      <c r="V108" s="31" t="n">
        <v>16.53</v>
      </c>
      <c r="W108" s="31" t="n">
        <v>9.300000000000001</v>
      </c>
      <c r="X108" s="30" t="inlineStr">
        <is>
          <t>Growing Industry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No</t>
        </is>
      </c>
      <c r="AQ108" s="30">
        <f>IF(AP108="Yes",10,0)</f>
        <v/>
      </c>
      <c r="AR108" s="30" t="inlineStr">
        <is>
          <t>Higher One Time, Lower Annuity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20 to 40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Close to 52 week high or retracement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No</t>
        </is>
      </c>
      <c r="BS108" s="30">
        <f>IF(BR108="NO",5,0)</f>
        <v/>
      </c>
      <c r="BT108" s="30" t="inlineStr">
        <is>
          <t>Less than 1.5</t>
        </is>
      </c>
      <c r="BU108" s="30">
        <f>IF(BT108="Above 2",0,IF(BT108="Between 1.5 to 2",5,IF(BT108="Less than 1.5",10,0)))</f>
        <v/>
      </c>
      <c r="BV108" s="30" t="inlineStr">
        <is>
          <t>Between 50% to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IF(B109=0,"",RANK(B109,$B$2:$B$427,0))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ASTRAMICRO</t>
        </is>
      </c>
      <c r="D109" s="30" t="inlineStr">
        <is>
          <t>Astra Microwave Products Limited</t>
        </is>
      </c>
      <c r="E109" s="30" t="inlineStr">
        <is>
          <t>aerospace &amp; defence</t>
        </is>
      </c>
      <c r="F109" s="30" t="inlineStr">
        <is>
          <t>telecommunications - equipment</t>
        </is>
      </c>
      <c r="G109" s="30" t="inlineStr">
        <is>
          <t>midcap</t>
        </is>
      </c>
      <c r="H109" s="31" t="n">
        <v>15855.82</v>
      </c>
      <c r="I109" s="31" t="n">
        <v>1684.1</v>
      </c>
      <c r="J109" s="31" t="n">
        <v>0.84</v>
      </c>
      <c r="K109" s="31" t="n">
        <v>2096101</v>
      </c>
      <c r="L109" s="30" t="n">
        <v>88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82.64</v>
      </c>
      <c r="P109" s="31" t="n">
        <v>33.19</v>
      </c>
      <c r="Q109" s="31" t="n">
        <v>1323.89</v>
      </c>
      <c r="R109" s="30" t="inlineStr">
        <is>
          <t>Volume Spike &amp; Near 52W High Breakout</t>
        </is>
      </c>
      <c r="S109" s="30" t="inlineStr">
        <is>
          <t>Nifty 50</t>
        </is>
      </c>
      <c r="T109" s="31" t="n">
        <v>-4.38</v>
      </c>
      <c r="U109" s="31" t="n">
        <v>52.33</v>
      </c>
      <c r="V109" s="31" t="n">
        <v>59.3</v>
      </c>
      <c r="W109" s="31" t="n">
        <v>31.8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Oligopoly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Yes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Yes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20 to 40</t>
        </is>
      </c>
      <c r="AY109" s="30">
        <f>IF(AX109="Above 40",20,IF(AX109="20 to 40",10,IF(AX109="0 to 20",-5,0)))</f>
        <v/>
      </c>
      <c r="AZ109" s="30" t="inlineStr">
        <is>
          <t>Above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Blue sky scenario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More than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Yes</t>
        </is>
      </c>
      <c r="BS109" s="30">
        <f>IF(BR109="NO",5,0)</f>
        <v/>
      </c>
      <c r="BT109" s="30" t="inlineStr">
        <is>
          <t>Between 1.5 to 2</t>
        </is>
      </c>
      <c r="BU109" s="30">
        <f>IF(BT109="Above 2",0,IF(BT109="Between 1.5 to 2",5,IF(BT109="Less than 1.5",10,0)))</f>
        <v/>
      </c>
      <c r="BV109" s="30" t="inlineStr">
        <is>
          <t>Above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IF(B110=0,"",RANK(B110,$B$2:$B$427,0))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DIVGIITTS</t>
        </is>
      </c>
      <c r="D110" s="30" t="inlineStr">
        <is>
          <t>Divgi Torqtransfer Systems Ltd</t>
        </is>
      </c>
      <c r="E110" s="30" t="inlineStr">
        <is>
          <t>auto</t>
        </is>
      </c>
      <c r="F110" s="30" t="inlineStr">
        <is>
          <t>auto ancillaries</t>
        </is>
      </c>
      <c r="G110" s="30" t="inlineStr">
        <is>
          <t>smallcap</t>
        </is>
      </c>
      <c r="H110" s="31" t="n">
        <v>2601.38</v>
      </c>
      <c r="I110" s="31" t="n">
        <v>856.7</v>
      </c>
      <c r="J110" s="31" t="n">
        <v>0.72</v>
      </c>
      <c r="K110" s="31" t="n">
        <v>22935</v>
      </c>
      <c r="L110" s="30" t="n">
        <v>50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63.78</v>
      </c>
      <c r="P110" s="31" t="n">
        <v>28.55</v>
      </c>
      <c r="Q110" s="31" t="n">
        <v>630.7</v>
      </c>
      <c r="R110" s="30" t="inlineStr">
        <is>
          <t>Near 52W High Breakout</t>
        </is>
      </c>
      <c r="S110" s="30" t="inlineStr">
        <is>
          <t>Nifty Auto</t>
        </is>
      </c>
      <c r="T110" s="31" t="n">
        <v>12.26</v>
      </c>
      <c r="U110" s="31" t="n">
        <v>44.47</v>
      </c>
      <c r="V110" s="31" t="n">
        <v>28.69</v>
      </c>
      <c r="W110" s="31" t="n">
        <v>12.69</v>
      </c>
      <c r="X110" s="30" t="inlineStr">
        <is>
          <t>Growing Industry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Yes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20 to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Blue sky scenario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Yes</t>
        </is>
      </c>
      <c r="BS110" s="30">
        <f>IF(BR110="NO",5,0)</f>
        <v/>
      </c>
      <c r="BT110" s="30" t="inlineStr">
        <is>
          <t>Above 2</t>
        </is>
      </c>
      <c r="BU110" s="30">
        <f>IF(BT110="Above 2",0,IF(BT110="Between 1.5 to 2",5,IF(BT110="Less than 1.5",10,0)))</f>
        <v/>
      </c>
      <c r="BV110" s="30" t="inlineStr">
        <is>
          <t>Between 50% to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IF(B111=0,"",RANK(B111,$B$2:$B$427,0))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SANGAMIND</t>
        </is>
      </c>
      <c r="D111" s="30" t="inlineStr">
        <is>
          <t>Sangam (india) Limited</t>
        </is>
      </c>
      <c r="E111" s="30" t="inlineStr">
        <is>
          <t>textiles</t>
        </is>
      </c>
      <c r="F111" s="30" t="inlineStr">
        <is>
          <t>textiles - spinning - synthetic / blended</t>
        </is>
      </c>
      <c r="G111" s="30" t="inlineStr">
        <is>
          <t>smallcap</t>
        </is>
      </c>
      <c r="H111" s="31" t="n">
        <v>2717.08</v>
      </c>
      <c r="I111" s="31" t="n">
        <v>541</v>
      </c>
      <c r="J111" s="31" t="n">
        <v>0.05</v>
      </c>
      <c r="K111" s="31" t="n">
        <v>20614</v>
      </c>
      <c r="L111" s="30" t="n">
        <v>39</v>
      </c>
      <c r="M111" s="30" t="inlineStr">
        <is>
          <t>Outperforming</t>
        </is>
      </c>
      <c r="N111" s="31">
        <f>IF(M111="Underperforming",-5,IF(L111&gt;=95,15,IF(L111&gt;=90,10,IF(L111&gt;=80,5,0))))</f>
        <v/>
      </c>
      <c r="O111" s="31" t="n">
        <v>66.08</v>
      </c>
      <c r="P111" s="31" t="n">
        <v>31.63</v>
      </c>
      <c r="Q111" s="31" t="n">
        <v>421.37</v>
      </c>
      <c r="R111" s="30" t="inlineStr">
        <is>
          <t>Near 52W High Breakout</t>
        </is>
      </c>
      <c r="S111" s="30" t="inlineStr">
        <is>
          <t>Nifty 50</t>
        </is>
      </c>
      <c r="T111" s="31" t="n">
        <v>-4.38</v>
      </c>
      <c r="U111" s="31" t="n">
        <v>25.41</v>
      </c>
      <c r="V111" s="31" t="n">
        <v>31.15</v>
      </c>
      <c r="W111" s="31" t="n">
        <v>9.890000000000001</v>
      </c>
      <c r="X111" s="30" t="inlineStr">
        <is>
          <t>Growing Industry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Yes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20 to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Blue sky scenario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No</t>
        </is>
      </c>
      <c r="BS111" s="30">
        <f>IF(BR111="NO",5,0)</f>
        <v/>
      </c>
      <c r="BT111" s="30" t="inlineStr">
        <is>
          <t>Above 2</t>
        </is>
      </c>
      <c r="BU111" s="30">
        <f>IF(BT111="Above 2",0,IF(BT111="Between 1.5 to 2",5,IF(BT111="Less than 1.5",10,0)))</f>
        <v/>
      </c>
      <c r="BV111" s="30" t="inlineStr">
        <is>
          <t>Above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Between 0.7 to 1.2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IF(B112=0,"",RANK(B112,$B$2:$B$427,0))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0" t="inlineStr">
        <is>
          <t>ADANIPORTS</t>
        </is>
      </c>
      <c r="D112" s="30" t="inlineStr">
        <is>
          <t>Adani Ports And Special Economic Zone Limited</t>
        </is>
      </c>
      <c r="E112" s="30" t="inlineStr">
        <is>
          <t>transportation</t>
        </is>
      </c>
      <c r="F112" s="30" t="inlineStr">
        <is>
          <t>miscellaneous</t>
        </is>
      </c>
      <c r="G112" s="30" t="inlineStr">
        <is>
          <t>largecap</t>
        </is>
      </c>
      <c r="H112" s="31" t="n">
        <v>424412.31</v>
      </c>
      <c r="I112" s="31" t="n">
        <v>1835.3</v>
      </c>
      <c r="J112" s="31" t="n">
        <v>-0.37</v>
      </c>
      <c r="K112" s="31" t="n">
        <v>4382841</v>
      </c>
      <c r="L112" s="30" t="n">
        <v>55</v>
      </c>
      <c r="M112" s="30" t="inlineStr">
        <is>
          <t>Outperforming</t>
        </is>
      </c>
      <c r="N112" s="31">
        <f>IF(M112="Underperforming",-5,IF(L112&gt;=95,15,IF(L112&gt;=90,10,IF(L112&gt;=80,5,0))))</f>
        <v/>
      </c>
      <c r="O112" s="31" t="n">
        <v>72.37</v>
      </c>
      <c r="P112" s="31" t="n">
        <v>28.24</v>
      </c>
      <c r="Q112" s="31" t="n">
        <v>1564.95</v>
      </c>
      <c r="R112" s="30" t="inlineStr">
        <is>
          <t>Near 52W High Breakout</t>
        </is>
      </c>
      <c r="S112" s="30" t="inlineStr">
        <is>
          <t>Nifty 50</t>
        </is>
      </c>
      <c r="T112" s="31" t="n">
        <v>-4.38</v>
      </c>
      <c r="U112" s="31" t="n">
        <v>36.59</v>
      </c>
      <c r="V112" s="31" t="n">
        <v>42.84</v>
      </c>
      <c r="W112" s="31" t="n">
        <v>14.37</v>
      </c>
      <c r="X112" s="30" t="inlineStr">
        <is>
          <t>Growing Industry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20 to 40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Blue sky scenario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Less than 12%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No</t>
        </is>
      </c>
      <c r="BS112" s="30">
        <f>IF(BR112="NO",5,0)</f>
        <v/>
      </c>
      <c r="BT112" s="30" t="inlineStr">
        <is>
          <t>Above 2</t>
        </is>
      </c>
      <c r="BU112" s="30">
        <f>IF(BT112="Above 2",0,IF(BT112="Between 1.5 to 2",5,IF(BT112="Less than 1.5",10,0)))</f>
        <v/>
      </c>
      <c r="BV112" s="30" t="inlineStr">
        <is>
          <t>Above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IF(B113=0,"",RANK(B113,$B$2:$B$427,0))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SWANDEF</t>
        </is>
      </c>
      <c r="D113" s="30" t="inlineStr">
        <is>
          <t>Swan Defence and Heavy Industries Ltd</t>
        </is>
      </c>
      <c r="E113" s="30" t="inlineStr">
        <is>
          <t>transportation</t>
        </is>
      </c>
      <c r="F113" s="30" t="inlineStr">
        <is>
          <t>miscellaneous</t>
        </is>
      </c>
      <c r="G113" s="30" t="inlineStr">
        <is>
          <t>midcap</t>
        </is>
      </c>
      <c r="H113" s="31" t="n">
        <v>10721.34</v>
      </c>
      <c r="I113" s="31" t="n">
        <v>2026.7</v>
      </c>
      <c r="J113" s="31" t="n">
        <v>-0.41</v>
      </c>
      <c r="K113" s="31" t="n">
        <v>6378</v>
      </c>
      <c r="L113" s="30" t="n">
        <v>98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62.09</v>
      </c>
      <c r="P113" s="31" t="n">
        <v>42.28</v>
      </c>
      <c r="Q113" s="31" t="n">
        <v>1541.81</v>
      </c>
      <c r="R113" s="30" t="inlineStr">
        <is>
          <t>Volume Spike / Accumulation</t>
        </is>
      </c>
      <c r="S113" s="30" t="inlineStr">
        <is>
          <t>Nifty 50</t>
        </is>
      </c>
      <c r="T113" s="31" t="n">
        <v>-4.38</v>
      </c>
      <c r="U113" s="31" t="n">
        <v>977.6900000000001</v>
      </c>
      <c r="V113" s="31" t="n">
        <v>1027.02</v>
      </c>
      <c r="W113" s="31" t="n">
        <v>76.34999999999999</v>
      </c>
      <c r="X113" s="30" t="inlineStr">
        <is>
          <t>Growing Industry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Yes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Above 40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Close to 52 week high or retracement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No</t>
        </is>
      </c>
      <c r="BS113" s="30">
        <f>IF(BR113="NO",5,0)</f>
        <v/>
      </c>
      <c r="BT113" s="30" t="inlineStr">
        <is>
          <t>Less than 1.5</t>
        </is>
      </c>
      <c r="BU113" s="30">
        <f>IF(BT113="Above 2",0,IF(BT113="Between 1.5 to 2",5,IF(BT113="Less than 1.5",10,0)))</f>
        <v/>
      </c>
      <c r="BV113" s="30" t="inlineStr">
        <is>
          <t>Negative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More than 1.2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IF(B114=0,"",RANK(B114,$B$2:$B$427,0))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MMTC</t>
        </is>
      </c>
      <c r="D114" s="30" t="inlineStr">
        <is>
          <t>Mmtc Limited</t>
        </is>
      </c>
      <c r="E114" s="30" t="inlineStr">
        <is>
          <t>services</t>
        </is>
      </c>
      <c r="F114" s="30" t="inlineStr">
        <is>
          <t>trading</t>
        </is>
      </c>
      <c r="G114" s="30" t="inlineStr">
        <is>
          <t>midcap</t>
        </is>
      </c>
      <c r="H114" s="31" t="n">
        <v>11242.5</v>
      </c>
      <c r="I114" s="31" t="n">
        <v>74.55</v>
      </c>
      <c r="J114" s="31" t="n">
        <v>-0.53</v>
      </c>
      <c r="K114" s="31" t="n">
        <v>6629184</v>
      </c>
      <c r="L114" s="30" t="n">
        <v>28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62.71</v>
      </c>
      <c r="P114" s="31" t="n">
        <v>15.8</v>
      </c>
      <c r="Q114" s="31" t="n">
        <v>54.21</v>
      </c>
      <c r="R114" s="30" t="inlineStr">
        <is>
          <t>Volume Spike &amp; Near 52W High Breakout</t>
        </is>
      </c>
      <c r="S114" s="30" t="inlineStr">
        <is>
          <t>Nifty 50</t>
        </is>
      </c>
      <c r="T114" s="31" t="n">
        <v>-4.38</v>
      </c>
      <c r="U114" s="31" t="n">
        <v>10.64</v>
      </c>
      <c r="V114" s="31" t="n">
        <v>15.71</v>
      </c>
      <c r="W114" s="31" t="n">
        <v>7.8</v>
      </c>
      <c r="X114" s="30" t="inlineStr">
        <is>
          <t>Growing Industry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Yes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0 to 20</t>
        </is>
      </c>
      <c r="AY114" s="30">
        <f>IF(AX114="Above 40",20,IF(AX114="20 to 40",10,IF(AX114="0 to 20",-5,0)))</f>
        <v/>
      </c>
      <c r="AZ114" s="30" t="inlineStr">
        <is>
          <t>Between 50 to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Close to 52 week high or retracement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No</t>
        </is>
      </c>
      <c r="BS114" s="30">
        <f>IF(BR114="NO",5,0)</f>
        <v/>
      </c>
      <c r="BT114" s="30" t="inlineStr">
        <is>
          <t>Less than 1.5</t>
        </is>
      </c>
      <c r="BU114" s="30">
        <f>IF(BT114="Above 2",0,IF(BT114="Between 1.5 to 2",5,IF(BT114="Less than 1.5",10,0)))</f>
        <v/>
      </c>
      <c r="BV114" s="30" t="inlineStr">
        <is>
          <t>Above 70%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IF(B115=0,"",RANK(B115,$B$2:$B$427,0))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HITECHCORP</t>
        </is>
      </c>
      <c r="D115" s="30" t="inlineStr">
        <is>
          <t>Hitech Corporation</t>
        </is>
      </c>
      <c r="E115" s="30" t="inlineStr">
        <is>
          <t>industrials</t>
        </is>
      </c>
      <c r="F115" s="30" t="inlineStr">
        <is>
          <t>packaging</t>
        </is>
      </c>
      <c r="G115" s="30" t="inlineStr">
        <is>
          <t>smallcap</t>
        </is>
      </c>
      <c r="H115" s="31" t="n">
        <v>532.14</v>
      </c>
      <c r="I115" s="31" t="n">
        <v>307.73</v>
      </c>
      <c r="J115" s="31" t="n">
        <v>-0.67</v>
      </c>
      <c r="K115" s="31" t="n">
        <v>19495</v>
      </c>
      <c r="L115" s="30" t="n">
        <v>94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79.59999999999999</v>
      </c>
      <c r="P115" s="31" t="n">
        <v>36.53</v>
      </c>
      <c r="Q115" s="31" t="n">
        <v>233.8</v>
      </c>
      <c r="R115" s="30" t="inlineStr">
        <is>
          <t>Near 52W High Breakout</t>
        </is>
      </c>
      <c r="S115" s="30" t="inlineStr">
        <is>
          <t>Nifty 50</t>
        </is>
      </c>
      <c r="T115" s="31" t="n">
        <v>-4.38</v>
      </c>
      <c r="U115" s="31" t="n">
        <v>71.37</v>
      </c>
      <c r="V115" s="31" t="n">
        <v>79.22</v>
      </c>
      <c r="W115" s="31" t="n">
        <v>43.24</v>
      </c>
      <c r="X115" s="30" t="inlineStr">
        <is>
          <t>Cyclical in an Upturn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No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One Time, Lower Annuity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20 to 40</t>
        </is>
      </c>
      <c r="AY115" s="30">
        <f>IF(AX115="Above 40",20,IF(AX115="20 to 40",10,IF(AX115="0 to 20",-5,0)))</f>
        <v/>
      </c>
      <c r="AZ115" s="30" t="inlineStr">
        <is>
          <t>Above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Blue sky scenario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More than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No</t>
        </is>
      </c>
      <c r="BS115" s="30">
        <f>IF(BR115="NO",5,0)</f>
        <v/>
      </c>
      <c r="BT115" s="30" t="inlineStr">
        <is>
          <t>Above 2</t>
        </is>
      </c>
      <c r="BU115" s="30">
        <f>IF(BT115="Above 2",0,IF(BT115="Between 1.5 to 2",5,IF(BT115="Less than 1.5",10,0)))</f>
        <v/>
      </c>
      <c r="BV115" s="30" t="inlineStr">
        <is>
          <t>Between 50% to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IF(B116=0,"",RANK(B116,$B$2:$B$427,0))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SKIPPER</t>
        </is>
      </c>
      <c r="D116" s="30" t="inlineStr">
        <is>
          <t>Skipper Limited</t>
        </is>
      </c>
      <c r="E116" s="30" t="inlineStr">
        <is>
          <t>industrials</t>
        </is>
      </c>
      <c r="F116" s="30" t="inlineStr">
        <is>
          <t>engineering</t>
        </is>
      </c>
      <c r="G116" s="30" t="inlineStr">
        <is>
          <t>midcap</t>
        </is>
      </c>
      <c r="H116" s="31" t="n">
        <v>6176.42</v>
      </c>
      <c r="I116" s="31" t="n">
        <v>543.3</v>
      </c>
      <c r="J116" s="31" t="n">
        <v>-0.6899999999999999</v>
      </c>
      <c r="K116" s="31" t="n">
        <v>534289</v>
      </c>
      <c r="L116" s="30" t="n">
        <v>61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67.58</v>
      </c>
      <c r="P116" s="31" t="n">
        <v>33.2</v>
      </c>
      <c r="Q116" s="31" t="n">
        <v>418.79</v>
      </c>
      <c r="R116" s="30" t="inlineStr">
        <is>
          <t>Near 52W High Breakout</t>
        </is>
      </c>
      <c r="S116" s="30" t="inlineStr">
        <is>
          <t>Nifty 50</t>
        </is>
      </c>
      <c r="T116" s="31" t="n">
        <v>-4.38</v>
      </c>
      <c r="U116" s="31" t="n">
        <v>12.63</v>
      </c>
      <c r="V116" s="31" t="n">
        <v>17.79</v>
      </c>
      <c r="W116" s="31" t="n">
        <v>16.62</v>
      </c>
      <c r="X116" s="30" t="inlineStr">
        <is>
          <t>Cyclical in an Upturn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Yes</t>
        </is>
      </c>
      <c r="AQ116" s="30">
        <f>IF(AP116="Yes",10,0)</f>
        <v/>
      </c>
      <c r="AR116" s="30" t="inlineStr">
        <is>
          <t>Higher One Time, Lower Annuity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20 to 40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Close to 52 week high or retracement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No</t>
        </is>
      </c>
      <c r="BS116" s="30">
        <f>IF(BR116="NO",5,0)</f>
        <v/>
      </c>
      <c r="BT116" s="30" t="inlineStr">
        <is>
          <t>Less than 1.5</t>
        </is>
      </c>
      <c r="BU116" s="30">
        <f>IF(BT116="Above 2",0,IF(BT116="Between 1.5 to 2",5,IF(BT116="Less than 1.5",10,0)))</f>
        <v/>
      </c>
      <c r="BV116" s="30" t="inlineStr">
        <is>
          <t>Less than 50%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IF(B117=0,"",RANK(B117,$B$2:$B$427,0))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HARSHA</t>
        </is>
      </c>
      <c r="D117" s="30" t="inlineStr">
        <is>
          <t>Harsha Engineers International Ltd</t>
        </is>
      </c>
      <c r="E117" s="30" t="inlineStr">
        <is>
          <t>industrials</t>
        </is>
      </c>
      <c r="F117" s="30" t="inlineStr">
        <is>
          <t>engineering</t>
        </is>
      </c>
      <c r="G117" s="30" t="inlineStr">
        <is>
          <t>smallcap</t>
        </is>
      </c>
      <c r="H117" s="31" t="n">
        <v>3953.59</v>
      </c>
      <c r="I117" s="31" t="n">
        <v>431.05</v>
      </c>
      <c r="J117" s="31" t="n">
        <v>-0.74</v>
      </c>
      <c r="K117" s="31" t="n">
        <v>131803</v>
      </c>
      <c r="L117" s="30" t="n">
        <v>33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61.4</v>
      </c>
      <c r="P117" s="31" t="n">
        <v>31.79</v>
      </c>
      <c r="Q117" s="31" t="n">
        <v>332.18</v>
      </c>
      <c r="R117" s="30" t="inlineStr">
        <is>
          <t>Near 52W High Breakout</t>
        </is>
      </c>
      <c r="S117" s="30" t="inlineStr">
        <is>
          <t>Nifty 50</t>
        </is>
      </c>
      <c r="T117" s="31" t="n">
        <v>-4.38</v>
      </c>
      <c r="U117" s="31" t="n">
        <v>12.28</v>
      </c>
      <c r="V117" s="31" t="n">
        <v>17.42</v>
      </c>
      <c r="W117" s="31" t="n">
        <v>8.57</v>
      </c>
      <c r="X117" s="30" t="inlineStr">
        <is>
          <t>Cyclical in an Upturn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Yes</t>
        </is>
      </c>
      <c r="AQ117" s="30">
        <f>IF(AP117="Yes",10,0)</f>
        <v/>
      </c>
      <c r="AR117" s="30" t="inlineStr">
        <is>
          <t>Higher One Time, Lower Annuity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20 to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Close to 52 week high or retracement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No</t>
        </is>
      </c>
      <c r="BS117" s="30">
        <f>IF(BR117="NO",5,0)</f>
        <v/>
      </c>
      <c r="BT117" s="30" t="inlineStr">
        <is>
          <t>Less than 1.5</t>
        </is>
      </c>
      <c r="BU117" s="30">
        <f>IF(BT117="Above 2",0,IF(BT117="Between 1.5 to 2",5,IF(BT117="Less than 1.5",10,0)))</f>
        <v/>
      </c>
      <c r="BV117" s="30" t="inlineStr">
        <is>
          <t>Less than 50%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IF(B118=0,"",RANK(B118,$B$2:$B$427,0))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HSCL</t>
        </is>
      </c>
      <c r="D118" s="30" t="inlineStr">
        <is>
          <t>Himadri Speciality Chemical Limited</t>
        </is>
      </c>
      <c r="E118" s="30" t="inlineStr">
        <is>
          <t>chemicals</t>
        </is>
      </c>
      <c r="F118" s="30" t="inlineStr">
        <is>
          <t>chemicals</t>
        </is>
      </c>
      <c r="G118" s="30" t="inlineStr">
        <is>
          <t>largecap</t>
        </is>
      </c>
      <c r="H118" s="31" t="n">
        <v>34828.51</v>
      </c>
      <c r="I118" s="31" t="n">
        <v>671.05</v>
      </c>
      <c r="J118" s="31" t="n">
        <v>-2.79</v>
      </c>
      <c r="K118" s="31" t="n">
        <v>13846530</v>
      </c>
      <c r="L118" s="30" t="n">
        <v>71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70.86</v>
      </c>
      <c r="P118" s="31" t="n">
        <v>32.56</v>
      </c>
      <c r="Q118" s="31" t="n">
        <v>521.49</v>
      </c>
      <c r="R118" s="30" t="inlineStr">
        <is>
          <t>Near 52W High Breakout</t>
        </is>
      </c>
      <c r="S118" s="30" t="inlineStr">
        <is>
          <t>Nifty 50</t>
        </is>
      </c>
      <c r="T118" s="31" t="n">
        <v>-4.38</v>
      </c>
      <c r="U118" s="31" t="n">
        <v>52.89</v>
      </c>
      <c r="V118" s="31" t="n">
        <v>59.89</v>
      </c>
      <c r="W118" s="31" t="n">
        <v>20.16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Yes</t>
        </is>
      </c>
      <c r="AQ118" s="30">
        <f>IF(AP118="Yes",10,0)</f>
        <v/>
      </c>
      <c r="AR118" s="30" t="inlineStr">
        <is>
          <t>Higher One Time, Lower Annuity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20 to 40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Blue sky scenario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Yes</t>
        </is>
      </c>
      <c r="BS118" s="30">
        <f>IF(BR118="NO",5,0)</f>
        <v/>
      </c>
      <c r="BT118" s="30" t="inlineStr">
        <is>
          <t>Between 1.5 to 2</t>
        </is>
      </c>
      <c r="BU118" s="30">
        <f>IF(BT118="Above 2",0,IF(BT118="Between 1.5 to 2",5,IF(BT118="Less than 1.5",10,0)))</f>
        <v/>
      </c>
      <c r="BV118" s="30" t="inlineStr">
        <is>
          <t>Less than 50%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IF(B119=0,"",RANK(B119,$B$2:$B$427,0))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KERNEX</t>
        </is>
      </c>
      <c r="D119" s="30" t="inlineStr">
        <is>
          <t>Kernex Microsystems (india) Limited</t>
        </is>
      </c>
      <c r="E119" s="30" t="inlineStr">
        <is>
          <t>consumer discretionary</t>
        </is>
      </c>
      <c r="F119" s="30" t="inlineStr">
        <is>
          <t>electronics - components</t>
        </is>
      </c>
      <c r="G119" s="30" t="inlineStr">
        <is>
          <t>smallcap</t>
        </is>
      </c>
      <c r="H119" s="31" t="n">
        <v>3491.04</v>
      </c>
      <c r="I119" s="31" t="n">
        <v>1999.5</v>
      </c>
      <c r="J119" s="31" t="n">
        <v>-3.76</v>
      </c>
      <c r="K119" s="31" t="n">
        <v>262760</v>
      </c>
      <c r="L119" s="30" t="n">
        <v>92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73.39</v>
      </c>
      <c r="P119" s="31" t="n">
        <v>34.44</v>
      </c>
      <c r="Q119" s="31" t="n">
        <v>1471.51</v>
      </c>
      <c r="R119" s="30" t="inlineStr">
        <is>
          <t>Near 52W High Breakout</t>
        </is>
      </c>
      <c r="S119" s="30" t="inlineStr">
        <is>
          <t>Nifty 50</t>
        </is>
      </c>
      <c r="T119" s="31" t="n">
        <v>-4.38</v>
      </c>
      <c r="U119" s="31" t="n">
        <v>66.88</v>
      </c>
      <c r="V119" s="31" t="n">
        <v>74.51000000000001</v>
      </c>
      <c r="W119" s="31" t="n">
        <v>39.09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Yes</t>
        </is>
      </c>
      <c r="AQ119" s="30">
        <f>IF(AP119="Yes",10,0)</f>
        <v/>
      </c>
      <c r="AR119" s="30" t="inlineStr">
        <is>
          <t>Higher One Time, Lower Annuity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20 to 40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Blue sky scenario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More than 20%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No</t>
        </is>
      </c>
      <c r="BS119" s="30">
        <f>IF(BR119="NO",5,0)</f>
        <v/>
      </c>
      <c r="BT119" s="30" t="inlineStr">
        <is>
          <t>Above 2</t>
        </is>
      </c>
      <c r="BU119" s="30">
        <f>IF(BT119="Above 2",0,IF(BT119="Between 1.5 to 2",5,IF(BT119="Less than 1.5",10,0)))</f>
        <v/>
      </c>
      <c r="BV119" s="30" t="inlineStr">
        <is>
          <t>Negative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IF(B120=0,"",RANK(B120,$B$2:$B$427,0))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2" t="inlineStr">
        <is>
          <t>KOPRAN</t>
        </is>
      </c>
      <c r="D120" s="32" t="inlineStr">
        <is>
          <t>Kopran Limited</t>
        </is>
      </c>
      <c r="E120" s="30" t="inlineStr">
        <is>
          <t>healthcare</t>
        </is>
      </c>
      <c r="F120" s="30" t="inlineStr">
        <is>
          <t>pharmaceuticals - indian - bulk drugs &amp; formln</t>
        </is>
      </c>
      <c r="G120" s="30" t="inlineStr">
        <is>
          <t>smallcap</t>
        </is>
      </c>
      <c r="H120" s="31" t="n">
        <v>892.22</v>
      </c>
      <c r="I120" s="31" t="n">
        <v>194.01</v>
      </c>
      <c r="J120" s="31" t="n">
        <v>5</v>
      </c>
      <c r="K120" s="31" t="n">
        <v>170382</v>
      </c>
      <c r="L120" s="30" t="n">
        <v>65</v>
      </c>
      <c r="M120" s="30" t="inlineStr">
        <is>
          <t>Underperforming</t>
        </is>
      </c>
      <c r="N120" s="31">
        <f>IF(M120="Underperforming",-5,IF(L120&gt;=95,15,IF(L120&gt;=90,10,IF(L120&gt;=80,5,0))))</f>
        <v/>
      </c>
      <c r="O120" s="31" t="n">
        <v>62.98</v>
      </c>
      <c r="P120" s="31" t="n">
        <v>28.43</v>
      </c>
      <c r="Q120" s="31" t="n">
        <v>149.48</v>
      </c>
      <c r="R120" s="30" t="inlineStr">
        <is>
          <t>Earnings / Momentum Support</t>
        </is>
      </c>
      <c r="S120" s="30" t="inlineStr">
        <is>
          <t>Nifty Pharma</t>
        </is>
      </c>
      <c r="T120" s="31" t="n">
        <v>13.17</v>
      </c>
      <c r="U120" s="31" t="n">
        <v>5.64</v>
      </c>
      <c r="V120" s="31" t="n">
        <v>-6.65</v>
      </c>
      <c r="W120" s="31" t="n">
        <v>17.69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Yes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No</t>
        </is>
      </c>
      <c r="AQ120" s="30">
        <f>IF(AP120="Yes",10,0)</f>
        <v/>
      </c>
      <c r="AR120" s="30" t="inlineStr">
        <is>
          <t>Higher Annuity, Lower One Time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20 to 40</t>
        </is>
      </c>
      <c r="AY120" s="30">
        <f>IF(AX120="Above 40",20,IF(AX120="20 to 40",10,IF(AX120="0 to 20",-5,0)))</f>
        <v/>
      </c>
      <c r="AZ120" s="30" t="inlineStr">
        <is>
          <t>Between 50 to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Close to 52 week high or retracement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No</t>
        </is>
      </c>
      <c r="BS120" s="30">
        <f>IF(BR120="NO",5,0)</f>
        <v/>
      </c>
      <c r="BT120" s="30" t="inlineStr">
        <is>
          <t>Less than 1.5</t>
        </is>
      </c>
      <c r="BU120" s="30">
        <f>IF(BT120="Above 2",0,IF(BT120="Between 1.5 to 2",5,IF(BT120="Less than 1.5",10,0)))</f>
        <v/>
      </c>
      <c r="BV120" s="30" t="inlineStr">
        <is>
          <t>Above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IF(B121=0,"",RANK(B121,$B$2:$B$427,0))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SUVEN</t>
        </is>
      </c>
      <c r="D121" s="30" t="inlineStr">
        <is>
          <t>Suven Life Sciences Limited</t>
        </is>
      </c>
      <c r="E121" s="30" t="inlineStr">
        <is>
          <t>healthcare</t>
        </is>
      </c>
      <c r="F121" s="30" t="inlineStr">
        <is>
          <t>miscellaneous</t>
        </is>
      </c>
      <c r="G121" s="30" t="inlineStr">
        <is>
          <t>midcap</t>
        </is>
      </c>
      <c r="H121" s="31" t="n">
        <v>6848.82</v>
      </c>
      <c r="I121" s="31" t="n">
        <v>268.2</v>
      </c>
      <c r="J121" s="31" t="n">
        <v>3.27</v>
      </c>
      <c r="K121" s="31" t="n">
        <v>1458412</v>
      </c>
      <c r="L121" s="30" t="n">
        <v>87</v>
      </c>
      <c r="M121" s="30" t="inlineStr">
        <is>
          <t>Outperforming</t>
        </is>
      </c>
      <c r="N121" s="31">
        <f>IF(M121="Underperforming",-5,IF(L121&gt;=95,15,IF(L121&gt;=90,10,IF(L121&gt;=80,5,0))))</f>
        <v/>
      </c>
      <c r="O121" s="31" t="n">
        <v>66.23999999999999</v>
      </c>
      <c r="P121" s="31" t="n">
        <v>35.43</v>
      </c>
      <c r="Q121" s="31" t="n">
        <v>193.21</v>
      </c>
      <c r="R121" s="30" t="inlineStr">
        <is>
          <t>Earnings / Momentum Support</t>
        </is>
      </c>
      <c r="S121" s="30" t="inlineStr">
        <is>
          <t>Nifty Pharma</t>
        </is>
      </c>
      <c r="T121" s="31" t="n">
        <v>13.17</v>
      </c>
      <c r="U121" s="31" t="n">
        <v>18</v>
      </c>
      <c r="V121" s="31" t="n">
        <v>4.26</v>
      </c>
      <c r="W121" s="31" t="n">
        <v>30.71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Yes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No</t>
        </is>
      </c>
      <c r="AQ121" s="30">
        <f>IF(AP121="Yes",10,0)</f>
        <v/>
      </c>
      <c r="AR121" s="30" t="inlineStr">
        <is>
          <t>Higher Annuity, Lower One Time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20 to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Close to 52 week high or retracement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More than 20%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No</t>
        </is>
      </c>
      <c r="BS121" s="30">
        <f>IF(BR121="NO",5,0)</f>
        <v/>
      </c>
      <c r="BT121" s="30" t="inlineStr">
        <is>
          <t>Above 2</t>
        </is>
      </c>
      <c r="BU121" s="30">
        <f>IF(BT121="Above 2",0,IF(BT121="Between 1.5 to 2",5,IF(BT121="Less than 1.5",10,0)))</f>
        <v/>
      </c>
      <c r="BV121" s="30" t="inlineStr">
        <is>
          <t>Above 70%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IF(B122=0,"",RANK(B122,$B$2:$B$427,0))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AURUM</t>
        </is>
      </c>
      <c r="D122" s="30" t="inlineStr">
        <is>
          <t>Aurum Proptech Ltd</t>
        </is>
      </c>
      <c r="E122" s="30" t="inlineStr">
        <is>
          <t>i.t</t>
        </is>
      </c>
      <c r="F122" s="30" t="inlineStr">
        <is>
          <t>computers - software - medium / small</t>
        </is>
      </c>
      <c r="G122" s="30" t="inlineStr">
        <is>
          <t>smallcap</t>
        </is>
      </c>
      <c r="H122" s="31" t="n">
        <v>1535.24</v>
      </c>
      <c r="I122" s="31" t="n">
        <v>203.91</v>
      </c>
      <c r="J122" s="31" t="n">
        <v>1.82</v>
      </c>
      <c r="K122" s="31" t="n">
        <v>149779</v>
      </c>
      <c r="L122" s="30" t="n">
        <v>19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64.14</v>
      </c>
      <c r="P122" s="31" t="n">
        <v>20.26</v>
      </c>
      <c r="Q122" s="31" t="n">
        <v>158.7</v>
      </c>
      <c r="R122" s="30" t="inlineStr">
        <is>
          <t>Volume Spike &amp; Near 52W High Breakout</t>
        </is>
      </c>
      <c r="S122" s="30" t="inlineStr">
        <is>
          <t>Nifty IT</t>
        </is>
      </c>
      <c r="T122" s="31" t="n">
        <v>-29.66</v>
      </c>
      <c r="U122" s="31" t="n">
        <v>5.15</v>
      </c>
      <c r="V122" s="31" t="n">
        <v>49.49</v>
      </c>
      <c r="W122" s="31" t="n">
        <v>5.5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No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Yes</t>
        </is>
      </c>
      <c r="AQ122" s="30">
        <f>IF(AP122="Yes",10,0)</f>
        <v/>
      </c>
      <c r="AR122" s="30" t="inlineStr">
        <is>
          <t>Higher Annuity, Lower One Time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20 to 40</t>
        </is>
      </c>
      <c r="AY122" s="30">
        <f>IF(AX122="Above 40",20,IF(AX122="20 to 40",10,IF(AX122="0 to 20",-5,0)))</f>
        <v/>
      </c>
      <c r="AZ122" s="30" t="inlineStr">
        <is>
          <t>Between 50 to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Close to 52 week high or retracement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More than 20%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Yes</t>
        </is>
      </c>
      <c r="BS122" s="30">
        <f>IF(BR122="NO",5,0)</f>
        <v/>
      </c>
      <c r="BT122" s="30" t="inlineStr">
        <is>
          <t>Above 2</t>
        </is>
      </c>
      <c r="BU122" s="30">
        <f>IF(BT122="Above 2",0,IF(BT122="Between 1.5 to 2",5,IF(BT122="Less than 1.5",10,0)))</f>
        <v/>
      </c>
      <c r="BV122" s="30" t="inlineStr">
        <is>
          <t>Between 50% to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IF(B123=0,"",RANK(B123,$B$2:$B$427,0))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WOCKPHARMA</t>
        </is>
      </c>
      <c r="D123" s="30" t="inlineStr">
        <is>
          <t>Wockhardt Limited</t>
        </is>
      </c>
      <c r="E123" s="30" t="inlineStr">
        <is>
          <t>healthcare</t>
        </is>
      </c>
      <c r="F123" s="30" t="inlineStr">
        <is>
          <t>pharmaceuticals - indian - bulk drugs &amp; formln</t>
        </is>
      </c>
      <c r="G123" s="30" t="inlineStr">
        <is>
          <t>largecap</t>
        </is>
      </c>
      <c r="H123" s="31" t="n">
        <v>32322.94</v>
      </c>
      <c r="I123" s="31" t="n">
        <v>2011.1</v>
      </c>
      <c r="J123" s="31" t="n">
        <v>1.1</v>
      </c>
      <c r="K123" s="31" t="n">
        <v>797012</v>
      </c>
      <c r="L123" s="30" t="n">
        <v>73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72.55</v>
      </c>
      <c r="P123" s="31" t="n">
        <v>34.66</v>
      </c>
      <c r="Q123" s="31" t="n">
        <v>1457.84</v>
      </c>
      <c r="R123" s="30" t="inlineStr">
        <is>
          <t>Near 52W High Breakout</t>
        </is>
      </c>
      <c r="S123" s="30" t="inlineStr">
        <is>
          <t>Nifty Pharma</t>
        </is>
      </c>
      <c r="T123" s="31" t="n">
        <v>13.17</v>
      </c>
      <c r="U123" s="31" t="n">
        <v>16.19</v>
      </c>
      <c r="V123" s="31" t="n">
        <v>2.67</v>
      </c>
      <c r="W123" s="31" t="n">
        <v>21.21</v>
      </c>
      <c r="X123" s="30" t="inlineStr">
        <is>
          <t>Growing Industry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Yes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Yes</t>
        </is>
      </c>
      <c r="AQ123" s="30">
        <f>IF(AP123="Yes",10,0)</f>
        <v/>
      </c>
      <c r="AR123" s="30" t="inlineStr">
        <is>
          <t>Higher Annuity, Lower One Time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20 to 40</t>
        </is>
      </c>
      <c r="AY123" s="30">
        <f>IF(AX123="Above 40",20,IF(AX123="20 to 40",10,IF(AX123="0 to 20",-5,0)))</f>
        <v/>
      </c>
      <c r="AZ123" s="30" t="inlineStr">
        <is>
          <t>Between 50 to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Blue sky scenario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Yes</t>
        </is>
      </c>
      <c r="BS123" s="30">
        <f>IF(BR123="NO",5,0)</f>
        <v/>
      </c>
      <c r="BT123" s="30" t="inlineStr">
        <is>
          <t>Above 2</t>
        </is>
      </c>
      <c r="BU123" s="30">
        <f>IF(BT123="Above 2",0,IF(BT123="Between 1.5 to 2",5,IF(BT123="Less than 1.5",10,0)))</f>
        <v/>
      </c>
      <c r="BV123" s="30" t="inlineStr">
        <is>
          <t>Between 50% to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IF(B124=0,"",RANK(B124,$B$2:$B$427,0))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SBCL</t>
        </is>
      </c>
      <c r="D124" s="30" t="inlineStr">
        <is>
          <t>Shivalik Bimetal Controls Ltd</t>
        </is>
      </c>
      <c r="E124" s="30" t="inlineStr">
        <is>
          <t>metals &amp; mining</t>
        </is>
      </c>
      <c r="F124" s="30" t="inlineStr">
        <is>
          <t>mining / minerals / metals</t>
        </is>
      </c>
      <c r="G124" s="30" t="inlineStr">
        <is>
          <t>smallcap</t>
        </is>
      </c>
      <c r="H124" s="31" t="n">
        <v>4253.49</v>
      </c>
      <c r="I124" s="31" t="n">
        <v>746.55</v>
      </c>
      <c r="J124" s="31" t="n">
        <v>1.1</v>
      </c>
      <c r="K124" s="31" t="n">
        <v>952725</v>
      </c>
      <c r="L124" s="30" t="n">
        <v>87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70.83</v>
      </c>
      <c r="P124" s="31" t="n">
        <v>36.55</v>
      </c>
      <c r="Q124" s="31" t="n">
        <v>549.17</v>
      </c>
      <c r="R124" s="30" t="inlineStr">
        <is>
          <t>Near 52W High Breakout</t>
        </is>
      </c>
      <c r="S124" s="30" t="inlineStr">
        <is>
          <t>Nifty Metal</t>
        </is>
      </c>
      <c r="T124" s="31" t="n">
        <v>42.48</v>
      </c>
      <c r="U124" s="31" t="n">
        <v>54.33</v>
      </c>
      <c r="V124" s="31" t="n">
        <v>8.31</v>
      </c>
      <c r="W124" s="31" t="n">
        <v>30.77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Monopoly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Shallow Cyclical (2 to 3 Years Growth)</t>
        </is>
      </c>
      <c r="AG124" s="30">
        <f>IF(AF124="Structural (10 Years Consistency)",10,IF(AF124="Shallow Cyclical (2 to 3 years growth)",5,0))</f>
        <v/>
      </c>
      <c r="AH124" s="30" t="inlineStr">
        <is>
          <t>Yes due to Product Mix change or Operating Leverage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Yes</t>
        </is>
      </c>
      <c r="AQ124" s="30">
        <f>IF(AP124="Yes",10,0)</f>
        <v/>
      </c>
      <c r="AR124" s="30" t="inlineStr">
        <is>
          <t>Fully One Time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20 to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Close to 52 week high or retracement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Yes</t>
        </is>
      </c>
      <c r="BQ124" s="30">
        <f>IF(BP124="No",10,0)</f>
        <v/>
      </c>
      <c r="BR124" s="30" t="inlineStr">
        <is>
          <t>No</t>
        </is>
      </c>
      <c r="BS124" s="30">
        <f>IF(BR124="NO",5,0)</f>
        <v/>
      </c>
      <c r="BT124" s="30" t="inlineStr">
        <is>
          <t>Between 1.5 to 2</t>
        </is>
      </c>
      <c r="BU124" s="30">
        <f>IF(BT124="Above 2",0,IF(BT124="Between 1.5 to 2",5,IF(BT124="Less than 1.5",10,0)))</f>
        <v/>
      </c>
      <c r="BV124" s="30" t="inlineStr">
        <is>
          <t>Less than 50%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IF(B125=0,"",RANK(B125,$B$2:$B$427,0))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2" t="inlineStr">
        <is>
          <t>ALIVUS</t>
        </is>
      </c>
      <c r="D125" s="32" t="inlineStr">
        <is>
          <t>Alivus Life Sciences Ltd</t>
        </is>
      </c>
      <c r="E125" s="30" t="inlineStr">
        <is>
          <t>healthcare</t>
        </is>
      </c>
      <c r="F125" s="30" t="inlineStr">
        <is>
          <t>pharmaceuticals - indian - bulk drugs &amp; formln</t>
        </is>
      </c>
      <c r="G125" s="30" t="inlineStr">
        <is>
          <t>midcap</t>
        </is>
      </c>
      <c r="H125" s="31" t="n">
        <v>13010.05</v>
      </c>
      <c r="I125" s="31" t="n">
        <v>1070.3</v>
      </c>
      <c r="J125" s="31" t="n">
        <v>0.97</v>
      </c>
      <c r="K125" s="31" t="n">
        <v>105388</v>
      </c>
      <c r="L125" s="30" t="n">
        <v>13</v>
      </c>
      <c r="M125" s="30" t="inlineStr">
        <is>
          <t>Underperforming</t>
        </is>
      </c>
      <c r="N125" s="31">
        <f>IF(M125="Underperforming",-5,IF(L125&gt;=95,15,IF(L125&gt;=90,10,IF(L125&gt;=80,5,0))))</f>
        <v/>
      </c>
      <c r="O125" s="31" t="n">
        <v>60.77</v>
      </c>
      <c r="P125" s="31" t="n">
        <v>28.01</v>
      </c>
      <c r="Q125" s="31" t="n">
        <v>903.52</v>
      </c>
      <c r="R125" s="30" t="inlineStr">
        <is>
          <t>Near 52W High Breakout</t>
        </is>
      </c>
      <c r="S125" s="30" t="inlineStr">
        <is>
          <t>Nifty Pharma</t>
        </is>
      </c>
      <c r="T125" s="31" t="n">
        <v>13.17</v>
      </c>
      <c r="U125" s="31" t="n">
        <v>7.79</v>
      </c>
      <c r="V125" s="31" t="n">
        <v>-4.75</v>
      </c>
      <c r="W125" s="31" t="n">
        <v>4.46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Yes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Yes</t>
        </is>
      </c>
      <c r="AQ125" s="30">
        <f>IF(AP125="Yes",10,0)</f>
        <v/>
      </c>
      <c r="AR125" s="30" t="inlineStr">
        <is>
          <t>Higher Annuity, Lower One Time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20 to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Close to 52 week high or retracement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Between 12 to 20%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No</t>
        </is>
      </c>
      <c r="BS125" s="30">
        <f>IF(BR125="NO",5,0)</f>
        <v/>
      </c>
      <c r="BT125" s="30" t="inlineStr">
        <is>
          <t>Between 1.5 to 2</t>
        </is>
      </c>
      <c r="BU125" s="30">
        <f>IF(BT125="Above 2",0,IF(BT125="Between 1.5 to 2",5,IF(BT125="Less than 1.5",10,0)))</f>
        <v/>
      </c>
      <c r="BV125" s="30" t="inlineStr">
        <is>
          <t>Above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IF(B126=0,"",RANK(B126,$B$2:$B$427,0))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SAILIFE</t>
        </is>
      </c>
      <c r="D126" s="30" t="inlineStr">
        <is>
          <t>Sai Life Sciences Ltd</t>
        </is>
      </c>
      <c r="E126" s="30" t="inlineStr">
        <is>
          <t>healthcare</t>
        </is>
      </c>
      <c r="F126" s="30" t="inlineStr">
        <is>
          <t>pharmaceuticals - indian - bulk drugs &amp; formln</t>
        </is>
      </c>
      <c r="G126" s="30" t="inlineStr">
        <is>
          <t>largecap</t>
        </is>
      </c>
      <c r="H126" s="31" t="n">
        <v>25557.52</v>
      </c>
      <c r="I126" s="31" t="n">
        <v>1216.4</v>
      </c>
      <c r="J126" s="31" t="n">
        <v>0.8</v>
      </c>
      <c r="K126" s="31" t="n">
        <v>468762</v>
      </c>
      <c r="L126" s="30" t="n">
        <v>55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71.75</v>
      </c>
      <c r="P126" s="31" t="n">
        <v>28.89</v>
      </c>
      <c r="Q126" s="31" t="n">
        <v>975.41</v>
      </c>
      <c r="R126" s="30" t="inlineStr">
        <is>
          <t>Near 52W High Breakout</t>
        </is>
      </c>
      <c r="S126" s="30" t="inlineStr">
        <is>
          <t>Nifty Pharma</t>
        </is>
      </c>
      <c r="T126" s="31" t="n">
        <v>13.17</v>
      </c>
      <c r="U126" s="31" t="n">
        <v>58.95</v>
      </c>
      <c r="V126" s="31" t="n">
        <v>40.45</v>
      </c>
      <c r="W126" s="31" t="n">
        <v>14.42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Yes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Yes</t>
        </is>
      </c>
      <c r="AQ126" s="30">
        <f>IF(AP126="Yes",10,0)</f>
        <v/>
      </c>
      <c r="AR126" s="30" t="inlineStr">
        <is>
          <t>Higher Annuity, Lower One Time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20 to 40</t>
        </is>
      </c>
      <c r="AY126" s="30">
        <f>IF(AX126="Above 40",20,IF(AX126="20 to 40",10,IF(AX126="0 to 20",-5,0)))</f>
        <v/>
      </c>
      <c r="AZ126" s="30" t="inlineStr">
        <is>
          <t>Between 50 to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Blue sky scenario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Between 12 to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Yes</t>
        </is>
      </c>
      <c r="BS126" s="30">
        <f>IF(BR126="NO",5,0)</f>
        <v/>
      </c>
      <c r="BT126" s="30" t="inlineStr">
        <is>
          <t>Above 2</t>
        </is>
      </c>
      <c r="BU126" s="30">
        <f>IF(BT126="Above 2",0,IF(BT126="Between 1.5 to 2",5,IF(BT126="Less than 1.5",10,0)))</f>
        <v/>
      </c>
      <c r="BV126" s="30" t="inlineStr">
        <is>
          <t>Above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IF(B127=0,"",RANK(B127,$B$2:$B$427,0))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PANACEABIO</t>
        </is>
      </c>
      <c r="D127" s="30" t="inlineStr">
        <is>
          <t>Panacea Biotec Limited</t>
        </is>
      </c>
      <c r="E127" s="30" t="inlineStr">
        <is>
          <t>healthcare</t>
        </is>
      </c>
      <c r="F127" s="30" t="inlineStr">
        <is>
          <t>pharmaceuticals - indian - bulk drugs &amp; formln</t>
        </is>
      </c>
      <c r="G127" s="30" t="inlineStr">
        <is>
          <t>smallcap</t>
        </is>
      </c>
      <c r="H127" s="31" t="n">
        <v>3276</v>
      </c>
      <c r="I127" s="31" t="n">
        <v>536.4</v>
      </c>
      <c r="J127" s="31" t="n">
        <v>0.29</v>
      </c>
      <c r="K127" s="31" t="n">
        <v>385112</v>
      </c>
      <c r="L127" s="30" t="n">
        <v>71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75.37</v>
      </c>
      <c r="P127" s="31" t="n">
        <v>28.02</v>
      </c>
      <c r="Q127" s="31" t="n">
        <v>370.1</v>
      </c>
      <c r="R127" s="30" t="inlineStr">
        <is>
          <t>Near 52W High Breakout</t>
        </is>
      </c>
      <c r="S127" s="30" t="inlineStr">
        <is>
          <t>Nifty Pharma</t>
        </is>
      </c>
      <c r="T127" s="31" t="n">
        <v>13.17</v>
      </c>
      <c r="U127" s="31" t="n">
        <v>25.9</v>
      </c>
      <c r="V127" s="31" t="n">
        <v>11.25</v>
      </c>
      <c r="W127" s="31" t="n">
        <v>20.33</v>
      </c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Yes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Annuity, Lower One Time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20 to 40</t>
        </is>
      </c>
      <c r="AY127" s="30">
        <f>IF(AX127="Above 40",20,IF(AX127="20 to 40",10,IF(AX127="0 to 20",-5,0)))</f>
        <v/>
      </c>
      <c r="AZ127" s="30" t="inlineStr">
        <is>
          <t>Above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Blue sky scenario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Less than 12%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No</t>
        </is>
      </c>
      <c r="BS127" s="30">
        <f>IF(BR127="NO",5,0)</f>
        <v/>
      </c>
      <c r="BT127" s="30" t="inlineStr">
        <is>
          <t>Less than 1.5</t>
        </is>
      </c>
      <c r="BU127" s="30">
        <f>IF(BT127="Above 2",0,IF(BT127="Between 1.5 to 2",5,IF(BT127="Less than 1.5",10,0)))</f>
        <v/>
      </c>
      <c r="BV127" s="30" t="inlineStr">
        <is>
          <t>Above 70%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IF(B128=0,"",RANK(B128,$B$2:$B$427,0))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ABDL</t>
        </is>
      </c>
      <c r="D128" s="30" t="inlineStr">
        <is>
          <t>Allied Blenders &amp; Distillers Ltd</t>
        </is>
      </c>
      <c r="E128" s="30" t="inlineStr">
        <is>
          <t>fmcg</t>
        </is>
      </c>
      <c r="F128" s="30" t="inlineStr">
        <is>
          <t>breweries &amp; distilleries</t>
        </is>
      </c>
      <c r="G128" s="30" t="inlineStr">
        <is>
          <t>midcap</t>
        </is>
      </c>
      <c r="H128" s="31" t="n">
        <v>17700.06</v>
      </c>
      <c r="I128" s="31" t="n">
        <v>631.25</v>
      </c>
      <c r="J128" s="31" t="n">
        <v>-0.24</v>
      </c>
      <c r="K128" s="31" t="n">
        <v>201779</v>
      </c>
      <c r="L128" s="30" t="n">
        <v>78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61.25</v>
      </c>
      <c r="P128" s="31" t="n">
        <v>20.57</v>
      </c>
      <c r="Q128" s="31" t="n">
        <v>489.7</v>
      </c>
      <c r="R128" s="30" t="inlineStr">
        <is>
          <t>Near 52W High Breakout</t>
        </is>
      </c>
      <c r="S128" s="30" t="inlineStr">
        <is>
          <t>Nifty FMCG</t>
        </is>
      </c>
      <c r="T128" s="31" t="n">
        <v>-9.279999999999999</v>
      </c>
      <c r="U128" s="31" t="n">
        <v>50.6</v>
      </c>
      <c r="V128" s="31" t="n">
        <v>66.01000000000001</v>
      </c>
      <c r="W128" s="31" t="n">
        <v>23.83</v>
      </c>
      <c r="X128" s="30" t="inlineStr">
        <is>
          <t>Growing Industry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B2C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Annuity, Lower One Time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20 to 40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Blue sky scenario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Less than 12%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Yes</t>
        </is>
      </c>
      <c r="BS128" s="30">
        <f>IF(BR128="NO",5,0)</f>
        <v/>
      </c>
      <c r="BT128" s="30" t="inlineStr">
        <is>
          <t>Above 2</t>
        </is>
      </c>
      <c r="BU128" s="30">
        <f>IF(BT128="Above 2",0,IF(BT128="Between 1.5 to 2",5,IF(BT128="Less than 1.5",10,0)))</f>
        <v/>
      </c>
      <c r="BV128" s="30" t="inlineStr">
        <is>
          <t>Between 50% to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IF(B129=0,"",RANK(B129,$B$2:$B$427,0))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HNDFDS</t>
        </is>
      </c>
      <c r="D129" s="30" t="inlineStr">
        <is>
          <t>Hindustan Foods Ltd</t>
        </is>
      </c>
      <c r="E129" s="30" t="inlineStr">
        <is>
          <t>fmcg</t>
        </is>
      </c>
      <c r="F129" s="30" t="inlineStr">
        <is>
          <t>diversified - large</t>
        </is>
      </c>
      <c r="G129" s="30" t="inlineStr">
        <is>
          <t>midcap</t>
        </is>
      </c>
      <c r="H129" s="31" t="n">
        <v>6622.28</v>
      </c>
      <c r="I129" s="31" t="n">
        <v>545.4</v>
      </c>
      <c r="J129" s="31" t="n">
        <v>-1.6</v>
      </c>
      <c r="K129" s="31" t="n">
        <v>110538</v>
      </c>
      <c r="L129" s="30" t="n">
        <v>8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58.81</v>
      </c>
      <c r="P129" s="31" t="n">
        <v>21.65</v>
      </c>
      <c r="Q129" s="31" t="n">
        <v>449.06</v>
      </c>
      <c r="R129" s="30" t="inlineStr">
        <is>
          <t>Near 52W High Breakout</t>
        </is>
      </c>
      <c r="S129" s="30" t="inlineStr">
        <is>
          <t>Nifty FMCG</t>
        </is>
      </c>
      <c r="T129" s="31" t="n">
        <v>-9.279999999999999</v>
      </c>
      <c r="U129" s="31" t="n">
        <v>2.42</v>
      </c>
      <c r="V129" s="31" t="n">
        <v>12.91</v>
      </c>
      <c r="W129" s="31" t="n">
        <v>3.36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B2C</t>
        </is>
      </c>
      <c r="AO129" s="30">
        <f>IF(AN129="B2C",10,IF(AN129="B2B",5,0))</f>
        <v/>
      </c>
      <c r="AP129" s="30" t="inlineStr">
        <is>
          <t>Yes</t>
        </is>
      </c>
      <c r="AQ129" s="30">
        <f>IF(AP129="Yes",10,0)</f>
        <v/>
      </c>
      <c r="AR129" s="30" t="inlineStr">
        <is>
          <t>Higher Annuity, Lower One Time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20 to 40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Yes</t>
        </is>
      </c>
      <c r="BS129" s="30">
        <f>IF(BR129="NO",5,0)</f>
        <v/>
      </c>
      <c r="BT129" s="30" t="inlineStr">
        <is>
          <t>Less than 1.5</t>
        </is>
      </c>
      <c r="BU129" s="30">
        <f>IF(BT129="Above 2",0,IF(BT129="Between 1.5 to 2",5,IF(BT129="Less than 1.5",10,0)))</f>
        <v/>
      </c>
      <c r="BV129" s="30" t="inlineStr">
        <is>
          <t>Less than 50%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Between 0.7 to 1.2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IF(B130=0,"",RANK(B130,$B$2:$B$427,0))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2" t="inlineStr">
        <is>
          <t>BERGEPAINT</t>
        </is>
      </c>
      <c r="D130" s="32" t="inlineStr">
        <is>
          <t>Berger Paints (i) Limited</t>
        </is>
      </c>
      <c r="E130" s="30" t="inlineStr">
        <is>
          <t>building materials</t>
        </is>
      </c>
      <c r="F130" s="30" t="inlineStr">
        <is>
          <t>paints / varnishes</t>
        </is>
      </c>
      <c r="G130" s="30" t="inlineStr">
        <is>
          <t>largecap</t>
        </is>
      </c>
      <c r="H130" s="31" t="n">
        <v>58888.97</v>
      </c>
      <c r="I130" s="31" t="n">
        <v>550.7</v>
      </c>
      <c r="J130" s="31" t="n">
        <v>9.039999999999999</v>
      </c>
      <c r="K130" s="31" t="n">
        <v>7790257</v>
      </c>
      <c r="L130" s="30" t="n">
        <v>33</v>
      </c>
      <c r="M130" s="30" t="inlineStr">
        <is>
          <t>Underperforming</t>
        </is>
      </c>
      <c r="N130" s="31">
        <f>IF(M130="Underperforming",-5,IF(L130&gt;=95,15,IF(L130&gt;=90,10,IF(L130&gt;=80,5,0))))</f>
        <v/>
      </c>
      <c r="O130" s="31" t="n">
        <v>62.56</v>
      </c>
      <c r="P130" s="31" t="n">
        <v>26.66</v>
      </c>
      <c r="Q130" s="31" t="n">
        <v>446.19</v>
      </c>
      <c r="R130" s="30" t="inlineStr">
        <is>
          <t>Volume Spike / Accumulation</t>
        </is>
      </c>
      <c r="S130" s="30" t="inlineStr">
        <is>
          <t>Nifty Infra</t>
        </is>
      </c>
      <c r="T130" s="31" t="n">
        <v>4.18</v>
      </c>
      <c r="U130" s="31" t="n">
        <v>3.48</v>
      </c>
      <c r="V130" s="31" t="n">
        <v>-0.67</v>
      </c>
      <c r="W130" s="31" t="n">
        <v>8.57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Yes</t>
        </is>
      </c>
      <c r="AQ130" s="30">
        <f>IF(AP130="Yes",10,0)</f>
        <v/>
      </c>
      <c r="AR130" s="30" t="inlineStr">
        <is>
          <t>Higher One Time, Lower Annuity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20 to 40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Close to 52 week high or retracement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More than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Yes</t>
        </is>
      </c>
      <c r="BS130" s="30">
        <f>IF(BR130="NO",5,0)</f>
        <v/>
      </c>
      <c r="BT130" s="30" t="inlineStr">
        <is>
          <t>Above 2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IF(B131=0,"",RANK(B131,$B$2:$B$427,0))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HFCL</t>
        </is>
      </c>
      <c r="D131" s="30" t="inlineStr">
        <is>
          <t>HFCL Ltd</t>
        </is>
      </c>
      <c r="E131" s="30" t="inlineStr">
        <is>
          <t>telecom</t>
        </is>
      </c>
      <c r="F131" s="30" t="inlineStr">
        <is>
          <t>cables - telephone</t>
        </is>
      </c>
      <c r="G131" s="30" t="inlineStr">
        <is>
          <t>largecap</t>
        </is>
      </c>
      <c r="H131" s="31" t="n">
        <v>30555.42</v>
      </c>
      <c r="I131" s="31" t="n">
        <v>209.61</v>
      </c>
      <c r="J131" s="31" t="n">
        <v>5</v>
      </c>
      <c r="K131" s="31" t="n">
        <v>26062936</v>
      </c>
      <c r="L131" s="30" t="n">
        <v>98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84.73999999999999</v>
      </c>
      <c r="P131" s="31" t="n">
        <v>51.88</v>
      </c>
      <c r="Q131" s="31" t="n">
        <v>158.47</v>
      </c>
      <c r="R131" s="30" t="inlineStr">
        <is>
          <t>Near 52W High Breakout</t>
        </is>
      </c>
      <c r="S131" s="30" t="inlineStr">
        <is>
          <t>Nifty Infra</t>
        </is>
      </c>
      <c r="T131" s="31" t="n">
        <v>4.18</v>
      </c>
      <c r="U131" s="31" t="n">
        <v>156.87</v>
      </c>
      <c r="V131" s="31" t="n">
        <v>146.57</v>
      </c>
      <c r="W131" s="31" t="n">
        <v>75.53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Oligopoly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Yes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Yes</t>
        </is>
      </c>
      <c r="AQ131" s="30">
        <f>IF(AP131="Yes",10,0)</f>
        <v/>
      </c>
      <c r="AR131" s="30" t="inlineStr">
        <is>
          <t>Higher One Time, Lower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Above 40</t>
        </is>
      </c>
      <c r="AY131" s="30">
        <f>IF(AX131="Above 40",20,IF(AX131="20 to 40",10,IF(AX131="0 to 20",-5,0)))</f>
        <v/>
      </c>
      <c r="AZ131" s="30" t="inlineStr">
        <is>
          <t>Above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Blue sky scenario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More than 20%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Yes</t>
        </is>
      </c>
      <c r="BS131" s="30">
        <f>IF(BR131="NO",5,0)</f>
        <v/>
      </c>
      <c r="BT131" s="30" t="inlineStr">
        <is>
          <t>Above 2</t>
        </is>
      </c>
      <c r="BU131" s="30">
        <f>IF(BT131="Above 2",0,IF(BT131="Between 1.5 to 2",5,IF(BT131="Less than 1.5",10,0)))</f>
        <v/>
      </c>
      <c r="BV131" s="30" t="inlineStr">
        <is>
          <t>Negative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IF(B132=0,"",RANK(B132,$B$2:$B$427,0))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PREMEXPLN</t>
        </is>
      </c>
      <c r="D132" s="30" t="inlineStr">
        <is>
          <t>Premier Explosives Limited</t>
        </is>
      </c>
      <c r="E132" s="30" t="inlineStr">
        <is>
          <t>aerospace &amp; defence</t>
        </is>
      </c>
      <c r="F132" s="30" t="inlineStr">
        <is>
          <t>chemicals</t>
        </is>
      </c>
      <c r="G132" s="30" t="inlineStr">
        <is>
          <t>smallcap</t>
        </is>
      </c>
      <c r="H132" s="31" t="n">
        <v>3984.24</v>
      </c>
      <c r="I132" s="31" t="n">
        <v>775.3</v>
      </c>
      <c r="J132" s="31" t="n">
        <v>4.61</v>
      </c>
      <c r="K132" s="31" t="n">
        <v>2574942</v>
      </c>
      <c r="L132" s="30" t="n">
        <v>81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73.2</v>
      </c>
      <c r="P132" s="31" t="n">
        <v>21.88</v>
      </c>
      <c r="Q132" s="31" t="n">
        <v>552.49</v>
      </c>
      <c r="R132" s="30" t="inlineStr">
        <is>
          <t>Volume Spike &amp; Near 52W High Breakout</t>
        </is>
      </c>
      <c r="S132" s="30" t="inlineStr">
        <is>
          <t>Nifty IT</t>
        </is>
      </c>
      <c r="T132" s="31" t="n">
        <v>-29.66</v>
      </c>
      <c r="U132" s="31" t="n">
        <v>30.9</v>
      </c>
      <c r="V132" s="31" t="n">
        <v>86.09</v>
      </c>
      <c r="W132" s="31" t="n">
        <v>25.43</v>
      </c>
      <c r="X132" s="30" t="inlineStr">
        <is>
          <t>Growing Industry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Yes</t>
        </is>
      </c>
      <c r="AQ132" s="30">
        <f>IF(AP132="Yes",10,0)</f>
        <v/>
      </c>
      <c r="AR132" s="30" t="inlineStr">
        <is>
          <t>Higher One Time, Lower Annuity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20 to 40</t>
        </is>
      </c>
      <c r="AY132" s="30">
        <f>IF(AX132="Above 40",20,IF(AX132="20 to 40",10,IF(AX132="0 to 20",-5,0)))</f>
        <v/>
      </c>
      <c r="AZ132" s="30" t="inlineStr">
        <is>
          <t>Between 50 to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Close to 52 week high or retracement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Yes</t>
        </is>
      </c>
      <c r="BS132" s="30">
        <f>IF(BR132="NO",5,0)</f>
        <v/>
      </c>
      <c r="BT132" s="30" t="inlineStr">
        <is>
          <t>Less than 1.5</t>
        </is>
      </c>
      <c r="BU132" s="30">
        <f>IF(BT132="Above 2",0,IF(BT132="Between 1.5 to 2",5,IF(BT132="Less than 1.5",10,0)))</f>
        <v/>
      </c>
      <c r="BV132" s="30" t="inlineStr">
        <is>
          <t>Negative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IF(B133=0,"",RANK(B133,$B$2:$B$427,0))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2" t="inlineStr">
        <is>
          <t>EXICOM</t>
        </is>
      </c>
      <c r="D133" s="32" t="inlineStr">
        <is>
          <t>Exicom Tele-Systems Ltd</t>
        </is>
      </c>
      <c r="E133" s="30" t="inlineStr">
        <is>
          <t>industrials</t>
        </is>
      </c>
      <c r="F133" s="30" t="inlineStr">
        <is>
          <t>electric equipment</t>
        </is>
      </c>
      <c r="G133" s="30" t="inlineStr">
        <is>
          <t>smallcap</t>
        </is>
      </c>
      <c r="H133" s="31" t="n">
        <v>2338.63</v>
      </c>
      <c r="I133" s="31" t="n">
        <v>172.53</v>
      </c>
      <c r="J133" s="31" t="n">
        <v>2.6</v>
      </c>
      <c r="K133" s="31" t="n">
        <v>7296201</v>
      </c>
      <c r="L133" s="30" t="n">
        <v>81</v>
      </c>
      <c r="M133" s="30" t="inlineStr">
        <is>
          <t>Underperforming</t>
        </is>
      </c>
      <c r="N133" s="31">
        <f>IF(M133="Underperforming",-5,IF(L133&gt;=95,15,IF(L133&gt;=90,10,IF(L133&gt;=80,5,0))))</f>
        <v/>
      </c>
      <c r="O133" s="31" t="n">
        <v>67.56</v>
      </c>
      <c r="P133" s="31" t="n">
        <v>27.87</v>
      </c>
      <c r="Q133" s="31" t="n">
        <v>111.53</v>
      </c>
      <c r="R133" s="30" t="inlineStr">
        <is>
          <t>Volume Spike / Accumulation</t>
        </is>
      </c>
      <c r="S133" s="30" t="inlineStr">
        <is>
          <t>Nifty Infra</t>
        </is>
      </c>
      <c r="T133" s="31" t="n">
        <v>4.18</v>
      </c>
      <c r="U133" s="31" t="n">
        <v>-3.96</v>
      </c>
      <c r="V133" s="31" t="n">
        <v>-7.81</v>
      </c>
      <c r="W133" s="31" t="n">
        <v>25.65</v>
      </c>
      <c r="X133" s="30" t="inlineStr">
        <is>
          <t>Cyclical in an Upturn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Higher One Time, Lower Annuity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20 to 40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Close to 52 week high or retracement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More than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No</t>
        </is>
      </c>
      <c r="BS133" s="30">
        <f>IF(BR133="NO",5,0)</f>
        <v/>
      </c>
      <c r="BT133" s="30" t="inlineStr">
        <is>
          <t>Less than 1.5</t>
        </is>
      </c>
      <c r="BU133" s="30">
        <f>IF(BT133="Above 2",0,IF(BT133="Between 1.5 to 2",5,IF(BT133="Less than 1.5",10,0)))</f>
        <v/>
      </c>
      <c r="BV133" s="30" t="inlineStr">
        <is>
          <t>Above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Between 0.7 to 1.2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IF(B134=0,"",RANK(B134,$B$2:$B$427,0))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SPECTRUM</t>
        </is>
      </c>
      <c r="D134" s="30" t="inlineStr">
        <is>
          <t>Spectrum Electrical Industries Ltd</t>
        </is>
      </c>
      <c r="E134" s="30" t="inlineStr">
        <is>
          <t>industrials</t>
        </is>
      </c>
      <c r="F134" s="30" t="inlineStr">
        <is>
          <t>electric equipment</t>
        </is>
      </c>
      <c r="G134" s="30" t="inlineStr">
        <is>
          <t>smallcap</t>
        </is>
      </c>
      <c r="H134" s="31" t="n">
        <v>2782.45</v>
      </c>
      <c r="I134" s="31" t="n">
        <v>1805</v>
      </c>
      <c r="J134" s="31" t="n">
        <v>1.94</v>
      </c>
      <c r="K134" s="31" t="n">
        <v>24301</v>
      </c>
      <c r="L134" s="30" t="n">
        <v>41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64.12</v>
      </c>
      <c r="P134" s="31" t="n">
        <v>28.34</v>
      </c>
      <c r="Q134" s="31" t="n">
        <v>1214.18</v>
      </c>
      <c r="R134" s="30" t="inlineStr">
        <is>
          <t>Near 52W High Breakout</t>
        </is>
      </c>
      <c r="S134" s="30" t="inlineStr">
        <is>
          <t>Nifty 50</t>
        </is>
      </c>
      <c r="T134" s="31" t="n">
        <v>-4.38</v>
      </c>
      <c r="U134" s="31" t="n">
        <v>23.69</v>
      </c>
      <c r="V134" s="31" t="n">
        <v>29.35</v>
      </c>
      <c r="W134" s="31" t="n">
        <v>10.41</v>
      </c>
      <c r="X134" s="30" t="inlineStr">
        <is>
          <t>Cyclical in an Upturn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One Time, Lower Annuity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20 to 40</t>
        </is>
      </c>
      <c r="AY134" s="30">
        <f>IF(AX134="Above 40",20,IF(AX134="20 to 40",10,IF(AX134="0 to 20",-5,0)))</f>
        <v/>
      </c>
      <c r="AZ134" s="30" t="inlineStr">
        <is>
          <t>Between 50 to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Close to 52 week high or retracement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More than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Yes</t>
        </is>
      </c>
      <c r="BS134" s="30">
        <f>IF(BR134="NO",5,0)</f>
        <v/>
      </c>
      <c r="BT134" s="30" t="inlineStr">
        <is>
          <t>Less than 1.5</t>
        </is>
      </c>
      <c r="BU134" s="30">
        <f>IF(BT134="Above 2",0,IF(BT134="Between 1.5 to 2",5,IF(BT134="Less than 1.5",10,0)))</f>
        <v/>
      </c>
      <c r="BV134" s="30" t="inlineStr">
        <is>
          <t>Above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Between 0.7 to 1.2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IF(B135=0,"",RANK(B135,$B$2:$B$427,0))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ORBTEXP</t>
        </is>
      </c>
      <c r="D135" s="30" t="inlineStr">
        <is>
          <t>Orbit Exports Limited</t>
        </is>
      </c>
      <c r="E135" s="30" t="inlineStr">
        <is>
          <t>textiles</t>
        </is>
      </c>
      <c r="F135" s="30" t="inlineStr">
        <is>
          <t>textiles - processing</t>
        </is>
      </c>
      <c r="G135" s="30" t="inlineStr">
        <is>
          <t>smallcap</t>
        </is>
      </c>
      <c r="H135" s="31" t="n">
        <v>566.52</v>
      </c>
      <c r="I135" s="31" t="n">
        <v>216.98</v>
      </c>
      <c r="J135" s="31" t="n">
        <v>1.54</v>
      </c>
      <c r="K135" s="31" t="n">
        <v>33715</v>
      </c>
      <c r="L135" s="30" t="n">
        <v>59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67.90000000000001</v>
      </c>
      <c r="P135" s="31" t="n">
        <v>20.4</v>
      </c>
      <c r="Q135" s="31" t="n">
        <v>155.89</v>
      </c>
      <c r="R135" s="30" t="inlineStr">
        <is>
          <t>Volume Spike / Accumulation</t>
        </is>
      </c>
      <c r="S135" s="30" t="inlineStr">
        <is>
          <t>Nifty 50</t>
        </is>
      </c>
      <c r="T135" s="31" t="n">
        <v>-4.38</v>
      </c>
      <c r="U135" s="31" t="n">
        <v>23.57</v>
      </c>
      <c r="V135" s="31" t="n">
        <v>29.23</v>
      </c>
      <c r="W135" s="31" t="n">
        <v>15.62</v>
      </c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Higher One Time, Lower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20 to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Close to 52 week high or retracement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Less than 12%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No</t>
        </is>
      </c>
      <c r="BS135" s="30">
        <f>IF(BR135="NO",5,0)</f>
        <v/>
      </c>
      <c r="BT135" s="30" t="inlineStr">
        <is>
          <t>Above 2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IF(B136=0,"",RANK(B136,$B$2:$B$427,0))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GRINDWELL</t>
        </is>
      </c>
      <c r="D136" s="30" t="inlineStr">
        <is>
          <t>Grindwell Norton Limited</t>
        </is>
      </c>
      <c r="E136" s="30" t="inlineStr">
        <is>
          <t>industrials</t>
        </is>
      </c>
      <c r="F136" s="30" t="inlineStr">
        <is>
          <t>abrasives and grinding wheels</t>
        </is>
      </c>
      <c r="G136" s="30" t="inlineStr">
        <is>
          <t>largecap</t>
        </is>
      </c>
      <c r="H136" s="31" t="n">
        <v>23312.1</v>
      </c>
      <c r="I136" s="31" t="n">
        <v>2136.8</v>
      </c>
      <c r="J136" s="31" t="n">
        <v>1.49</v>
      </c>
      <c r="K136" s="31" t="n">
        <v>48173</v>
      </c>
      <c r="L136" s="30" t="n">
        <v>66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71.05</v>
      </c>
      <c r="P136" s="31" t="n">
        <v>30.58</v>
      </c>
      <c r="Q136" s="31" t="n">
        <v>1745.61</v>
      </c>
      <c r="R136" s="30" t="inlineStr">
        <is>
          <t>Near 52W High Breakout</t>
        </is>
      </c>
      <c r="S136" s="30" t="inlineStr">
        <is>
          <t>Nifty Infra</t>
        </is>
      </c>
      <c r="T136" s="31" t="n">
        <v>4.18</v>
      </c>
      <c r="U136" s="31" t="n">
        <v>30.4</v>
      </c>
      <c r="V136" s="31" t="n">
        <v>25.17</v>
      </c>
      <c r="W136" s="31" t="n">
        <v>17.98</v>
      </c>
      <c r="X136" s="30" t="inlineStr">
        <is>
          <t>Cyclical in an Upturn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No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One Time, Lower Annuity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20 to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Close to 52 week high or retracement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More than 20%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Yes</t>
        </is>
      </c>
      <c r="BS136" s="30">
        <f>IF(BR136="NO",5,0)</f>
        <v/>
      </c>
      <c r="BT136" s="30" t="inlineStr">
        <is>
          <t>Above 2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IF(B137=0,"",RANK(B137,$B$2:$B$427,0))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CENTUM</t>
        </is>
      </c>
      <c r="D137" s="30" t="inlineStr">
        <is>
          <t>Centum Electronics Limited</t>
        </is>
      </c>
      <c r="E137" s="30" t="inlineStr">
        <is>
          <t>consumer discretionary</t>
        </is>
      </c>
      <c r="F137" s="30" t="inlineStr">
        <is>
          <t>electronics - components</t>
        </is>
      </c>
      <c r="G137" s="30" t="inlineStr">
        <is>
          <t>midcap</t>
        </is>
      </c>
      <c r="H137" s="31" t="n">
        <v>5144.01</v>
      </c>
      <c r="I137" s="31" t="n">
        <v>3539</v>
      </c>
      <c r="J137" s="31" t="n">
        <v>1.42</v>
      </c>
      <c r="K137" s="31" t="n">
        <v>25627</v>
      </c>
      <c r="L137" s="30" t="n">
        <v>58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66.91</v>
      </c>
      <c r="P137" s="31" t="n">
        <v>57.85</v>
      </c>
      <c r="Q137" s="31" t="n">
        <v>2592.88</v>
      </c>
      <c r="R137" s="30" t="inlineStr">
        <is>
          <t>Near 52W High Breakout</t>
        </is>
      </c>
      <c r="S137" s="30" t="inlineStr">
        <is>
          <t>Nifty Infra</t>
        </is>
      </c>
      <c r="T137" s="31" t="n">
        <v>4.18</v>
      </c>
      <c r="U137" s="31" t="n">
        <v>56.31</v>
      </c>
      <c r="V137" s="31" t="n">
        <v>50.04</v>
      </c>
      <c r="W137" s="31" t="n">
        <v>15.22</v>
      </c>
      <c r="X137" s="30" t="inlineStr">
        <is>
          <t>Growing Industry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Yes</t>
        </is>
      </c>
      <c r="AQ137" s="30">
        <f>IF(AP137="Yes",10,0)</f>
        <v/>
      </c>
      <c r="AR137" s="30" t="inlineStr">
        <is>
          <t>Higher One Time, Lower Annuity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Above 40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Blue sky scenario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Less than 12%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Yes</t>
        </is>
      </c>
      <c r="BS137" s="30">
        <f>IF(BR137="NO",5,0)</f>
        <v/>
      </c>
      <c r="BT137" s="30" t="inlineStr">
        <is>
          <t>Above 2</t>
        </is>
      </c>
      <c r="BU137" s="30">
        <f>IF(BT137="Above 2",0,IF(BT137="Between 1.5 to 2",5,IF(BT137="Less than 1.5",10,0)))</f>
        <v/>
      </c>
      <c r="BV137" s="30" t="inlineStr">
        <is>
          <t>Less than 50%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IF(B138=0,"",RANK(B138,$B$2:$B$427,0))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2" t="inlineStr">
        <is>
          <t>MIDHANI</t>
        </is>
      </c>
      <c r="D138" s="32" t="inlineStr">
        <is>
          <t>Mishra Dhatu Nigam Ltd</t>
        </is>
      </c>
      <c r="E138" s="30" t="inlineStr">
        <is>
          <t>aerospace &amp; defence</t>
        </is>
      </c>
      <c r="F138" s="30" t="inlineStr">
        <is>
          <t>steel - medium / small</t>
        </is>
      </c>
      <c r="G138" s="30" t="inlineStr">
        <is>
          <t>midcap</t>
        </is>
      </c>
      <c r="H138" s="31" t="n">
        <v>8075.29</v>
      </c>
      <c r="I138" s="31" t="n">
        <v>437</v>
      </c>
      <c r="J138" s="31" t="n">
        <v>1.38</v>
      </c>
      <c r="K138" s="31" t="n">
        <v>930739</v>
      </c>
      <c r="L138" s="30" t="n">
        <v>38</v>
      </c>
      <c r="M138" s="30" t="inlineStr">
        <is>
          <t>Underperforming</t>
        </is>
      </c>
      <c r="N138" s="31">
        <f>IF(M138="Underperforming",-5,IF(L138&gt;=95,15,IF(L138&gt;=90,10,IF(L138&gt;=80,5,0))))</f>
        <v/>
      </c>
      <c r="O138" s="31" t="n">
        <v>66.36</v>
      </c>
      <c r="P138" s="31" t="n">
        <v>26.83</v>
      </c>
      <c r="Q138" s="31" t="n">
        <v>328.92</v>
      </c>
      <c r="R138" s="30" t="inlineStr">
        <is>
          <t>Near 52W High Breakout</t>
        </is>
      </c>
      <c r="S138" s="30" t="inlineStr">
        <is>
          <t>Nifty Metal</t>
        </is>
      </c>
      <c r="T138" s="31" t="n">
        <v>42.48</v>
      </c>
      <c r="U138" s="31" t="n">
        <v>-1.16</v>
      </c>
      <c r="V138" s="31" t="n">
        <v>-30.63</v>
      </c>
      <c r="W138" s="31" t="n">
        <v>9.77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One Time, Lower Annuity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20 to 40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Close to 52 week high or retracement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More than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Yes</t>
        </is>
      </c>
      <c r="BS138" s="30">
        <f>IF(BR138="NO",5,0)</f>
        <v/>
      </c>
      <c r="BT138" s="30" t="inlineStr">
        <is>
          <t>Between 1.5 to 2</t>
        </is>
      </c>
      <c r="BU138" s="30">
        <f>IF(BT138="Above 2",0,IF(BT138="Between 1.5 to 2",5,IF(BT138="Less than 1.5",10,0)))</f>
        <v/>
      </c>
      <c r="BV138" s="30" t="inlineStr">
        <is>
          <t>Between 50% to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IF(B139=0,"",RANK(B139,$B$2:$B$427,0))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ASHIANA</t>
        </is>
      </c>
      <c r="D139" s="30" t="inlineStr">
        <is>
          <t>Ashiana Housing Limited</t>
        </is>
      </c>
      <c r="E139" s="30" t="inlineStr">
        <is>
          <t>realty</t>
        </is>
      </c>
      <c r="F139" s="30" t="inlineStr">
        <is>
          <t>construction</t>
        </is>
      </c>
      <c r="G139" s="30" t="inlineStr">
        <is>
          <t>smallcap</t>
        </is>
      </c>
      <c r="H139" s="31" t="n">
        <v>3815.92</v>
      </c>
      <c r="I139" s="31" t="n">
        <v>383.85</v>
      </c>
      <c r="J139" s="31" t="n">
        <v>1.12</v>
      </c>
      <c r="K139" s="31" t="n">
        <v>35618</v>
      </c>
      <c r="L139" s="30" t="n">
        <v>32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65.11</v>
      </c>
      <c r="P139" s="31" t="n">
        <v>28.5</v>
      </c>
      <c r="Q139" s="31" t="n">
        <v>295.02</v>
      </c>
      <c r="R139" s="30" t="inlineStr">
        <is>
          <t>Near 52W High Breakout</t>
        </is>
      </c>
      <c r="S139" s="30" t="inlineStr">
        <is>
          <t>Nifty Realty</t>
        </is>
      </c>
      <c r="T139" s="31" t="n">
        <v>-19.9</v>
      </c>
      <c r="U139" s="31" t="n">
        <v>12.33</v>
      </c>
      <c r="V139" s="31" t="n">
        <v>40.25</v>
      </c>
      <c r="W139" s="31" t="n">
        <v>8.35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No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One Time, Lower Annuity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20 to 40</t>
        </is>
      </c>
      <c r="AY139" s="30">
        <f>IF(AX139="Above 40",20,IF(AX139="20 to 40",10,IF(AX139="0 to 20",-5,0)))</f>
        <v/>
      </c>
      <c r="AZ139" s="30" t="inlineStr">
        <is>
          <t>Between 50 to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Close to 52 week high or retracement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Less than 12%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No</t>
        </is>
      </c>
      <c r="BS139" s="30">
        <f>IF(BR139="NO",5,0)</f>
        <v/>
      </c>
      <c r="BT139" s="30" t="inlineStr">
        <is>
          <t>Above 2</t>
        </is>
      </c>
      <c r="BU139" s="30">
        <f>IF(BT139="Above 2",0,IF(BT139="Between 1.5 to 2",5,IF(BT139="Less than 1.5",10,0)))</f>
        <v/>
      </c>
      <c r="BV139" s="30" t="inlineStr">
        <is>
          <t>Above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IF(B140=0,"",RANK(B140,$B$2:$B$427,0))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QPOWER</t>
        </is>
      </c>
      <c r="D140" s="30" t="inlineStr">
        <is>
          <t>Quality Power Electrical Equipments Ltd</t>
        </is>
      </c>
      <c r="E140" s="30" t="inlineStr">
        <is>
          <t>industrials</t>
        </is>
      </c>
      <c r="F140" s="30" t="inlineStr">
        <is>
          <t>electric equipment</t>
        </is>
      </c>
      <c r="G140" s="30" t="inlineStr">
        <is>
          <t>midcap</t>
        </is>
      </c>
      <c r="H140" s="31" t="n">
        <v>10142.85</v>
      </c>
      <c r="I140" s="31" t="n">
        <v>1320.6</v>
      </c>
      <c r="J140" s="31" t="n">
        <v>0.83</v>
      </c>
      <c r="K140" s="31" t="n">
        <v>173032</v>
      </c>
      <c r="L140" s="30" t="n">
        <v>91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65.01000000000001</v>
      </c>
      <c r="P140" s="31" t="n">
        <v>26.86</v>
      </c>
      <c r="Q140" s="31" t="n">
        <v>974.15</v>
      </c>
      <c r="R140" s="30" t="inlineStr">
        <is>
          <t>Earnings / Momentum Support</t>
        </is>
      </c>
      <c r="S140" s="30" t="inlineStr">
        <is>
          <t>Nifty 50</t>
        </is>
      </c>
      <c r="T140" s="31" t="n">
        <v>-4.38</v>
      </c>
      <c r="U140" s="31" t="n">
        <v>130.97</v>
      </c>
      <c r="V140" s="31" t="n">
        <v>141.54</v>
      </c>
      <c r="W140" s="31" t="n">
        <v>36.21</v>
      </c>
      <c r="X140" s="30" t="inlineStr">
        <is>
          <t>Cyclical in an Upturn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No</t>
        </is>
      </c>
      <c r="AQ140" s="30">
        <f>IF(AP140="Yes",10,0)</f>
        <v/>
      </c>
      <c r="AR140" s="30" t="inlineStr">
        <is>
          <t>Higher One Time, Lower Annuity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20 to 40</t>
        </is>
      </c>
      <c r="AY140" s="30">
        <f>IF(AX140="Above 40",20,IF(AX140="20 to 40",10,IF(AX140="0 to 20",-5,0)))</f>
        <v/>
      </c>
      <c r="AZ140" s="30" t="inlineStr">
        <is>
          <t>Between 50 to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Close to 52 week high or retracement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More than 20%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Yes</t>
        </is>
      </c>
      <c r="BS140" s="30">
        <f>IF(BR140="NO",5,0)</f>
        <v/>
      </c>
      <c r="BT140" s="30" t="inlineStr">
        <is>
          <t>Less than 1.5</t>
        </is>
      </c>
      <c r="BU140" s="30">
        <f>IF(BT140="Above 2",0,IF(BT140="Between 1.5 to 2",5,IF(BT140="Less than 1.5",10,0)))</f>
        <v/>
      </c>
      <c r="BV140" s="30" t="inlineStr">
        <is>
          <t>Less than 50%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IF(B141=0,"",RANK(B141,$B$2:$B$427,0))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RPEL</t>
        </is>
      </c>
      <c r="D141" s="30" t="inlineStr">
        <is>
          <t>Raghav Productivity Enhancers Ltd</t>
        </is>
      </c>
      <c r="E141" s="30" t="inlineStr">
        <is>
          <t>building materials</t>
        </is>
      </c>
      <c r="F141" s="30" t="inlineStr">
        <is>
          <t>refractories / intermediates</t>
        </is>
      </c>
      <c r="G141" s="30" t="inlineStr">
        <is>
          <t>midcap</t>
        </is>
      </c>
      <c r="H141" s="31" t="n">
        <v>5462.38</v>
      </c>
      <c r="I141" s="31" t="n">
        <v>1197.95</v>
      </c>
      <c r="J141" s="31" t="n">
        <v>0.6899999999999999</v>
      </c>
      <c r="K141" s="31" t="n">
        <v>99793</v>
      </c>
      <c r="L141" s="30" t="n">
        <v>90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77.40000000000001</v>
      </c>
      <c r="P141" s="31" t="n">
        <v>32.13</v>
      </c>
      <c r="Q141" s="31" t="n">
        <v>921.61</v>
      </c>
      <c r="R141" s="30" t="inlineStr">
        <is>
          <t>Near 52W High Breakout</t>
        </is>
      </c>
      <c r="S141" s="30" t="inlineStr">
        <is>
          <t>Nifty Infra</t>
        </is>
      </c>
      <c r="T141" s="31" t="n">
        <v>4.18</v>
      </c>
      <c r="U141" s="31" t="n">
        <v>70.8</v>
      </c>
      <c r="V141" s="31" t="n">
        <v>63.95</v>
      </c>
      <c r="W141" s="31" t="n">
        <v>35.06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No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Higher One Time, Lower Annuity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20 to 40</t>
        </is>
      </c>
      <c r="AY141" s="30">
        <f>IF(AX141="Above 40",20,IF(AX141="20 to 40",10,IF(AX141="0 to 20",-5,0)))</f>
        <v/>
      </c>
      <c r="AZ141" s="30" t="inlineStr">
        <is>
          <t>Above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Blue sky scenario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Yes</t>
        </is>
      </c>
      <c r="BS141" s="30">
        <f>IF(BR141="NO",5,0)</f>
        <v/>
      </c>
      <c r="BT141" s="30" t="inlineStr">
        <is>
          <t>Above 2</t>
        </is>
      </c>
      <c r="BU141" s="30">
        <f>IF(BT141="Above 2",0,IF(BT141="Between 1.5 to 2",5,IF(BT141="Less than 1.5",10,0)))</f>
        <v/>
      </c>
      <c r="BV141" s="30" t="inlineStr">
        <is>
          <t>Less than 50%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Less than 0.7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IF(B142=0,"",RANK(B142,$B$2:$B$427,0))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AETHER</t>
        </is>
      </c>
      <c r="D142" s="30" t="inlineStr">
        <is>
          <t>Aether Industries Ltd</t>
        </is>
      </c>
      <c r="E142" s="30" t="inlineStr">
        <is>
          <t>chemicals</t>
        </is>
      </c>
      <c r="F142" s="30" t="inlineStr">
        <is>
          <t>chemicals</t>
        </is>
      </c>
      <c r="G142" s="30" t="inlineStr">
        <is>
          <t>midcap</t>
        </is>
      </c>
      <c r="H142" s="31" t="n">
        <v>15317.89</v>
      </c>
      <c r="I142" s="31" t="n">
        <v>1162.3</v>
      </c>
      <c r="J142" s="31" t="n">
        <v>0.68</v>
      </c>
      <c r="K142" s="31" t="n">
        <v>188609</v>
      </c>
      <c r="L142" s="30" t="n">
        <v>37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59.83</v>
      </c>
      <c r="P142" s="31" t="n">
        <v>49.87</v>
      </c>
      <c r="Q142" s="31" t="n">
        <v>936.13</v>
      </c>
      <c r="R142" s="30" t="inlineStr">
        <is>
          <t>Near 52W High Breakout</t>
        </is>
      </c>
      <c r="S142" s="30" t="inlineStr">
        <is>
          <t>Nifty 50</t>
        </is>
      </c>
      <c r="T142" s="31" t="n">
        <v>-4.38</v>
      </c>
      <c r="U142" s="31" t="n">
        <v>49.84</v>
      </c>
      <c r="V142" s="31" t="n">
        <v>56.7</v>
      </c>
      <c r="W142" s="31" t="n">
        <v>9.56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Yes</t>
        </is>
      </c>
      <c r="AQ142" s="30">
        <f>IF(AP142="Yes",10,0)</f>
        <v/>
      </c>
      <c r="AR142" s="30" t="inlineStr">
        <is>
          <t>Higher One Time, Lower Annuity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Above 40</t>
        </is>
      </c>
      <c r="AY142" s="30">
        <f>IF(AX142="Above 40",20,IF(AX142="20 to 40",10,IF(AX142="0 to 20",-5,0)))</f>
        <v/>
      </c>
      <c r="AZ142" s="30" t="inlineStr">
        <is>
          <t>Between 50 to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Blue sky scenario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Less than 12%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Yes</t>
        </is>
      </c>
      <c r="BS142" s="30">
        <f>IF(BR142="NO",5,0)</f>
        <v/>
      </c>
      <c r="BT142" s="30" t="inlineStr">
        <is>
          <t>Above 2</t>
        </is>
      </c>
      <c r="BU142" s="30">
        <f>IF(BT142="Above 2",0,IF(BT142="Between 1.5 to 2",5,IF(BT142="Less than 1.5",10,0)))</f>
        <v/>
      </c>
      <c r="BV142" s="30" t="inlineStr">
        <is>
          <t>Less than 50%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IF(B143=0,"",RANK(B143,$B$2:$B$427,0))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FINCABLES</t>
        </is>
      </c>
      <c r="D143" s="30" t="inlineStr">
        <is>
          <t>Finolex Cables Limited</t>
        </is>
      </c>
      <c r="E143" s="30" t="inlineStr">
        <is>
          <t>industrials</t>
        </is>
      </c>
      <c r="F143" s="30" t="inlineStr">
        <is>
          <t>cables - power</t>
        </is>
      </c>
      <c r="G143" s="30" t="inlineStr">
        <is>
          <t>midcap</t>
        </is>
      </c>
      <c r="H143" s="31" t="n">
        <v>17719.55</v>
      </c>
      <c r="I143" s="31" t="n">
        <v>1164.3</v>
      </c>
      <c r="J143" s="31" t="n">
        <v>0.49</v>
      </c>
      <c r="K143" s="31" t="n">
        <v>552245</v>
      </c>
      <c r="L143" s="30" t="n">
        <v>49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64.45999999999999</v>
      </c>
      <c r="P143" s="31" t="n">
        <v>33.05</v>
      </c>
      <c r="Q143" s="31" t="n">
        <v>866.5</v>
      </c>
      <c r="R143" s="30" t="inlineStr">
        <is>
          <t>Near 52W High Breakout</t>
        </is>
      </c>
      <c r="S143" s="30" t="inlineStr">
        <is>
          <t>Nifty Energy</t>
        </is>
      </c>
      <c r="T143" s="31" t="n">
        <v>13.9</v>
      </c>
      <c r="U143" s="31" t="n">
        <v>28.36</v>
      </c>
      <c r="V143" s="31" t="n">
        <v>12.7</v>
      </c>
      <c r="W143" s="31" t="n">
        <v>12.61</v>
      </c>
      <c r="X143" s="30" t="inlineStr">
        <is>
          <t>Cyclical in an Upturn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One Time, Lower Annuity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20 to 40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Close to 52 week high or retracement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Between 12 to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No</t>
        </is>
      </c>
      <c r="BS143" s="30">
        <f>IF(BR143="NO",5,0)</f>
        <v/>
      </c>
      <c r="BT143" s="30" t="inlineStr">
        <is>
          <t>Less than 1.5</t>
        </is>
      </c>
      <c r="BU143" s="30">
        <f>IF(BT143="Above 2",0,IF(BT143="Between 1.5 to 2",5,IF(BT143="Less than 1.5",10,0)))</f>
        <v/>
      </c>
      <c r="BV143" s="30" t="inlineStr">
        <is>
          <t>Less than 50%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Less than 0.7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IF(B144=0,"",RANK(B144,$B$2:$B$427,0))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STEELCAS</t>
        </is>
      </c>
      <c r="D144" s="30" t="inlineStr">
        <is>
          <t>Steelcast Ltd</t>
        </is>
      </c>
      <c r="E144" s="30" t="inlineStr">
        <is>
          <t>industrials</t>
        </is>
      </c>
      <c r="F144" s="30" t="inlineStr">
        <is>
          <t>castings &amp; forgings</t>
        </is>
      </c>
      <c r="G144" s="30" t="inlineStr">
        <is>
          <t>smallcap</t>
        </is>
      </c>
      <c r="H144" s="31" t="n">
        <v>2959.09</v>
      </c>
      <c r="I144" s="31" t="n">
        <v>293.4</v>
      </c>
      <c r="J144" s="31" t="n">
        <v>0.34</v>
      </c>
      <c r="K144" s="31" t="n">
        <v>30896</v>
      </c>
      <c r="L144" s="30" t="n">
        <v>50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69.09999999999999</v>
      </c>
      <c r="P144" s="31" t="n">
        <v>30.05</v>
      </c>
      <c r="Q144" s="31" t="n">
        <v>219.13</v>
      </c>
      <c r="R144" s="30" t="inlineStr">
        <is>
          <t>Near 52W High Breakout</t>
        </is>
      </c>
      <c r="S144" s="30" t="inlineStr">
        <is>
          <t>Nifty 50</t>
        </is>
      </c>
      <c r="T144" s="31" t="n">
        <v>-4.38</v>
      </c>
      <c r="U144" s="31" t="n">
        <v>36.25</v>
      </c>
      <c r="V144" s="31" t="n">
        <v>42.49</v>
      </c>
      <c r="W144" s="31" t="n">
        <v>12.77</v>
      </c>
      <c r="X144" s="30" t="inlineStr">
        <is>
          <t>Cyclical in an Upturn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Yes</t>
        </is>
      </c>
      <c r="AQ144" s="30">
        <f>IF(AP144="Yes",10,0)</f>
        <v/>
      </c>
      <c r="AR144" s="30" t="inlineStr">
        <is>
          <t>Higher One Time, Lower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20 to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Blue sky scenario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Less than 12%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No</t>
        </is>
      </c>
      <c r="BS144" s="30">
        <f>IF(BR144="NO",5,0)</f>
        <v/>
      </c>
      <c r="BT144" s="30" t="inlineStr">
        <is>
          <t>Above 2</t>
        </is>
      </c>
      <c r="BU144" s="30">
        <f>IF(BT144="Above 2",0,IF(BT144="Between 1.5 to 2",5,IF(BT144="Less than 1.5",10,0)))</f>
        <v/>
      </c>
      <c r="BV144" s="30" t="inlineStr">
        <is>
          <t>Above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IF(B145=0,"",RANK(B145,$B$2:$B$427,0))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2" t="inlineStr">
        <is>
          <t>SFL</t>
        </is>
      </c>
      <c r="D145" s="32" t="inlineStr">
        <is>
          <t>Sheela Foam Limited</t>
        </is>
      </c>
      <c r="E145" s="30" t="inlineStr">
        <is>
          <t>consumer discretionary</t>
        </is>
      </c>
      <c r="F145" s="30" t="inlineStr">
        <is>
          <t>miscellaneous</t>
        </is>
      </c>
      <c r="G145" s="30" t="inlineStr">
        <is>
          <t>midcap</t>
        </is>
      </c>
      <c r="H145" s="31" t="n">
        <v>7636.39</v>
      </c>
      <c r="I145" s="31" t="n">
        <v>700.65</v>
      </c>
      <c r="J145" s="31" t="n">
        <v>-0.26</v>
      </c>
      <c r="K145" s="31" t="n">
        <v>259025</v>
      </c>
      <c r="L145" s="30" t="n">
        <v>26</v>
      </c>
      <c r="M145" s="30" t="inlineStr">
        <is>
          <t>Underperforming</t>
        </is>
      </c>
      <c r="N145" s="31">
        <f>IF(M145="Underperforming",-5,IF(L145&gt;=95,15,IF(L145&gt;=90,10,IF(L145&gt;=80,5,0))))</f>
        <v/>
      </c>
      <c r="O145" s="31" t="n">
        <v>65.48</v>
      </c>
      <c r="P145" s="31" t="n">
        <v>21.06</v>
      </c>
      <c r="Q145" s="31" t="n">
        <v>540.77</v>
      </c>
      <c r="R145" s="30" t="inlineStr">
        <is>
          <t>Near 52W High Breakout</t>
        </is>
      </c>
      <c r="S145" s="30" t="inlineStr">
        <is>
          <t>Nifty 50</t>
        </is>
      </c>
      <c r="T145" s="31" t="n">
        <v>-4.38</v>
      </c>
      <c r="U145" s="31" t="n">
        <v>-5.57</v>
      </c>
      <c r="V145" s="31" t="n">
        <v>-1.25</v>
      </c>
      <c r="W145" s="31" t="n">
        <v>7.5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Higher One Time, Lower Annuity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20 to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Close to 52 week high or retracement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More than 20%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Yes</t>
        </is>
      </c>
      <c r="BS145" s="30">
        <f>IF(BR145="NO",5,0)</f>
        <v/>
      </c>
      <c r="BT145" s="30" t="inlineStr">
        <is>
          <t>Above 2</t>
        </is>
      </c>
      <c r="BU145" s="30">
        <f>IF(BT145="Above 2",0,IF(BT145="Between 1.5 to 2",5,IF(BT145="Less than 1.5",10,0)))</f>
        <v/>
      </c>
      <c r="BV145" s="30" t="inlineStr">
        <is>
          <t>Above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IF(B146=0,"",RANK(B146,$B$2:$B$427,0))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ADANIGREEN</t>
        </is>
      </c>
      <c r="D146" s="30" t="inlineStr">
        <is>
          <t>Adani Green Energy Ltd</t>
        </is>
      </c>
      <c r="E146" s="30" t="inlineStr">
        <is>
          <t>power &amp; utilities</t>
        </is>
      </c>
      <c r="F146" s="30" t="inlineStr">
        <is>
          <t>power generation and supply</t>
        </is>
      </c>
      <c r="G146" s="30" t="inlineStr">
        <is>
          <t>largecap</t>
        </is>
      </c>
      <c r="H146" s="31" t="n">
        <v>248196.5</v>
      </c>
      <c r="I146" s="31" t="n">
        <v>1502.4</v>
      </c>
      <c r="J146" s="31" t="n">
        <v>-0.29</v>
      </c>
      <c r="K146" s="31" t="n">
        <v>2962921</v>
      </c>
      <c r="L146" s="30" t="n">
        <v>84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73.28</v>
      </c>
      <c r="P146" s="31" t="n">
        <v>40.67</v>
      </c>
      <c r="Q146" s="31" t="n">
        <v>1210.86</v>
      </c>
      <c r="R146" s="30" t="inlineStr">
        <is>
          <t>Near 52W High Breakout</t>
        </is>
      </c>
      <c r="S146" s="30" t="inlineStr">
        <is>
          <t>Nifty IT</t>
        </is>
      </c>
      <c r="T146" s="31" t="n">
        <v>-29.66</v>
      </c>
      <c r="U146" s="31" t="n">
        <v>58.53</v>
      </c>
      <c r="V146" s="31" t="n">
        <v>125.38</v>
      </c>
      <c r="W146" s="31" t="n">
        <v>28.1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Yes</t>
        </is>
      </c>
      <c r="AQ146" s="30">
        <f>IF(AP146="Yes",10,0)</f>
        <v/>
      </c>
      <c r="AR146" s="30" t="inlineStr">
        <is>
          <t>Higher One Time, Lower Annuity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Above 40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Close to 52 week high or retracement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Yes</t>
        </is>
      </c>
      <c r="BS146" s="30">
        <f>IF(BR146="NO",5,0)</f>
        <v/>
      </c>
      <c r="BT146" s="30" t="inlineStr">
        <is>
          <t>Above 2</t>
        </is>
      </c>
      <c r="BU146" s="30">
        <f>IF(BT146="Above 2",0,IF(BT146="Between 1.5 to 2",5,IF(BT146="Less than 1.5",10,0)))</f>
        <v/>
      </c>
      <c r="BV146" s="30" t="inlineStr">
        <is>
          <t>Above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More than 1.2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IF(B147=0,"",RANK(B147,$B$2:$B$427,0))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AARTIIND</t>
        </is>
      </c>
      <c r="D147" s="30" t="inlineStr">
        <is>
          <t>Aarti Industries Limited</t>
        </is>
      </c>
      <c r="E147" s="30" t="inlineStr">
        <is>
          <t>chemicals</t>
        </is>
      </c>
      <c r="F147" s="30" t="inlineStr">
        <is>
          <t>chemicals</t>
        </is>
      </c>
      <c r="G147" s="30" t="inlineStr">
        <is>
          <t>midcap</t>
        </is>
      </c>
      <c r="H147" s="31" t="n">
        <v>17638.4</v>
      </c>
      <c r="I147" s="31" t="n">
        <v>484.5</v>
      </c>
      <c r="J147" s="31" t="n">
        <v>-0.4</v>
      </c>
      <c r="K147" s="31" t="n">
        <v>665082</v>
      </c>
      <c r="L147" s="30" t="n">
        <v>17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60.12</v>
      </c>
      <c r="P147" s="31" t="n">
        <v>20.94</v>
      </c>
      <c r="Q147" s="31" t="n">
        <v>399.89</v>
      </c>
      <c r="R147" s="30" t="inlineStr">
        <is>
          <t>Volume Spike &amp; Near 52W High Breakout</t>
        </is>
      </c>
      <c r="S147" s="30" t="inlineStr">
        <is>
          <t>Nifty 50</t>
        </is>
      </c>
      <c r="T147" s="31" t="n">
        <v>-4.38</v>
      </c>
      <c r="U147" s="31" t="n">
        <v>10.08</v>
      </c>
      <c r="V147" s="31" t="n">
        <v>15.12</v>
      </c>
      <c r="W147" s="31" t="n">
        <v>5.14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One Time, Lower Annuity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20 to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Positive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Close to 52 week high or retracement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More than 20%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Yes</t>
        </is>
      </c>
      <c r="BS147" s="30">
        <f>IF(BR147="NO",5,0)</f>
        <v/>
      </c>
      <c r="BT147" s="30" t="inlineStr">
        <is>
          <t>Less than 1.5</t>
        </is>
      </c>
      <c r="BU147" s="30">
        <f>IF(BT147="Above 2",0,IF(BT147="Between 1.5 to 2",5,IF(BT147="Less than 1.5",10,0)))</f>
        <v/>
      </c>
      <c r="BV147" s="30" t="inlineStr">
        <is>
          <t>Between 50% to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Between 0.7 to 1.2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IF(B148=0,"",RANK(B148,$B$2:$B$427,0))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HCC</t>
        </is>
      </c>
      <c r="D148" s="30" t="inlineStr">
        <is>
          <t>Hindustan Construction Company Limited</t>
        </is>
      </c>
      <c r="E148" s="30" t="inlineStr">
        <is>
          <t>realty</t>
        </is>
      </c>
      <c r="F148" s="30" t="inlineStr">
        <is>
          <t>construction</t>
        </is>
      </c>
      <c r="G148" s="30" t="inlineStr">
        <is>
          <t>midcap</t>
        </is>
      </c>
      <c r="H148" s="31" t="n">
        <v>7164.25</v>
      </c>
      <c r="I148" s="31" t="n">
        <v>27.02</v>
      </c>
      <c r="J148" s="31" t="n">
        <v>-1.21</v>
      </c>
      <c r="K148" s="31" t="n">
        <v>57016131</v>
      </c>
      <c r="L148" s="30" t="n">
        <v>66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65.16</v>
      </c>
      <c r="P148" s="31" t="n">
        <v>25.82</v>
      </c>
      <c r="Q148" s="31" t="n">
        <v>19.37</v>
      </c>
      <c r="R148" s="30" t="inlineStr">
        <is>
          <t>Volume Spike / Accumulation</t>
        </is>
      </c>
      <c r="S148" s="30" t="inlineStr">
        <is>
          <t>Nifty Realty</t>
        </is>
      </c>
      <c r="T148" s="31" t="n">
        <v>-19.9</v>
      </c>
      <c r="U148" s="31" t="n">
        <v>-10.77</v>
      </c>
      <c r="V148" s="31" t="n">
        <v>11.41</v>
      </c>
      <c r="W148" s="31" t="n">
        <v>18.57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Yes</t>
        </is>
      </c>
      <c r="AQ148" s="30">
        <f>IF(AP148="Yes",10,0)</f>
        <v/>
      </c>
      <c r="AR148" s="30" t="inlineStr">
        <is>
          <t>Higher One Time, Lower Annuity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20 to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Close to 52 week high or retracement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Less than 12%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No</t>
        </is>
      </c>
      <c r="BS148" s="30">
        <f>IF(BR148="NO",5,0)</f>
        <v/>
      </c>
      <c r="BT148" s="30" t="inlineStr">
        <is>
          <t>Above 2</t>
        </is>
      </c>
      <c r="BU148" s="30">
        <f>IF(BT148="Above 2",0,IF(BT148="Between 1.5 to 2",5,IF(BT148="Less than 1.5",10,0)))</f>
        <v/>
      </c>
      <c r="BV148" s="30" t="inlineStr">
        <is>
          <t>Above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Less than 0.7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IF(B149=0,"",RANK(B149,$B$2:$B$427,0))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2" t="inlineStr">
        <is>
          <t>WSTCSTPAPR</t>
        </is>
      </c>
      <c r="D149" s="32" t="inlineStr">
        <is>
          <t>West Coast Paper Mills Limited</t>
        </is>
      </c>
      <c r="E149" s="30" t="inlineStr">
        <is>
          <t>building materials</t>
        </is>
      </c>
      <c r="F149" s="30" t="inlineStr">
        <is>
          <t>paper</t>
        </is>
      </c>
      <c r="G149" s="30" t="inlineStr">
        <is>
          <t>smallcap</t>
        </is>
      </c>
      <c r="H149" s="31" t="n">
        <v>3440.16</v>
      </c>
      <c r="I149" s="31" t="n">
        <v>513.35</v>
      </c>
      <c r="J149" s="31" t="n">
        <v>-1.44</v>
      </c>
      <c r="K149" s="31" t="n">
        <v>92248</v>
      </c>
      <c r="L149" s="30" t="n">
        <v>16</v>
      </c>
      <c r="M149" s="30" t="inlineStr">
        <is>
          <t>Underperforming</t>
        </is>
      </c>
      <c r="N149" s="31">
        <f>IF(M149="Underperforming",-5,IF(L149&gt;=95,15,IF(L149&gt;=90,10,IF(L149&gt;=80,5,0))))</f>
        <v/>
      </c>
      <c r="O149" s="31" t="n">
        <v>59.4</v>
      </c>
      <c r="P149" s="31" t="n">
        <v>29.3</v>
      </c>
      <c r="Q149" s="31" t="n">
        <v>406.34</v>
      </c>
      <c r="R149" s="30" t="inlineStr">
        <is>
          <t>Earnings / Momentum Support</t>
        </is>
      </c>
      <c r="S149" s="30" t="inlineStr">
        <is>
          <t>Nifty Infra</t>
        </is>
      </c>
      <c r="T149" s="31" t="n">
        <v>4.18</v>
      </c>
      <c r="U149" s="31" t="n">
        <v>3</v>
      </c>
      <c r="V149" s="31" t="n">
        <v>-1.12</v>
      </c>
      <c r="W149" s="31" t="n">
        <v>4.83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No</t>
        </is>
      </c>
      <c r="AQ149" s="30">
        <f>IF(AP149="Yes",10,0)</f>
        <v/>
      </c>
      <c r="AR149" s="30" t="inlineStr">
        <is>
          <t>Higher One Time, Lower Annuity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20 to 40</t>
        </is>
      </c>
      <c r="AY149" s="30">
        <f>IF(AX149="Above 40",20,IF(AX149="20 to 40",10,IF(AX149="0 to 20",-5,0)))</f>
        <v/>
      </c>
      <c r="AZ149" s="30" t="inlineStr">
        <is>
          <t>Between 50 to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Close to 52 week high or retracement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Between 12 to 20%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No</t>
        </is>
      </c>
      <c r="BS149" s="30">
        <f>IF(BR149="NO",5,0)</f>
        <v/>
      </c>
      <c r="BT149" s="30" t="inlineStr">
        <is>
          <t>Less than 1.5</t>
        </is>
      </c>
      <c r="BU149" s="30">
        <f>IF(BT149="Above 2",0,IF(BT149="Between 1.5 to 2",5,IF(BT149="Less than 1.5",10,0)))</f>
        <v/>
      </c>
      <c r="BV149" s="30" t="inlineStr">
        <is>
          <t>Above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IF(B150=0,"",RANK(B150,$B$2:$B$427,0))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JAYBARMARU</t>
        </is>
      </c>
      <c r="D150" s="30" t="inlineStr">
        <is>
          <t>Jay Bharat Maruti Limited</t>
        </is>
      </c>
      <c r="E150" s="30" t="inlineStr">
        <is>
          <t>auto</t>
        </is>
      </c>
      <c r="F150" s="30" t="inlineStr">
        <is>
          <t>auto ancillaries</t>
        </is>
      </c>
      <c r="G150" s="30" t="inlineStr">
        <is>
          <t>smallcap</t>
        </is>
      </c>
      <c r="H150" s="31" t="n">
        <v>1870.45</v>
      </c>
      <c r="I150" s="31" t="n">
        <v>169.55</v>
      </c>
      <c r="J150" s="31" t="n">
        <v>-1.88</v>
      </c>
      <c r="K150" s="31" t="n">
        <v>1744373</v>
      </c>
      <c r="L150" s="30" t="n">
        <v>94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75.77</v>
      </c>
      <c r="P150" s="31" t="n">
        <v>20.92</v>
      </c>
      <c r="Q150" s="31" t="n">
        <v>124.95</v>
      </c>
      <c r="R150" s="30" t="inlineStr">
        <is>
          <t>Volume Spike &amp; Near 52W High Breakout</t>
        </is>
      </c>
      <c r="S150" s="30" t="inlineStr">
        <is>
          <t>Nifty Auto</t>
        </is>
      </c>
      <c r="T150" s="31" t="n">
        <v>12.26</v>
      </c>
      <c r="U150" s="31" t="n">
        <v>122.04</v>
      </c>
      <c r="V150" s="31" t="n">
        <v>97.78</v>
      </c>
      <c r="W150" s="31" t="n">
        <v>42.27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20 to 40</t>
        </is>
      </c>
      <c r="AY150" s="30">
        <f>IF(AX150="Above 40",20,IF(AX150="20 to 40",10,IF(AX150="0 to 20",-5,0)))</f>
        <v/>
      </c>
      <c r="AZ150" s="30" t="inlineStr">
        <is>
          <t>Above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Blue sky scenario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More than 20%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No</t>
        </is>
      </c>
      <c r="BS150" s="30">
        <f>IF(BR150="NO",5,0)</f>
        <v/>
      </c>
      <c r="BT150" s="30" t="inlineStr">
        <is>
          <t>Above 2</t>
        </is>
      </c>
      <c r="BU150" s="30">
        <f>IF(BT150="Above 2",0,IF(BT150="Between 1.5 to 2",5,IF(BT150="Less than 1.5",10,0)))</f>
        <v/>
      </c>
      <c r="BV150" s="30" t="inlineStr">
        <is>
          <t>Between 50% to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Between 0.7 to 1.2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IF(B151=0,"",RANK(B151,$B$2:$B$427,0))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0" t="inlineStr">
        <is>
          <t>HMVL</t>
        </is>
      </c>
      <c r="D151" s="30" t="inlineStr">
        <is>
          <t>Hindustan Media Ventures Limited</t>
        </is>
      </c>
      <c r="E151" s="30" t="inlineStr">
        <is>
          <t>media</t>
        </is>
      </c>
      <c r="F151" s="30" t="inlineStr">
        <is>
          <t>entertainment / electronic media software</t>
        </is>
      </c>
      <c r="G151" s="30" t="inlineStr">
        <is>
          <t>smallcap</t>
        </is>
      </c>
      <c r="H151" s="31" t="n">
        <v>624.96</v>
      </c>
      <c r="I151" s="31" t="n">
        <v>86.13</v>
      </c>
      <c r="J151" s="31" t="n">
        <v>1.53</v>
      </c>
      <c r="K151" s="31" t="n">
        <v>90977</v>
      </c>
      <c r="L151" s="30" t="n">
        <v>35</v>
      </c>
      <c r="M151" s="30" t="inlineStr">
        <is>
          <t>Outperforming</t>
        </is>
      </c>
      <c r="N151" s="31">
        <f>IF(M151="Underperforming",-5,IF(L151&gt;=95,15,IF(L151&gt;=90,10,IF(L151&gt;=80,5,0))))</f>
        <v/>
      </c>
      <c r="O151" s="31" t="n">
        <v>67.48</v>
      </c>
      <c r="P151" s="31" t="n">
        <v>28.46</v>
      </c>
      <c r="Q151" s="31" t="n">
        <v>64.59</v>
      </c>
      <c r="R151" s="30" t="inlineStr">
        <is>
          <t>Volume Spike &amp; Near 52W High Breakout</t>
        </is>
      </c>
      <c r="S151" s="30" t="inlineStr">
        <is>
          <t>Nifty IT</t>
        </is>
      </c>
      <c r="T151" s="31" t="n">
        <v>-29.66</v>
      </c>
      <c r="U151" s="31" t="n">
        <v>1.44</v>
      </c>
      <c r="V151" s="31" t="n">
        <v>44.21</v>
      </c>
      <c r="W151" s="31" t="n">
        <v>9.039999999999999</v>
      </c>
      <c r="X151" s="30" t="inlineStr">
        <is>
          <t>Growing Industry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No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Annuity, Lower One Time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20 to 40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Close to 52 week high or retracement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Less than 12%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No</t>
        </is>
      </c>
      <c r="BS151" s="30">
        <f>IF(BR151="NO",5,0)</f>
        <v/>
      </c>
      <c r="BT151" s="30" t="inlineStr">
        <is>
          <t>Above 2</t>
        </is>
      </c>
      <c r="BU151" s="30">
        <f>IF(BT151="Above 2",0,IF(BT151="Between 1.5 to 2",5,IF(BT151="Less than 1.5",10,0)))</f>
        <v/>
      </c>
      <c r="BV151" s="30" t="inlineStr">
        <is>
          <t>Between 50% to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IF(B152=0,"",RANK(B152,$B$2:$B$427,0))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2" t="inlineStr">
        <is>
          <t>RAINBOW</t>
        </is>
      </c>
      <c r="D152" s="32" t="inlineStr">
        <is>
          <t>Rainbow Childrens Medicare Ltd</t>
        </is>
      </c>
      <c r="E152" s="30" t="inlineStr">
        <is>
          <t>healthcare</t>
        </is>
      </c>
      <c r="F152" s="30" t="inlineStr">
        <is>
          <t>healthcare</t>
        </is>
      </c>
      <c r="G152" s="30" t="inlineStr">
        <is>
          <t>midcap</t>
        </is>
      </c>
      <c r="H152" s="31" t="n">
        <v>14726.08</v>
      </c>
      <c r="I152" s="31" t="n">
        <v>1470.8</v>
      </c>
      <c r="J152" s="31" t="n">
        <v>1.43</v>
      </c>
      <c r="K152" s="31" t="n">
        <v>216444</v>
      </c>
      <c r="L152" s="30" t="n">
        <v>29</v>
      </c>
      <c r="M152" s="30" t="inlineStr">
        <is>
          <t>Underperforming</t>
        </is>
      </c>
      <c r="N152" s="31">
        <f>IF(M152="Underperforming",-5,IF(L152&gt;=95,15,IF(L152&gt;=90,10,IF(L152&gt;=80,5,0))))</f>
        <v/>
      </c>
      <c r="O152" s="31" t="n">
        <v>68.37</v>
      </c>
      <c r="P152" s="31" t="n">
        <v>26.29</v>
      </c>
      <c r="Q152" s="31" t="n">
        <v>1229.69</v>
      </c>
      <c r="R152" s="30" t="inlineStr">
        <is>
          <t>Earnings / Momentum Support</t>
        </is>
      </c>
      <c r="S152" s="30" t="inlineStr">
        <is>
          <t>Nifty Pharma</t>
        </is>
      </c>
      <c r="T152" s="31" t="n">
        <v>13.17</v>
      </c>
      <c r="U152" s="31" t="n">
        <v>1.48</v>
      </c>
      <c r="V152" s="31" t="n">
        <v>-10.33</v>
      </c>
      <c r="W152" s="31" t="n">
        <v>7.86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Yes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No</t>
        </is>
      </c>
      <c r="AQ152" s="30">
        <f>IF(AP152="Yes",10,0)</f>
        <v/>
      </c>
      <c r="AR152" s="30" t="inlineStr">
        <is>
          <t>Higher Annuity, Lower One Time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20 to 40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Close to 52 week high or retracement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Yes</t>
        </is>
      </c>
      <c r="BS152" s="30">
        <f>IF(BR152="NO",5,0)</f>
        <v/>
      </c>
      <c r="BT152" s="30" t="inlineStr">
        <is>
          <t>Less than 1.5</t>
        </is>
      </c>
      <c r="BU152" s="30">
        <f>IF(BT152="Above 2",0,IF(BT152="Between 1.5 to 2",5,IF(BT152="Less than 1.5",10,0)))</f>
        <v/>
      </c>
      <c r="BV152" s="30" t="inlineStr">
        <is>
          <t>Above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IF(B153=0,"",RANK(B153,$B$2:$B$427,0))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HESTERBIO</t>
        </is>
      </c>
      <c r="D153" s="30" t="inlineStr">
        <is>
          <t>Hester Biosciences Limited</t>
        </is>
      </c>
      <c r="E153" s="30" t="inlineStr">
        <is>
          <t>healthcare</t>
        </is>
      </c>
      <c r="F153" s="30" t="inlineStr">
        <is>
          <t>pharmaceuticals - indian - formulations</t>
        </is>
      </c>
      <c r="G153" s="30" t="inlineStr">
        <is>
          <t>smallcap</t>
        </is>
      </c>
      <c r="H153" s="31" t="n">
        <v>1751.31</v>
      </c>
      <c r="I153" s="31" t="n">
        <v>2076.4</v>
      </c>
      <c r="J153" s="31" t="n">
        <v>0.86</v>
      </c>
      <c r="K153" s="31" t="n">
        <v>11530</v>
      </c>
      <c r="L153" s="30" t="n">
        <v>60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71.28</v>
      </c>
      <c r="P153" s="31" t="n">
        <v>37.59</v>
      </c>
      <c r="Q153" s="31" t="n">
        <v>1603.67</v>
      </c>
      <c r="R153" s="30" t="inlineStr">
        <is>
          <t>Earnings / Momentum Support</t>
        </is>
      </c>
      <c r="S153" s="30" t="inlineStr">
        <is>
          <t>Nifty Pharma</t>
        </is>
      </c>
      <c r="T153" s="31" t="n">
        <v>13.17</v>
      </c>
      <c r="U153" s="31" t="n">
        <v>19.14</v>
      </c>
      <c r="V153" s="31" t="n">
        <v>5.27</v>
      </c>
      <c r="W153" s="31" t="n">
        <v>16.02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Yes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No</t>
        </is>
      </c>
      <c r="AQ153" s="30">
        <f>IF(AP153="Yes",10,0)</f>
        <v/>
      </c>
      <c r="AR153" s="30" t="inlineStr">
        <is>
          <t>Higher Annuity, Lower One Time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20 to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Close to 52 week high or retracement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More than 20%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No</t>
        </is>
      </c>
      <c r="BS153" s="30">
        <f>IF(BR153="NO",5,0)</f>
        <v/>
      </c>
      <c r="BT153" s="30" t="inlineStr">
        <is>
          <t>Above 2</t>
        </is>
      </c>
      <c r="BU153" s="30">
        <f>IF(BT153="Above 2",0,IF(BT153="Between 1.5 to 2",5,IF(BT153="Less than 1.5",10,0)))</f>
        <v/>
      </c>
      <c r="BV153" s="30" t="inlineStr">
        <is>
          <t>Above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IF(B154=0,"",RANK(B154,$B$2:$B$427,0))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BLSE</t>
        </is>
      </c>
      <c r="D154" s="30" t="inlineStr">
        <is>
          <t>BLS E-Services Ltd</t>
        </is>
      </c>
      <c r="E154" s="30" t="inlineStr">
        <is>
          <t>i.t</t>
        </is>
      </c>
      <c r="F154" s="30" t="inlineStr">
        <is>
          <t>computers - software - medium / small</t>
        </is>
      </c>
      <c r="G154" s="30" t="inlineStr">
        <is>
          <t>smallcap</t>
        </is>
      </c>
      <c r="H154" s="31" t="n">
        <v>2045.27</v>
      </c>
      <c r="I154" s="31" t="n">
        <v>227.03</v>
      </c>
      <c r="J154" s="31" t="n">
        <v>0.85</v>
      </c>
      <c r="K154" s="31" t="n">
        <v>121796</v>
      </c>
      <c r="L154" s="30" t="n">
        <v>67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67.54000000000001</v>
      </c>
      <c r="P154" s="31" t="n">
        <v>21.34</v>
      </c>
      <c r="Q154" s="31" t="n">
        <v>176.71</v>
      </c>
      <c r="R154" s="30" t="inlineStr">
        <is>
          <t>Near 52W High Breakout</t>
        </is>
      </c>
      <c r="S154" s="30" t="inlineStr">
        <is>
          <t>Nifty IT</t>
        </is>
      </c>
      <c r="T154" s="31" t="n">
        <v>-29.66</v>
      </c>
      <c r="U154" s="31" t="n">
        <v>20.78</v>
      </c>
      <c r="V154" s="31" t="n">
        <v>71.70999999999999</v>
      </c>
      <c r="W154" s="31" t="n">
        <v>18.81</v>
      </c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Annuity, Lower One Time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20 to 40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Close to 52 week high or retracement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Less than 12%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No</t>
        </is>
      </c>
      <c r="BS154" s="30">
        <f>IF(BR154="NO",5,0)</f>
        <v/>
      </c>
      <c r="BT154" s="30" t="inlineStr">
        <is>
          <t>Above 2</t>
        </is>
      </c>
      <c r="BU154" s="30">
        <f>IF(BT154="Above 2",0,IF(BT154="Between 1.5 to 2",5,IF(BT154="Less than 1.5",10,0)))</f>
        <v/>
      </c>
      <c r="BV154" s="30" t="inlineStr">
        <is>
          <t>Between 50% to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IF(B155=0,"",RANK(B155,$B$2:$B$427,0))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VSTIND</t>
        </is>
      </c>
      <c r="D155" s="30" t="inlineStr">
        <is>
          <t>Vst Industries Limited</t>
        </is>
      </c>
      <c r="E155" s="30" t="inlineStr">
        <is>
          <t>fmcg</t>
        </is>
      </c>
      <c r="F155" s="30" t="inlineStr">
        <is>
          <t>cigarettes</t>
        </is>
      </c>
      <c r="G155" s="30" t="inlineStr">
        <is>
          <t>smallcap</t>
        </is>
      </c>
      <c r="H155" s="31" t="n">
        <v>4393.46</v>
      </c>
      <c r="I155" s="31" t="n">
        <v>259.95</v>
      </c>
      <c r="J155" s="31" t="n">
        <v>0.5</v>
      </c>
      <c r="K155" s="31" t="n">
        <v>262027</v>
      </c>
      <c r="L155" s="30" t="n">
        <v>11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56.88</v>
      </c>
      <c r="P155" s="31" t="n">
        <v>27.8</v>
      </c>
      <c r="Q155" s="31" t="n">
        <v>222.17</v>
      </c>
      <c r="R155" s="30" t="inlineStr">
        <is>
          <t>Earnings / Momentum Support</t>
        </is>
      </c>
      <c r="S155" s="30" t="inlineStr">
        <is>
          <t>Nifty FMCG</t>
        </is>
      </c>
      <c r="T155" s="31" t="n">
        <v>-9.279999999999999</v>
      </c>
      <c r="U155" s="31" t="n">
        <v>-5.04</v>
      </c>
      <c r="V155" s="31" t="n">
        <v>4.68</v>
      </c>
      <c r="W155" s="31" t="n">
        <v>3.98</v>
      </c>
      <c r="X155" s="30" t="inlineStr">
        <is>
          <t>Growing Industry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B2C</t>
        </is>
      </c>
      <c r="AO155" s="30">
        <f>IF(AN155="B2C",10,IF(AN155="B2B",5,0))</f>
        <v/>
      </c>
      <c r="AP155" s="30" t="inlineStr">
        <is>
          <t>No</t>
        </is>
      </c>
      <c r="AQ155" s="30">
        <f>IF(AP155="Yes",10,0)</f>
        <v/>
      </c>
      <c r="AR155" s="30" t="inlineStr">
        <is>
          <t>Higher Annuity, Lower One Time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20 to 40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Close to 52 week high or retracement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More than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No</t>
        </is>
      </c>
      <c r="BS155" s="30">
        <f>IF(BR155="NO",5,0)</f>
        <v/>
      </c>
      <c r="BT155" s="30" t="inlineStr">
        <is>
          <t>Above 2</t>
        </is>
      </c>
      <c r="BU155" s="30">
        <f>IF(BT155="Above 2",0,IF(BT155="Between 1.5 to 2",5,IF(BT155="Less than 1.5",10,0)))</f>
        <v/>
      </c>
      <c r="BV155" s="30" t="inlineStr">
        <is>
          <t>Less than 50%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Less than 0.7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IF(B156=0,"",RANK(B156,$B$2:$B$427,0))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VIYASH</t>
        </is>
      </c>
      <c r="D156" s="30" t="inlineStr">
        <is>
          <t>Viyash Scientific Ltd</t>
        </is>
      </c>
      <c r="E156" s="30" t="inlineStr">
        <is>
          <t>healthcare</t>
        </is>
      </c>
      <c r="F156" s="30" t="inlineStr">
        <is>
          <t>pharmaceuticals - indian - bulk drugs &amp; formln</t>
        </is>
      </c>
      <c r="G156" s="30" t="inlineStr">
        <is>
          <t>midcap</t>
        </is>
      </c>
      <c r="H156" s="31" t="n">
        <v>11089.46</v>
      </c>
      <c r="I156" s="31" t="n">
        <v>254.95</v>
      </c>
      <c r="J156" s="31" t="n">
        <v>0.43</v>
      </c>
      <c r="K156" s="31" t="n">
        <v>2478353</v>
      </c>
      <c r="L156" s="30" t="n">
        <v>55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66.70999999999999</v>
      </c>
      <c r="P156" s="31" t="n">
        <v>32.15</v>
      </c>
      <c r="Q156" s="31" t="n">
        <v>198.43</v>
      </c>
      <c r="R156" s="30" t="inlineStr">
        <is>
          <t>Near 52W High Breakout</t>
        </is>
      </c>
      <c r="S156" s="30" t="inlineStr">
        <is>
          <t>Nifty Pharma</t>
        </is>
      </c>
      <c r="T156" s="31" t="n">
        <v>13.17</v>
      </c>
      <c r="U156" s="31" t="n">
        <v>36.27</v>
      </c>
      <c r="V156" s="31" t="n">
        <v>20.41</v>
      </c>
      <c r="W156" s="31" t="n">
        <v>14.45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Yes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Yes</t>
        </is>
      </c>
      <c r="AQ156" s="30">
        <f>IF(AP156="Yes",10,0)</f>
        <v/>
      </c>
      <c r="AR156" s="30" t="inlineStr">
        <is>
          <t>Higher Annuity, Lower One Time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20 to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Blue sky scenario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Yes</t>
        </is>
      </c>
      <c r="BS156" s="30">
        <f>IF(BR156="NO",5,0)</f>
        <v/>
      </c>
      <c r="BT156" s="30" t="inlineStr">
        <is>
          <t>Above 2</t>
        </is>
      </c>
      <c r="BU156" s="30">
        <f>IF(BT156="Above 2",0,IF(BT156="Between 1.5 to 2",5,IF(BT156="Less than 1.5",10,0)))</f>
        <v/>
      </c>
      <c r="BV156" s="30" t="inlineStr">
        <is>
          <t>Less than 50%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Less than 0.7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IF(B157=0,"",RANK(B157,$B$2:$B$427,0))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TATATECH</t>
        </is>
      </c>
      <c r="D157" s="30" t="inlineStr">
        <is>
          <t>Tata Technologies Ltd</t>
        </is>
      </c>
      <c r="E157" s="30" t="inlineStr">
        <is>
          <t>i.t</t>
        </is>
      </c>
      <c r="F157" s="30" t="inlineStr">
        <is>
          <t>computers - software - medium / small</t>
        </is>
      </c>
      <c r="G157" s="30" t="inlineStr">
        <is>
          <t>largecap</t>
        </is>
      </c>
      <c r="H157" s="31" t="n">
        <v>30598.66</v>
      </c>
      <c r="I157" s="31" t="n">
        <v>742.25</v>
      </c>
      <c r="J157" s="31" t="n">
        <v>-1.52</v>
      </c>
      <c r="K157" s="31" t="n">
        <v>1493749</v>
      </c>
      <c r="L157" s="30" t="n">
        <v>45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68.65000000000001</v>
      </c>
      <c r="P157" s="31" t="n">
        <v>35.14</v>
      </c>
      <c r="Q157" s="31" t="n">
        <v>623.48</v>
      </c>
      <c r="R157" s="30" t="inlineStr">
        <is>
          <t>Near 52W High Breakout</t>
        </is>
      </c>
      <c r="S157" s="30" t="inlineStr">
        <is>
          <t>Nifty IT</t>
        </is>
      </c>
      <c r="T157" s="31" t="n">
        <v>-29.66</v>
      </c>
      <c r="U157" s="31" t="n">
        <v>8.33</v>
      </c>
      <c r="V157" s="31" t="n">
        <v>54.01</v>
      </c>
      <c r="W157" s="31" t="n">
        <v>11.25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Yes</t>
        </is>
      </c>
      <c r="AQ157" s="30">
        <f>IF(AP157="Yes",10,0)</f>
        <v/>
      </c>
      <c r="AR157" s="30" t="inlineStr">
        <is>
          <t>Higher Annuity, Lower One Time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20 to 40</t>
        </is>
      </c>
      <c r="AY157" s="30">
        <f>IF(AX157="Above 40",20,IF(AX157="20 to 40",10,IF(AX157="0 to 20",-5,0)))</f>
        <v/>
      </c>
      <c r="AZ157" s="30" t="inlineStr">
        <is>
          <t>Between 50 to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Close to 52 week high or retracement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Less than 12%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Yes</t>
        </is>
      </c>
      <c r="BS157" s="30">
        <f>IF(BR157="NO",5,0)</f>
        <v/>
      </c>
      <c r="BT157" s="30" t="inlineStr">
        <is>
          <t>Above 2</t>
        </is>
      </c>
      <c r="BU157" s="30">
        <f>IF(BT157="Above 2",0,IF(BT157="Between 1.5 to 2",5,IF(BT157="Less than 1.5",10,0)))</f>
        <v/>
      </c>
      <c r="BV157" s="30" t="inlineStr">
        <is>
          <t>Above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Less than 0.7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IF(B158=0,"",RANK(B158,$B$2:$B$427,0))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VADILALIND</t>
        </is>
      </c>
      <c r="D158" s="30" t="inlineStr">
        <is>
          <t>Vadilal Industries Limited</t>
        </is>
      </c>
      <c r="E158" s="30" t="inlineStr">
        <is>
          <t>fmcg</t>
        </is>
      </c>
      <c r="F158" s="30" t="inlineStr">
        <is>
          <t>food - processing - indian</t>
        </is>
      </c>
      <c r="G158" s="30" t="inlineStr">
        <is>
          <t>smallcap</t>
        </is>
      </c>
      <c r="H158" s="31" t="n">
        <v>4465.3</v>
      </c>
      <c r="I158" s="31" t="n">
        <v>6108</v>
      </c>
      <c r="J158" s="31" t="n">
        <v>-1.68</v>
      </c>
      <c r="K158" s="31" t="n">
        <v>10920</v>
      </c>
      <c r="L158" s="30" t="n">
        <v>40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67.23</v>
      </c>
      <c r="P158" s="31" t="n">
        <v>15.37</v>
      </c>
      <c r="Q158" s="31" t="n">
        <v>4698.41</v>
      </c>
      <c r="R158" s="30" t="inlineStr">
        <is>
          <t>Near 52W High Breakout</t>
        </is>
      </c>
      <c r="S158" s="30" t="inlineStr">
        <is>
          <t>Nifty FMCG</t>
        </is>
      </c>
      <c r="T158" s="31" t="n">
        <v>-9.279999999999999</v>
      </c>
      <c r="U158" s="31" t="n">
        <v>10.75</v>
      </c>
      <c r="V158" s="31" t="n">
        <v>22.08</v>
      </c>
      <c r="W158" s="31" t="n">
        <v>10.21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B2C</t>
        </is>
      </c>
      <c r="AO158" s="30">
        <f>IF(AN158="B2C",10,IF(AN158="B2B",5,0))</f>
        <v/>
      </c>
      <c r="AP158" s="30" t="inlineStr">
        <is>
          <t>Yes</t>
        </is>
      </c>
      <c r="AQ158" s="30">
        <f>IF(AP158="Yes",10,0)</f>
        <v/>
      </c>
      <c r="AR158" s="30" t="inlineStr">
        <is>
          <t>Higher Annuity, Lower One Time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0 to 20</t>
        </is>
      </c>
      <c r="AY158" s="30">
        <f>IF(AX158="Above 40",20,IF(AX158="20 to 40",10,IF(AX158="0 to 20",-5,0)))</f>
        <v/>
      </c>
      <c r="AZ158" s="30" t="inlineStr">
        <is>
          <t>Between 50 to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Close to 52 week high or retracement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More than 20%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No</t>
        </is>
      </c>
      <c r="BS158" s="30">
        <f>IF(BR158="NO",5,0)</f>
        <v/>
      </c>
      <c r="BT158" s="30" t="inlineStr">
        <is>
          <t>Above 2</t>
        </is>
      </c>
      <c r="BU158" s="30">
        <f>IF(BT158="Above 2",0,IF(BT158="Between 1.5 to 2",5,IF(BT158="Less than 1.5",10,0)))</f>
        <v/>
      </c>
      <c r="BV158" s="30" t="inlineStr">
        <is>
          <t>Between 50% to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IF(B159=0,"",RANK(B159,$B$2:$B$427,0))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SASKEN</t>
        </is>
      </c>
      <c r="D159" s="30" t="inlineStr">
        <is>
          <t>Sasken Communication Technologies Limited</t>
        </is>
      </c>
      <c r="E159" s="30" t="inlineStr">
        <is>
          <t>i.t</t>
        </is>
      </c>
      <c r="F159" s="30" t="inlineStr">
        <is>
          <t>computers - software - medium / small</t>
        </is>
      </c>
      <c r="G159" s="30" t="inlineStr">
        <is>
          <t>smallcap</t>
        </is>
      </c>
      <c r="H159" s="31" t="n">
        <v>4021.23</v>
      </c>
      <c r="I159" s="31" t="n">
        <v>2586.1</v>
      </c>
      <c r="J159" s="31" t="n">
        <v>-2.33</v>
      </c>
      <c r="K159" s="31" t="n">
        <v>241298</v>
      </c>
      <c r="L159" s="30" t="n">
        <v>95</v>
      </c>
      <c r="M159" s="30" t="inlineStr">
        <is>
          <t>Outperforming</t>
        </is>
      </c>
      <c r="N159" s="31">
        <f>IF(M159="Underperforming",-5,IF(L159&gt;=95,15,IF(L159&gt;=90,10,IF(L159&gt;=80,5,0))))</f>
        <v/>
      </c>
      <c r="O159" s="31" t="n">
        <v>78.73</v>
      </c>
      <c r="P159" s="31" t="n">
        <v>34.69</v>
      </c>
      <c r="Q159" s="31" t="n">
        <v>1872.43</v>
      </c>
      <c r="R159" s="30" t="inlineStr">
        <is>
          <t>Near 52W High Breakout</t>
        </is>
      </c>
      <c r="S159" s="30" t="inlineStr">
        <is>
          <t>Nifty IT</t>
        </is>
      </c>
      <c r="T159" s="31" t="n">
        <v>-29.66</v>
      </c>
      <c r="U159" s="31" t="n">
        <v>88.55</v>
      </c>
      <c r="V159" s="31" t="n">
        <v>168.05</v>
      </c>
      <c r="W159" s="31" t="n">
        <v>45.54</v>
      </c>
      <c r="X159" s="30" t="inlineStr">
        <is>
          <t>Growing Industry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Yes</t>
        </is>
      </c>
      <c r="AQ159" s="30">
        <f>IF(AP159="Yes",10,0)</f>
        <v/>
      </c>
      <c r="AR159" s="30" t="inlineStr">
        <is>
          <t>Higher Annuity, Lower One Time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20 to 40</t>
        </is>
      </c>
      <c r="AY159" s="30">
        <f>IF(AX159="Above 40",20,IF(AX159="20 to 40",10,IF(AX159="0 to 20",-5,0)))</f>
        <v/>
      </c>
      <c r="AZ159" s="30" t="inlineStr">
        <is>
          <t>Above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Blue sky scenario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More than 20%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Yes</t>
        </is>
      </c>
      <c r="BS159" s="30">
        <f>IF(BR159="NO",5,0)</f>
        <v/>
      </c>
      <c r="BT159" s="30" t="inlineStr">
        <is>
          <t>Above 2</t>
        </is>
      </c>
      <c r="BU159" s="30">
        <f>IF(BT159="Above 2",0,IF(BT159="Between 1.5 to 2",5,IF(BT159="Less than 1.5",10,0)))</f>
        <v/>
      </c>
      <c r="BV159" s="30" t="inlineStr">
        <is>
          <t>Negative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IF(B160=0,"",RANK(B160,$B$2:$B$427,0))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SPAL</t>
        </is>
      </c>
      <c r="D160" s="30" t="inlineStr">
        <is>
          <t>S. P. Apparels Limited</t>
        </is>
      </c>
      <c r="E160" s="30" t="inlineStr">
        <is>
          <t>consumer discretionary</t>
        </is>
      </c>
      <c r="F160" s="30" t="inlineStr">
        <is>
          <t>textiles - products</t>
        </is>
      </c>
      <c r="G160" s="30" t="inlineStr">
        <is>
          <t>smallcap</t>
        </is>
      </c>
      <c r="H160" s="31" t="n">
        <v>2315.17</v>
      </c>
      <c r="I160" s="31" t="n">
        <v>1028.4</v>
      </c>
      <c r="J160" s="31" t="n">
        <v>11.67</v>
      </c>
      <c r="K160" s="31" t="n">
        <v>2021580</v>
      </c>
      <c r="L160" s="30" t="n">
        <v>58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76.55</v>
      </c>
      <c r="P160" s="31" t="n">
        <v>23.77</v>
      </c>
      <c r="Q160" s="31" t="n">
        <v>788.26</v>
      </c>
      <c r="R160" s="30" t="inlineStr">
        <is>
          <t>Volume Spike &amp; Near 52W High Breakout</t>
        </is>
      </c>
      <c r="S160" s="30" t="inlineStr">
        <is>
          <t>Nifty 50</t>
        </is>
      </c>
      <c r="T160" s="31" t="n">
        <v>-4.38</v>
      </c>
      <c r="U160" s="31" t="n">
        <v>25.52</v>
      </c>
      <c r="V160" s="31" t="n">
        <v>31.27</v>
      </c>
      <c r="W160" s="31" t="n">
        <v>14.9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Yes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20 to 40</t>
        </is>
      </c>
      <c r="AY160" s="30">
        <f>IF(AX160="Above 40",20,IF(AX160="20 to 40",10,IF(AX160="0 to 20",-5,0)))</f>
        <v/>
      </c>
      <c r="AZ160" s="30" t="inlineStr">
        <is>
          <t>Above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Blue sky scenario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Less than 12%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No</t>
        </is>
      </c>
      <c r="BS160" s="30">
        <f>IF(BR160="NO",5,0)</f>
        <v/>
      </c>
      <c r="BT160" s="30" t="inlineStr">
        <is>
          <t>Above 2</t>
        </is>
      </c>
      <c r="BU160" s="30">
        <f>IF(BT160="Above 2",0,IF(BT160="Between 1.5 to 2",5,IF(BT160="Less than 1.5",10,0)))</f>
        <v/>
      </c>
      <c r="BV160" s="30" t="inlineStr">
        <is>
          <t>Above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Less than 0.7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IF(B161=0,"",RANK(B161,$B$2:$B$427,0))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INDOAMIN</t>
        </is>
      </c>
      <c r="D161" s="30" t="inlineStr">
        <is>
          <t>Indo Amines Ltd</t>
        </is>
      </c>
      <c r="E161" s="30" t="inlineStr">
        <is>
          <t>chemicals</t>
        </is>
      </c>
      <c r="F161" s="30" t="inlineStr">
        <is>
          <t>chemicals</t>
        </is>
      </c>
      <c r="G161" s="30" t="inlineStr">
        <is>
          <t>smallcap</t>
        </is>
      </c>
      <c r="H161" s="31" t="n">
        <v>970.79</v>
      </c>
      <c r="I161" s="31" t="n">
        <v>143.55</v>
      </c>
      <c r="J161" s="31" t="n">
        <v>7.34</v>
      </c>
      <c r="K161" s="31" t="n">
        <v>1012071</v>
      </c>
      <c r="L161" s="30" t="n">
        <v>61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65.45999999999999</v>
      </c>
      <c r="P161" s="31" t="n">
        <v>27.87</v>
      </c>
      <c r="Q161" s="31" t="n">
        <v>105.95</v>
      </c>
      <c r="R161" s="30" t="inlineStr">
        <is>
          <t>Earnings / Momentum Support</t>
        </is>
      </c>
      <c r="S161" s="30" t="inlineStr">
        <is>
          <t>Nifty 50</t>
        </is>
      </c>
      <c r="T161" s="31" t="n">
        <v>-4.38</v>
      </c>
      <c r="U161" s="31" t="n">
        <v>-2.71</v>
      </c>
      <c r="V161" s="31" t="n">
        <v>1.75</v>
      </c>
      <c r="W161" s="31" t="n">
        <v>16.1</v>
      </c>
      <c r="X161" s="30" t="inlineStr">
        <is>
          <t>Growing Industry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No</t>
        </is>
      </c>
      <c r="AQ161" s="30">
        <f>IF(AP161="Yes",10,0)</f>
        <v/>
      </c>
      <c r="AR161" s="30" t="inlineStr">
        <is>
          <t>Higher One Time, Lower Annuity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20 to 40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Close to 52 week high or retracement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More than 20%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No</t>
        </is>
      </c>
      <c r="BS161" s="30">
        <f>IF(BR161="NO",5,0)</f>
        <v/>
      </c>
      <c r="BT161" s="30" t="inlineStr">
        <is>
          <t>Less than 1.5</t>
        </is>
      </c>
      <c r="BU161" s="30">
        <f>IF(BT161="Above 2",0,IF(BT161="Between 1.5 to 2",5,IF(BT161="Less than 1.5",10,0)))</f>
        <v/>
      </c>
      <c r="BV161" s="30" t="inlineStr">
        <is>
          <t>Between 50% to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Between 0.7 to 1.2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IF(B162=0,"",RANK(B162,$B$2:$B$427,0))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INOXINDIA</t>
        </is>
      </c>
      <c r="D162" s="30" t="inlineStr">
        <is>
          <t>Inox India Ltd</t>
        </is>
      </c>
      <c r="E162" s="30" t="inlineStr">
        <is>
          <t>industrials</t>
        </is>
      </c>
      <c r="F162" s="30" t="inlineStr">
        <is>
          <t>packaging</t>
        </is>
      </c>
      <c r="G162" s="30" t="inlineStr">
        <is>
          <t>midcap</t>
        </is>
      </c>
      <c r="H162" s="31" t="n">
        <v>16449.98</v>
      </c>
      <c r="I162" s="31" t="n">
        <v>1917.8</v>
      </c>
      <c r="J162" s="31" t="n">
        <v>5.82</v>
      </c>
      <c r="K162" s="31" t="n">
        <v>566528</v>
      </c>
      <c r="L162" s="30" t="n">
        <v>80</v>
      </c>
      <c r="M162" s="30" t="inlineStr">
        <is>
          <t>Outperforming</t>
        </is>
      </c>
      <c r="N162" s="31">
        <f>IF(M162="Underperforming",-5,IF(L162&gt;=95,15,IF(L162&gt;=90,10,IF(L162&gt;=80,5,0))))</f>
        <v/>
      </c>
      <c r="O162" s="31" t="n">
        <v>83.98999999999999</v>
      </c>
      <c r="P162" s="31" t="n">
        <v>56.99</v>
      </c>
      <c r="Q162" s="31" t="n">
        <v>1496.24</v>
      </c>
      <c r="R162" s="30" t="inlineStr">
        <is>
          <t>Near 52W High Breakout</t>
        </is>
      </c>
      <c r="S162" s="30" t="inlineStr">
        <is>
          <t>Nifty 50</t>
        </is>
      </c>
      <c r="T162" s="31" t="n">
        <v>-4.38</v>
      </c>
      <c r="U162" s="31" t="n">
        <v>62.29</v>
      </c>
      <c r="V162" s="31" t="n">
        <v>69.72</v>
      </c>
      <c r="W162" s="31" t="n">
        <v>25.11</v>
      </c>
      <c r="X162" s="30" t="inlineStr">
        <is>
          <t>Cyclical in an Upturn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Yes</t>
        </is>
      </c>
      <c r="AQ162" s="30">
        <f>IF(AP162="Yes",10,0)</f>
        <v/>
      </c>
      <c r="AR162" s="30" t="inlineStr">
        <is>
          <t>Higher One Time, Lower Annuity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Above 40</t>
        </is>
      </c>
      <c r="AY162" s="30">
        <f>IF(AX162="Above 40",20,IF(AX162="20 to 40",10,IF(AX162="0 to 20",-5,0)))</f>
        <v/>
      </c>
      <c r="AZ162" s="30" t="inlineStr">
        <is>
          <t>Above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Blue sky scenario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Between 12 to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Yes</t>
        </is>
      </c>
      <c r="BS162" s="30">
        <f>IF(BR162="NO",5,0)</f>
        <v/>
      </c>
      <c r="BT162" s="30" t="inlineStr">
        <is>
          <t>Above 2</t>
        </is>
      </c>
      <c r="BU162" s="30">
        <f>IF(BT162="Above 2",0,IF(BT162="Between 1.5 to 2",5,IF(BT162="Less than 1.5",10,0)))</f>
        <v/>
      </c>
      <c r="BV162" s="30" t="inlineStr">
        <is>
          <t>Less than 50%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IF(B163=0,"",RANK(B163,$B$2:$B$427,0))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PARACABLES</t>
        </is>
      </c>
      <c r="D163" s="30" t="inlineStr">
        <is>
          <t>Paramount Communications Limited</t>
        </is>
      </c>
      <c r="E163" s="30" t="inlineStr">
        <is>
          <t>industrials</t>
        </is>
      </c>
      <c r="F163" s="30" t="inlineStr">
        <is>
          <t>cables - power</t>
        </is>
      </c>
      <c r="G163" s="30" t="inlineStr">
        <is>
          <t>smallcap</t>
        </is>
      </c>
      <c r="H163" s="31" t="n">
        <v>2130.97</v>
      </c>
      <c r="I163" s="31" t="n">
        <v>73.06</v>
      </c>
      <c r="J163" s="31" t="n">
        <v>4.64</v>
      </c>
      <c r="K163" s="31" t="n">
        <v>7921488</v>
      </c>
      <c r="L163" s="30" t="n">
        <v>91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75.15000000000001</v>
      </c>
      <c r="P163" s="31" t="n">
        <v>35.43</v>
      </c>
      <c r="Q163" s="31" t="n">
        <v>51.55</v>
      </c>
      <c r="R163" s="30" t="inlineStr">
        <is>
          <t>Near 52W High Breakout</t>
        </is>
      </c>
      <c r="S163" s="30" t="inlineStr">
        <is>
          <t>Nifty Energy</t>
        </is>
      </c>
      <c r="T163" s="31" t="n">
        <v>13.9</v>
      </c>
      <c r="U163" s="31" t="n">
        <v>34.67</v>
      </c>
      <c r="V163" s="31" t="n">
        <v>18.24</v>
      </c>
      <c r="W163" s="31" t="n">
        <v>36.2</v>
      </c>
      <c r="X163" s="30" t="inlineStr">
        <is>
          <t>Cyclical in an Upturn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Higher One Time, Lower Annuity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20 to 40</t>
        </is>
      </c>
      <c r="AY163" s="30">
        <f>IF(AX163="Above 40",20,IF(AX163="20 to 40",10,IF(AX163="0 to 20",-5,0)))</f>
        <v/>
      </c>
      <c r="AZ163" s="30" t="inlineStr">
        <is>
          <t>Above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Less than 12%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No</t>
        </is>
      </c>
      <c r="BS163" s="30">
        <f>IF(BR163="NO",5,0)</f>
        <v/>
      </c>
      <c r="BT163" s="30" t="inlineStr">
        <is>
          <t>Above 2</t>
        </is>
      </c>
      <c r="BU163" s="30">
        <f>IF(BT163="Above 2",0,IF(BT163="Between 1.5 to 2",5,IF(BT163="Less than 1.5",10,0)))</f>
        <v/>
      </c>
      <c r="BV163" s="30" t="inlineStr">
        <is>
          <t>Above 70%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IF(B164=0,"",RANK(B164,$B$2:$B$427,0))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JNKINDIA</t>
        </is>
      </c>
      <c r="D164" s="30" t="inlineStr">
        <is>
          <t>JNK India Ltd</t>
        </is>
      </c>
      <c r="E164" s="30" t="inlineStr">
        <is>
          <t>realty</t>
        </is>
      </c>
      <c r="F164" s="30" t="inlineStr">
        <is>
          <t>engineering - turnkey services</t>
        </is>
      </c>
      <c r="G164" s="30" t="inlineStr">
        <is>
          <t>smallcap</t>
        </is>
      </c>
      <c r="H164" s="31" t="n">
        <v>2613.05</v>
      </c>
      <c r="I164" s="31" t="n">
        <v>486.95</v>
      </c>
      <c r="J164" s="31" t="n">
        <v>4.27</v>
      </c>
      <c r="K164" s="31" t="n">
        <v>742031</v>
      </c>
      <c r="L164" s="30" t="n">
        <v>90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73.63</v>
      </c>
      <c r="P164" s="31" t="n">
        <v>32.47</v>
      </c>
      <c r="Q164" s="31" t="n">
        <v>355.04</v>
      </c>
      <c r="R164" s="30" t="inlineStr">
        <is>
          <t>Near 52W High Breakout</t>
        </is>
      </c>
      <c r="S164" s="30" t="inlineStr">
        <is>
          <t>Nifty Realty</t>
        </is>
      </c>
      <c r="T164" s="31" t="n">
        <v>-19.9</v>
      </c>
      <c r="U164" s="31" t="n">
        <v>35.3</v>
      </c>
      <c r="V164" s="31" t="n">
        <v>68.92</v>
      </c>
      <c r="W164" s="31" t="n">
        <v>34.92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Higher One Time, Lower Annuity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Between 50 to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Close to 52 week high or retracement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More than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Yes</t>
        </is>
      </c>
      <c r="BS164" s="30">
        <f>IF(BR164="NO",5,0)</f>
        <v/>
      </c>
      <c r="BT164" s="30" t="inlineStr">
        <is>
          <t>Above 2</t>
        </is>
      </c>
      <c r="BU164" s="30">
        <f>IF(BT164="Above 2",0,IF(BT164="Between 1.5 to 2",5,IF(BT164="Less than 1.5",10,0)))</f>
        <v/>
      </c>
      <c r="BV164" s="30" t="inlineStr">
        <is>
          <t>Negative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IF(B165=0,"",RANK(B165,$B$2:$B$427,0))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AEROFLEX</t>
        </is>
      </c>
      <c r="D165" s="30" t="inlineStr">
        <is>
          <t>Aeroflex Industries Ltd</t>
        </is>
      </c>
      <c r="E165" s="30" t="inlineStr">
        <is>
          <t>metals &amp; mining</t>
        </is>
      </c>
      <c r="F165" s="30" t="inlineStr">
        <is>
          <t>steel - medium / small</t>
        </is>
      </c>
      <c r="G165" s="30" t="inlineStr">
        <is>
          <t>midcap</t>
        </is>
      </c>
      <c r="H165" s="31" t="n">
        <v>6470.97</v>
      </c>
      <c r="I165" s="31" t="n">
        <v>507.25</v>
      </c>
      <c r="J165" s="31" t="n">
        <v>3.73</v>
      </c>
      <c r="K165" s="31" t="n">
        <v>3240258</v>
      </c>
      <c r="L165" s="30" t="n">
        <v>95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77.39</v>
      </c>
      <c r="P165" s="31" t="n">
        <v>61.09</v>
      </c>
      <c r="Q165" s="31" t="n">
        <v>364.71</v>
      </c>
      <c r="R165" s="30" t="inlineStr">
        <is>
          <t>Near 52W High Breakout</t>
        </is>
      </c>
      <c r="S165" s="30" t="inlineStr">
        <is>
          <t>Nifty Metal</t>
        </is>
      </c>
      <c r="T165" s="31" t="n">
        <v>42.48</v>
      </c>
      <c r="U165" s="31" t="n">
        <v>148.44</v>
      </c>
      <c r="V165" s="31" t="n">
        <v>74.37</v>
      </c>
      <c r="W165" s="31" t="n">
        <v>49.95</v>
      </c>
      <c r="X165" s="30" t="inlineStr">
        <is>
          <t>Cyclical in an Upturn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No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Cyclical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Volatile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Yes</t>
        </is>
      </c>
      <c r="AQ165" s="30">
        <f>IF(AP165="Yes",10,0)</f>
        <v/>
      </c>
      <c r="AR165" s="30" t="inlineStr">
        <is>
          <t>Higher One Time, Lower Annuity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Above 40</t>
        </is>
      </c>
      <c r="AY165" s="30">
        <f>IF(AX165="Above 40",20,IF(AX165="20 to 40",10,IF(AX165="0 to 20",-5,0)))</f>
        <v/>
      </c>
      <c r="AZ165" s="30" t="inlineStr">
        <is>
          <t>Above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Blue sky scenario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More than 20%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Yes</t>
        </is>
      </c>
      <c r="BS165" s="30">
        <f>IF(BR165="NO",5,0)</f>
        <v/>
      </c>
      <c r="BT165" s="30" t="inlineStr">
        <is>
          <t>Above 2</t>
        </is>
      </c>
      <c r="BU165" s="30">
        <f>IF(BT165="Above 2",0,IF(BT165="Between 1.5 to 2",5,IF(BT165="Less than 1.5",10,0)))</f>
        <v/>
      </c>
      <c r="BV165" s="30" t="inlineStr">
        <is>
          <t>Between 50% to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IF(B166=0,"",RANK(B166,$B$2:$B$427,0))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ZENTEC</t>
        </is>
      </c>
      <c r="D166" s="30" t="inlineStr">
        <is>
          <t>Zen Technologies Limited</t>
        </is>
      </c>
      <c r="E166" s="30" t="inlineStr">
        <is>
          <t>aerospace &amp; defence</t>
        </is>
      </c>
      <c r="F166" s="30" t="inlineStr">
        <is>
          <t>miscellaneous</t>
        </is>
      </c>
      <c r="G166" s="30" t="inlineStr">
        <is>
          <t>midcap</t>
        </is>
      </c>
      <c r="H166" s="31" t="n">
        <v>17420.62</v>
      </c>
      <c r="I166" s="31" t="n">
        <v>1997</v>
      </c>
      <c r="J166" s="31" t="n">
        <v>3.5</v>
      </c>
      <c r="K166" s="31" t="n">
        <v>1662568</v>
      </c>
      <c r="L166" s="30" t="n">
        <v>43</v>
      </c>
      <c r="M166" s="30" t="inlineStr">
        <is>
          <t>Outperforming</t>
        </is>
      </c>
      <c r="N166" s="31">
        <f>IF(M166="Underperforming",-5,IF(L166&gt;=95,15,IF(L166&gt;=90,10,IF(L166&gt;=80,5,0))))</f>
        <v/>
      </c>
      <c r="O166" s="31" t="n">
        <v>74.59999999999999</v>
      </c>
      <c r="P166" s="31" t="n">
        <v>25.27</v>
      </c>
      <c r="Q166" s="31" t="n">
        <v>1536.1</v>
      </c>
      <c r="R166" s="30" t="inlineStr">
        <is>
          <t>Near 52W High Breakout</t>
        </is>
      </c>
      <c r="S166" s="30" t="inlineStr">
        <is>
          <t>Nifty 50</t>
        </is>
      </c>
      <c r="T166" s="31" t="n">
        <v>-4.38</v>
      </c>
      <c r="U166" s="31" t="n">
        <v>5.27</v>
      </c>
      <c r="V166" s="31" t="n">
        <v>10.09</v>
      </c>
      <c r="W166" s="31" t="n">
        <v>11.14</v>
      </c>
      <c r="X166" s="30" t="inlineStr">
        <is>
          <t>Growing Industry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No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Yes</t>
        </is>
      </c>
      <c r="AQ166" s="30">
        <f>IF(AP166="Yes",10,0)</f>
        <v/>
      </c>
      <c r="AR166" s="30" t="inlineStr">
        <is>
          <t>Higher One Time, Lower Annuity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20 to 40</t>
        </is>
      </c>
      <c r="AY166" s="30">
        <f>IF(AX166="Above 40",20,IF(AX166="20 to 40",10,IF(AX166="0 to 20",-5,0)))</f>
        <v/>
      </c>
      <c r="AZ166" s="30" t="inlineStr">
        <is>
          <t>Between 50 to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Close to 52 week high or retracement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Less than 12%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Yes</t>
        </is>
      </c>
      <c r="BS166" s="30">
        <f>IF(BR166="NO",5,0)</f>
        <v/>
      </c>
      <c r="BT166" s="30" t="inlineStr">
        <is>
          <t>Above 2</t>
        </is>
      </c>
      <c r="BU166" s="30">
        <f>IF(BT166="Above 2",0,IF(BT166="Between 1.5 to 2",5,IF(BT166="Less than 1.5",10,0)))</f>
        <v/>
      </c>
      <c r="BV166" s="30" t="inlineStr">
        <is>
          <t>Above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IF(B167=0,"",RANK(B167,$B$2:$B$427,0))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AIAENG</t>
        </is>
      </c>
      <c r="D167" s="30" t="inlineStr">
        <is>
          <t>Aia Engineering Limited</t>
        </is>
      </c>
      <c r="E167" s="30" t="inlineStr">
        <is>
          <t>industrials</t>
        </is>
      </c>
      <c r="F167" s="30" t="inlineStr">
        <is>
          <t>castings &amp; forgings</t>
        </is>
      </c>
      <c r="G167" s="30" t="inlineStr">
        <is>
          <t>largecap</t>
        </is>
      </c>
      <c r="H167" s="31" t="n">
        <v>42301.19</v>
      </c>
      <c r="I167" s="31" t="n">
        <v>4687</v>
      </c>
      <c r="J167" s="31" t="n">
        <v>3.4</v>
      </c>
      <c r="K167" s="31" t="n">
        <v>184500</v>
      </c>
      <c r="L167" s="30" t="n">
        <v>61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67.23999999999999</v>
      </c>
      <c r="P167" s="31" t="n">
        <v>19.5</v>
      </c>
      <c r="Q167" s="31" t="n">
        <v>3775.32</v>
      </c>
      <c r="R167" s="30" t="inlineStr">
        <is>
          <t>Near 52W High Breakout</t>
        </is>
      </c>
      <c r="S167" s="30" t="inlineStr">
        <is>
          <t>Nifty 500</t>
        </is>
      </c>
      <c r="T167" s="31" t="n">
        <v>0.45</v>
      </c>
      <c r="U167" s="31" t="n">
        <v>44.1</v>
      </c>
      <c r="V167" s="31" t="n">
        <v>43.46</v>
      </c>
      <c r="W167" s="31" t="n">
        <v>16.56</v>
      </c>
      <c r="X167" s="30" t="inlineStr">
        <is>
          <t>Cyclical in an Upturn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Yes</t>
        </is>
      </c>
      <c r="AQ167" s="30">
        <f>IF(AP167="Yes",10,0)</f>
        <v/>
      </c>
      <c r="AR167" s="30" t="inlineStr">
        <is>
          <t>Higher One Time, Lower Annuity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0 to 20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Blue sky scenario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No</t>
        </is>
      </c>
      <c r="BS167" s="30">
        <f>IF(BR167="NO",5,0)</f>
        <v/>
      </c>
      <c r="BT167" s="30" t="inlineStr">
        <is>
          <t>Less than 1.5</t>
        </is>
      </c>
      <c r="BU167" s="30">
        <f>IF(BT167="Above 2",0,IF(BT167="Between 1.5 to 2",5,IF(BT167="Less than 1.5",10,0)))</f>
        <v/>
      </c>
      <c r="BV167" s="30" t="inlineStr">
        <is>
          <t>Less than 50%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IF(B168=0,"",RANK(B168,$B$2:$B$427,0))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CRAFTSMAN</t>
        </is>
      </c>
      <c r="D168" s="30" t="inlineStr">
        <is>
          <t>Craftsman Automation Ltd</t>
        </is>
      </c>
      <c r="E168" s="30" t="inlineStr">
        <is>
          <t>auto</t>
        </is>
      </c>
      <c r="F168" s="30" t="inlineStr">
        <is>
          <t>auto ancillaries</t>
        </is>
      </c>
      <c r="G168" s="30" t="inlineStr">
        <is>
          <t>largecap</t>
        </is>
      </c>
      <c r="H168" s="31" t="n">
        <v>22662.8</v>
      </c>
      <c r="I168" s="31" t="n">
        <v>9806.5</v>
      </c>
      <c r="J168" s="31" t="n">
        <v>3.23</v>
      </c>
      <c r="K168" s="31" t="n">
        <v>253361</v>
      </c>
      <c r="L168" s="30" t="n">
        <v>77</v>
      </c>
      <c r="M168" s="30" t="inlineStr">
        <is>
          <t>Outperforming</t>
        </is>
      </c>
      <c r="N168" s="31">
        <f>IF(M168="Underperforming",-5,IF(L168&gt;=95,15,IF(L168&gt;=90,10,IF(L168&gt;=80,5,0))))</f>
        <v/>
      </c>
      <c r="O168" s="31" t="n">
        <v>70.81999999999999</v>
      </c>
      <c r="P168" s="31" t="n">
        <v>37.14</v>
      </c>
      <c r="Q168" s="31" t="n">
        <v>7714.99</v>
      </c>
      <c r="R168" s="30" t="inlineStr">
        <is>
          <t>Near 52W High Breakout</t>
        </is>
      </c>
      <c r="S168" s="30" t="inlineStr">
        <is>
          <t>Nifty Auto</t>
        </is>
      </c>
      <c r="T168" s="31" t="n">
        <v>12.26</v>
      </c>
      <c r="U168" s="31" t="n">
        <v>90.20999999999999</v>
      </c>
      <c r="V168" s="31" t="n">
        <v>69.43000000000001</v>
      </c>
      <c r="W168" s="31" t="n">
        <v>23.45</v>
      </c>
      <c r="X168" s="30" t="inlineStr">
        <is>
          <t>Growing Industry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Yes</t>
        </is>
      </c>
      <c r="AQ168" s="30">
        <f>IF(AP168="Yes",10,0)</f>
        <v/>
      </c>
      <c r="AR168" s="30" t="inlineStr">
        <is>
          <t>Higher One Time, Lower Annuity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20 to 40</t>
        </is>
      </c>
      <c r="AY168" s="30">
        <f>IF(AX168="Above 40",20,IF(AX168="20 to 40",10,IF(AX168="0 to 20",-5,0)))</f>
        <v/>
      </c>
      <c r="AZ168" s="30" t="inlineStr">
        <is>
          <t>Between 50 to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Blue sky scenario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Yes</t>
        </is>
      </c>
      <c r="BS168" s="30">
        <f>IF(BR168="NO",5,0)</f>
        <v/>
      </c>
      <c r="BT168" s="30" t="inlineStr">
        <is>
          <t>Less than 1.5</t>
        </is>
      </c>
      <c r="BU168" s="30">
        <f>IF(BT168="Above 2",0,IF(BT168="Between 1.5 to 2",5,IF(BT168="Less than 1.5",10,0)))</f>
        <v/>
      </c>
      <c r="BV168" s="30" t="inlineStr">
        <is>
          <t>Less than 50% and Borrowings are increasing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Between 0.7 to 1.2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IF(B169=0,"",RANK(B169,$B$2:$B$427,0))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XPROINDIA</t>
        </is>
      </c>
      <c r="D169" s="30" t="inlineStr">
        <is>
          <t>Xpro India Limited</t>
        </is>
      </c>
      <c r="E169" s="30" t="inlineStr">
        <is>
          <t>industrials</t>
        </is>
      </c>
      <c r="F169" s="30" t="inlineStr">
        <is>
          <t>packaging</t>
        </is>
      </c>
      <c r="G169" s="30" t="inlineStr">
        <is>
          <t>smallcap</t>
        </is>
      </c>
      <c r="H169" s="31" t="n">
        <v>3059.83</v>
      </c>
      <c r="I169" s="31" t="n">
        <v>1344.8</v>
      </c>
      <c r="J169" s="31" t="n">
        <v>3.15</v>
      </c>
      <c r="K169" s="31" t="n">
        <v>186021</v>
      </c>
      <c r="L169" s="30" t="n">
        <v>40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66.53</v>
      </c>
      <c r="P169" s="31" t="n">
        <v>21.78</v>
      </c>
      <c r="Q169" s="31" t="n">
        <v>987.46</v>
      </c>
      <c r="R169" s="30" t="inlineStr">
        <is>
          <t>Volume Spike &amp; Near 52W High Breakout</t>
        </is>
      </c>
      <c r="S169" s="30" t="inlineStr">
        <is>
          <t>Nifty 50</t>
        </is>
      </c>
      <c r="T169" s="31" t="n">
        <v>-4.38</v>
      </c>
      <c r="U169" s="31" t="n">
        <v>12.13</v>
      </c>
      <c r="V169" s="31" t="n">
        <v>17.26</v>
      </c>
      <c r="W169" s="31" t="n">
        <v>10.24</v>
      </c>
      <c r="X169" s="30" t="inlineStr">
        <is>
          <t>Cyclical in an Upturn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No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Yes</t>
        </is>
      </c>
      <c r="AQ169" s="30">
        <f>IF(AP169="Yes",10,0)</f>
        <v/>
      </c>
      <c r="AR169" s="30" t="inlineStr">
        <is>
          <t>Higher One Time, Lower Annuity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20 to 40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Close to 52 week high or retracement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More than 20%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Yes</t>
        </is>
      </c>
      <c r="BS169" s="30">
        <f>IF(BR169="NO",5,0)</f>
        <v/>
      </c>
      <c r="BT169" s="30" t="inlineStr">
        <is>
          <t>Between 1.5 to 2</t>
        </is>
      </c>
      <c r="BU169" s="30">
        <f>IF(BT169="Above 2",0,IF(BT169="Between 1.5 to 2",5,IF(BT169="Less than 1.5",10,0)))</f>
        <v/>
      </c>
      <c r="BV169" s="30" t="inlineStr">
        <is>
          <t>Less than 50%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IF(B170=0,"",RANK(B170,$B$2:$B$427,0))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UFBL</t>
        </is>
      </c>
      <c r="D170" s="30" t="inlineStr">
        <is>
          <t>United Foodbrands Ltd</t>
        </is>
      </c>
      <c r="E170" s="30" t="inlineStr">
        <is>
          <t>consumer discretionary</t>
        </is>
      </c>
      <c r="F170" s="30" t="inlineStr">
        <is>
          <t>hotels</t>
        </is>
      </c>
      <c r="G170" s="30" t="inlineStr">
        <is>
          <t>smallcap</t>
        </is>
      </c>
      <c r="H170" s="31" t="n">
        <v>2441.14</v>
      </c>
      <c r="I170" s="31" t="n">
        <v>644.15</v>
      </c>
      <c r="J170" s="31" t="n">
        <v>3.14</v>
      </c>
      <c r="K170" s="31" t="n">
        <v>276906</v>
      </c>
      <c r="L170" s="30" t="n">
        <v>97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83.64</v>
      </c>
      <c r="P170" s="31" t="n">
        <v>39.78</v>
      </c>
      <c r="Q170" s="31" t="n">
        <v>476.65</v>
      </c>
      <c r="R170" s="30" t="inlineStr">
        <is>
          <t>Near 52W High Breakout</t>
        </is>
      </c>
      <c r="S170" s="30" t="inlineStr">
        <is>
          <t>Nifty 50</t>
        </is>
      </c>
      <c r="T170" s="31" t="n">
        <v>-4.38</v>
      </c>
      <c r="U170" s="31" t="n">
        <v>103.43</v>
      </c>
      <c r="V170" s="31" t="n">
        <v>112.74</v>
      </c>
      <c r="W170" s="31" t="n">
        <v>66.06999999999999</v>
      </c>
      <c r="X170" s="30" t="inlineStr">
        <is>
          <t>Growing Industry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No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Yes</t>
        </is>
      </c>
      <c r="AQ170" s="30">
        <f>IF(AP170="Yes",10,0)</f>
        <v/>
      </c>
      <c r="AR170" s="30" t="inlineStr">
        <is>
          <t>Higher One Time, Lower Annuity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20 to 40</t>
        </is>
      </c>
      <c r="AY170" s="30">
        <f>IF(AX170="Above 40",20,IF(AX170="20 to 40",10,IF(AX170="0 to 20",-5,0)))</f>
        <v/>
      </c>
      <c r="AZ170" s="30" t="inlineStr">
        <is>
          <t>Above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Close to 52 week high or retracement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More than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No</t>
        </is>
      </c>
      <c r="BS170" s="30">
        <f>IF(BR170="NO",5,0)</f>
        <v/>
      </c>
      <c r="BT170" s="30" t="inlineStr">
        <is>
          <t>Above 2</t>
        </is>
      </c>
      <c r="BU170" s="30">
        <f>IF(BT170="Above 2",0,IF(BT170="Between 1.5 to 2",5,IF(BT170="Less than 1.5",10,0)))</f>
        <v/>
      </c>
      <c r="BV170" s="30" t="inlineStr">
        <is>
          <t>Above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More than 1.2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IF(B171=0,"",RANK(B171,$B$2:$B$427,0))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APARINDS</t>
        </is>
      </c>
      <c r="D171" s="30" t="inlineStr">
        <is>
          <t>Apar Industries Limited</t>
        </is>
      </c>
      <c r="E171" s="30" t="inlineStr">
        <is>
          <t>industrials</t>
        </is>
      </c>
      <c r="F171" s="30" t="inlineStr">
        <is>
          <t>electric equipment</t>
        </is>
      </c>
      <c r="G171" s="30" t="inlineStr">
        <is>
          <t>largecap</t>
        </is>
      </c>
      <c r="H171" s="31" t="n">
        <v>63514.14</v>
      </c>
      <c r="I171" s="31" t="n">
        <v>16280</v>
      </c>
      <c r="J171" s="31" t="n">
        <v>2.96</v>
      </c>
      <c r="K171" s="31" t="n">
        <v>118830</v>
      </c>
      <c r="L171" s="30" t="n">
        <v>88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79.51000000000001</v>
      </c>
      <c r="P171" s="31" t="n">
        <v>42.07</v>
      </c>
      <c r="Q171" s="31" t="n">
        <v>12786.05</v>
      </c>
      <c r="R171" s="30" t="inlineStr">
        <is>
          <t>Near 52W High Breakout</t>
        </is>
      </c>
      <c r="S171" s="30" t="inlineStr">
        <is>
          <t>Nifty 50</t>
        </is>
      </c>
      <c r="T171" s="31" t="n">
        <v>-4.38</v>
      </c>
      <c r="U171" s="31" t="n">
        <v>106.8</v>
      </c>
      <c r="V171" s="31" t="n">
        <v>116.27</v>
      </c>
      <c r="W171" s="31" t="n">
        <v>31.69</v>
      </c>
      <c r="X171" s="30" t="inlineStr">
        <is>
          <t>Cyclical in an Upturn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Yes</t>
        </is>
      </c>
      <c r="AQ171" s="30">
        <f>IF(AP171="Yes",10,0)</f>
        <v/>
      </c>
      <c r="AR171" s="30" t="inlineStr">
        <is>
          <t>Higher One Time, Lower Annuity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Above 40</t>
        </is>
      </c>
      <c r="AY171" s="30">
        <f>IF(AX171="Above 40",20,IF(AX171="20 to 40",10,IF(AX171="0 to 20",-5,0)))</f>
        <v/>
      </c>
      <c r="AZ171" s="30" t="inlineStr">
        <is>
          <t>Above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Blue sky scenario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Less than 12%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Yes</t>
        </is>
      </c>
      <c r="BS171" s="30">
        <f>IF(BR171="NO",5,0)</f>
        <v/>
      </c>
      <c r="BT171" s="30" t="inlineStr">
        <is>
          <t>Above 2</t>
        </is>
      </c>
      <c r="BU171" s="30">
        <f>IF(BT171="Above 2",0,IF(BT171="Between 1.5 to 2",5,IF(BT171="Less than 1.5",10,0)))</f>
        <v/>
      </c>
      <c r="BV171" s="30" t="inlineStr">
        <is>
          <t>Between 50% to 70%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IF(B172=0,"",RANK(B172,$B$2:$B$427,0))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AVL</t>
        </is>
      </c>
      <c r="D172" s="30" t="inlineStr">
        <is>
          <t>Aditya Vision Ltd</t>
        </is>
      </c>
      <c r="E172" s="30" t="inlineStr">
        <is>
          <t>consumer discretionary</t>
        </is>
      </c>
      <c r="F172" s="30" t="inlineStr">
        <is>
          <t>trading</t>
        </is>
      </c>
      <c r="G172" s="30" t="inlineStr">
        <is>
          <t>midcap</t>
        </is>
      </c>
      <c r="H172" s="31" t="n">
        <v>7973.63</v>
      </c>
      <c r="I172" s="31" t="n">
        <v>629.9</v>
      </c>
      <c r="J172" s="31" t="n">
        <v>2.02</v>
      </c>
      <c r="K172" s="31" t="n">
        <v>788668</v>
      </c>
      <c r="L172" s="30" t="n">
        <v>77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68.68000000000001</v>
      </c>
      <c r="P172" s="31" t="n">
        <v>23.9</v>
      </c>
      <c r="Q172" s="31" t="n">
        <v>495.04</v>
      </c>
      <c r="R172" s="30" t="inlineStr">
        <is>
          <t>Volume Spike &amp; Near 52W High Breakout</t>
        </is>
      </c>
      <c r="S172" s="30" t="inlineStr">
        <is>
          <t>Nifty 50</t>
        </is>
      </c>
      <c r="T172" s="31" t="n">
        <v>-4.38</v>
      </c>
      <c r="U172" s="31" t="n">
        <v>77.68000000000001</v>
      </c>
      <c r="V172" s="31" t="n">
        <v>85.81999999999999</v>
      </c>
      <c r="W172" s="31" t="n">
        <v>23.18</v>
      </c>
      <c r="X172" s="30" t="inlineStr">
        <is>
          <t>Growing Industry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Yes</t>
        </is>
      </c>
      <c r="AQ172" s="30">
        <f>IF(AP172="Yes",10,0)</f>
        <v/>
      </c>
      <c r="AR172" s="30" t="inlineStr">
        <is>
          <t>Higher One Time, Lower Annuity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20 to 40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Blue sky scenario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More than 20%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Yes</t>
        </is>
      </c>
      <c r="BS172" s="30">
        <f>IF(BR172="NO",5,0)</f>
        <v/>
      </c>
      <c r="BT172" s="30" t="inlineStr">
        <is>
          <t>Between 1.5 to 2</t>
        </is>
      </c>
      <c r="BU172" s="30">
        <f>IF(BT172="Above 2",0,IF(BT172="Between 1.5 to 2",5,IF(BT172="Less than 1.5",10,0)))</f>
        <v/>
      </c>
      <c r="BV172" s="30" t="inlineStr">
        <is>
          <t>Less than 50%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Between 0.7 to 1.2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IF(B173=0,"",RANK(B173,$B$2:$B$427,0))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JSWDULUX</t>
        </is>
      </c>
      <c r="D173" s="30" t="inlineStr">
        <is>
          <t>JSW Dulux Ltd</t>
        </is>
      </c>
      <c r="E173" s="30" t="inlineStr">
        <is>
          <t>building materials</t>
        </is>
      </c>
      <c r="F173" s="30" t="inlineStr">
        <is>
          <t>paints / varnishes</t>
        </is>
      </c>
      <c r="G173" s="30" t="inlineStr">
        <is>
          <t>midcap</t>
        </is>
      </c>
      <c r="H173" s="31" t="n">
        <v>14713.62</v>
      </c>
      <c r="I173" s="31" t="n">
        <v>3291.8</v>
      </c>
      <c r="J173" s="31" t="n">
        <v>1.88</v>
      </c>
      <c r="K173" s="31" t="n">
        <v>31857</v>
      </c>
      <c r="L173" s="30" t="n">
        <v>20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61.08</v>
      </c>
      <c r="P173" s="31" t="n">
        <v>17.87</v>
      </c>
      <c r="Q173" s="31" t="n">
        <v>2737.5</v>
      </c>
      <c r="R173" s="30" t="inlineStr">
        <is>
          <t>Earnings / Momentum Support</t>
        </is>
      </c>
      <c r="S173" s="30" t="inlineStr">
        <is>
          <t>Nifty Infra</t>
        </is>
      </c>
      <c r="T173" s="31" t="n">
        <v>4.18</v>
      </c>
      <c r="U173" s="31" t="n">
        <v>11.82</v>
      </c>
      <c r="V173" s="31" t="n">
        <v>7.34</v>
      </c>
      <c r="W173" s="31" t="n">
        <v>5.55</v>
      </c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No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0 to 20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Positive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Close to 52 week high or retracement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More than 20%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No</t>
        </is>
      </c>
      <c r="BS173" s="30">
        <f>IF(BR173="NO",5,0)</f>
        <v/>
      </c>
      <c r="BT173" s="30" t="inlineStr">
        <is>
          <t>Less than 1.5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IF(B174=0,"",RANK(B174,$B$2:$B$427,0))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0" t="inlineStr">
        <is>
          <t>SONACOMS</t>
        </is>
      </c>
      <c r="D174" s="30" t="inlineStr">
        <is>
          <t>Sona BLW Precision Forgings Ltd</t>
        </is>
      </c>
      <c r="E174" s="30" t="inlineStr">
        <is>
          <t>auto</t>
        </is>
      </c>
      <c r="F174" s="30" t="inlineStr">
        <is>
          <t>auto ancillaries</t>
        </is>
      </c>
      <c r="G174" s="30" t="inlineStr">
        <is>
          <t>largecap</t>
        </is>
      </c>
      <c r="H174" s="31" t="n">
        <v>37624.85</v>
      </c>
      <c r="I174" s="31" t="n">
        <v>613.8</v>
      </c>
      <c r="J174" s="31" t="n">
        <v>1.45</v>
      </c>
      <c r="K174" s="31" t="n">
        <v>1977764</v>
      </c>
      <c r="L174" s="30" t="n">
        <v>37</v>
      </c>
      <c r="M174" s="30" t="inlineStr">
        <is>
          <t>Outperforming</t>
        </is>
      </c>
      <c r="N174" s="31">
        <f>IF(M174="Underperforming",-5,IF(L174&gt;=95,15,IF(L174&gt;=90,10,IF(L174&gt;=80,5,0))))</f>
        <v/>
      </c>
      <c r="O174" s="31" t="n">
        <v>63.65</v>
      </c>
      <c r="P174" s="31" t="n">
        <v>27.22</v>
      </c>
      <c r="Q174" s="31" t="n">
        <v>504.47</v>
      </c>
      <c r="R174" s="30" t="inlineStr">
        <is>
          <t>Near 52W High Breakout</t>
        </is>
      </c>
      <c r="S174" s="30" t="inlineStr">
        <is>
          <t>Nifty Auto</t>
        </is>
      </c>
      <c r="T174" s="31" t="n">
        <v>12.26</v>
      </c>
      <c r="U174" s="31" t="n">
        <v>26.88</v>
      </c>
      <c r="V174" s="31" t="n">
        <v>13.02</v>
      </c>
      <c r="W174" s="31" t="n">
        <v>9.699999999999999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Yes</t>
        </is>
      </c>
      <c r="AQ174" s="30">
        <f>IF(AP174="Yes",10,0)</f>
        <v/>
      </c>
      <c r="AR174" s="30" t="inlineStr">
        <is>
          <t>Higher One Time, Lower Annuity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20 to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Close to 52 week high or retracement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Between 12 to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Yes</t>
        </is>
      </c>
      <c r="BS174" s="30">
        <f>IF(BR174="NO",5,0)</f>
        <v/>
      </c>
      <c r="BT174" s="30" t="inlineStr">
        <is>
          <t>Above 2</t>
        </is>
      </c>
      <c r="BU174" s="30">
        <f>IF(BT174="Above 2",0,IF(BT174="Between 1.5 to 2",5,IF(BT174="Less than 1.5",10,0)))</f>
        <v/>
      </c>
      <c r="BV174" s="30" t="inlineStr">
        <is>
          <t>Between 50% to 70%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IF(B175=0,"",RANK(B175,$B$2:$B$427,0))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POLYCAB</t>
        </is>
      </c>
      <c r="D175" s="30" t="inlineStr">
        <is>
          <t>Polycab India Ltd</t>
        </is>
      </c>
      <c r="E175" s="30" t="inlineStr">
        <is>
          <t>industrials</t>
        </is>
      </c>
      <c r="F175" s="30" t="inlineStr">
        <is>
          <t>cables - power</t>
        </is>
      </c>
      <c r="G175" s="30" t="inlineStr">
        <is>
          <t>largecap</t>
        </is>
      </c>
      <c r="H175" s="31" t="n">
        <v>149835.39</v>
      </c>
      <c r="I175" s="31" t="n">
        <v>10083</v>
      </c>
      <c r="J175" s="31" t="n">
        <v>1.31</v>
      </c>
      <c r="K175" s="31" t="n">
        <v>470348</v>
      </c>
      <c r="L175" s="30" t="n">
        <v>72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72.18000000000001</v>
      </c>
      <c r="P175" s="31" t="n">
        <v>26.65</v>
      </c>
      <c r="Q175" s="31" t="n">
        <v>8473.200000000001</v>
      </c>
      <c r="R175" s="30" t="inlineStr">
        <is>
          <t>Near 52W High Breakout</t>
        </is>
      </c>
      <c r="S175" s="30" t="inlineStr">
        <is>
          <t>Nifty Energy</t>
        </is>
      </c>
      <c r="T175" s="31" t="n">
        <v>13.9</v>
      </c>
      <c r="U175" s="31" t="n">
        <v>69.78</v>
      </c>
      <c r="V175" s="31" t="n">
        <v>49.06</v>
      </c>
      <c r="W175" s="31" t="n">
        <v>20.8</v>
      </c>
      <c r="X175" s="30" t="inlineStr">
        <is>
          <t>Cyclical in an Upturn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Yes</t>
        </is>
      </c>
      <c r="AQ175" s="30">
        <f>IF(AP175="Yes",10,0)</f>
        <v/>
      </c>
      <c r="AR175" s="30" t="inlineStr">
        <is>
          <t>Higher One Time, Lower Annuity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20 to 40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Blue sky scenario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Less than 12%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Yes</t>
        </is>
      </c>
      <c r="BS175" s="30">
        <f>IF(BR175="NO",5,0)</f>
        <v/>
      </c>
      <c r="BT175" s="30" t="inlineStr">
        <is>
          <t>Above 2</t>
        </is>
      </c>
      <c r="BU175" s="30">
        <f>IF(BT175="Above 2",0,IF(BT175="Between 1.5 to 2",5,IF(BT175="Less than 1.5",10,0)))</f>
        <v/>
      </c>
      <c r="BV175" s="30" t="inlineStr">
        <is>
          <t>Above 70%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Less than 0.7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IF(B176=0,"",RANK(B176,$B$2:$B$427,0))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CGPOWER</t>
        </is>
      </c>
      <c r="D176" s="30" t="inlineStr">
        <is>
          <t>CG Power and Industrial Solutions Ltd</t>
        </is>
      </c>
      <c r="E176" s="30" t="inlineStr">
        <is>
          <t>industrials</t>
        </is>
      </c>
      <c r="F176" s="30" t="inlineStr">
        <is>
          <t>electric equipment</t>
        </is>
      </c>
      <c r="G176" s="30" t="inlineStr">
        <is>
          <t>largecap</t>
        </is>
      </c>
      <c r="H176" s="31" t="n">
        <v>150318.36</v>
      </c>
      <c r="I176" s="31" t="n">
        <v>963.7</v>
      </c>
      <c r="J176" s="31" t="n">
        <v>0.97</v>
      </c>
      <c r="K176" s="31" t="n">
        <v>3828968</v>
      </c>
      <c r="L176" s="30" t="n">
        <v>62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72.58</v>
      </c>
      <c r="P176" s="31" t="n">
        <v>28.11</v>
      </c>
      <c r="Q176" s="31" t="n">
        <v>796.5700000000001</v>
      </c>
      <c r="R176" s="30" t="inlineStr">
        <is>
          <t>Near 52W High Breakout</t>
        </is>
      </c>
      <c r="S176" s="30" t="inlineStr">
        <is>
          <t>Nifty 500</t>
        </is>
      </c>
      <c r="T176" s="31" t="n">
        <v>0.45</v>
      </c>
      <c r="U176" s="31" t="n">
        <v>40.33</v>
      </c>
      <c r="V176" s="31" t="n">
        <v>39.71</v>
      </c>
      <c r="W176" s="31" t="n">
        <v>16.78</v>
      </c>
      <c r="X176" s="30" t="inlineStr">
        <is>
          <t>Cyclical in an Upturn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Yes</t>
        </is>
      </c>
      <c r="AQ176" s="30">
        <f>IF(AP176="Yes",10,0)</f>
        <v/>
      </c>
      <c r="AR176" s="30" t="inlineStr">
        <is>
          <t>Higher One Time, Lower Annuity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20 to 40</t>
        </is>
      </c>
      <c r="AY176" s="30">
        <f>IF(AX176="Above 40",20,IF(AX176="20 to 40",10,IF(AX176="0 to 20",-5,0)))</f>
        <v/>
      </c>
      <c r="AZ176" s="30" t="inlineStr">
        <is>
          <t>Between 50 to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Blue sky scenario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More than 20%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Yes</t>
        </is>
      </c>
      <c r="BS176" s="30">
        <f>IF(BR176="NO",5,0)</f>
        <v/>
      </c>
      <c r="BT176" s="30" t="inlineStr">
        <is>
          <t>Above 2</t>
        </is>
      </c>
      <c r="BU176" s="30">
        <f>IF(BT176="Above 2",0,IF(BT176="Between 1.5 to 2",5,IF(BT176="Less than 1.5",10,0)))</f>
        <v/>
      </c>
      <c r="BV176" s="30" t="inlineStr">
        <is>
          <t>Less than 50%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IF(B177=0,"",RANK(B177,$B$2:$B$427,0))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STOVEKRAFT</t>
        </is>
      </c>
      <c r="D177" s="30" t="inlineStr">
        <is>
          <t>Stove Kraft Ltd</t>
        </is>
      </c>
      <c r="E177" s="30" t="inlineStr">
        <is>
          <t>consumer discretionary</t>
        </is>
      </c>
      <c r="F177" s="30" t="inlineStr">
        <is>
          <t>domestic appliances</t>
        </is>
      </c>
      <c r="G177" s="30" t="inlineStr">
        <is>
          <t>smallcap</t>
        </is>
      </c>
      <c r="H177" s="31" t="n">
        <v>2276.96</v>
      </c>
      <c r="I177" s="31" t="n">
        <v>694.25</v>
      </c>
      <c r="J177" s="31" t="n">
        <v>0.95</v>
      </c>
      <c r="K177" s="31" t="n">
        <v>121332</v>
      </c>
      <c r="L177" s="30" t="n">
        <v>56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69.37</v>
      </c>
      <c r="P177" s="31" t="n">
        <v>25.11</v>
      </c>
      <c r="Q177" s="31" t="n">
        <v>529.4</v>
      </c>
      <c r="R177" s="30" t="inlineStr">
        <is>
          <t>Earnings / Momentum Support</t>
        </is>
      </c>
      <c r="S177" s="30" t="inlineStr">
        <is>
          <t>Nifty 50</t>
        </is>
      </c>
      <c r="T177" s="31" t="n">
        <v>-4.38</v>
      </c>
      <c r="U177" s="31" t="n">
        <v>23.78</v>
      </c>
      <c r="V177" s="31" t="n">
        <v>29.45</v>
      </c>
      <c r="W177" s="31" t="n">
        <v>14.51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No</t>
        </is>
      </c>
      <c r="AQ177" s="30">
        <f>IF(AP177="Yes",10,0)</f>
        <v/>
      </c>
      <c r="AR177" s="30" t="inlineStr">
        <is>
          <t>Higher One Time, Lower Annuity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20 to 40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More than 20%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Yes</t>
        </is>
      </c>
      <c r="BS177" s="30">
        <f>IF(BR177="NO",5,0)</f>
        <v/>
      </c>
      <c r="BT177" s="30" t="inlineStr">
        <is>
          <t>Above 2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IF(B178=0,"",RANK(B178,$B$2:$B$427,0))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KMEW</t>
        </is>
      </c>
      <c r="D178" s="30" t="inlineStr">
        <is>
          <t>Knowledge Marine &amp; Engineering Works Ltd</t>
        </is>
      </c>
      <c r="E178" s="30" t="inlineStr">
        <is>
          <t>transportation</t>
        </is>
      </c>
      <c r="F178" s="30" t="inlineStr">
        <is>
          <t>miscellaneous</t>
        </is>
      </c>
      <c r="G178" s="30" t="inlineStr">
        <is>
          <t>midcap</t>
        </is>
      </c>
      <c r="H178" s="31" t="n">
        <v>5021.55</v>
      </c>
      <c r="I178" s="31" t="n">
        <v>2072.9</v>
      </c>
      <c r="J178" s="31" t="n">
        <v>0.91</v>
      </c>
      <c r="K178" s="31" t="n">
        <v>345596</v>
      </c>
      <c r="L178" s="30" t="n">
        <v>85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62.73</v>
      </c>
      <c r="P178" s="31" t="n">
        <v>33.04</v>
      </c>
      <c r="Q178" s="31" t="n">
        <v>1456.01</v>
      </c>
      <c r="R178" s="30" t="inlineStr">
        <is>
          <t>Near 52W High Breakout</t>
        </is>
      </c>
      <c r="S178" s="30" t="inlineStr">
        <is>
          <t>Nifty 50</t>
        </is>
      </c>
      <c r="T178" s="31" t="n">
        <v>-4.38</v>
      </c>
      <c r="U178" s="31" t="n">
        <v>146.42</v>
      </c>
      <c r="V178" s="31" t="n">
        <v>157.7</v>
      </c>
      <c r="W178" s="31" t="n">
        <v>28.45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Yes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20 to 40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Blue sky scenario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More than 20%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Yes</t>
        </is>
      </c>
      <c r="BS178" s="30">
        <f>IF(BR178="NO",5,0)</f>
        <v/>
      </c>
      <c r="BT178" s="30" t="inlineStr">
        <is>
          <t>Above 2</t>
        </is>
      </c>
      <c r="BU178" s="30">
        <f>IF(BT178="Above 2",0,IF(BT178="Between 1.5 to 2",5,IF(BT178="Less than 1.5",10,0)))</f>
        <v/>
      </c>
      <c r="BV178" s="30" t="inlineStr">
        <is>
          <t>Negative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IF(B179=0,"",RANK(B179,$B$2:$B$427,0))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PRIVISCL</t>
        </is>
      </c>
      <c r="D179" s="30" t="inlineStr">
        <is>
          <t>Privi Speciality Chemicals Ltd</t>
        </is>
      </c>
      <c r="E179" s="30" t="inlineStr">
        <is>
          <t>chemicals</t>
        </is>
      </c>
      <c r="F179" s="30" t="inlineStr">
        <is>
          <t>chemicals</t>
        </is>
      </c>
      <c r="G179" s="30" t="inlineStr">
        <is>
          <t>midcap</t>
        </is>
      </c>
      <c r="H179" s="31" t="n">
        <v>13529.76</v>
      </c>
      <c r="I179" s="31" t="n">
        <v>3493.9</v>
      </c>
      <c r="J179" s="31" t="n">
        <v>0.87</v>
      </c>
      <c r="K179" s="31" t="n">
        <v>52959</v>
      </c>
      <c r="L179" s="30" t="n">
        <v>51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63.09</v>
      </c>
      <c r="P179" s="31" t="n">
        <v>19.14</v>
      </c>
      <c r="Q179" s="31" t="n">
        <v>2817.86</v>
      </c>
      <c r="R179" s="30" t="inlineStr">
        <is>
          <t>Near 52W High Breakout</t>
        </is>
      </c>
      <c r="S179" s="30" t="inlineStr">
        <is>
          <t>Nifty 50</t>
        </is>
      </c>
      <c r="T179" s="31" t="n">
        <v>-4.38</v>
      </c>
      <c r="U179" s="31" t="n">
        <v>49.43</v>
      </c>
      <c r="V179" s="31" t="n">
        <v>56.28</v>
      </c>
      <c r="W179" s="31" t="n">
        <v>12.87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0 to 20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Blue sky scenario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More than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Yes</t>
        </is>
      </c>
      <c r="BS179" s="30">
        <f>IF(BR179="NO",5,0)</f>
        <v/>
      </c>
      <c r="BT179" s="30" t="inlineStr">
        <is>
          <t>Less than 1.5</t>
        </is>
      </c>
      <c r="BU179" s="30">
        <f>IF(BT179="Above 2",0,IF(BT179="Between 1.5 to 2",5,IF(BT179="Less than 1.5",10,0)))</f>
        <v/>
      </c>
      <c r="BV179" s="30" t="inlineStr">
        <is>
          <t>Above 70%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Between 0.7 to 1.2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IF(B180=0,"",RANK(B180,$B$2:$B$427,0))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RICOAUTO</t>
        </is>
      </c>
      <c r="D180" s="30" t="inlineStr">
        <is>
          <t>Rico Auto Industries Limited</t>
        </is>
      </c>
      <c r="E180" s="30" t="inlineStr">
        <is>
          <t>auto</t>
        </is>
      </c>
      <c r="F180" s="30" t="inlineStr">
        <is>
          <t>auto ancillaries</t>
        </is>
      </c>
      <c r="G180" s="30" t="inlineStr">
        <is>
          <t>smallcap</t>
        </is>
      </c>
      <c r="H180" s="31" t="n">
        <v>1953.92</v>
      </c>
      <c r="I180" s="31" t="n">
        <v>145.28</v>
      </c>
      <c r="J180" s="31" t="n">
        <v>0.59</v>
      </c>
      <c r="K180" s="31" t="n">
        <v>4534708</v>
      </c>
      <c r="L180" s="30" t="n">
        <v>76</v>
      </c>
      <c r="M180" s="30" t="inlineStr">
        <is>
          <t>Outperforming</t>
        </is>
      </c>
      <c r="N180" s="31">
        <f>IF(M180="Underperforming",-5,IF(L180&gt;=95,15,IF(L180&gt;=90,10,IF(L180&gt;=80,5,0))))</f>
        <v/>
      </c>
      <c r="O180" s="31" t="n">
        <v>63.9</v>
      </c>
      <c r="P180" s="31" t="n">
        <v>20.17</v>
      </c>
      <c r="Q180" s="31" t="n">
        <v>102.83</v>
      </c>
      <c r="R180" s="30" t="inlineStr">
        <is>
          <t>Volume Spike &amp; Near 52W High Breakout</t>
        </is>
      </c>
      <c r="S180" s="30" t="inlineStr">
        <is>
          <t>Nifty Auto</t>
        </is>
      </c>
      <c r="T180" s="31" t="n">
        <v>12.26</v>
      </c>
      <c r="U180" s="31" t="n">
        <v>98.09999999999999</v>
      </c>
      <c r="V180" s="31" t="n">
        <v>76.45999999999999</v>
      </c>
      <c r="W180" s="31" t="n">
        <v>22.99</v>
      </c>
      <c r="X180" s="30" t="inlineStr">
        <is>
          <t>Growing Industry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No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Yes</t>
        </is>
      </c>
      <c r="AQ180" s="30">
        <f>IF(AP180="Yes",10,0)</f>
        <v/>
      </c>
      <c r="AR180" s="30" t="inlineStr">
        <is>
          <t>Higher One Time, Lower Annuity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20 to 40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Blue sky scenario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Less than 12%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No</t>
        </is>
      </c>
      <c r="BS180" s="30">
        <f>IF(BR180="NO",5,0)</f>
        <v/>
      </c>
      <c r="BT180" s="30" t="inlineStr">
        <is>
          <t>Above 2</t>
        </is>
      </c>
      <c r="BU180" s="30">
        <f>IF(BT180="Above 2",0,IF(BT180="Between 1.5 to 2",5,IF(BT180="Less than 1.5",10,0)))</f>
        <v/>
      </c>
      <c r="BV180" s="30" t="inlineStr">
        <is>
          <t>Above 70%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Between 0.7 to 1.2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IF(B181=0,"",RANK(B181,$B$2:$B$427,0))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BOROSCI</t>
        </is>
      </c>
      <c r="D181" s="30" t="inlineStr">
        <is>
          <t>Borosil Scientific Ltd</t>
        </is>
      </c>
      <c r="E181" s="30" t="inlineStr">
        <is>
          <t>building materials</t>
        </is>
      </c>
      <c r="F181" s="30" t="inlineStr">
        <is>
          <t>glass &amp; glass products</t>
        </is>
      </c>
      <c r="G181" s="30" t="inlineStr">
        <is>
          <t>smallcap</t>
        </is>
      </c>
      <c r="H181" s="31" t="n">
        <v>1368.98</v>
      </c>
      <c r="I181" s="31" t="n">
        <v>154.71</v>
      </c>
      <c r="J181" s="31" t="n">
        <v>0.52</v>
      </c>
      <c r="K181" s="31" t="n">
        <v>63641</v>
      </c>
      <c r="L181" s="30" t="n">
        <v>53</v>
      </c>
      <c r="M181" s="30" t="inlineStr">
        <is>
          <t>Outperforming</t>
        </is>
      </c>
      <c r="N181" s="31">
        <f>IF(M181="Underperforming",-5,IF(L181&gt;=95,15,IF(L181&gt;=90,10,IF(L181&gt;=80,5,0))))</f>
        <v/>
      </c>
      <c r="O181" s="31" t="n">
        <v>70.54000000000001</v>
      </c>
      <c r="P181" s="31" t="n">
        <v>23.95</v>
      </c>
      <c r="Q181" s="31" t="n">
        <v>118.05</v>
      </c>
      <c r="R181" s="30" t="inlineStr">
        <is>
          <t>Earnings / Momentum Support</t>
        </is>
      </c>
      <c r="S181" s="30" t="inlineStr">
        <is>
          <t>Nifty Infra</t>
        </is>
      </c>
      <c r="T181" s="31" t="n">
        <v>4.18</v>
      </c>
      <c r="U181" s="31" t="n">
        <v>11.77</v>
      </c>
      <c r="V181" s="31" t="n">
        <v>7.29</v>
      </c>
      <c r="W181" s="31" t="n">
        <v>13.94</v>
      </c>
      <c r="X181" s="30" t="inlineStr">
        <is>
          <t>Growing Industry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No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No</t>
        </is>
      </c>
      <c r="AQ181" s="30">
        <f>IF(AP181="Yes",10,0)</f>
        <v/>
      </c>
      <c r="AR181" s="30" t="inlineStr">
        <is>
          <t>Higher One Time, Lower Annuity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20 to 40</t>
        </is>
      </c>
      <c r="AY181" s="30">
        <f>IF(AX181="Above 40",20,IF(AX181="20 to 40",10,IF(AX181="0 to 20",-5,0)))</f>
        <v/>
      </c>
      <c r="AZ181" s="30" t="inlineStr">
        <is>
          <t>Between 50 to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Close to 52 week high or retracement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More than 20%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No</t>
        </is>
      </c>
      <c r="BS181" s="30">
        <f>IF(BR181="NO",5,0)</f>
        <v/>
      </c>
      <c r="BT181" s="30" t="inlineStr">
        <is>
          <t>Above 2</t>
        </is>
      </c>
      <c r="BU181" s="30">
        <f>IF(BT181="Above 2",0,IF(BT181="Between 1.5 to 2",5,IF(BT181="Less than 1.5",10,0)))</f>
        <v/>
      </c>
      <c r="BV181" s="30" t="inlineStr">
        <is>
          <t>Between 50% to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IF(B182=0,"",RANK(B182,$B$2:$B$427,0))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BORORENEW</t>
        </is>
      </c>
      <c r="D182" s="30" t="inlineStr">
        <is>
          <t>Borosil Renewables Ltd</t>
        </is>
      </c>
      <c r="E182" s="30" t="inlineStr">
        <is>
          <t>building materials</t>
        </is>
      </c>
      <c r="F182" s="30" t="inlineStr">
        <is>
          <t>glass &amp; glass products</t>
        </is>
      </c>
      <c r="G182" s="30" t="inlineStr">
        <is>
          <t>midcap</t>
        </is>
      </c>
      <c r="H182" s="31" t="n">
        <v>8344.040000000001</v>
      </c>
      <c r="I182" s="31" t="n">
        <v>598.25</v>
      </c>
      <c r="J182" s="31" t="n">
        <v>0.51</v>
      </c>
      <c r="K182" s="31" t="n">
        <v>777921</v>
      </c>
      <c r="L182" s="30" t="n">
        <v>50</v>
      </c>
      <c r="M182" s="30" t="inlineStr">
        <is>
          <t>Outperforming</t>
        </is>
      </c>
      <c r="N182" s="31">
        <f>IF(M182="Underperforming",-5,IF(L182&gt;=95,15,IF(L182&gt;=90,10,IF(L182&gt;=80,5,0))))</f>
        <v/>
      </c>
      <c r="O182" s="31" t="n">
        <v>62.13</v>
      </c>
      <c r="P182" s="31" t="n">
        <v>23.1</v>
      </c>
      <c r="Q182" s="31" t="n">
        <v>452.36</v>
      </c>
      <c r="R182" s="30" t="inlineStr">
        <is>
          <t>Earnings / Momentum Support</t>
        </is>
      </c>
      <c r="S182" s="30" t="inlineStr">
        <is>
          <t>Nifty Infra</t>
        </is>
      </c>
      <c r="T182" s="31" t="n">
        <v>4.18</v>
      </c>
      <c r="U182" s="31" t="n">
        <v>11.95</v>
      </c>
      <c r="V182" s="31" t="n">
        <v>7.46</v>
      </c>
      <c r="W182" s="31" t="n">
        <v>12.84</v>
      </c>
      <c r="X182" s="30" t="inlineStr">
        <is>
          <t>Growing Industry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No</t>
        </is>
      </c>
      <c r="AQ182" s="30">
        <f>IF(AP182="Yes",10,0)</f>
        <v/>
      </c>
      <c r="AR182" s="30" t="inlineStr">
        <is>
          <t>Higher One Time, Lower Annuity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20 to 40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Close to 52 week high or retracement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More than 20%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Yes</t>
        </is>
      </c>
      <c r="BS182" s="30">
        <f>IF(BR182="NO",5,0)</f>
        <v/>
      </c>
      <c r="BT182" s="30" t="inlineStr">
        <is>
          <t>Above 2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IF(B183=0,"",RANK(B183,$B$2:$B$427,0))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MINDACORP</t>
        </is>
      </c>
      <c r="D183" s="30" t="inlineStr">
        <is>
          <t>Minda Corporation Limited</t>
        </is>
      </c>
      <c r="E183" s="30" t="inlineStr">
        <is>
          <t>auto</t>
        </is>
      </c>
      <c r="F183" s="30" t="inlineStr">
        <is>
          <t>auto ancillaries</t>
        </is>
      </c>
      <c r="G183" s="30" t="inlineStr">
        <is>
          <t>midcap</t>
        </is>
      </c>
      <c r="H183" s="31" t="n">
        <v>15561.68</v>
      </c>
      <c r="I183" s="31" t="n">
        <v>652.95</v>
      </c>
      <c r="J183" s="31" t="n">
        <v>0.31</v>
      </c>
      <c r="K183" s="31" t="n">
        <v>330070</v>
      </c>
      <c r="L183" s="30" t="n">
        <v>48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66.16</v>
      </c>
      <c r="P183" s="31" t="n">
        <v>19.66</v>
      </c>
      <c r="Q183" s="31" t="n">
        <v>523.0700000000001</v>
      </c>
      <c r="R183" s="30" t="inlineStr">
        <is>
          <t>Near 52W High Breakout</t>
        </is>
      </c>
      <c r="S183" s="30" t="inlineStr">
        <is>
          <t>Nifty Auto</t>
        </is>
      </c>
      <c r="T183" s="31" t="n">
        <v>12.26</v>
      </c>
      <c r="U183" s="31" t="n">
        <v>29.64</v>
      </c>
      <c r="V183" s="31" t="n">
        <v>15.48</v>
      </c>
      <c r="W183" s="31" t="n">
        <v>12.35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Yes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0 to 20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Blue sky scenario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More than 20%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Yes</t>
        </is>
      </c>
      <c r="BS183" s="30">
        <f>IF(BR183="NO",5,0)</f>
        <v/>
      </c>
      <c r="BT183" s="30" t="inlineStr">
        <is>
          <t>Above 2</t>
        </is>
      </c>
      <c r="BU183" s="30">
        <f>IF(BT183="Above 2",0,IF(BT183="Between 1.5 to 2",5,IF(BT183="Less than 1.5",10,0)))</f>
        <v/>
      </c>
      <c r="BV183" s="30" t="inlineStr">
        <is>
          <t>Above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IF(B184=0,"",RANK(B184,$B$2:$B$427,0))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JAMNAAUTO</t>
        </is>
      </c>
      <c r="D184" s="30" t="inlineStr">
        <is>
          <t>Jamna Auto Industries Limited</t>
        </is>
      </c>
      <c r="E184" s="30" t="inlineStr">
        <is>
          <t>auto</t>
        </is>
      </c>
      <c r="F184" s="30" t="inlineStr">
        <is>
          <t>auto ancillaries</t>
        </is>
      </c>
      <c r="G184" s="30" t="inlineStr">
        <is>
          <t>midcap</t>
        </is>
      </c>
      <c r="H184" s="31" t="n">
        <v>5280.58</v>
      </c>
      <c r="I184" s="31" t="n">
        <v>132.37</v>
      </c>
      <c r="J184" s="31" t="n">
        <v>0.2</v>
      </c>
      <c r="K184" s="31" t="n">
        <v>2079930</v>
      </c>
      <c r="L184" s="30" t="n">
        <v>44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56.54</v>
      </c>
      <c r="P184" s="31" t="n">
        <v>14.01</v>
      </c>
      <c r="Q184" s="31" t="n">
        <v>96.81</v>
      </c>
      <c r="R184" s="30" t="inlineStr">
        <is>
          <t>Earnings / Momentum Support</t>
        </is>
      </c>
      <c r="S184" s="30" t="inlineStr">
        <is>
          <t>Nifty Auto</t>
        </is>
      </c>
      <c r="T184" s="31" t="n">
        <v>12.26</v>
      </c>
      <c r="U184" s="31" t="n">
        <v>51.14</v>
      </c>
      <c r="V184" s="31" t="n">
        <v>34.63</v>
      </c>
      <c r="W184" s="31" t="n">
        <v>11.21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No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0 to 20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Close to 52 week high or retracement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More than 20%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No</t>
        </is>
      </c>
      <c r="BS184" s="30">
        <f>IF(BR184="NO",5,0)</f>
        <v/>
      </c>
      <c r="BT184" s="30" t="inlineStr">
        <is>
          <t>Less than 1.5</t>
        </is>
      </c>
      <c r="BU184" s="30">
        <f>IF(BT184="Above 2",0,IF(BT184="Between 1.5 to 2",5,IF(BT184="Less than 1.5",10,0)))</f>
        <v/>
      </c>
      <c r="BV184" s="30" t="inlineStr">
        <is>
          <t>Above 70%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IF(B185=0,"",RANK(B185,$B$2:$B$427,0))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FCL</t>
        </is>
      </c>
      <c r="D185" s="30" t="inlineStr">
        <is>
          <t>Fineotex Chemical Limited</t>
        </is>
      </c>
      <c r="E185" s="30" t="inlineStr">
        <is>
          <t>chemicals</t>
        </is>
      </c>
      <c r="F185" s="30" t="inlineStr">
        <is>
          <t>chemicals</t>
        </is>
      </c>
      <c r="G185" s="30" t="inlineStr">
        <is>
          <t>midcap</t>
        </is>
      </c>
      <c r="H185" s="31" t="n">
        <v>5059.76</v>
      </c>
      <c r="I185" s="31" t="n">
        <v>43.52</v>
      </c>
      <c r="J185" s="31" t="n">
        <v>0.16</v>
      </c>
      <c r="K185" s="31" t="n">
        <v>9239961</v>
      </c>
      <c r="L185" s="30" t="n">
        <v>90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76.34999999999999</v>
      </c>
      <c r="P185" s="31" t="n">
        <v>34.11</v>
      </c>
      <c r="Q185" s="31" t="n">
        <v>31.93</v>
      </c>
      <c r="R185" s="30" t="inlineStr">
        <is>
          <t>Near 52W High Breakout</t>
        </is>
      </c>
      <c r="S185" s="30" t="inlineStr">
        <is>
          <t>Nifty 50</t>
        </is>
      </c>
      <c r="T185" s="31" t="n">
        <v>-4.38</v>
      </c>
      <c r="U185" s="31" t="n">
        <v>57.48</v>
      </c>
      <c r="V185" s="31" t="n">
        <v>64.68000000000001</v>
      </c>
      <c r="W185" s="31" t="n">
        <v>35.54</v>
      </c>
      <c r="X185" s="30" t="inlineStr">
        <is>
          <t>Growing Industry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Yes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20 to 40</t>
        </is>
      </c>
      <c r="AY185" s="30">
        <f>IF(AX185="Above 40",20,IF(AX185="20 to 40",10,IF(AX185="0 to 20",-5,0)))</f>
        <v/>
      </c>
      <c r="AZ185" s="30" t="inlineStr">
        <is>
          <t>Above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Blue sky scenario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More than 20%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No</t>
        </is>
      </c>
      <c r="BS185" s="30">
        <f>IF(BR185="NO",5,0)</f>
        <v/>
      </c>
      <c r="BT185" s="30" t="inlineStr">
        <is>
          <t>Above 2</t>
        </is>
      </c>
      <c r="BU185" s="30">
        <f>IF(BT185="Above 2",0,IF(BT185="Between 1.5 to 2",5,IF(BT185="Less than 1.5",10,0)))</f>
        <v/>
      </c>
      <c r="BV185" s="30" t="inlineStr">
        <is>
          <t>Negative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IF(B186=0,"",RANK(B186,$B$2:$B$427,0))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JSWINFRA</t>
        </is>
      </c>
      <c r="D186" s="30" t="inlineStr">
        <is>
          <t>JSW Infrastructure Ltd</t>
        </is>
      </c>
      <c r="E186" s="30" t="inlineStr">
        <is>
          <t>transportation</t>
        </is>
      </c>
      <c r="F186" s="30" t="inlineStr">
        <is>
          <t>miscellaneous</t>
        </is>
      </c>
      <c r="G186" s="30" t="inlineStr">
        <is>
          <t>largecap</t>
        </is>
      </c>
      <c r="H186" s="31" t="n">
        <v>64669.55</v>
      </c>
      <c r="I186" s="31" t="n">
        <v>308.15</v>
      </c>
      <c r="J186" s="31" t="n">
        <v>0.06</v>
      </c>
      <c r="K186" s="31" t="n">
        <v>4072021</v>
      </c>
      <c r="L186" s="30" t="n">
        <v>22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65.08</v>
      </c>
      <c r="P186" s="31" t="n">
        <v>21.36</v>
      </c>
      <c r="Q186" s="31" t="n">
        <v>250.24</v>
      </c>
      <c r="R186" s="30" t="inlineStr">
        <is>
          <t>Volume Spike / Accumulation</t>
        </is>
      </c>
      <c r="S186" s="30" t="inlineStr">
        <is>
          <t>Nifty 50</t>
        </is>
      </c>
      <c r="T186" s="31" t="n">
        <v>-4.38</v>
      </c>
      <c r="U186" s="31" t="n">
        <v>2.83</v>
      </c>
      <c r="V186" s="31" t="n">
        <v>7.54</v>
      </c>
      <c r="W186" s="31" t="n">
        <v>6.2</v>
      </c>
      <c r="X186" s="30" t="inlineStr">
        <is>
          <t>Growing Industry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Yes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Less than 12%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Yes</t>
        </is>
      </c>
      <c r="BS186" s="30">
        <f>IF(BR186="NO",5,0)</f>
        <v/>
      </c>
      <c r="BT186" s="30" t="inlineStr">
        <is>
          <t>Above 2</t>
        </is>
      </c>
      <c r="BU186" s="30">
        <f>IF(BT186="Above 2",0,IF(BT186="Between 1.5 to 2",5,IF(BT186="Less than 1.5",10,0)))</f>
        <v/>
      </c>
      <c r="BV186" s="30" t="inlineStr">
        <is>
          <t>Above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IF(B187=0,"",RANK(B187,$B$2:$B$427,0))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WELENT</t>
        </is>
      </c>
      <c r="D187" s="30" t="inlineStr">
        <is>
          <t>Welspun Enterprises Limited</t>
        </is>
      </c>
      <c r="E187" s="30" t="inlineStr">
        <is>
          <t>realty</t>
        </is>
      </c>
      <c r="F187" s="30" t="inlineStr">
        <is>
          <t>construction</t>
        </is>
      </c>
      <c r="G187" s="30" t="inlineStr">
        <is>
          <t>midcap</t>
        </is>
      </c>
      <c r="H187" s="31" t="n">
        <v>7894.43</v>
      </c>
      <c r="I187" s="31" t="n">
        <v>567.85</v>
      </c>
      <c r="J187" s="31" t="n">
        <v>-0.44</v>
      </c>
      <c r="K187" s="31" t="n">
        <v>254944</v>
      </c>
      <c r="L187" s="30" t="n">
        <v>30</v>
      </c>
      <c r="M187" s="30" t="inlineStr">
        <is>
          <t>Outperforming</t>
        </is>
      </c>
      <c r="N187" s="31">
        <f>IF(M187="Underperforming",-5,IF(L187&gt;=95,15,IF(L187&gt;=90,10,IF(L187&gt;=80,5,0))))</f>
        <v/>
      </c>
      <c r="O187" s="31" t="n">
        <v>65.36</v>
      </c>
      <c r="P187" s="31" t="n">
        <v>13.94</v>
      </c>
      <c r="Q187" s="31" t="n">
        <v>447.25</v>
      </c>
      <c r="R187" s="30" t="inlineStr">
        <is>
          <t>Near 52W High Breakout</t>
        </is>
      </c>
      <c r="S187" s="30" t="inlineStr">
        <is>
          <t>Nifty Realty</t>
        </is>
      </c>
      <c r="T187" s="31" t="n">
        <v>-19.9</v>
      </c>
      <c r="U187" s="31" t="n">
        <v>14.47</v>
      </c>
      <c r="V187" s="31" t="n">
        <v>42.92</v>
      </c>
      <c r="W187" s="31" t="n">
        <v>8.039999999999999</v>
      </c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Yes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0 to 20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More than 20%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No</t>
        </is>
      </c>
      <c r="BS187" s="30">
        <f>IF(BR187="NO",5,0)</f>
        <v/>
      </c>
      <c r="BT187" s="30" t="inlineStr">
        <is>
          <t>Less than 1.5</t>
        </is>
      </c>
      <c r="BU187" s="30">
        <f>IF(BT187="Above 2",0,IF(BT187="Between 1.5 to 2",5,IF(BT187="Less than 1.5",10,0)))</f>
        <v/>
      </c>
      <c r="BV187" s="30" t="inlineStr">
        <is>
          <t>Less than 50%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IF(B188=0,"",RANK(B188,$B$2:$B$427,0))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GPTINFRA</t>
        </is>
      </c>
      <c r="D188" s="30" t="inlineStr">
        <is>
          <t>Gpt Infraprojects Limited</t>
        </is>
      </c>
      <c r="E188" s="30" t="inlineStr">
        <is>
          <t>realty</t>
        </is>
      </c>
      <c r="F188" s="30" t="inlineStr">
        <is>
          <t>construction</t>
        </is>
      </c>
      <c r="G188" s="30" t="inlineStr">
        <is>
          <t>smallcap</t>
        </is>
      </c>
      <c r="H188" s="31" t="n">
        <v>1546.07</v>
      </c>
      <c r="I188" s="31" t="n">
        <v>121.39</v>
      </c>
      <c r="J188" s="31" t="n">
        <v>-0.78</v>
      </c>
      <c r="K188" s="31" t="n">
        <v>248348</v>
      </c>
      <c r="L188" s="30" t="n">
        <v>12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59.93</v>
      </c>
      <c r="P188" s="31" t="n">
        <v>16.85</v>
      </c>
      <c r="Q188" s="31" t="n">
        <v>92.34999999999999</v>
      </c>
      <c r="R188" s="30" t="inlineStr">
        <is>
          <t>Near 52W High Breakout</t>
        </is>
      </c>
      <c r="S188" s="30" t="inlineStr">
        <is>
          <t>Nifty Realty</t>
        </is>
      </c>
      <c r="T188" s="31" t="n">
        <v>-19.9</v>
      </c>
      <c r="U188" s="31" t="n">
        <v>1.21</v>
      </c>
      <c r="V188" s="31" t="n">
        <v>26.36</v>
      </c>
      <c r="W188" s="31" t="n">
        <v>4.32</v>
      </c>
      <c r="X188" s="30" t="inlineStr">
        <is>
          <t>Growing Industry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Yes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0 to 20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Close to 52 week high or retracement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No</t>
        </is>
      </c>
      <c r="BS188" s="30">
        <f>IF(BR188="NO",5,0)</f>
        <v/>
      </c>
      <c r="BT188" s="30" t="inlineStr">
        <is>
          <t>Less than 1.5</t>
        </is>
      </c>
      <c r="BU188" s="30">
        <f>IF(BT188="Above 2",0,IF(BT188="Between 1.5 to 2",5,IF(BT188="Less than 1.5",10,0)))</f>
        <v/>
      </c>
      <c r="BV188" s="30" t="inlineStr">
        <is>
          <t>Less than 50%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IF(B189=0,"",RANK(B189,$B$2:$B$427,0))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0" t="inlineStr">
        <is>
          <t>ASIANPAINT</t>
        </is>
      </c>
      <c r="D189" s="30" t="inlineStr">
        <is>
          <t>Asian Paints Limited</t>
        </is>
      </c>
      <c r="E189" s="30" t="inlineStr">
        <is>
          <t>building materials</t>
        </is>
      </c>
      <c r="F189" s="30" t="inlineStr">
        <is>
          <t>paints / varnishes</t>
        </is>
      </c>
      <c r="G189" s="30" t="inlineStr">
        <is>
          <t>largecap</t>
        </is>
      </c>
      <c r="H189" s="31" t="n">
        <v>264258.99</v>
      </c>
      <c r="I189" s="31" t="n">
        <v>2732.9</v>
      </c>
      <c r="J189" s="31" t="n">
        <v>-0.8</v>
      </c>
      <c r="K189" s="31" t="n">
        <v>838991</v>
      </c>
      <c r="L189" s="30" t="n">
        <v>38</v>
      </c>
      <c r="M189" s="30" t="inlineStr">
        <is>
          <t>Outperforming</t>
        </is>
      </c>
      <c r="N189" s="31">
        <f>IF(M189="Underperforming",-5,IF(L189&gt;=95,15,IF(L189&gt;=90,10,IF(L189&gt;=80,5,0))))</f>
        <v/>
      </c>
      <c r="O189" s="31" t="n">
        <v>62.38</v>
      </c>
      <c r="P189" s="31" t="n">
        <v>20.43</v>
      </c>
      <c r="Q189" s="31" t="n">
        <v>2327.68</v>
      </c>
      <c r="R189" s="30" t="inlineStr">
        <is>
          <t>Earnings / Momentum Support</t>
        </is>
      </c>
      <c r="S189" s="30" t="inlineStr">
        <is>
          <t>Nifty Infra</t>
        </is>
      </c>
      <c r="T189" s="31" t="n">
        <v>4.18</v>
      </c>
      <c r="U189" s="31" t="n">
        <v>19.75</v>
      </c>
      <c r="V189" s="31" t="n">
        <v>14.95</v>
      </c>
      <c r="W189" s="31" t="n">
        <v>9.789999999999999</v>
      </c>
      <c r="X189" s="30" t="inlineStr">
        <is>
          <t>Growing Industry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Headwind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No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20 to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Close to 52 week high or retracement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More than 20%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Yes</t>
        </is>
      </c>
      <c r="BS189" s="30">
        <f>IF(BR189="NO",5,0)</f>
        <v/>
      </c>
      <c r="BT189" s="30" t="inlineStr">
        <is>
          <t>Less than 1.5</t>
        </is>
      </c>
      <c r="BU189" s="30">
        <f>IF(BT189="Above 2",0,IF(BT189="Between 1.5 to 2",5,IF(BT189="Less than 1.5",10,0)))</f>
        <v/>
      </c>
      <c r="BV189" s="30" t="inlineStr">
        <is>
          <t>Above 70%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IF(B190=0,"",RANK(B190,$B$2:$B$427,0))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0" t="inlineStr">
        <is>
          <t>GMRAIRPORT</t>
        </is>
      </c>
      <c r="D190" s="30" t="inlineStr">
        <is>
          <t>GMR Airports Ltd</t>
        </is>
      </c>
      <c r="E190" s="30" t="inlineStr">
        <is>
          <t>miscellaneous</t>
        </is>
      </c>
      <c r="F190" s="30" t="inlineStr">
        <is>
          <t>miscellaneous</t>
        </is>
      </c>
      <c r="G190" s="30" t="inlineStr">
        <is>
          <t>largecap</t>
        </is>
      </c>
      <c r="H190" s="31" t="n">
        <v>116729.48</v>
      </c>
      <c r="I190" s="31" t="n">
        <v>108.83</v>
      </c>
      <c r="J190" s="31" t="n">
        <v>-1.56</v>
      </c>
      <c r="K190" s="31" t="n">
        <v>23639680</v>
      </c>
      <c r="L190" s="30" t="n">
        <v>42</v>
      </c>
      <c r="M190" s="30" t="inlineStr">
        <is>
          <t>Outperforming</t>
        </is>
      </c>
      <c r="N190" s="31">
        <f>IF(M190="Underperforming",-5,IF(L190&gt;=95,15,IF(L190&gt;=90,10,IF(L190&gt;=80,5,0))))</f>
        <v/>
      </c>
      <c r="O190" s="31" t="n">
        <v>63.81</v>
      </c>
      <c r="P190" s="31" t="n">
        <v>13.91</v>
      </c>
      <c r="Q190" s="31" t="n">
        <v>88.95</v>
      </c>
      <c r="R190" s="30" t="inlineStr">
        <is>
          <t>Near 52W High Breakout</t>
        </is>
      </c>
      <c r="S190" s="30" t="inlineStr">
        <is>
          <t>Nifty 50</t>
        </is>
      </c>
      <c r="T190" s="31" t="n">
        <v>-4.38</v>
      </c>
      <c r="U190" s="31" t="n">
        <v>34.41</v>
      </c>
      <c r="V190" s="31" t="n">
        <v>40.56</v>
      </c>
      <c r="W190" s="31" t="n">
        <v>10.71</v>
      </c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Yes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0 to 20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Blue sky scenario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More than 20%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Yes</t>
        </is>
      </c>
      <c r="BS190" s="30">
        <f>IF(BR190="NO",5,0)</f>
        <v/>
      </c>
      <c r="BT190" s="30" t="inlineStr">
        <is>
          <t>Above 2</t>
        </is>
      </c>
      <c r="BU190" s="30">
        <f>IF(BT190="Above 2",0,IF(BT190="Between 1.5 to 2",5,IF(BT190="Less than 1.5",10,0)))</f>
        <v/>
      </c>
      <c r="BV190" s="30" t="inlineStr">
        <is>
          <t>Above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Less than 0.7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IF(B191=0,"",RANK(B191,$B$2:$B$427,0))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KPRMILL</t>
        </is>
      </c>
      <c r="D191" s="30" t="inlineStr">
        <is>
          <t>K.p.r. Mill Limited</t>
        </is>
      </c>
      <c r="E191" s="30" t="inlineStr">
        <is>
          <t>consumer discretionary</t>
        </is>
      </c>
      <c r="F191" s="30" t="inlineStr">
        <is>
          <t>textiles - products</t>
        </is>
      </c>
      <c r="G191" s="30" t="inlineStr">
        <is>
          <t>largecap</t>
        </is>
      </c>
      <c r="H191" s="31" t="n">
        <v>40552.81</v>
      </c>
      <c r="I191" s="31" t="n">
        <v>1159.75</v>
      </c>
      <c r="J191" s="31" t="n">
        <v>-2.25</v>
      </c>
      <c r="K191" s="31" t="n">
        <v>1246017</v>
      </c>
      <c r="L191" s="30" t="n">
        <v>44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69.79000000000001</v>
      </c>
      <c r="P191" s="31" t="n">
        <v>26.11</v>
      </c>
      <c r="Q191" s="31" t="n">
        <v>907.29</v>
      </c>
      <c r="R191" s="30" t="inlineStr">
        <is>
          <t>Volume Spike &amp; Near 52W High Breakout</t>
        </is>
      </c>
      <c r="S191" s="30" t="inlineStr">
        <is>
          <t>Nifty 50</t>
        </is>
      </c>
      <c r="T191" s="31" t="n">
        <v>-4.38</v>
      </c>
      <c r="U191" s="31" t="n">
        <v>6.31</v>
      </c>
      <c r="V191" s="31" t="n">
        <v>11.18</v>
      </c>
      <c r="W191" s="31" t="n">
        <v>11.22</v>
      </c>
      <c r="X191" s="30" t="inlineStr">
        <is>
          <t>Growing Industry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Yes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20 to 40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Close to 52 week high or retracement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Less than 12%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Yes</t>
        </is>
      </c>
      <c r="BS191" s="30">
        <f>IF(BR191="NO",5,0)</f>
        <v/>
      </c>
      <c r="BT191" s="30" t="inlineStr">
        <is>
          <t>Above 2</t>
        </is>
      </c>
      <c r="BU191" s="30">
        <f>IF(BT191="Above 2",0,IF(BT191="Between 1.5 to 2",5,IF(BT191="Less than 1.5",10,0)))</f>
        <v/>
      </c>
      <c r="BV191" s="30" t="inlineStr">
        <is>
          <t>Above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IF(B192=0,"",RANK(B192,$B$2:$B$427,0))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VAIBHAVGBL</t>
        </is>
      </c>
      <c r="D192" s="30" t="inlineStr">
        <is>
          <t>Vaibhav Global Limited</t>
        </is>
      </c>
      <c r="E192" s="30" t="inlineStr">
        <is>
          <t>consumer discretionary</t>
        </is>
      </c>
      <c r="F192" s="30" t="inlineStr">
        <is>
          <t>diamond cutting / jewellery</t>
        </is>
      </c>
      <c r="G192" s="30" t="inlineStr">
        <is>
          <t>smallcap</t>
        </is>
      </c>
      <c r="H192" s="31" t="n">
        <v>4196.74</v>
      </c>
      <c r="I192" s="31" t="n">
        <v>244.33</v>
      </c>
      <c r="J192" s="31" t="n">
        <v>-2.73</v>
      </c>
      <c r="K192" s="31" t="n">
        <v>308711</v>
      </c>
      <c r="L192" s="30" t="n">
        <v>21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58.03</v>
      </c>
      <c r="P192" s="31" t="n">
        <v>12.13</v>
      </c>
      <c r="Q192" s="31" t="n">
        <v>180.11</v>
      </c>
      <c r="R192" s="30" t="inlineStr">
        <is>
          <t>Volume Spike / Accumulation</t>
        </is>
      </c>
      <c r="S192" s="30" t="inlineStr">
        <is>
          <t>Nifty 50</t>
        </is>
      </c>
      <c r="T192" s="31" t="n">
        <v>-4.38</v>
      </c>
      <c r="U192" s="31" t="n">
        <v>7.42</v>
      </c>
      <c r="V192" s="31" t="n">
        <v>12.34</v>
      </c>
      <c r="W192" s="31" t="n">
        <v>5.89</v>
      </c>
      <c r="X192" s="30" t="inlineStr">
        <is>
          <t>Growing Industry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Yes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0 to 20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Close to 52 week high or retracement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No</t>
        </is>
      </c>
      <c r="BS192" s="30">
        <f>IF(BR192="NO",5,0)</f>
        <v/>
      </c>
      <c r="BT192" s="30" t="inlineStr">
        <is>
          <t>Above 2</t>
        </is>
      </c>
      <c r="BU192" s="30">
        <f>IF(BT192="Above 2",0,IF(BT192="Between 1.5 to 2",5,IF(BT192="Less than 1.5",10,0)))</f>
        <v/>
      </c>
      <c r="BV192" s="30" t="inlineStr">
        <is>
          <t>Above 70%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IF(B193=0,"",RANK(B193,$B$2:$B$427,0))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2" t="inlineStr">
        <is>
          <t>ZIMLAB</t>
        </is>
      </c>
      <c r="D193" s="32" t="inlineStr">
        <is>
          <t>Zim Laboratories Ltd</t>
        </is>
      </c>
      <c r="E193" s="30" t="inlineStr">
        <is>
          <t>healthcare</t>
        </is>
      </c>
      <c r="F193" s="30" t="inlineStr">
        <is>
          <t>pharmaceuticals - indian - bulk drugs &amp; formln</t>
        </is>
      </c>
      <c r="G193" s="30" t="inlineStr">
        <is>
          <t>smallcap</t>
        </is>
      </c>
      <c r="H193" s="31" t="n">
        <v>609.74</v>
      </c>
      <c r="I193" s="31" t="n">
        <v>119.43</v>
      </c>
      <c r="J193" s="31" t="n">
        <v>4.79</v>
      </c>
      <c r="K193" s="31" t="n">
        <v>309307</v>
      </c>
      <c r="L193" s="30" t="n">
        <v>76</v>
      </c>
      <c r="M193" s="30" t="inlineStr">
        <is>
          <t>Underperforming</t>
        </is>
      </c>
      <c r="N193" s="31">
        <f>IF(M193="Underperforming",-5,IF(L193&gt;=95,15,IF(L193&gt;=90,10,IF(L193&gt;=80,5,0))))</f>
        <v/>
      </c>
      <c r="O193" s="31" t="n">
        <v>78.20999999999999</v>
      </c>
      <c r="P193" s="31" t="n">
        <v>46.72</v>
      </c>
      <c r="Q193" s="31" t="n">
        <v>86.91</v>
      </c>
      <c r="R193" s="30" t="inlineStr">
        <is>
          <t>Near 52W High Breakout</t>
        </is>
      </c>
      <c r="S193" s="30" t="inlineStr">
        <is>
          <t>Nifty Pharma</t>
        </is>
      </c>
      <c r="T193" s="31" t="n">
        <v>13.17</v>
      </c>
      <c r="U193" s="31" t="n">
        <v>12.45</v>
      </c>
      <c r="V193" s="31" t="n">
        <v>-0.64</v>
      </c>
      <c r="W193" s="31" t="n">
        <v>22.69</v>
      </c>
      <c r="X193" s="30" t="inlineStr">
        <is>
          <t>Growing Industry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Yes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Yes</t>
        </is>
      </c>
      <c r="AQ193" s="30">
        <f>IF(AP193="Yes",10,0)</f>
        <v/>
      </c>
      <c r="AR193" s="30" t="inlineStr">
        <is>
          <t>Higher Annuity, Lower One Time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Above 40</t>
        </is>
      </c>
      <c r="AY193" s="30">
        <f>IF(AX193="Above 40",20,IF(AX193="20 to 40",10,IF(AX193="0 to 20",-5,0)))</f>
        <v/>
      </c>
      <c r="AZ193" s="30" t="inlineStr">
        <is>
          <t>Above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Blue sky scenario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Less than 12%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Yes</t>
        </is>
      </c>
      <c r="BS193" s="30">
        <f>IF(BR193="NO",5,0)</f>
        <v/>
      </c>
      <c r="BT193" s="30" t="inlineStr">
        <is>
          <t>Above 2</t>
        </is>
      </c>
      <c r="BU193" s="30">
        <f>IF(BT193="Above 2",0,IF(BT193="Between 1.5 to 2",5,IF(BT193="Less than 1.5",10,0)))</f>
        <v/>
      </c>
      <c r="BV193" s="30" t="inlineStr">
        <is>
          <t>Above 70%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IF(B194=0,"",RANK(B194,$B$2:$B$427,0))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SAREGAMA</t>
        </is>
      </c>
      <c r="D194" s="30" t="inlineStr">
        <is>
          <t>Saregama India Limited</t>
        </is>
      </c>
      <c r="E194" s="30" t="inlineStr">
        <is>
          <t>media</t>
        </is>
      </c>
      <c r="F194" s="30" t="inlineStr">
        <is>
          <t>entertainment / electronic media software</t>
        </is>
      </c>
      <c r="G194" s="30" t="inlineStr">
        <is>
          <t>midcap</t>
        </is>
      </c>
      <c r="H194" s="31" t="n">
        <v>8795</v>
      </c>
      <c r="I194" s="31" t="n">
        <v>465.9</v>
      </c>
      <c r="J194" s="31" t="n">
        <v>2.14</v>
      </c>
      <c r="K194" s="31" t="n">
        <v>879079</v>
      </c>
      <c r="L194" s="30" t="n">
        <v>29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66.83</v>
      </c>
      <c r="P194" s="31" t="n">
        <v>24.83</v>
      </c>
      <c r="Q194" s="31" t="n">
        <v>368.39</v>
      </c>
      <c r="R194" s="30" t="inlineStr">
        <is>
          <t>Earnings / Momentum Support</t>
        </is>
      </c>
      <c r="S194" s="30" t="inlineStr">
        <is>
          <t>Nifty IT</t>
        </is>
      </c>
      <c r="T194" s="31" t="n">
        <v>-29.66</v>
      </c>
      <c r="U194" s="31" t="n">
        <v>-5.75</v>
      </c>
      <c r="V194" s="31" t="n">
        <v>33.99</v>
      </c>
      <c r="W194" s="31" t="n">
        <v>7.91</v>
      </c>
      <c r="X194" s="30" t="inlineStr">
        <is>
          <t>Growing Industry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No</t>
        </is>
      </c>
      <c r="AQ194" s="30">
        <f>IF(AP194="Yes",10,0)</f>
        <v/>
      </c>
      <c r="AR194" s="30" t="inlineStr">
        <is>
          <t>Higher Annuity, Lower One Time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20 to 40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Close to 52 week high or retracement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More than 20%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Yes</t>
        </is>
      </c>
      <c r="BS194" s="30">
        <f>IF(BR194="NO",5,0)</f>
        <v/>
      </c>
      <c r="BT194" s="30" t="inlineStr">
        <is>
          <t>Between 1.5 to 2</t>
        </is>
      </c>
      <c r="BU194" s="30">
        <f>IF(BT194="Above 2",0,IF(BT194="Between 1.5 to 2",5,IF(BT194="Less than 1.5",10,0)))</f>
        <v/>
      </c>
      <c r="BV194" s="30" t="inlineStr">
        <is>
          <t>Less than 50%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IF(B195=0,"",RANK(B195,$B$2:$B$427,0))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2" t="inlineStr">
        <is>
          <t>AKUMS</t>
        </is>
      </c>
      <c r="D195" s="32" t="inlineStr">
        <is>
          <t>Akums Drugs &amp; Pharmaceuticals Ltd</t>
        </is>
      </c>
      <c r="E195" s="30" t="inlineStr">
        <is>
          <t>healthcare</t>
        </is>
      </c>
      <c r="F195" s="30" t="inlineStr">
        <is>
          <t>pharmaceuticals - indian - bulk drugs &amp; formln</t>
        </is>
      </c>
      <c r="G195" s="30" t="inlineStr">
        <is>
          <t>midcap</t>
        </is>
      </c>
      <c r="H195" s="31" t="n">
        <v>9470.4</v>
      </c>
      <c r="I195" s="31" t="n">
        <v>604.7</v>
      </c>
      <c r="J195" s="31" t="n">
        <v>0.5</v>
      </c>
      <c r="K195" s="31" t="n">
        <v>112143</v>
      </c>
      <c r="L195" s="30" t="n">
        <v>30</v>
      </c>
      <c r="M195" s="30" t="inlineStr">
        <is>
          <t>Underperforming</t>
        </is>
      </c>
      <c r="N195" s="31">
        <f>IF(M195="Underperforming",-5,IF(L195&gt;=95,15,IF(L195&gt;=90,10,IF(L195&gt;=80,5,0))))</f>
        <v/>
      </c>
      <c r="O195" s="31" t="n">
        <v>67.22</v>
      </c>
      <c r="P195" s="31" t="n">
        <v>39.07</v>
      </c>
      <c r="Q195" s="31" t="n">
        <v>497.09</v>
      </c>
      <c r="R195" s="30" t="inlineStr">
        <is>
          <t>Near 52W High Breakout</t>
        </is>
      </c>
      <c r="S195" s="30" t="inlineStr">
        <is>
          <t>Nifty Pharma</t>
        </is>
      </c>
      <c r="T195" s="31" t="n">
        <v>13.17</v>
      </c>
      <c r="U195" s="31" t="n">
        <v>11.42</v>
      </c>
      <c r="V195" s="31" t="n">
        <v>-1.55</v>
      </c>
      <c r="W195" s="31" t="n">
        <v>8.16</v>
      </c>
      <c r="X195" s="30" t="inlineStr">
        <is>
          <t>Growing Industry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Yes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Yes</t>
        </is>
      </c>
      <c r="AQ195" s="30">
        <f>IF(AP195="Yes",10,0)</f>
        <v/>
      </c>
      <c r="AR195" s="30" t="inlineStr">
        <is>
          <t>Higher Annuity, Lower One Time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20 to 40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Close to 52 week high or retracement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Less than 12%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No</t>
        </is>
      </c>
      <c r="BS195" s="30">
        <f>IF(BR195="NO",5,0)</f>
        <v/>
      </c>
      <c r="BT195" s="30" t="inlineStr">
        <is>
          <t>Above 2</t>
        </is>
      </c>
      <c r="BU195" s="30">
        <f>IF(BT195="Above 2",0,IF(BT195="Between 1.5 to 2",5,IF(BT195="Less than 1.5",10,0)))</f>
        <v/>
      </c>
      <c r="BV195" s="30" t="inlineStr">
        <is>
          <t>Above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IF(B196=0,"",RANK(B196,$B$2:$B$427,0))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0" t="inlineStr">
        <is>
          <t>MACPOWER</t>
        </is>
      </c>
      <c r="D196" s="30" t="inlineStr">
        <is>
          <t>Macpower CNC Machines Ltd</t>
        </is>
      </c>
      <c r="E196" s="30" t="inlineStr">
        <is>
          <t>industrials</t>
        </is>
      </c>
      <c r="F196" s="30" t="inlineStr">
        <is>
          <t>engineering</t>
        </is>
      </c>
      <c r="G196" s="30" t="inlineStr">
        <is>
          <t>midcap</t>
        </is>
      </c>
      <c r="H196" s="31" t="n">
        <v>8800.02</v>
      </c>
      <c r="I196" s="31" t="n">
        <v>1182.05</v>
      </c>
      <c r="J196" s="31" t="n">
        <v>12.36</v>
      </c>
      <c r="K196" s="31" t="n">
        <v>209582</v>
      </c>
      <c r="L196" s="30" t="n">
        <v>54</v>
      </c>
      <c r="M196" s="30" t="inlineStr">
        <is>
          <t>Outperforming</t>
        </is>
      </c>
      <c r="N196" s="31">
        <f>IF(M196="Underperforming",-5,IF(L196&gt;=95,15,IF(L196&gt;=90,10,IF(L196&gt;=80,5,0))))</f>
        <v/>
      </c>
      <c r="O196" s="31" t="n">
        <v>60.39</v>
      </c>
      <c r="P196" s="31" t="n">
        <v>20.33</v>
      </c>
      <c r="Q196" s="31" t="n">
        <v>816.08</v>
      </c>
      <c r="R196" s="30" t="inlineStr">
        <is>
          <t>Volume Spike &amp; Near 52W High Breakout</t>
        </is>
      </c>
      <c r="S196" s="30" t="inlineStr">
        <is>
          <t>Nifty 50</t>
        </is>
      </c>
      <c r="T196" s="31" t="n">
        <v>-4.38</v>
      </c>
      <c r="U196" s="31" t="n">
        <v>25.3</v>
      </c>
      <c r="V196" s="31" t="n">
        <v>31.03</v>
      </c>
      <c r="W196" s="31" t="n">
        <v>14.08</v>
      </c>
      <c r="X196" s="30" t="inlineStr">
        <is>
          <t>Cyclical in an Upturn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No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Yes</t>
        </is>
      </c>
      <c r="AQ196" s="30">
        <f>IF(AP196="Yes",10,0)</f>
        <v/>
      </c>
      <c r="AR196" s="30" t="inlineStr">
        <is>
          <t>Higher One Time, Lower Annuity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20 to 40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Close to 52 week high or retracement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Between 12 to 20%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No</t>
        </is>
      </c>
      <c r="BS196" s="30">
        <f>IF(BR196="NO",5,0)</f>
        <v/>
      </c>
      <c r="BT196" s="30" t="inlineStr">
        <is>
          <t>Above 2</t>
        </is>
      </c>
      <c r="BU196" s="30">
        <f>IF(BT196="Above 2",0,IF(BT196="Between 1.5 to 2",5,IF(BT196="Less than 1.5",10,0)))</f>
        <v/>
      </c>
      <c r="BV196" s="30" t="inlineStr">
        <is>
          <t>Less than 50%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IF(B197=0,"",RANK(B197,$B$2:$B$427,0))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VINDHYATEL</t>
        </is>
      </c>
      <c r="D197" s="30" t="inlineStr">
        <is>
          <t>Vindhya Telelinks Limited</t>
        </is>
      </c>
      <c r="E197" s="30" t="inlineStr">
        <is>
          <t>realty</t>
        </is>
      </c>
      <c r="F197" s="30" t="inlineStr">
        <is>
          <t>construction</t>
        </is>
      </c>
      <c r="G197" s="30" t="inlineStr">
        <is>
          <t>smallcap</t>
        </is>
      </c>
      <c r="H197" s="31" t="n">
        <v>2582.9</v>
      </c>
      <c r="I197" s="31" t="n">
        <v>2374.1</v>
      </c>
      <c r="J197" s="31" t="n">
        <v>8.93</v>
      </c>
      <c r="K197" s="31" t="n">
        <v>217681</v>
      </c>
      <c r="L197" s="30" t="n">
        <v>93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70.98999999999999</v>
      </c>
      <c r="P197" s="31" t="n">
        <v>37.78</v>
      </c>
      <c r="Q197" s="31" t="n">
        <v>1680.48</v>
      </c>
      <c r="R197" s="30" t="inlineStr">
        <is>
          <t>Near 52W High Breakout</t>
        </is>
      </c>
      <c r="S197" s="30" t="inlineStr">
        <is>
          <t>Nifty Realty</t>
        </is>
      </c>
      <c r="T197" s="31" t="n">
        <v>-19.9</v>
      </c>
      <c r="U197" s="31" t="n">
        <v>41</v>
      </c>
      <c r="V197" s="31" t="n">
        <v>76.03</v>
      </c>
      <c r="W197" s="31" t="n">
        <v>41.29</v>
      </c>
      <c r="X197" s="30" t="inlineStr">
        <is>
          <t>Growing Industry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Yes</t>
        </is>
      </c>
      <c r="AQ197" s="30">
        <f>IF(AP197="Yes",10,0)</f>
        <v/>
      </c>
      <c r="AR197" s="30" t="inlineStr">
        <is>
          <t>Higher One Time, Lower Annuity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20 to 40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Positive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Close to 52 week high or retracement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Less than 12%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No</t>
        </is>
      </c>
      <c r="BS197" s="30">
        <f>IF(BR197="NO",5,0)</f>
        <v/>
      </c>
      <c r="BT197" s="30" t="inlineStr">
        <is>
          <t>Above 2</t>
        </is>
      </c>
      <c r="BU197" s="30">
        <f>IF(BT197="Above 2",0,IF(BT197="Between 1.5 to 2",5,IF(BT197="Less than 1.5",10,0)))</f>
        <v/>
      </c>
      <c r="BV197" s="30" t="inlineStr">
        <is>
          <t>Negative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IF(B198=0,"",RANK(B198,$B$2:$B$427,0))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WABAG</t>
        </is>
      </c>
      <c r="D198" s="30" t="inlineStr">
        <is>
          <t>Va Tech Wabag Limited</t>
        </is>
      </c>
      <c r="E198" s="30" t="inlineStr">
        <is>
          <t>realty</t>
        </is>
      </c>
      <c r="F198" s="30" t="inlineStr">
        <is>
          <t>engineering - turnkey services</t>
        </is>
      </c>
      <c r="G198" s="30" t="inlineStr">
        <is>
          <t>midcap</t>
        </is>
      </c>
      <c r="H198" s="31" t="n">
        <v>11351.56</v>
      </c>
      <c r="I198" s="31" t="n">
        <v>1983.6</v>
      </c>
      <c r="J198" s="31" t="n">
        <v>8.880000000000001</v>
      </c>
      <c r="K198" s="31" t="n">
        <v>2889807</v>
      </c>
      <c r="L198" s="30" t="n">
        <v>72</v>
      </c>
      <c r="M198" s="30" t="inlineStr">
        <is>
          <t>Outperforming</t>
        </is>
      </c>
      <c r="N198" s="31">
        <f>IF(M198="Underperforming",-5,IF(L198&gt;=95,15,IF(L198&gt;=90,10,IF(L198&gt;=80,5,0))))</f>
        <v/>
      </c>
      <c r="O198" s="31" t="n">
        <v>77.48</v>
      </c>
      <c r="P198" s="31" t="n">
        <v>16.32</v>
      </c>
      <c r="Q198" s="31" t="n">
        <v>1575.51</v>
      </c>
      <c r="R198" s="30" t="inlineStr">
        <is>
          <t>Volume Spike &amp; Near 52W High Breakout</t>
        </is>
      </c>
      <c r="S198" s="30" t="inlineStr">
        <is>
          <t>Nifty Realty</t>
        </is>
      </c>
      <c r="T198" s="31" t="n">
        <v>-19.9</v>
      </c>
      <c r="U198" s="31" t="n">
        <v>34.91</v>
      </c>
      <c r="V198" s="31" t="n">
        <v>68.43000000000001</v>
      </c>
      <c r="W198" s="31" t="n">
        <v>21.09</v>
      </c>
      <c r="X198" s="30" t="inlineStr">
        <is>
          <t>Growing Industry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Yes</t>
        </is>
      </c>
      <c r="AQ198" s="30">
        <f>IF(AP198="Yes",10,0)</f>
        <v/>
      </c>
      <c r="AR198" s="30" t="inlineStr">
        <is>
          <t>Higher One Time, Lower Annuity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0 to 20</t>
        </is>
      </c>
      <c r="AY198" s="30">
        <f>IF(AX198="Above 40",20,IF(AX198="20 to 40",10,IF(AX198="0 to 20",-5,0)))</f>
        <v/>
      </c>
      <c r="AZ198" s="30" t="inlineStr">
        <is>
          <t>Above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Blue sky scenario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More than 20%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No</t>
        </is>
      </c>
      <c r="BS198" s="30">
        <f>IF(BR198="NO",5,0)</f>
        <v/>
      </c>
      <c r="BT198" s="30" t="inlineStr">
        <is>
          <t>Less than 1.5</t>
        </is>
      </c>
      <c r="BU198" s="30">
        <f>IF(BT198="Above 2",0,IF(BT198="Between 1.5 to 2",5,IF(BT198="Less than 1.5",10,0)))</f>
        <v/>
      </c>
      <c r="BV198" s="30" t="inlineStr">
        <is>
          <t>Less than 50%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IF(B199=0,"",RANK(B199,$B$2:$B$427,0))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2" t="inlineStr">
        <is>
          <t>NELCO</t>
        </is>
      </c>
      <c r="D199" s="32" t="inlineStr">
        <is>
          <t>Nelco Limited</t>
        </is>
      </c>
      <c r="E199" s="30" t="inlineStr">
        <is>
          <t>telecom</t>
        </is>
      </c>
      <c r="F199" s="30" t="inlineStr">
        <is>
          <t>telecommunications - service provider</t>
        </is>
      </c>
      <c r="G199" s="30" t="inlineStr">
        <is>
          <t>smallcap</t>
        </is>
      </c>
      <c r="H199" s="31" t="n">
        <v>1989.54</v>
      </c>
      <c r="I199" s="31" t="n">
        <v>940.35</v>
      </c>
      <c r="J199" s="31" t="n">
        <v>7.85</v>
      </c>
      <c r="K199" s="31" t="n">
        <v>8378943</v>
      </c>
      <c r="L199" s="30" t="n">
        <v>52</v>
      </c>
      <c r="M199" s="30" t="inlineStr">
        <is>
          <t>Underperforming</t>
        </is>
      </c>
      <c r="N199" s="31">
        <f>IF(M199="Underperforming",-5,IF(L199&gt;=95,15,IF(L199&gt;=90,10,IF(L199&gt;=80,5,0))))</f>
        <v/>
      </c>
      <c r="O199" s="31" t="n">
        <v>71.66</v>
      </c>
      <c r="P199" s="31" t="n">
        <v>20.69</v>
      </c>
      <c r="Q199" s="31" t="n">
        <v>709.2</v>
      </c>
      <c r="R199" s="30" t="inlineStr">
        <is>
          <t>Volume Spike / Accumulation</t>
        </is>
      </c>
      <c r="S199" s="30" t="inlineStr">
        <is>
          <t>Nifty 50</t>
        </is>
      </c>
      <c r="T199" s="31" t="n">
        <v>-4.38</v>
      </c>
      <c r="U199" s="31" t="n">
        <v>-11.4</v>
      </c>
      <c r="V199" s="31" t="n">
        <v>-7.34</v>
      </c>
      <c r="W199" s="31" t="n">
        <v>13.39</v>
      </c>
      <c r="X199" s="30" t="inlineStr">
        <is>
          <t>Growing Industry</t>
        </is>
      </c>
      <c r="Y199" s="30">
        <f>IF(X199="Growing Industry",10,IF(X199="Cyclical in an Upturn",5,0))</f>
        <v/>
      </c>
      <c r="Z199" s="30" t="inlineStr">
        <is>
          <t>Oligopoly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Yes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Yes</t>
        </is>
      </c>
      <c r="AQ199" s="30">
        <f>IF(AP199="Yes",10,0)</f>
        <v/>
      </c>
      <c r="AR199" s="30" t="inlineStr">
        <is>
          <t>Higher One Time, Lower Annuity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20 to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Close to 52 week high or retracement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More than 20%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Yes</t>
        </is>
      </c>
      <c r="BS199" s="30">
        <f>IF(BR199="NO",5,0)</f>
        <v/>
      </c>
      <c r="BT199" s="30" t="inlineStr">
        <is>
          <t>Above 2</t>
        </is>
      </c>
      <c r="BU199" s="30">
        <f>IF(BT199="Above 2",0,IF(BT199="Between 1.5 to 2",5,IF(BT199="Less than 1.5",10,0)))</f>
        <v/>
      </c>
      <c r="BV199" s="30" t="inlineStr">
        <is>
          <t>Between 50% to 70%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Less than 0.7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IF(B200=0,"",RANK(B200,$B$2:$B$427,0))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2" t="inlineStr">
        <is>
          <t>BHAGCHEM</t>
        </is>
      </c>
      <c r="D200" s="32" t="inlineStr">
        <is>
          <t>Bhagiradha Chemicals &amp; Industries Ltd</t>
        </is>
      </c>
      <c r="E200" s="30" t="inlineStr">
        <is>
          <t>chemicals</t>
        </is>
      </c>
      <c r="F200" s="30" t="inlineStr">
        <is>
          <t>pesticides / agrochemicals - indian</t>
        </is>
      </c>
      <c r="G200" s="30" t="inlineStr">
        <is>
          <t>smallcap</t>
        </is>
      </c>
      <c r="H200" s="31" t="n">
        <v>3358.3</v>
      </c>
      <c r="I200" s="31" t="n">
        <v>279.26</v>
      </c>
      <c r="J200" s="31" t="n">
        <v>7.83</v>
      </c>
      <c r="K200" s="31" t="n">
        <v>4419217</v>
      </c>
      <c r="L200" s="30" t="n">
        <v>50</v>
      </c>
      <c r="M200" s="30" t="inlineStr">
        <is>
          <t>Underperforming</t>
        </is>
      </c>
      <c r="N200" s="31">
        <f>IF(M200="Underperforming",-5,IF(L200&gt;=95,15,IF(L200&gt;=90,10,IF(L200&gt;=80,5,0))))</f>
        <v/>
      </c>
      <c r="O200" s="31" t="n">
        <v>64.88</v>
      </c>
      <c r="P200" s="31" t="n">
        <v>23.56</v>
      </c>
      <c r="Q200" s="31" t="n">
        <v>203.64</v>
      </c>
      <c r="R200" s="30" t="inlineStr">
        <is>
          <t>Volume Spike / Accumulation</t>
        </is>
      </c>
      <c r="S200" s="30" t="inlineStr">
        <is>
          <t>Nifty 50</t>
        </is>
      </c>
      <c r="T200" s="31" t="n">
        <v>-4.38</v>
      </c>
      <c r="U200" s="31" t="n">
        <v>-6.66</v>
      </c>
      <c r="V200" s="31" t="n">
        <v>-2.39</v>
      </c>
      <c r="W200" s="31" t="n">
        <v>12.67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No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Yes</t>
        </is>
      </c>
      <c r="AQ200" s="30">
        <f>IF(AP200="Yes",10,0)</f>
        <v/>
      </c>
      <c r="AR200" s="30" t="inlineStr">
        <is>
          <t>Higher One Time, Lower Annuity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20 to 40</t>
        </is>
      </c>
      <c r="AY200" s="30">
        <f>IF(AX200="Above 40",20,IF(AX200="20 to 40",10,IF(AX200="0 to 20",-5,0)))</f>
        <v/>
      </c>
      <c r="AZ200" s="30" t="inlineStr">
        <is>
          <t>Between 50 to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More than 20%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Yes</t>
        </is>
      </c>
      <c r="BS200" s="30">
        <f>IF(BR200="NO",5,0)</f>
        <v/>
      </c>
      <c r="BT200" s="30" t="inlineStr">
        <is>
          <t>Above 2</t>
        </is>
      </c>
      <c r="BU200" s="30">
        <f>IF(BT200="Above 2",0,IF(BT200="Between 1.5 to 2",5,IF(BT200="Less than 1.5",10,0)))</f>
        <v/>
      </c>
      <c r="BV200" s="30" t="inlineStr">
        <is>
          <t>Less than 50%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IF(B201=0,"",RANK(B201,$B$2:$B$427,0))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SHRIRAMPPS</t>
        </is>
      </c>
      <c r="D201" s="30" t="inlineStr">
        <is>
          <t>Shriram Properties Ltd</t>
        </is>
      </c>
      <c r="E201" s="30" t="inlineStr">
        <is>
          <t>realty</t>
        </is>
      </c>
      <c r="F201" s="30" t="inlineStr">
        <is>
          <t>construction</t>
        </is>
      </c>
      <c r="G201" s="30" t="inlineStr">
        <is>
          <t>smallcap</t>
        </is>
      </c>
      <c r="H201" s="31" t="n">
        <v>1509.27</v>
      </c>
      <c r="I201" s="31" t="n">
        <v>91.81</v>
      </c>
      <c r="J201" s="31" t="n">
        <v>3.81</v>
      </c>
      <c r="K201" s="31" t="n">
        <v>2417055</v>
      </c>
      <c r="L201" s="30" t="n">
        <v>25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57.72</v>
      </c>
      <c r="P201" s="31" t="n">
        <v>23.66</v>
      </c>
      <c r="Q201" s="31" t="n">
        <v>74.2</v>
      </c>
      <c r="R201" s="30" t="inlineStr">
        <is>
          <t>Earnings / Momentum Support</t>
        </is>
      </c>
      <c r="S201" s="30" t="inlineStr">
        <is>
          <t>Nifty Realty</t>
        </is>
      </c>
      <c r="T201" s="31" t="n">
        <v>-19.9</v>
      </c>
      <c r="U201" s="31" t="n">
        <v>-6.28</v>
      </c>
      <c r="V201" s="31" t="n">
        <v>17.01</v>
      </c>
      <c r="W201" s="31" t="n">
        <v>7.21</v>
      </c>
      <c r="X201" s="30" t="inlineStr">
        <is>
          <t>Growing Industry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No</t>
        </is>
      </c>
      <c r="AQ201" s="30">
        <f>IF(AP201="Yes",10,0)</f>
        <v/>
      </c>
      <c r="AR201" s="30" t="inlineStr">
        <is>
          <t>Higher One Time, Lower Annuity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20 to 40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Close to 52 week high or retracement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More than 20%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No</t>
        </is>
      </c>
      <c r="BS201" s="30">
        <f>IF(BR201="NO",5,0)</f>
        <v/>
      </c>
      <c r="BT201" s="30" t="inlineStr">
        <is>
          <t>Less than 1.5</t>
        </is>
      </c>
      <c r="BU201" s="30">
        <f>IF(BT201="Above 2",0,IF(BT201="Between 1.5 to 2",5,IF(BT201="Less than 1.5",10,0)))</f>
        <v/>
      </c>
      <c r="BV201" s="30" t="inlineStr">
        <is>
          <t>Negative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Less than 0.7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IF(B202=0,"",RANK(B202,$B$2:$B$427,0))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HONASA</t>
        </is>
      </c>
      <c r="D202" s="30" t="inlineStr">
        <is>
          <t>Honasa Consumer Ltd</t>
        </is>
      </c>
      <c r="E202" s="30" t="inlineStr">
        <is>
          <t>services</t>
        </is>
      </c>
      <c r="F202" s="30" t="inlineStr">
        <is>
          <t>trading</t>
        </is>
      </c>
      <c r="G202" s="30" t="inlineStr">
        <is>
          <t>midcap</t>
        </is>
      </c>
      <c r="H202" s="31" t="n">
        <v>13226.28</v>
      </c>
      <c r="I202" s="31" t="n">
        <v>417.4</v>
      </c>
      <c r="J202" s="31" t="n">
        <v>2.68</v>
      </c>
      <c r="K202" s="31" t="n">
        <v>837800</v>
      </c>
      <c r="L202" s="30" t="n">
        <v>62</v>
      </c>
      <c r="M202" s="30" t="inlineStr">
        <is>
          <t>Outperforming</t>
        </is>
      </c>
      <c r="N202" s="31">
        <f>IF(M202="Underperforming",-5,IF(L202&gt;=95,15,IF(L202&gt;=90,10,IF(L202&gt;=80,5,0))))</f>
        <v/>
      </c>
      <c r="O202" s="31" t="n">
        <v>75.83</v>
      </c>
      <c r="P202" s="31" t="n">
        <v>34.55</v>
      </c>
      <c r="Q202" s="31" t="n">
        <v>335.68</v>
      </c>
      <c r="R202" s="30" t="inlineStr">
        <is>
          <t>Near 52W High Breakout</t>
        </is>
      </c>
      <c r="S202" s="30" t="inlineStr">
        <is>
          <t>Nifty 50</t>
        </is>
      </c>
      <c r="T202" s="31" t="n">
        <v>-4.38</v>
      </c>
      <c r="U202" s="31" t="n">
        <v>38.83</v>
      </c>
      <c r="V202" s="31" t="n">
        <v>45.19</v>
      </c>
      <c r="W202" s="31" t="n">
        <v>17.12</v>
      </c>
      <c r="X202" s="30" t="inlineStr">
        <is>
          <t>Growing Industry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No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Yes</t>
        </is>
      </c>
      <c r="AQ202" s="30">
        <f>IF(AP202="Yes",10,0)</f>
        <v/>
      </c>
      <c r="AR202" s="30" t="inlineStr">
        <is>
          <t>Higher One Time, Lower Annuity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20 to 40</t>
        </is>
      </c>
      <c r="AY202" s="30">
        <f>IF(AX202="Above 40",20,IF(AX202="20 to 40",10,IF(AX202="0 to 20",-5,0)))</f>
        <v/>
      </c>
      <c r="AZ202" s="30" t="inlineStr">
        <is>
          <t>Above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Close to 52 week high or retracement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More than 20%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Yes</t>
        </is>
      </c>
      <c r="BS202" s="30">
        <f>IF(BR202="NO",5,0)</f>
        <v/>
      </c>
      <c r="BT202" s="30" t="inlineStr">
        <is>
          <t>Above 2</t>
        </is>
      </c>
      <c r="BU202" s="30">
        <f>IF(BT202="Above 2",0,IF(BT202="Between 1.5 to 2",5,IF(BT202="Less than 1.5",10,0)))</f>
        <v/>
      </c>
      <c r="BV202" s="30" t="inlineStr">
        <is>
          <t>Between 50% to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Less than 0.7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IF(B203=0,"",RANK(B203,$B$2:$B$427,0))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0" t="inlineStr">
        <is>
          <t>ELGIEQUIP</t>
        </is>
      </c>
      <c r="D203" s="30" t="inlineStr">
        <is>
          <t>Elgi Equipments Limited</t>
        </is>
      </c>
      <c r="E203" s="30" t="inlineStr">
        <is>
          <t>industrials</t>
        </is>
      </c>
      <c r="F203" s="30" t="inlineStr">
        <is>
          <t>compressors / drilling equipment</t>
        </is>
      </c>
      <c r="G203" s="30" t="inlineStr">
        <is>
          <t>midcap</t>
        </is>
      </c>
      <c r="H203" s="31" t="n">
        <v>19077.92</v>
      </c>
      <c r="I203" s="31" t="n">
        <v>612.75</v>
      </c>
      <c r="J203" s="31" t="n">
        <v>1.79</v>
      </c>
      <c r="K203" s="31" t="n">
        <v>773434</v>
      </c>
      <c r="L203" s="30" t="n">
        <v>39</v>
      </c>
      <c r="M203" s="30" t="inlineStr">
        <is>
          <t>Outperforming</t>
        </is>
      </c>
      <c r="N203" s="31">
        <f>IF(M203="Underperforming",-5,IF(L203&gt;=95,15,IF(L203&gt;=90,10,IF(L203&gt;=80,5,0))))</f>
        <v/>
      </c>
      <c r="O203" s="31" t="n">
        <v>66.18000000000001</v>
      </c>
      <c r="P203" s="31" t="n">
        <v>16.95</v>
      </c>
      <c r="Q203" s="31" t="n">
        <v>488.38</v>
      </c>
      <c r="R203" s="30" t="inlineStr">
        <is>
          <t>Near 52W High Breakout</t>
        </is>
      </c>
      <c r="S203" s="30" t="inlineStr">
        <is>
          <t>Nifty 50</t>
        </is>
      </c>
      <c r="T203" s="31" t="n">
        <v>-4.38</v>
      </c>
      <c r="U203" s="31" t="n">
        <v>20.57</v>
      </c>
      <c r="V203" s="31" t="n">
        <v>26.09</v>
      </c>
      <c r="W203" s="31" t="n">
        <v>9.960000000000001</v>
      </c>
      <c r="X203" s="30" t="inlineStr">
        <is>
          <t>Cyclical in an Upturn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Yes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0 to 20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Yes</t>
        </is>
      </c>
      <c r="BS203" s="30">
        <f>IF(BR203="NO",5,0)</f>
        <v/>
      </c>
      <c r="BT203" s="30" t="inlineStr">
        <is>
          <t>Between 1.5 to 2</t>
        </is>
      </c>
      <c r="BU203" s="30">
        <f>IF(BT203="Above 2",0,IF(BT203="Between 1.5 to 2",5,IF(BT203="Less than 1.5",10,0)))</f>
        <v/>
      </c>
      <c r="BV203" s="30" t="inlineStr">
        <is>
          <t>Above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IF(B204=0,"",RANK(B204,$B$2:$B$427,0))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SHREEPUSHK</t>
        </is>
      </c>
      <c r="D204" s="30" t="inlineStr">
        <is>
          <t>Shree Pushkar Chemicals &amp; Fertilisers Limited</t>
        </is>
      </c>
      <c r="E204" s="30" t="inlineStr">
        <is>
          <t>chemicals</t>
        </is>
      </c>
      <c r="F204" s="30" t="inlineStr">
        <is>
          <t>dyes and pigments</t>
        </is>
      </c>
      <c r="G204" s="30" t="inlineStr">
        <is>
          <t>smallcap</t>
        </is>
      </c>
      <c r="H204" s="31" t="n">
        <v>1258.26</v>
      </c>
      <c r="I204" s="31" t="n">
        <v>396</v>
      </c>
      <c r="J204" s="31" t="n">
        <v>1.77</v>
      </c>
      <c r="K204" s="31" t="n">
        <v>32285</v>
      </c>
      <c r="L204" s="30" t="n">
        <v>53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57.97</v>
      </c>
      <c r="P204" s="31" t="n">
        <v>25.11</v>
      </c>
      <c r="Q204" s="31" t="n">
        <v>292.82</v>
      </c>
      <c r="R204" s="30" t="inlineStr">
        <is>
          <t>Earnings / Momentum Support</t>
        </is>
      </c>
      <c r="S204" s="30" t="inlineStr">
        <is>
          <t>Nifty IT</t>
        </is>
      </c>
      <c r="T204" s="31" t="n">
        <v>-29.66</v>
      </c>
      <c r="U204" s="31" t="n">
        <v>30.14</v>
      </c>
      <c r="V204" s="31" t="n">
        <v>85.02</v>
      </c>
      <c r="W204" s="31" t="n">
        <v>13.76</v>
      </c>
      <c r="X204" s="30" t="inlineStr">
        <is>
          <t>Growing Industry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No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20 to 40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Close to 52 week high or retracement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Less than 12%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No</t>
        </is>
      </c>
      <c r="BS204" s="30">
        <f>IF(BR204="NO",5,0)</f>
        <v/>
      </c>
      <c r="BT204" s="30" t="inlineStr">
        <is>
          <t>Above 2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Less than 0.7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IF(B205=0,"",RANK(B205,$B$2:$B$427,0))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0" t="inlineStr">
        <is>
          <t>TIRUPATIFL</t>
        </is>
      </c>
      <c r="D205" s="30" t="inlineStr">
        <is>
          <t>Tirupati Forge Ltd</t>
        </is>
      </c>
      <c r="E205" s="30" t="inlineStr">
        <is>
          <t>industrials</t>
        </is>
      </c>
      <c r="F205" s="30" t="inlineStr">
        <is>
          <t>castings &amp; forgings</t>
        </is>
      </c>
      <c r="G205" s="30" t="inlineStr">
        <is>
          <t>smallcap</t>
        </is>
      </c>
      <c r="H205" s="31" t="n">
        <v>609.26</v>
      </c>
      <c r="I205" s="31" t="n">
        <v>47.98</v>
      </c>
      <c r="J205" s="31" t="n">
        <v>1.74</v>
      </c>
      <c r="K205" s="31" t="n">
        <v>264923</v>
      </c>
      <c r="L205" s="30" t="n">
        <v>16</v>
      </c>
      <c r="M205" s="30" t="inlineStr">
        <is>
          <t>Outperforming</t>
        </is>
      </c>
      <c r="N205" s="31">
        <f>IF(M205="Underperforming",-5,IF(L205&gt;=95,15,IF(L205&gt;=90,10,IF(L205&gt;=80,5,0))))</f>
        <v/>
      </c>
      <c r="O205" s="31" t="n">
        <v>61.15</v>
      </c>
      <c r="P205" s="31" t="n">
        <v>30.81</v>
      </c>
      <c r="Q205" s="31" t="n">
        <v>32.67</v>
      </c>
      <c r="R205" s="30" t="inlineStr">
        <is>
          <t>Near 52W High Breakout</t>
        </is>
      </c>
      <c r="S205" s="30" t="inlineStr">
        <is>
          <t>Nifty 50</t>
        </is>
      </c>
      <c r="T205" s="31" t="n">
        <v>-4.38</v>
      </c>
      <c r="U205" s="31" t="n">
        <v>13.21</v>
      </c>
      <c r="V205" s="31" t="n">
        <v>18.4</v>
      </c>
      <c r="W205" s="31" t="n">
        <v>5.03</v>
      </c>
      <c r="X205" s="30" t="inlineStr">
        <is>
          <t>Cyclical in an Upturn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No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Yes</t>
        </is>
      </c>
      <c r="AQ205" s="30">
        <f>IF(AP205="Yes",10,0)</f>
        <v/>
      </c>
      <c r="AR205" s="30" t="inlineStr">
        <is>
          <t>Higher One Time, Lower Annuity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20 to 40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Close to 52 week high or retracement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Less than 12%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Yes</t>
        </is>
      </c>
      <c r="BS205" s="30">
        <f>IF(BR205="NO",5,0)</f>
        <v/>
      </c>
      <c r="BT205" s="30" t="inlineStr">
        <is>
          <t>Above 2</t>
        </is>
      </c>
      <c r="BU205" s="30">
        <f>IF(BT205="Above 2",0,IF(BT205="Between 1.5 to 2",5,IF(BT205="Less than 1.5",10,0)))</f>
        <v/>
      </c>
      <c r="BV205" s="30" t="inlineStr">
        <is>
          <t>Above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IF(B206=0,"",RANK(B206,$B$2:$B$427,0))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KRN</t>
        </is>
      </c>
      <c r="D206" s="30" t="inlineStr">
        <is>
          <t>KRN Heat Exchanger and Refrigeration Ltd</t>
        </is>
      </c>
      <c r="E206" s="30" t="inlineStr">
        <is>
          <t>industrials</t>
        </is>
      </c>
      <c r="F206" s="30" t="inlineStr">
        <is>
          <t>engineering</t>
        </is>
      </c>
      <c r="G206" s="30" t="inlineStr">
        <is>
          <t>midcap</t>
        </is>
      </c>
      <c r="H206" s="31" t="n">
        <v>7982.01</v>
      </c>
      <c r="I206" s="31" t="n">
        <v>1235.2</v>
      </c>
      <c r="J206" s="31" t="n">
        <v>1.3</v>
      </c>
      <c r="K206" s="31" t="n">
        <v>85091</v>
      </c>
      <c r="L206" s="30" t="n">
        <v>65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63.27</v>
      </c>
      <c r="P206" s="31" t="n">
        <v>39.45</v>
      </c>
      <c r="Q206" s="31" t="n">
        <v>885.47</v>
      </c>
      <c r="R206" s="30" t="inlineStr">
        <is>
          <t>Near 52W High Breakout</t>
        </is>
      </c>
      <c r="S206" s="30" t="inlineStr">
        <is>
          <t>Nifty 50</t>
        </is>
      </c>
      <c r="T206" s="31" t="n">
        <v>-4.38</v>
      </c>
      <c r="U206" s="31" t="n">
        <v>51.22</v>
      </c>
      <c r="V206" s="31" t="n">
        <v>58.14</v>
      </c>
      <c r="W206" s="31" t="n">
        <v>17.74</v>
      </c>
      <c r="X206" s="30" t="inlineStr">
        <is>
          <t>Cyclical in an Upturn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Yes</t>
        </is>
      </c>
      <c r="AQ206" s="30">
        <f>IF(AP206="Yes",10,0)</f>
        <v/>
      </c>
      <c r="AR206" s="30" t="inlineStr">
        <is>
          <t>Higher One Time, Lower Annuity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20 to 40</t>
        </is>
      </c>
      <c r="AY206" s="30">
        <f>IF(AX206="Above 40",20,IF(AX206="20 to 40",10,IF(AX206="0 to 20",-5,0)))</f>
        <v/>
      </c>
      <c r="AZ206" s="30" t="inlineStr">
        <is>
          <t>Between 50 to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Blue sky scenario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More than 20%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Yes</t>
        </is>
      </c>
      <c r="BS206" s="30">
        <f>IF(BR206="NO",5,0)</f>
        <v/>
      </c>
      <c r="BT206" s="30" t="inlineStr">
        <is>
          <t>Between 1.5 to 2</t>
        </is>
      </c>
      <c r="BU206" s="30">
        <f>IF(BT206="Above 2",0,IF(BT206="Between 1.5 to 2",5,IF(BT206="Less than 1.5",10,0)))</f>
        <v/>
      </c>
      <c r="BV206" s="30" t="inlineStr">
        <is>
          <t>Negative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IF(B207=0,"",RANK(B207,$B$2:$B$427,0))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HONAUT</t>
        </is>
      </c>
      <c r="D207" s="30" t="inlineStr">
        <is>
          <t>Honeywell Automation India Limited</t>
        </is>
      </c>
      <c r="E207" s="30" t="inlineStr">
        <is>
          <t>consumer discretionary</t>
        </is>
      </c>
      <c r="F207" s="30" t="inlineStr">
        <is>
          <t>electronics - components</t>
        </is>
      </c>
      <c r="G207" s="30" t="inlineStr">
        <is>
          <t>largecap</t>
        </is>
      </c>
      <c r="H207" s="31" t="n">
        <v>32863.94</v>
      </c>
      <c r="I207" s="31" t="n">
        <v>37460</v>
      </c>
      <c r="J207" s="31" t="n">
        <v>0.78</v>
      </c>
      <c r="K207" s="31" t="n">
        <v>6229</v>
      </c>
      <c r="L207" s="30" t="n">
        <v>27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62.9</v>
      </c>
      <c r="P207" s="31" t="n">
        <v>23.25</v>
      </c>
      <c r="Q207" s="31" t="n">
        <v>30429.06</v>
      </c>
      <c r="R207" s="30" t="inlineStr">
        <is>
          <t>Earnings / Momentum Support</t>
        </is>
      </c>
      <c r="S207" s="30" t="inlineStr">
        <is>
          <t>Nifty 50</t>
        </is>
      </c>
      <c r="T207" s="31" t="n">
        <v>-4.38</v>
      </c>
      <c r="U207" s="31" t="n">
        <v>0.14</v>
      </c>
      <c r="V207" s="31" t="n">
        <v>4.73</v>
      </c>
      <c r="W207" s="31" t="n">
        <v>7.72</v>
      </c>
      <c r="X207" s="30" t="inlineStr">
        <is>
          <t>Growing Industry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No</t>
        </is>
      </c>
      <c r="AQ207" s="30">
        <f>IF(AP207="Yes",10,0)</f>
        <v/>
      </c>
      <c r="AR207" s="30" t="inlineStr">
        <is>
          <t>Higher One Time, Lower Annuity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20 to 40</t>
        </is>
      </c>
      <c r="AY207" s="30">
        <f>IF(AX207="Above 40",20,IF(AX207="20 to 40",10,IF(AX207="0 to 20",-5,0)))</f>
        <v/>
      </c>
      <c r="AZ207" s="30" t="inlineStr">
        <is>
          <t>Between 50 to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Positive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Close to 52 week high or retracement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Between 12 to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Yes</t>
        </is>
      </c>
      <c r="BS207" s="30">
        <f>IF(BR207="NO",5,0)</f>
        <v/>
      </c>
      <c r="BT207" s="30" t="inlineStr">
        <is>
          <t>Above 2</t>
        </is>
      </c>
      <c r="BU207" s="30">
        <f>IF(BT207="Above 2",0,IF(BT207="Between 1.5 to 2",5,IF(BT207="Less than 1.5",10,0)))</f>
        <v/>
      </c>
      <c r="BV207" s="30" t="inlineStr">
        <is>
          <t>Above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IF(B208=0,"",RANK(B208,$B$2:$B$427,0))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0" t="inlineStr">
        <is>
          <t>FILATEX</t>
        </is>
      </c>
      <c r="D208" s="30" t="inlineStr">
        <is>
          <t>Filatex India Limited</t>
        </is>
      </c>
      <c r="E208" s="30" t="inlineStr">
        <is>
          <t>textiles</t>
        </is>
      </c>
      <c r="F208" s="30" t="inlineStr">
        <is>
          <t>textiles - manmade</t>
        </is>
      </c>
      <c r="G208" s="30" t="inlineStr">
        <is>
          <t>smallcap</t>
        </is>
      </c>
      <c r="H208" s="31" t="n">
        <v>2419.67</v>
      </c>
      <c r="I208" s="31" t="n">
        <v>54.86</v>
      </c>
      <c r="J208" s="31" t="n">
        <v>0.68</v>
      </c>
      <c r="K208" s="31" t="n">
        <v>879144</v>
      </c>
      <c r="L208" s="30" t="n">
        <v>36</v>
      </c>
      <c r="M208" s="30" t="inlineStr">
        <is>
          <t>Outperforming</t>
        </is>
      </c>
      <c r="N208" s="31">
        <f>IF(M208="Underperforming",-5,IF(L208&gt;=95,15,IF(L208&gt;=90,10,IF(L208&gt;=80,5,0))))</f>
        <v/>
      </c>
      <c r="O208" s="31" t="n">
        <v>62.91</v>
      </c>
      <c r="P208" s="31" t="n">
        <v>17.98</v>
      </c>
      <c r="Q208" s="31" t="n">
        <v>40.75</v>
      </c>
      <c r="R208" s="30" t="inlineStr">
        <is>
          <t>Earnings / Momentum Support</t>
        </is>
      </c>
      <c r="S208" s="30" t="inlineStr">
        <is>
          <t>Nifty 50</t>
        </is>
      </c>
      <c r="T208" s="31" t="n">
        <v>-4.38</v>
      </c>
      <c r="U208" s="31" t="n">
        <v>4.56</v>
      </c>
      <c r="V208" s="31" t="n">
        <v>9.34</v>
      </c>
      <c r="W208" s="31" t="n">
        <v>9.49</v>
      </c>
      <c r="X208" s="30" t="inlineStr">
        <is>
          <t>Growing Industry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No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No</t>
        </is>
      </c>
      <c r="AQ208" s="30">
        <f>IF(AP208="Yes",10,0)</f>
        <v/>
      </c>
      <c r="AR208" s="30" t="inlineStr">
        <is>
          <t>Higher One Time, Lower Annuity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0 to 20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Close to 52 week high or retracement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Between 12 to 20%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No</t>
        </is>
      </c>
      <c r="BS208" s="30">
        <f>IF(BR208="NO",5,0)</f>
        <v/>
      </c>
      <c r="BT208" s="30" t="inlineStr">
        <is>
          <t>Less than 1.5</t>
        </is>
      </c>
      <c r="BU208" s="30">
        <f>IF(BT208="Above 2",0,IF(BT208="Between 1.5 to 2",5,IF(BT208="Less than 1.5",10,0)))</f>
        <v/>
      </c>
      <c r="BV208" s="30" t="inlineStr">
        <is>
          <t>Above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IF(B209=0,"",RANK(B209,$B$2:$B$427,0))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0" t="inlineStr">
        <is>
          <t>MGEL</t>
        </is>
      </c>
      <c r="D209" s="30" t="inlineStr">
        <is>
          <t>Mangalam Global Enterprise Ltd</t>
        </is>
      </c>
      <c r="E209" s="30" t="inlineStr">
        <is>
          <t>services</t>
        </is>
      </c>
      <c r="F209" s="30" t="inlineStr">
        <is>
          <t>trading</t>
        </is>
      </c>
      <c r="G209" s="30" t="inlineStr">
        <is>
          <t>smallcap</t>
        </is>
      </c>
      <c r="H209" s="31" t="n">
        <v>517.4</v>
      </c>
      <c r="I209" s="31" t="n">
        <v>15.77</v>
      </c>
      <c r="J209" s="31" t="n">
        <v>0.45</v>
      </c>
      <c r="K209" s="31" t="n">
        <v>160052</v>
      </c>
      <c r="L209" s="30" t="n">
        <v>56</v>
      </c>
      <c r="M209" s="30" t="inlineStr">
        <is>
          <t>Outperforming</t>
        </is>
      </c>
      <c r="N209" s="31">
        <f>IF(M209="Underperforming",-5,IF(L209&gt;=95,15,IF(L209&gt;=90,10,IF(L209&gt;=80,5,0))))</f>
        <v/>
      </c>
      <c r="O209" s="31" t="n">
        <v>61.79</v>
      </c>
      <c r="P209" s="31" t="n">
        <v>29.41</v>
      </c>
      <c r="Q209" s="31" t="n">
        <v>11.48</v>
      </c>
      <c r="R209" s="30" t="inlineStr">
        <is>
          <t>Earnings / Momentum Support</t>
        </is>
      </c>
      <c r="S209" s="30" t="inlineStr">
        <is>
          <t>Nifty 50</t>
        </is>
      </c>
      <c r="T209" s="31" t="n">
        <v>-4.38</v>
      </c>
      <c r="U209" s="31" t="n">
        <v>7.64</v>
      </c>
      <c r="V209" s="31" t="n">
        <v>12.56</v>
      </c>
      <c r="W209" s="31" t="n">
        <v>14.52</v>
      </c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No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No</t>
        </is>
      </c>
      <c r="AQ209" s="30">
        <f>IF(AP209="Yes",10,0)</f>
        <v/>
      </c>
      <c r="AR209" s="30" t="inlineStr">
        <is>
          <t>Higher One Time, Lower Annuity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20 to 40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Close to 52 week high or retracement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More than 20%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No</t>
        </is>
      </c>
      <c r="BS209" s="30">
        <f>IF(BR209="NO",5,0)</f>
        <v/>
      </c>
      <c r="BT209" s="30" t="inlineStr">
        <is>
          <t>Above 2</t>
        </is>
      </c>
      <c r="BU209" s="30">
        <f>IF(BT209="Above 2",0,IF(BT209="Between 1.5 to 2",5,IF(BT209="Less than 1.5",10,0)))</f>
        <v/>
      </c>
      <c r="BV209" s="30" t="inlineStr">
        <is>
          <t>Above 70%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Between 0.7 to 1.2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IF(B210=0,"",RANK(B210,$B$2:$B$427,0))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LLOYDSENT</t>
        </is>
      </c>
      <c r="D210" s="30" t="inlineStr">
        <is>
          <t>Lloyds Enterprises Ltd</t>
        </is>
      </c>
      <c r="E210" s="30" t="inlineStr">
        <is>
          <t>services</t>
        </is>
      </c>
      <c r="F210" s="30" t="inlineStr">
        <is>
          <t>trading</t>
        </is>
      </c>
      <c r="G210" s="30" t="inlineStr">
        <is>
          <t>midcap</t>
        </is>
      </c>
      <c r="H210" s="31" t="n">
        <v>11736.13</v>
      </c>
      <c r="I210" s="31" t="n">
        <v>77.22</v>
      </c>
      <c r="J210" s="31" t="n">
        <v>0.44</v>
      </c>
      <c r="K210" s="31" t="n">
        <v>5589903</v>
      </c>
      <c r="L210" s="30" t="n">
        <v>72</v>
      </c>
      <c r="M210" s="30" t="inlineStr">
        <is>
          <t>Outperforming</t>
        </is>
      </c>
      <c r="N210" s="31">
        <f>IF(M210="Underperforming",-5,IF(L210&gt;=95,15,IF(L210&gt;=90,10,IF(L210&gt;=80,5,0))))</f>
        <v/>
      </c>
      <c r="O210" s="31" t="n">
        <v>63.56</v>
      </c>
      <c r="P210" s="31" t="n">
        <v>26.51</v>
      </c>
      <c r="Q210" s="31" t="n">
        <v>55.92</v>
      </c>
      <c r="R210" s="30" t="inlineStr">
        <is>
          <t>Volume Spike / Accumulation</t>
        </is>
      </c>
      <c r="S210" s="30" t="inlineStr">
        <is>
          <t>Nifty 50</t>
        </is>
      </c>
      <c r="T210" s="31" t="n">
        <v>-4.38</v>
      </c>
      <c r="U210" s="31" t="n">
        <v>10.13</v>
      </c>
      <c r="V210" s="31" t="n">
        <v>15.17</v>
      </c>
      <c r="W210" s="31" t="n">
        <v>21.12</v>
      </c>
      <c r="X210" s="30" t="inlineStr">
        <is>
          <t>Growing Industry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Yes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20 to 40</t>
        </is>
      </c>
      <c r="AY210" s="30">
        <f>IF(AX210="Above 40",20,IF(AX210="20 to 40",10,IF(AX210="0 to 20",-5,0)))</f>
        <v/>
      </c>
      <c r="AZ210" s="30" t="inlineStr">
        <is>
          <t>Between 50 to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Positive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Close to 52 week high or retracement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More than 20%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No</t>
        </is>
      </c>
      <c r="BS210" s="30">
        <f>IF(BR210="NO",5,0)</f>
        <v/>
      </c>
      <c r="BT210" s="30" t="inlineStr">
        <is>
          <t>Above 2</t>
        </is>
      </c>
      <c r="BU210" s="30">
        <f>IF(BT210="Above 2",0,IF(BT210="Between 1.5 to 2",5,IF(BT210="Less than 1.5",10,0)))</f>
        <v/>
      </c>
      <c r="BV210" s="30" t="inlineStr">
        <is>
          <t>Negative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IF(B211=0,"",RANK(B211,$B$2:$B$427,0))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DATAPATTNS</t>
        </is>
      </c>
      <c r="D211" s="30" t="inlineStr">
        <is>
          <t>Data Patterns (India) Ltd</t>
        </is>
      </c>
      <c r="E211" s="30" t="inlineStr">
        <is>
          <t>aerospace &amp; defence</t>
        </is>
      </c>
      <c r="F211" s="30" t="inlineStr">
        <is>
          <t>electronics - components</t>
        </is>
      </c>
      <c r="G211" s="30" t="inlineStr">
        <is>
          <t>largecap</t>
        </is>
      </c>
      <c r="H211" s="31" t="n">
        <v>26884.06</v>
      </c>
      <c r="I211" s="31" t="n">
        <v>4822.1</v>
      </c>
      <c r="J211" s="31" t="n">
        <v>0.42</v>
      </c>
      <c r="K211" s="31" t="n">
        <v>1560709</v>
      </c>
      <c r="L211" s="30" t="n">
        <v>76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76.94</v>
      </c>
      <c r="P211" s="31" t="n">
        <v>30.16</v>
      </c>
      <c r="Q211" s="31" t="n">
        <v>3536.67</v>
      </c>
      <c r="R211" s="30" t="inlineStr">
        <is>
          <t>Near 52W High Breakout</t>
        </is>
      </c>
      <c r="S211" s="30" t="inlineStr">
        <is>
          <t>Nifty 50</t>
        </is>
      </c>
      <c r="T211" s="31" t="n">
        <v>-4.38</v>
      </c>
      <c r="U211" s="31" t="n">
        <v>63.52</v>
      </c>
      <c r="V211" s="31" t="n">
        <v>71</v>
      </c>
      <c r="W211" s="31" t="n">
        <v>22.25</v>
      </c>
      <c r="X211" s="30" t="inlineStr">
        <is>
          <t>Growing Industry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Yes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20 to 40</t>
        </is>
      </c>
      <c r="AY211" s="30">
        <f>IF(AX211="Above 40",20,IF(AX211="20 to 40",10,IF(AX211="0 to 20",-5,0)))</f>
        <v/>
      </c>
      <c r="AZ211" s="30" t="inlineStr">
        <is>
          <t>Above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Blue sky scenario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More than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Yes</t>
        </is>
      </c>
      <c r="BS211" s="30">
        <f>IF(BR211="NO",5,0)</f>
        <v/>
      </c>
      <c r="BT211" s="30" t="inlineStr">
        <is>
          <t>Above 2</t>
        </is>
      </c>
      <c r="BU211" s="30">
        <f>IF(BT211="Above 2",0,IF(BT211="Between 1.5 to 2",5,IF(BT211="Less than 1.5",10,0)))</f>
        <v/>
      </c>
      <c r="BV211" s="30" t="inlineStr">
        <is>
          <t>Less than 50%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Less than 0.7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IF(B212=0,"",RANK(B212,$B$2:$B$427,0))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DREDGECORP</t>
        </is>
      </c>
      <c r="D212" s="30" t="inlineStr">
        <is>
          <t>Dredging Corporation Of India Limited</t>
        </is>
      </c>
      <c r="E212" s="30" t="inlineStr">
        <is>
          <t>miscellaneous</t>
        </is>
      </c>
      <c r="F212" s="30" t="inlineStr">
        <is>
          <t>miscellaneous</t>
        </is>
      </c>
      <c r="G212" s="30" t="inlineStr">
        <is>
          <t>smallcap</t>
        </is>
      </c>
      <c r="H212" s="31" t="n">
        <v>3184.16</v>
      </c>
      <c r="I212" s="31" t="n">
        <v>1136</v>
      </c>
      <c r="J212" s="31" t="n">
        <v>-0.11</v>
      </c>
      <c r="K212" s="31" t="n">
        <v>165549</v>
      </c>
      <c r="L212" s="30" t="n">
        <v>64</v>
      </c>
      <c r="M212" s="30" t="inlineStr">
        <is>
          <t>Outperforming</t>
        </is>
      </c>
      <c r="N212" s="31">
        <f>IF(M212="Underperforming",-5,IF(L212&gt;=95,15,IF(L212&gt;=90,10,IF(L212&gt;=80,5,0))))</f>
        <v/>
      </c>
      <c r="O212" s="31" t="n">
        <v>60.53</v>
      </c>
      <c r="P212" s="31" t="n">
        <v>35.66</v>
      </c>
      <c r="Q212" s="31" t="n">
        <v>779.5</v>
      </c>
      <c r="R212" s="30" t="inlineStr">
        <is>
          <t>Near 52W High Breakout</t>
        </is>
      </c>
      <c r="S212" s="30" t="inlineStr">
        <is>
          <t>Nifty 50</t>
        </is>
      </c>
      <c r="T212" s="31" t="n">
        <v>-4.38</v>
      </c>
      <c r="U212" s="31" t="n">
        <v>60.77</v>
      </c>
      <c r="V212" s="31" t="n">
        <v>68.13</v>
      </c>
      <c r="W212" s="31" t="n">
        <v>17.58</v>
      </c>
      <c r="X212" s="30" t="inlineStr">
        <is>
          <t>Growing Industry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Yes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20 to 40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Close to 52 week high or retracement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More than 20%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Yes</t>
        </is>
      </c>
      <c r="BS212" s="30">
        <f>IF(BR212="NO",5,0)</f>
        <v/>
      </c>
      <c r="BT212" s="30" t="inlineStr">
        <is>
          <t>Above 2</t>
        </is>
      </c>
      <c r="BU212" s="30">
        <f>IF(BT212="Above 2",0,IF(BT212="Between 1.5 to 2",5,IF(BT212="Less than 1.5",10,0)))</f>
        <v/>
      </c>
      <c r="BV212" s="30" t="inlineStr">
        <is>
          <t>Between 50% to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Between 0.7 to 1.2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IF(B213=0,"",RANK(B213,$B$2:$B$427,0))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0" t="inlineStr">
        <is>
          <t>DLINKINDIA</t>
        </is>
      </c>
      <c r="D213" s="30" t="inlineStr">
        <is>
          <t>D-link (india) Limited</t>
        </is>
      </c>
      <c r="E213" s="30" t="inlineStr">
        <is>
          <t>services</t>
        </is>
      </c>
      <c r="F213" s="30" t="inlineStr">
        <is>
          <t>trading</t>
        </is>
      </c>
      <c r="G213" s="30" t="inlineStr">
        <is>
          <t>smallcap</t>
        </is>
      </c>
      <c r="H213" s="31" t="n">
        <v>1868.62</v>
      </c>
      <c r="I213" s="31" t="n">
        <v>525.05</v>
      </c>
      <c r="J213" s="31" t="n">
        <v>-0.24</v>
      </c>
      <c r="K213" s="31" t="n">
        <v>321197</v>
      </c>
      <c r="L213" s="30" t="n">
        <v>30</v>
      </c>
      <c r="M213" s="30" t="inlineStr">
        <is>
          <t>Outperforming</t>
        </is>
      </c>
      <c r="N213" s="31">
        <f>IF(M213="Underperforming",-5,IF(L213&gt;=95,15,IF(L213&gt;=90,10,IF(L213&gt;=80,5,0))))</f>
        <v/>
      </c>
      <c r="O213" s="31" t="n">
        <v>69.45</v>
      </c>
      <c r="P213" s="31" t="n">
        <v>29.39</v>
      </c>
      <c r="Q213" s="31" t="n">
        <v>427.25</v>
      </c>
      <c r="R213" s="30" t="inlineStr">
        <is>
          <t>Volume Spike &amp; Near 52W High Breakout</t>
        </is>
      </c>
      <c r="S213" s="30" t="inlineStr">
        <is>
          <t>Nifty 50</t>
        </is>
      </c>
      <c r="T213" s="31" t="n">
        <v>-4.38</v>
      </c>
      <c r="U213" s="31" t="n">
        <v>0.57</v>
      </c>
      <c r="V213" s="31" t="n">
        <v>5.18</v>
      </c>
      <c r="W213" s="31" t="n">
        <v>8.02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20 to 40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Close to 52 week high or retracement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Less than 12%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No</t>
        </is>
      </c>
      <c r="BS213" s="30">
        <f>IF(BR213="NO",5,0)</f>
        <v/>
      </c>
      <c r="BT213" s="30" t="inlineStr">
        <is>
          <t>Above 2</t>
        </is>
      </c>
      <c r="BU213" s="30">
        <f>IF(BT213="Above 2",0,IF(BT213="Between 1.5 to 2",5,IF(BT213="Less than 1.5",10,0)))</f>
        <v/>
      </c>
      <c r="BV213" s="30" t="inlineStr">
        <is>
          <t>Less than 50%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IF(B214=0,"",RANK(B214,$B$2:$B$427,0))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0" t="inlineStr">
        <is>
          <t>TITAGARH</t>
        </is>
      </c>
      <c r="D214" s="30" t="inlineStr">
        <is>
          <t>Titagarh Rail Systems Ltd</t>
        </is>
      </c>
      <c r="E214" s="30" t="inlineStr">
        <is>
          <t>industrials</t>
        </is>
      </c>
      <c r="F214" s="30" t="inlineStr">
        <is>
          <t>engineering</t>
        </is>
      </c>
      <c r="G214" s="30" t="inlineStr">
        <is>
          <t>midcap</t>
        </is>
      </c>
      <c r="H214" s="31" t="n">
        <v>12559.68</v>
      </c>
      <c r="I214" s="31" t="n">
        <v>922.45</v>
      </c>
      <c r="J214" s="31" t="n">
        <v>-1.09</v>
      </c>
      <c r="K214" s="31" t="n">
        <v>922105</v>
      </c>
      <c r="L214" s="30" t="n">
        <v>52</v>
      </c>
      <c r="M214" s="30" t="inlineStr">
        <is>
          <t>Outperforming</t>
        </is>
      </c>
      <c r="N214" s="31">
        <f>IF(M214="Underperforming",-5,IF(L214&gt;=95,15,IF(L214&gt;=90,10,IF(L214&gt;=80,5,0))))</f>
        <v/>
      </c>
      <c r="O214" s="31" t="n">
        <v>64.54000000000001</v>
      </c>
      <c r="P214" s="31" t="n">
        <v>22.33</v>
      </c>
      <c r="Q214" s="31" t="n">
        <v>709.76</v>
      </c>
      <c r="R214" s="30" t="inlineStr">
        <is>
          <t>Near 52W High Breakout</t>
        </is>
      </c>
      <c r="S214" s="30" t="inlineStr">
        <is>
          <t>Nifty 50</t>
        </is>
      </c>
      <c r="T214" s="31" t="n">
        <v>-4.38</v>
      </c>
      <c r="U214" s="31" t="n">
        <v>6.65</v>
      </c>
      <c r="V214" s="31" t="n">
        <v>11.53</v>
      </c>
      <c r="W214" s="31" t="n">
        <v>13.39</v>
      </c>
      <c r="X214" s="30" t="inlineStr">
        <is>
          <t>Cyclical in an Upturn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Yes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20 to 40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Less than 12%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Yes</t>
        </is>
      </c>
      <c r="BS214" s="30">
        <f>IF(BR214="NO",5,0)</f>
        <v/>
      </c>
      <c r="BT214" s="30" t="inlineStr">
        <is>
          <t>Above 2</t>
        </is>
      </c>
      <c r="BU214" s="30">
        <f>IF(BT214="Above 2",0,IF(BT214="Between 1.5 to 2",5,IF(BT214="Less than 1.5",10,0)))</f>
        <v/>
      </c>
      <c r="BV214" s="30" t="inlineStr">
        <is>
          <t>Above 70%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Less than 0.7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IF(B215=0,"",RANK(B215,$B$2:$B$427,0))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2" t="inlineStr">
        <is>
          <t>JINDALSAW</t>
        </is>
      </c>
      <c r="D215" s="32" t="inlineStr">
        <is>
          <t>Jindal Saw Limited</t>
        </is>
      </c>
      <c r="E215" s="30" t="inlineStr">
        <is>
          <t>industrials</t>
        </is>
      </c>
      <c r="F215" s="30" t="inlineStr">
        <is>
          <t>steel - large</t>
        </is>
      </c>
      <c r="G215" s="30" t="inlineStr">
        <is>
          <t>midcap</t>
        </is>
      </c>
      <c r="H215" s="31" t="n">
        <v>16886.85</v>
      </c>
      <c r="I215" s="31" t="n">
        <v>260.88</v>
      </c>
      <c r="J215" s="31" t="n">
        <v>-1.2</v>
      </c>
      <c r="K215" s="31" t="n">
        <v>3446472</v>
      </c>
      <c r="L215" s="30" t="n">
        <v>45</v>
      </c>
      <c r="M215" s="30" t="inlineStr">
        <is>
          <t>Underperforming</t>
        </is>
      </c>
      <c r="N215" s="31">
        <f>IF(M215="Underperforming",-5,IF(L215&gt;=95,15,IF(L215&gt;=90,10,IF(L215&gt;=80,5,0))))</f>
        <v/>
      </c>
      <c r="O215" s="31" t="n">
        <v>64.48</v>
      </c>
      <c r="P215" s="31" t="n">
        <v>31.02</v>
      </c>
      <c r="Q215" s="31" t="n">
        <v>192.21</v>
      </c>
      <c r="R215" s="30" t="inlineStr">
        <is>
          <t>Near 52W High Breakout</t>
        </is>
      </c>
      <c r="S215" s="30" t="inlineStr">
        <is>
          <t>Nifty Metal</t>
        </is>
      </c>
      <c r="T215" s="31" t="n">
        <v>42.48</v>
      </c>
      <c r="U215" s="31" t="n">
        <v>9.92</v>
      </c>
      <c r="V215" s="31" t="n">
        <v>-22.85</v>
      </c>
      <c r="W215" s="31" t="n">
        <v>11.27</v>
      </c>
      <c r="X215" s="30" t="inlineStr">
        <is>
          <t>Cyclical in an Upturn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Yes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20 to 40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Close to 52 week high or retracement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Less than 12%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No</t>
        </is>
      </c>
      <c r="BS215" s="30">
        <f>IF(BR215="NO",5,0)</f>
        <v/>
      </c>
      <c r="BT215" s="30" t="inlineStr">
        <is>
          <t>Above 2</t>
        </is>
      </c>
      <c r="BU215" s="30">
        <f>IF(BT215="Above 2",0,IF(BT215="Between 1.5 to 2",5,IF(BT215="Less than 1.5",10,0)))</f>
        <v/>
      </c>
      <c r="BV215" s="30" t="inlineStr">
        <is>
          <t>Above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Less than 0.7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IF(B216=0,"",RANK(B216,$B$2:$B$427,0))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NOVARTIND</t>
        </is>
      </c>
      <c r="D216" s="30" t="inlineStr">
        <is>
          <t>Novartis India Ltd</t>
        </is>
      </c>
      <c r="E216" s="30" t="inlineStr">
        <is>
          <t>healthcare</t>
        </is>
      </c>
      <c r="F216" s="30" t="inlineStr">
        <is>
          <t>pharmaceuticals - multinational</t>
        </is>
      </c>
      <c r="G216" s="30" t="inlineStr">
        <is>
          <t>smallcap</t>
        </is>
      </c>
      <c r="H216" s="31" t="n">
        <v>3368.57</v>
      </c>
      <c r="I216" s="31" t="n">
        <v>1388.9</v>
      </c>
      <c r="J216" s="31" t="n">
        <v>1.8</v>
      </c>
      <c r="K216" s="31" t="n">
        <v>13788</v>
      </c>
      <c r="L216" s="30" t="n">
        <v>68</v>
      </c>
      <c r="M216" s="30" t="inlineStr">
        <is>
          <t>Outperforming</t>
        </is>
      </c>
      <c r="N216" s="31">
        <f>IF(M216="Underperforming",-5,IF(L216&gt;=95,15,IF(L216&gt;=90,10,IF(L216&gt;=80,5,0))))</f>
        <v/>
      </c>
      <c r="O216" s="31" t="n">
        <v>66.41</v>
      </c>
      <c r="P216" s="31" t="n">
        <v>63.47</v>
      </c>
      <c r="Q216" s="31" t="n">
        <v>1201.29</v>
      </c>
      <c r="R216" s="30" t="inlineStr">
        <is>
          <t>Earnings / Momentum Support</t>
        </is>
      </c>
      <c r="S216" s="30" t="inlineStr">
        <is>
          <t>Nifty Pharma</t>
        </is>
      </c>
      <c r="T216" s="31" t="n">
        <v>13.17</v>
      </c>
      <c r="U216" s="31" t="n">
        <v>40.11</v>
      </c>
      <c r="V216" s="31" t="n">
        <v>23.8</v>
      </c>
      <c r="W216" s="31" t="n">
        <v>18.83</v>
      </c>
      <c r="X216" s="30" t="inlineStr">
        <is>
          <t>Growing Industry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Yes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No</t>
        </is>
      </c>
      <c r="AQ216" s="30">
        <f>IF(AP216="Yes",10,0)</f>
        <v/>
      </c>
      <c r="AR216" s="30" t="inlineStr">
        <is>
          <t>Higher Annuity, Lower One Time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Above 40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Close to 52 week high or retracement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Less than 12%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No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Less than 50%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Less than 0.7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IF(B217=0,"",RANK(B217,$B$2:$B$427,0))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APOLLO</t>
        </is>
      </c>
      <c r="D217" s="30" t="inlineStr">
        <is>
          <t>Apollo Micro Systems Ltd</t>
        </is>
      </c>
      <c r="E217" s="30" t="inlineStr">
        <is>
          <t>aerospace &amp; defence</t>
        </is>
      </c>
      <c r="F217" s="30" t="inlineStr">
        <is>
          <t>electronics - components</t>
        </is>
      </c>
      <c r="G217" s="30" t="inlineStr">
        <is>
          <t>midcap</t>
        </is>
      </c>
      <c r="H217" s="31" t="n">
        <v>15242.1</v>
      </c>
      <c r="I217" s="31" t="n">
        <v>433.15</v>
      </c>
      <c r="J217" s="31" t="n">
        <v>1.54</v>
      </c>
      <c r="K217" s="31" t="n">
        <v>10218594</v>
      </c>
      <c r="L217" s="30" t="inlineStr"/>
      <c r="M217" s="30" t="inlineStr"/>
      <c r="N217" s="31">
        <f>IF(M217="Underperforming",-5,IF(L217&gt;=95,15,IF(L217&gt;=90,10,IF(L217&gt;=80,5,0))))</f>
        <v/>
      </c>
      <c r="O217" s="31" t="inlineStr"/>
      <c r="P217" s="31" t="inlineStr"/>
      <c r="Q217" s="31" t="inlineStr"/>
      <c r="R217" s="30" t="inlineStr"/>
      <c r="S217" s="30" t="inlineStr"/>
      <c r="T217" s="31" t="inlineStr"/>
      <c r="U217" s="31" t="inlineStr"/>
      <c r="V217" s="31" t="inlineStr"/>
      <c r="W217" s="31" t="inlineStr"/>
      <c r="X217" s="30" t="inlineStr">
        <is>
          <t>Cyclical in an Upturn</t>
        </is>
      </c>
      <c r="Y217" s="30">
        <f>IF(X217="Growing Industry",10,IF(X217="Cyclical in an Upturn",5,0))</f>
        <v/>
      </c>
      <c r="Z217" s="30" t="inlineStr">
        <is>
          <t>Oligopoly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Cyclical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B2C</t>
        </is>
      </c>
      <c r="AO217" s="30">
        <f>IF(AN217="B2C",10,IF(AN217="B2B",5,0))</f>
        <v/>
      </c>
      <c r="AP217" s="30" t="inlineStr">
        <is>
          <t>Yes</t>
        </is>
      </c>
      <c r="AQ217" s="30">
        <f>IF(AP217="Yes",10,0)</f>
        <v/>
      </c>
      <c r="AR217" s="30" t="inlineStr">
        <is>
          <t>Fully One Time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Above 40</t>
        </is>
      </c>
      <c r="AY217" s="30">
        <f>IF(AX217="Above 40",20,IF(AX217="20 to 40",10,IF(AX217="0 to 20",-5,0)))</f>
        <v/>
      </c>
      <c r="AZ217" s="30" t="inlineStr">
        <is>
          <t>Above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Close to 52 week high or retracement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More than 20%</t>
        </is>
      </c>
      <c r="BO217" s="30">
        <f>IF(BN217="More than 20%",10,IF(BN217="Between 12 to 20%",5,IF(BN217="Less than 12%",0,0)))</f>
        <v/>
      </c>
      <c r="BP217" s="30" t="inlineStr">
        <is>
          <t>Yes</t>
        </is>
      </c>
      <c r="BQ217" s="30">
        <f>IF(BP217="No",10,0)</f>
        <v/>
      </c>
      <c r="BR217" s="30" t="inlineStr">
        <is>
          <t>Yes</t>
        </is>
      </c>
      <c r="BS217" s="30">
        <f>IF(BR217="NO",5,0)</f>
        <v/>
      </c>
      <c r="BT217" s="30" t="inlineStr">
        <is>
          <t>Between 1.5 to 2</t>
        </is>
      </c>
      <c r="BU217" s="30">
        <f>IF(BT217="Above 2",0,IF(BT217="Between 1.5 to 2",5,IF(BT217="Less than 1.5",10,0)))</f>
        <v/>
      </c>
      <c r="BV217" s="30" t="inlineStr">
        <is>
          <t>Above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IF(B218=0,"",RANK(B218,$B$2:$B$427,0))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DIAMONDYD</t>
        </is>
      </c>
      <c r="D218" s="30" t="inlineStr">
        <is>
          <t>Prataap Snacks Ltd</t>
        </is>
      </c>
      <c r="E218" s="30" t="inlineStr">
        <is>
          <t>fmcg</t>
        </is>
      </c>
      <c r="F218" s="30" t="inlineStr">
        <is>
          <t>food - processing - indian</t>
        </is>
      </c>
      <c r="G218" s="30" t="inlineStr">
        <is>
          <t>smallcap</t>
        </is>
      </c>
      <c r="H218" s="31" t="n">
        <v>2688.67</v>
      </c>
      <c r="I218" s="31" t="n">
        <v>1135.7</v>
      </c>
      <c r="J218" s="31" t="n">
        <v>0.97</v>
      </c>
      <c r="K218" s="31" t="n">
        <v>20067</v>
      </c>
      <c r="L218" s="30" t="n">
        <v>32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60.13</v>
      </c>
      <c r="P218" s="31" t="n">
        <v>20.25</v>
      </c>
      <c r="Q218" s="31" t="n">
        <v>926.1799999999999</v>
      </c>
      <c r="R218" s="30" t="inlineStr">
        <is>
          <t>Earnings / Momentum Support</t>
        </is>
      </c>
      <c r="S218" s="30" t="inlineStr">
        <is>
          <t>Nifty FMCG</t>
        </is>
      </c>
      <c r="T218" s="31" t="n">
        <v>-9.279999999999999</v>
      </c>
      <c r="U218" s="31" t="n">
        <v>12.07</v>
      </c>
      <c r="V218" s="31" t="n">
        <v>23.54</v>
      </c>
      <c r="W218" s="31" t="n">
        <v>8.390000000000001</v>
      </c>
      <c r="X218" s="30" t="inlineStr">
        <is>
          <t>Growing Industry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Headwind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B2C</t>
        </is>
      </c>
      <c r="AO218" s="30">
        <f>IF(AN218="B2C",10,IF(AN218="B2B",5,0))</f>
        <v/>
      </c>
      <c r="AP218" s="30" t="inlineStr">
        <is>
          <t>No</t>
        </is>
      </c>
      <c r="AQ218" s="30">
        <f>IF(AP218="Yes",10,0)</f>
        <v/>
      </c>
      <c r="AR218" s="30" t="inlineStr">
        <is>
          <t>Higher Annuity, Lower One Time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20 to 40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Positive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Close to 52 week high or retracement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More than 20%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Yes</t>
        </is>
      </c>
      <c r="BS218" s="30">
        <f>IF(BR218="NO",5,0)</f>
        <v/>
      </c>
      <c r="BT218" s="30" t="inlineStr">
        <is>
          <t>Above 2</t>
        </is>
      </c>
      <c r="BU218" s="30">
        <f>IF(BT218="Above 2",0,IF(BT218="Between 1.5 to 2",5,IF(BT218="Less than 1.5",10,0)))</f>
        <v/>
      </c>
      <c r="BV218" s="30" t="inlineStr">
        <is>
          <t>Between 50% to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IF(B219=0,"",RANK(B219,$B$2:$B$427,0))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0" t="inlineStr">
        <is>
          <t>APOLLOHOSP</t>
        </is>
      </c>
      <c r="D219" s="30" t="inlineStr">
        <is>
          <t>Apollo Hospitals Enterprise Limited</t>
        </is>
      </c>
      <c r="E219" s="30" t="inlineStr">
        <is>
          <t>healthcare</t>
        </is>
      </c>
      <c r="F219" s="30" t="inlineStr">
        <is>
          <t>healthcare</t>
        </is>
      </c>
      <c r="G219" s="30" t="inlineStr">
        <is>
          <t>largecap</t>
        </is>
      </c>
      <c r="H219" s="31" t="n">
        <v>120944.46</v>
      </c>
      <c r="I219" s="31" t="n">
        <v>8489.5</v>
      </c>
      <c r="J219" s="31" t="n">
        <v>0.93</v>
      </c>
      <c r="K219" s="31" t="n">
        <v>333583</v>
      </c>
      <c r="L219" s="30" t="n">
        <v>25</v>
      </c>
      <c r="M219" s="30" t="inlineStr">
        <is>
          <t>Outperforming</t>
        </is>
      </c>
      <c r="N219" s="31">
        <f>IF(M219="Underperforming",-5,IF(L219&gt;=95,15,IF(L219&gt;=90,10,IF(L219&gt;=80,5,0))))</f>
        <v/>
      </c>
      <c r="O219" s="31" t="n">
        <v>66.36</v>
      </c>
      <c r="P219" s="31" t="n">
        <v>14.28</v>
      </c>
      <c r="Q219" s="31" t="n">
        <v>7429.19</v>
      </c>
      <c r="R219" s="30" t="inlineStr">
        <is>
          <t>Near 52W High Breakout</t>
        </is>
      </c>
      <c r="S219" s="30" t="inlineStr">
        <is>
          <t>Nifty Pharma</t>
        </is>
      </c>
      <c r="T219" s="31" t="n">
        <v>13.17</v>
      </c>
      <c r="U219" s="31" t="n">
        <v>20.5</v>
      </c>
      <c r="V219" s="31" t="n">
        <v>6.47</v>
      </c>
      <c r="W219" s="31" t="n">
        <v>7.24</v>
      </c>
      <c r="X219" s="30" t="inlineStr">
        <is>
          <t>Cyclical in an Upturn</t>
        </is>
      </c>
      <c r="Y219" s="30">
        <f>IF(X219="Growing Industry",10,IF(X219="Cyclical in an Upturn",5,0))</f>
        <v/>
      </c>
      <c r="Z219" s="30" t="inlineStr">
        <is>
          <t>Oligopoly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No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Cyclical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B2C</t>
        </is>
      </c>
      <c r="AO219" s="30">
        <f>IF(AN219="B2C",10,IF(AN219="B2B",5,0))</f>
        <v/>
      </c>
      <c r="AP219" s="30" t="inlineStr">
        <is>
          <t>Yes</t>
        </is>
      </c>
      <c r="AQ219" s="30">
        <f>IF(AP219="Yes",10,0)</f>
        <v/>
      </c>
      <c r="AR219" s="30" t="inlineStr">
        <is>
          <t>Fully One Time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Above 40</t>
        </is>
      </c>
      <c r="AY219" s="30">
        <f>IF(AX219="Above 40",20,IF(AX219="20 to 40",10,IF(AX219="0 to 20",-5,0)))</f>
        <v/>
      </c>
      <c r="AZ219" s="30" t="inlineStr">
        <is>
          <t>Above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Positive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Close to 52 week high or retracement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More than 20%</t>
        </is>
      </c>
      <c r="BO219" s="30">
        <f>IF(BN219="More than 20%",10,IF(BN219="Between 12 to 20%",5,IF(BN219="Less than 12%",0,0)))</f>
        <v/>
      </c>
      <c r="BP219" s="30" t="inlineStr">
        <is>
          <t>Yes</t>
        </is>
      </c>
      <c r="BQ219" s="30">
        <f>IF(BP219="No",10,0)</f>
        <v/>
      </c>
      <c r="BR219" s="30" t="inlineStr">
        <is>
          <t>Yes</t>
        </is>
      </c>
      <c r="BS219" s="30">
        <f>IF(BR219="NO",5,0)</f>
        <v/>
      </c>
      <c r="BT219" s="30" t="inlineStr">
        <is>
          <t>Between 1.5 to 2</t>
        </is>
      </c>
      <c r="BU219" s="30">
        <f>IF(BT219="Above 2",0,IF(BT219="Between 1.5 to 2",5,IF(BT219="Less than 1.5",10,0)))</f>
        <v/>
      </c>
      <c r="BV219" s="30" t="inlineStr">
        <is>
          <t>Above 70%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IF(B220=0,"",RANK(B220,$B$2:$B$427,0))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0" t="inlineStr">
        <is>
          <t>STAR</t>
        </is>
      </c>
      <c r="D220" s="30" t="inlineStr">
        <is>
          <t>Strides Shasun Limited</t>
        </is>
      </c>
      <c r="E220" s="30" t="inlineStr">
        <is>
          <t>healthcare</t>
        </is>
      </c>
      <c r="F220" s="30" t="inlineStr">
        <is>
          <t>pharmaceuticals - indian - bulk drugs &amp; formln</t>
        </is>
      </c>
      <c r="G220" s="30" t="inlineStr">
        <is>
          <t>midcap</t>
        </is>
      </c>
      <c r="H220" s="31" t="n">
        <v>10238.55</v>
      </c>
      <c r="I220" s="31" t="n">
        <v>1110.9</v>
      </c>
      <c r="J220" s="31" t="n">
        <v>0.01</v>
      </c>
      <c r="K220" s="31" t="n">
        <v>68321</v>
      </c>
      <c r="L220" s="30" t="n">
        <v>43</v>
      </c>
      <c r="M220" s="30" t="inlineStr">
        <is>
          <t>Outperforming</t>
        </is>
      </c>
      <c r="N220" s="31">
        <f>IF(M220="Underperforming",-5,IF(L220&gt;=95,15,IF(L220&gt;=90,10,IF(L220&gt;=80,5,0))))</f>
        <v/>
      </c>
      <c r="O220" s="31" t="n">
        <v>62.18</v>
      </c>
      <c r="P220" s="31" t="n">
        <v>30.34</v>
      </c>
      <c r="Q220" s="31" t="n">
        <v>878.8099999999999</v>
      </c>
      <c r="R220" s="30" t="inlineStr">
        <is>
          <t>Near 52W High Breakout</t>
        </is>
      </c>
      <c r="S220" s="30" t="inlineStr">
        <is>
          <t>Nifty Pharma</t>
        </is>
      </c>
      <c r="T220" s="31" t="n">
        <v>13.17</v>
      </c>
      <c r="U220" s="31" t="n">
        <v>34.97</v>
      </c>
      <c r="V220" s="31" t="n">
        <v>19.26</v>
      </c>
      <c r="W220" s="31" t="n">
        <v>11.13</v>
      </c>
      <c r="X220" s="30" t="inlineStr">
        <is>
          <t>Growing Industry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Yes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Yes</t>
        </is>
      </c>
      <c r="AQ220" s="30">
        <f>IF(AP220="Yes",10,0)</f>
        <v/>
      </c>
      <c r="AR220" s="30" t="inlineStr">
        <is>
          <t>Higher Annuity, Lower One Time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20 to 40</t>
        </is>
      </c>
      <c r="AY220" s="30">
        <f>IF(AX220="Above 40",20,IF(AX220="20 to 40",10,IF(AX220="0 to 20",-5,0)))</f>
        <v/>
      </c>
      <c r="AZ220" s="30" t="inlineStr">
        <is>
          <t>Between 50 to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Negative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Close to 52 week high or retracement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More than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No</t>
        </is>
      </c>
      <c r="BS220" s="30">
        <f>IF(BR220="NO",5,0)</f>
        <v/>
      </c>
      <c r="BT220" s="30" t="inlineStr">
        <is>
          <t>Less than 1.5</t>
        </is>
      </c>
      <c r="BU220" s="30">
        <f>IF(BT220="Above 2",0,IF(BT220="Between 1.5 to 2",5,IF(BT220="Less than 1.5",10,0)))</f>
        <v/>
      </c>
      <c r="BV220" s="30" t="inlineStr">
        <is>
          <t>Above 70%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IF(B221=0,"",RANK(B221,$B$2:$B$427,0))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2" t="inlineStr">
        <is>
          <t>LALPATHLAB</t>
        </is>
      </c>
      <c r="D221" s="32" t="inlineStr">
        <is>
          <t>Dr. Lal Path Labs Ltd.</t>
        </is>
      </c>
      <c r="E221" s="30" t="inlineStr">
        <is>
          <t>healthcare</t>
        </is>
      </c>
      <c r="F221" s="30" t="inlineStr">
        <is>
          <t>healthcare</t>
        </is>
      </c>
      <c r="G221" s="30" t="inlineStr">
        <is>
          <t>largecap</t>
        </is>
      </c>
      <c r="H221" s="31" t="n">
        <v>27862.72</v>
      </c>
      <c r="I221" s="31" t="n">
        <v>1635.8</v>
      </c>
      <c r="J221" s="31" t="n">
        <v>-1.63</v>
      </c>
      <c r="K221" s="31" t="n">
        <v>226868</v>
      </c>
      <c r="L221" s="30" t="n">
        <v>34</v>
      </c>
      <c r="M221" s="30" t="inlineStr">
        <is>
          <t>Underperforming</t>
        </is>
      </c>
      <c r="N221" s="31">
        <f>IF(M221="Underperforming",-5,IF(L221&gt;=95,15,IF(L221&gt;=90,10,IF(L221&gt;=80,5,0))))</f>
        <v/>
      </c>
      <c r="O221" s="31" t="n">
        <v>61.79</v>
      </c>
      <c r="P221" s="31" t="n">
        <v>25.07</v>
      </c>
      <c r="Q221" s="31" t="n">
        <v>1314.86</v>
      </c>
      <c r="R221" s="30" t="inlineStr">
        <is>
          <t>Volume Spike / Accumulation</t>
        </is>
      </c>
      <c r="S221" s="30" t="inlineStr">
        <is>
          <t>Nifty Pharma</t>
        </is>
      </c>
      <c r="T221" s="31" t="n">
        <v>13.17</v>
      </c>
      <c r="U221" s="31" t="n">
        <v>13.08</v>
      </c>
      <c r="V221" s="31" t="n">
        <v>-0.08</v>
      </c>
      <c r="W221" s="31" t="n">
        <v>8.83</v>
      </c>
      <c r="X221" s="30" t="inlineStr">
        <is>
          <t>Growing Industry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Yes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Yes</t>
        </is>
      </c>
      <c r="AQ221" s="30">
        <f>IF(AP221="Yes",10,0)</f>
        <v/>
      </c>
      <c r="AR221" s="30" t="inlineStr">
        <is>
          <t>Higher Annuity, Lower One Time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20 to 40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2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Less than 12%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Yes</t>
        </is>
      </c>
      <c r="BS221" s="30">
        <f>IF(BR221="NO",5,0)</f>
        <v/>
      </c>
      <c r="BT221" s="30" t="inlineStr">
        <is>
          <t>Above 2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IF(B222=0,"",RANK(B222,$B$2:$B$427,0))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RML</t>
        </is>
      </c>
      <c r="D222" s="30" t="inlineStr">
        <is>
          <t>Rane (madras) Limited</t>
        </is>
      </c>
      <c r="E222" s="30" t="inlineStr">
        <is>
          <t>auto</t>
        </is>
      </c>
      <c r="F222" s="30" t="inlineStr">
        <is>
          <t>auto ancillaries</t>
        </is>
      </c>
      <c r="G222" s="30" t="inlineStr">
        <is>
          <t>smallcap</t>
        </is>
      </c>
      <c r="H222" s="31" t="n">
        <v>2727.09</v>
      </c>
      <c r="I222" s="31" t="n">
        <v>1121.15</v>
      </c>
      <c r="J222" s="31" t="n">
        <v>13.62</v>
      </c>
      <c r="K222" s="31" t="n">
        <v>2085525</v>
      </c>
      <c r="L222" s="30" t="n">
        <v>64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73.61</v>
      </c>
      <c r="P222" s="31" t="n">
        <v>23.16</v>
      </c>
      <c r="Q222" s="31" t="n">
        <v>890.5599999999999</v>
      </c>
      <c r="R222" s="30" t="inlineStr">
        <is>
          <t>Volume Spike &amp; Near 52W High Breakout</t>
        </is>
      </c>
      <c r="S222" s="30" t="inlineStr">
        <is>
          <t>Nifty Auto</t>
        </is>
      </c>
      <c r="T222" s="31" t="n">
        <v>12.26</v>
      </c>
      <c r="U222" s="31" t="n">
        <v>22.88</v>
      </c>
      <c r="V222" s="31" t="n">
        <v>9.460000000000001</v>
      </c>
      <c r="W222" s="31" t="n">
        <v>17.57</v>
      </c>
      <c r="X222" s="30" t="inlineStr">
        <is>
          <t>Growing Industry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Yes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20 to 40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Close to 52 week high or retracement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Less than 12%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No</t>
        </is>
      </c>
      <c r="BS222" s="30">
        <f>IF(BR222="NO",5,0)</f>
        <v/>
      </c>
      <c r="BT222" s="30" t="inlineStr">
        <is>
          <t>Above 2</t>
        </is>
      </c>
      <c r="BU222" s="30">
        <f>IF(BT222="Above 2",0,IF(BT222="Between 1.5 to 2",5,IF(BT222="Less than 1.5",10,0)))</f>
        <v/>
      </c>
      <c r="BV222" s="30" t="inlineStr">
        <is>
          <t>Between 50% to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Between 0.7 to 1.2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IF(B223=0,"",RANK(B223,$B$2:$B$427,0))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2" t="inlineStr">
        <is>
          <t>RATNAMANI</t>
        </is>
      </c>
      <c r="D223" s="32" t="inlineStr">
        <is>
          <t>Ratnamani Metals &amp; Tubes Limited</t>
        </is>
      </c>
      <c r="E223" s="30" t="inlineStr">
        <is>
          <t>industrials</t>
        </is>
      </c>
      <c r="F223" s="30" t="inlineStr">
        <is>
          <t>steel - medium / small</t>
        </is>
      </c>
      <c r="G223" s="30" t="inlineStr">
        <is>
          <t>midcap</t>
        </is>
      </c>
      <c r="H223" s="31" t="n">
        <v>18406.16</v>
      </c>
      <c r="I223" s="31" t="n">
        <v>2770.9</v>
      </c>
      <c r="J223" s="31" t="n">
        <v>5.52</v>
      </c>
      <c r="K223" s="31" t="n">
        <v>65426</v>
      </c>
      <c r="L223" s="30" t="n">
        <v>12</v>
      </c>
      <c r="M223" s="30" t="inlineStr">
        <is>
          <t>Underperforming</t>
        </is>
      </c>
      <c r="N223" s="31">
        <f>IF(M223="Underperforming",-5,IF(L223&gt;=95,15,IF(L223&gt;=90,10,IF(L223&gt;=80,5,0))))</f>
        <v/>
      </c>
      <c r="O223" s="31" t="n">
        <v>60.67</v>
      </c>
      <c r="P223" s="31" t="n">
        <v>27.08</v>
      </c>
      <c r="Q223" s="31" t="n">
        <v>2202.92</v>
      </c>
      <c r="R223" s="30" t="inlineStr">
        <is>
          <t>Near 52W High Breakout</t>
        </is>
      </c>
      <c r="S223" s="30" t="inlineStr">
        <is>
          <t>Nifty Metal</t>
        </is>
      </c>
      <c r="T223" s="31" t="n">
        <v>42.48</v>
      </c>
      <c r="U223" s="31" t="n">
        <v>-1.65</v>
      </c>
      <c r="V223" s="31" t="n">
        <v>-30.98</v>
      </c>
      <c r="W223" s="31" t="n">
        <v>4.25</v>
      </c>
      <c r="X223" s="30" t="inlineStr">
        <is>
          <t>Cyclical in an Upturn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Yes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20 to 40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2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Close to 52 week high or retracement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Less than 12%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Yes</t>
        </is>
      </c>
      <c r="BS223" s="30">
        <f>IF(BR223="NO",5,0)</f>
        <v/>
      </c>
      <c r="BT223" s="30" t="inlineStr">
        <is>
          <t>Above 2</t>
        </is>
      </c>
      <c r="BU223" s="30">
        <f>IF(BT223="Above 2",0,IF(BT223="Between 1.5 to 2",5,IF(BT223="Less than 1.5",10,0)))</f>
        <v/>
      </c>
      <c r="BV223" s="30" t="inlineStr">
        <is>
          <t>Above 70%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IF(B224=0,"",RANK(B224,$B$2:$B$427,0))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0" t="inlineStr">
        <is>
          <t>INDOTECH</t>
        </is>
      </c>
      <c r="D224" s="30" t="inlineStr">
        <is>
          <t>Indo Tech Transformers Limited</t>
        </is>
      </c>
      <c r="E224" s="30" t="inlineStr">
        <is>
          <t>industrials</t>
        </is>
      </c>
      <c r="F224" s="30" t="inlineStr">
        <is>
          <t>electric equipment</t>
        </is>
      </c>
      <c r="G224" s="30" t="inlineStr">
        <is>
          <t>smallcap</t>
        </is>
      </c>
      <c r="H224" s="31" t="n">
        <v>2710.33</v>
      </c>
      <c r="I224" s="31" t="n">
        <v>2679.7</v>
      </c>
      <c r="J224" s="31" t="n">
        <v>5</v>
      </c>
      <c r="K224" s="31" t="n">
        <v>11699</v>
      </c>
      <c r="L224" s="30" t="n">
        <v>89</v>
      </c>
      <c r="M224" s="30" t="inlineStr">
        <is>
          <t>Outperforming</t>
        </is>
      </c>
      <c r="N224" s="31">
        <f>IF(M224="Underperforming",-5,IF(L224&gt;=95,15,IF(L224&gt;=90,10,IF(L224&gt;=80,5,0))))</f>
        <v/>
      </c>
      <c r="O224" s="31" t="n">
        <v>65.75</v>
      </c>
      <c r="P224" s="31" t="n">
        <v>37.19</v>
      </c>
      <c r="Q224" s="31" t="n">
        <v>1972.61</v>
      </c>
      <c r="R224" s="30" t="inlineStr">
        <is>
          <t>Earnings / Momentum Support</t>
        </is>
      </c>
      <c r="S224" s="30" t="inlineStr">
        <is>
          <t>Nifty 50</t>
        </is>
      </c>
      <c r="T224" s="31" t="n">
        <v>-4.38</v>
      </c>
      <c r="U224" s="31" t="n">
        <v>34.64</v>
      </c>
      <c r="V224" s="31" t="n">
        <v>40.8</v>
      </c>
      <c r="W224" s="31" t="n">
        <v>34.65</v>
      </c>
      <c r="X224" s="30" t="inlineStr">
        <is>
          <t>Cyclical in an Upturn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No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No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20 to 40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Close to 52 week high or retracement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Between 12 to 20%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No</t>
        </is>
      </c>
      <c r="BS224" s="30">
        <f>IF(BR224="NO",5,0)</f>
        <v/>
      </c>
      <c r="BT224" s="30" t="inlineStr">
        <is>
          <t>Above 2</t>
        </is>
      </c>
      <c r="BU224" s="30">
        <f>IF(BT224="Above 2",0,IF(BT224="Between 1.5 to 2",5,IF(BT224="Less than 1.5",10,0)))</f>
        <v/>
      </c>
      <c r="BV224" s="30" t="inlineStr">
        <is>
          <t>Less than 50%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IF(B225=0,"",RANK(B225,$B$2:$B$427,0))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GABRIEL</t>
        </is>
      </c>
      <c r="D225" s="30" t="inlineStr">
        <is>
          <t>Gabriel India Limited</t>
        </is>
      </c>
      <c r="E225" s="30" t="inlineStr">
        <is>
          <t>auto</t>
        </is>
      </c>
      <c r="F225" s="30" t="inlineStr">
        <is>
          <t>auto ancillaries</t>
        </is>
      </c>
      <c r="G225" s="30" t="inlineStr">
        <is>
          <t>midcap</t>
        </is>
      </c>
      <c r="H225" s="31" t="n">
        <v>16402.7</v>
      </c>
      <c r="I225" s="31" t="n">
        <v>1197.4</v>
      </c>
      <c r="J225" s="31" t="n">
        <v>4.86</v>
      </c>
      <c r="K225" s="31" t="n">
        <v>1368095</v>
      </c>
      <c r="L225" s="30" t="n">
        <v>88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61.69</v>
      </c>
      <c r="P225" s="31" t="n">
        <v>16.95</v>
      </c>
      <c r="Q225" s="31" t="n">
        <v>900.91</v>
      </c>
      <c r="R225" s="30" t="inlineStr">
        <is>
          <t>Volume Spike / Accumulation</t>
        </is>
      </c>
      <c r="S225" s="30" t="inlineStr">
        <is>
          <t>Nifty Auto</t>
        </is>
      </c>
      <c r="T225" s="31" t="n">
        <v>12.26</v>
      </c>
      <c r="U225" s="31" t="n">
        <v>102.69</v>
      </c>
      <c r="V225" s="31" t="n">
        <v>80.55</v>
      </c>
      <c r="W225" s="31" t="n">
        <v>31.69</v>
      </c>
      <c r="X225" s="30" t="inlineStr">
        <is>
          <t>Growing Industry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Yes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0 to 20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Close to 52 week high or retracement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Less than 12%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Yes</t>
        </is>
      </c>
      <c r="BS225" s="30">
        <f>IF(BR225="NO",5,0)</f>
        <v/>
      </c>
      <c r="BT225" s="30" t="inlineStr">
        <is>
          <t>Above 2</t>
        </is>
      </c>
      <c r="BU225" s="30">
        <f>IF(BT225="Above 2",0,IF(BT225="Between 1.5 to 2",5,IF(BT225="Less than 1.5",10,0)))</f>
        <v/>
      </c>
      <c r="BV225" s="30" t="inlineStr">
        <is>
          <t>Above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IF(B226=0,"",RANK(B226,$B$2:$B$427,0))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0" t="inlineStr">
        <is>
          <t>CARBORUNIV</t>
        </is>
      </c>
      <c r="D226" s="30" t="inlineStr">
        <is>
          <t>Carborundum Universal Limited</t>
        </is>
      </c>
      <c r="E226" s="30" t="inlineStr">
        <is>
          <t>industrials</t>
        </is>
      </c>
      <c r="F226" s="30" t="inlineStr">
        <is>
          <t>abrasives and grinding wheels</t>
        </is>
      </c>
      <c r="G226" s="30" t="inlineStr">
        <is>
          <t>largecap</t>
        </is>
      </c>
      <c r="H226" s="31" t="n">
        <v>22710.52</v>
      </c>
      <c r="I226" s="31" t="n">
        <v>1241.7</v>
      </c>
      <c r="J226" s="31" t="n">
        <v>4.15</v>
      </c>
      <c r="K226" s="31" t="n">
        <v>2169097</v>
      </c>
      <c r="L226" s="30" t="n">
        <v>74</v>
      </c>
      <c r="M226" s="30" t="inlineStr">
        <is>
          <t>Outperforming</t>
        </is>
      </c>
      <c r="N226" s="31">
        <f>IF(M226="Underperforming",-5,IF(L226&gt;=95,15,IF(L226&gt;=90,10,IF(L226&gt;=80,5,0))))</f>
        <v/>
      </c>
      <c r="O226" s="31" t="n">
        <v>75.52</v>
      </c>
      <c r="P226" s="31" t="n">
        <v>34.92</v>
      </c>
      <c r="Q226" s="31" t="n">
        <v>984.71</v>
      </c>
      <c r="R226" s="30" t="inlineStr">
        <is>
          <t>Volume Spike &amp; Near 52W High Breakout</t>
        </is>
      </c>
      <c r="S226" s="30" t="inlineStr">
        <is>
          <t>Nifty 50</t>
        </is>
      </c>
      <c r="T226" s="31" t="n">
        <v>-4.38</v>
      </c>
      <c r="U226" s="31" t="n">
        <v>33</v>
      </c>
      <c r="V226" s="31" t="n">
        <v>39.09</v>
      </c>
      <c r="W226" s="31" t="n">
        <v>21.69</v>
      </c>
      <c r="X226" s="30" t="inlineStr">
        <is>
          <t>Cyclical in an Upturn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Yes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Above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More than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Yes</t>
        </is>
      </c>
      <c r="BS226" s="30">
        <f>IF(BR226="NO",5,0)</f>
        <v/>
      </c>
      <c r="BT226" s="30" t="inlineStr">
        <is>
          <t>Above 2</t>
        </is>
      </c>
      <c r="BU226" s="30">
        <f>IF(BT226="Above 2",0,IF(BT226="Between 1.5 to 2",5,IF(BT226="Less than 1.5",10,0)))</f>
        <v/>
      </c>
      <c r="BV226" s="30" t="inlineStr">
        <is>
          <t>Between 50% to 70%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Less than 0.7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IF(B227=0,"",RANK(B227,$B$2:$B$427,0))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GALAPREC</t>
        </is>
      </c>
      <c r="D227" s="30" t="inlineStr">
        <is>
          <t>Gala Precision Engineering Ltd</t>
        </is>
      </c>
      <c r="E227" s="30" t="inlineStr">
        <is>
          <t>industrials</t>
        </is>
      </c>
      <c r="F227" s="30" t="inlineStr">
        <is>
          <t>fasteners</t>
        </is>
      </c>
      <c r="G227" s="30" t="inlineStr">
        <is>
          <t>smallcap</t>
        </is>
      </c>
      <c r="H227" s="31" t="n">
        <v>1301.8</v>
      </c>
      <c r="I227" s="31" t="n">
        <v>1060.35</v>
      </c>
      <c r="J227" s="31" t="n">
        <v>3.85</v>
      </c>
      <c r="K227" s="31" t="n">
        <v>98089</v>
      </c>
      <c r="L227" s="30" t="n">
        <v>52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74.33</v>
      </c>
      <c r="P227" s="31" t="n">
        <v>23.71</v>
      </c>
      <c r="Q227" s="31" t="n">
        <v>817.03</v>
      </c>
      <c r="R227" s="30" t="inlineStr">
        <is>
          <t>Volume Spike &amp; Near 52W High Breakout</t>
        </is>
      </c>
      <c r="S227" s="30" t="inlineStr">
        <is>
          <t>Nifty 50</t>
        </is>
      </c>
      <c r="T227" s="31" t="n">
        <v>-4.38</v>
      </c>
      <c r="U227" s="31" t="n">
        <v>21.93</v>
      </c>
      <c r="V227" s="31" t="n">
        <v>27.51</v>
      </c>
      <c r="W227" s="31" t="n">
        <v>13.68</v>
      </c>
      <c r="X227" s="30" t="inlineStr">
        <is>
          <t>Cyclical in an Upturn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Yes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20 to 40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Close to 52 week high or retracement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Less than 12%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No</t>
        </is>
      </c>
      <c r="BS227" s="30">
        <f>IF(BR227="NO",5,0)</f>
        <v/>
      </c>
      <c r="BT227" s="30" t="inlineStr">
        <is>
          <t>Above 2</t>
        </is>
      </c>
      <c r="BU227" s="30">
        <f>IF(BT227="Above 2",0,IF(BT227="Between 1.5 to 2",5,IF(BT227="Less than 1.5",10,0)))</f>
        <v/>
      </c>
      <c r="BV227" s="30" t="inlineStr">
        <is>
          <t>Less than 50%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IF(B228=0,"",RANK(B228,$B$2:$B$427,0))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0" t="inlineStr">
        <is>
          <t>SCHAEFFLER</t>
        </is>
      </c>
      <c r="D228" s="30" t="inlineStr">
        <is>
          <t>Schaeffler India Ltd</t>
        </is>
      </c>
      <c r="E228" s="30" t="inlineStr">
        <is>
          <t>industrials</t>
        </is>
      </c>
      <c r="F228" s="30" t="inlineStr">
        <is>
          <t>bearings</t>
        </is>
      </c>
      <c r="G228" s="30" t="inlineStr">
        <is>
          <t>largecap</t>
        </is>
      </c>
      <c r="H228" s="31" t="n">
        <v>65428.72</v>
      </c>
      <c r="I228" s="31" t="n">
        <v>4329.9</v>
      </c>
      <c r="J228" s="31" t="n">
        <v>3.44</v>
      </c>
      <c r="K228" s="31" t="n">
        <v>259040</v>
      </c>
      <c r="L228" s="30" t="n">
        <v>7</v>
      </c>
      <c r="M228" s="30" t="inlineStr">
        <is>
          <t>Outperforming</t>
        </is>
      </c>
      <c r="N228" s="31">
        <f>IF(M228="Underperforming",-5,IF(L228&gt;=95,15,IF(L228&gt;=90,10,IF(L228&gt;=80,5,0))))</f>
        <v/>
      </c>
      <c r="O228" s="31" t="n">
        <v>58.14</v>
      </c>
      <c r="P228" s="31" t="n">
        <v>15.43</v>
      </c>
      <c r="Q228" s="31" t="n">
        <v>3458.63</v>
      </c>
      <c r="R228" s="30" t="inlineStr">
        <is>
          <t>Near 52W High Breakout</t>
        </is>
      </c>
      <c r="S228" s="30" t="inlineStr">
        <is>
          <t>Nifty 50</t>
        </is>
      </c>
      <c r="T228" s="31" t="n">
        <v>-4.38</v>
      </c>
      <c r="U228" s="31" t="n">
        <v>11.18</v>
      </c>
      <c r="V228" s="31" t="n">
        <v>16.27</v>
      </c>
      <c r="W228" s="31" t="n">
        <v>3.15</v>
      </c>
      <c r="X228" s="30" t="inlineStr">
        <is>
          <t>Cyclical in an Upturn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Yes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0 to 20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Close to 52 week high or retracement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More than 20%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Yes</t>
        </is>
      </c>
      <c r="BS228" s="30">
        <f>IF(BR228="NO",5,0)</f>
        <v/>
      </c>
      <c r="BT228" s="30" t="inlineStr">
        <is>
          <t>Above 2</t>
        </is>
      </c>
      <c r="BU228" s="30">
        <f>IF(BT228="Above 2",0,IF(BT228="Between 1.5 to 2",5,IF(BT228="Less than 1.5",10,0)))</f>
        <v/>
      </c>
      <c r="BV228" s="30" t="inlineStr">
        <is>
          <t>Above 70%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Less than 0.7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IF(B229=0,"",RANK(B229,$B$2:$B$427,0))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SETL</t>
        </is>
      </c>
      <c r="D229" s="30" t="inlineStr">
        <is>
          <t>Standard Enginnering Technology Ltd</t>
        </is>
      </c>
      <c r="E229" s="30" t="inlineStr">
        <is>
          <t>industrials</t>
        </is>
      </c>
      <c r="F229" s="30" t="inlineStr">
        <is>
          <t>engineering</t>
        </is>
      </c>
      <c r="G229" s="30" t="inlineStr">
        <is>
          <t>smallcap</t>
        </is>
      </c>
      <c r="H229" s="31" t="n">
        <v>3594.24</v>
      </c>
      <c r="I229" s="31" t="n">
        <v>186.11</v>
      </c>
      <c r="J229" s="31" t="n">
        <v>3.3</v>
      </c>
      <c r="K229" s="31" t="n">
        <v>1112956</v>
      </c>
      <c r="L229" s="30" t="n">
        <v>65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71.31999999999999</v>
      </c>
      <c r="P229" s="31" t="n">
        <v>15.24</v>
      </c>
      <c r="Q229" s="31" t="n">
        <v>141.27</v>
      </c>
      <c r="R229" s="30" t="inlineStr">
        <is>
          <t>Volume Spike &amp; Near 52W High Breakout</t>
        </is>
      </c>
      <c r="S229" s="30" t="inlineStr">
        <is>
          <t>Nifty Infra</t>
        </is>
      </c>
      <c r="T229" s="31" t="n">
        <v>4.18</v>
      </c>
      <c r="U229" s="31" t="n">
        <v>9.77</v>
      </c>
      <c r="V229" s="31" t="n">
        <v>5.37</v>
      </c>
      <c r="W229" s="31" t="n">
        <v>17.67</v>
      </c>
      <c r="X229" s="30" t="inlineStr">
        <is>
          <t>Cyclical in an Upturn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Yes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0 to 20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Blue sky scenario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More than 20%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Yes</t>
        </is>
      </c>
      <c r="BS229" s="30">
        <f>IF(BR229="NO",5,0)</f>
        <v/>
      </c>
      <c r="BT229" s="30" t="inlineStr">
        <is>
          <t>Between 1.5 to 2</t>
        </is>
      </c>
      <c r="BU229" s="30">
        <f>IF(BT229="Above 2",0,IF(BT229="Between 1.5 to 2",5,IF(BT229="Less than 1.5",10,0)))</f>
        <v/>
      </c>
      <c r="BV229" s="30" t="inlineStr">
        <is>
          <t>Less than 50%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Less than 0.7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IF(B230=0,"",RANK(B230,$B$2:$B$427,0))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0" t="inlineStr">
        <is>
          <t>SOTL</t>
        </is>
      </c>
      <c r="D230" s="30" t="inlineStr">
        <is>
          <t>Savita Oil Technologies Limited</t>
        </is>
      </c>
      <c r="E230" s="30" t="inlineStr">
        <is>
          <t>energy</t>
        </is>
      </c>
      <c r="F230" s="30" t="inlineStr">
        <is>
          <t>petrochemicals</t>
        </is>
      </c>
      <c r="G230" s="30" t="inlineStr">
        <is>
          <t>smallcap</t>
        </is>
      </c>
      <c r="H230" s="31" t="n">
        <v>4040.95</v>
      </c>
      <c r="I230" s="31" t="n">
        <v>604.8</v>
      </c>
      <c r="J230" s="31" t="n">
        <v>2.61</v>
      </c>
      <c r="K230" s="31" t="n">
        <v>186206</v>
      </c>
      <c r="L230" s="30" t="n">
        <v>83</v>
      </c>
      <c r="M230" s="30" t="inlineStr">
        <is>
          <t>Outperforming</t>
        </is>
      </c>
      <c r="N230" s="31">
        <f>IF(M230="Underperforming",-5,IF(L230&gt;=95,15,IF(L230&gt;=90,10,IF(L230&gt;=80,5,0))))</f>
        <v/>
      </c>
      <c r="O230" s="31" t="n">
        <v>77.66</v>
      </c>
      <c r="P230" s="31" t="n">
        <v>31.46</v>
      </c>
      <c r="Q230" s="31" t="n">
        <v>463.29</v>
      </c>
      <c r="R230" s="30" t="inlineStr">
        <is>
          <t>Near 52W High Breakout</t>
        </is>
      </c>
      <c r="S230" s="30" t="inlineStr">
        <is>
          <t>Nifty Energy</t>
        </is>
      </c>
      <c r="T230" s="31" t="n">
        <v>13.9</v>
      </c>
      <c r="U230" s="31" t="n">
        <v>47.4</v>
      </c>
      <c r="V230" s="31" t="n">
        <v>29.41</v>
      </c>
      <c r="W230" s="31" t="n">
        <v>27.15</v>
      </c>
      <c r="X230" s="30" t="inlineStr">
        <is>
          <t>Cyclical in an Upturn</t>
        </is>
      </c>
      <c r="Y230" s="30">
        <f>IF(X230="Growing Industry",10,IF(X230="Cyclical in an Upturn",5,0))</f>
        <v/>
      </c>
      <c r="Z230" s="30" t="inlineStr">
        <is>
          <t>Oligopoly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Yes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Cyclical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Volatile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Yes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20 to 40</t>
        </is>
      </c>
      <c r="AY230" s="30">
        <f>IF(AX230="Above 40",20,IF(AX230="20 to 40",10,IF(AX230="0 to 20",-5,0)))</f>
        <v/>
      </c>
      <c r="AZ230" s="30" t="inlineStr">
        <is>
          <t>Above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Blue sky scenario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More than 20%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No</t>
        </is>
      </c>
      <c r="BS230" s="30">
        <f>IF(BR230="NO",5,0)</f>
        <v/>
      </c>
      <c r="BT230" s="30" t="inlineStr">
        <is>
          <t>Less than 1.5</t>
        </is>
      </c>
      <c r="BU230" s="30">
        <f>IF(BT230="Above 2",0,IF(BT230="Between 1.5 to 2",5,IF(BT230="Less than 1.5",10,0)))</f>
        <v/>
      </c>
      <c r="BV230" s="30" t="inlineStr">
        <is>
          <t>Between 50% to 70%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IF(B231=0,"",RANK(B231,$B$2:$B$427,0))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0" t="inlineStr">
        <is>
          <t>LLOYDSENGG</t>
        </is>
      </c>
      <c r="D231" s="30" t="inlineStr">
        <is>
          <t>Lloyds Engineering Works Ltd</t>
        </is>
      </c>
      <c r="E231" s="30" t="inlineStr">
        <is>
          <t>industrials</t>
        </is>
      </c>
      <c r="F231" s="30" t="inlineStr">
        <is>
          <t>engineering</t>
        </is>
      </c>
      <c r="G231" s="30" t="inlineStr">
        <is>
          <t>midcap</t>
        </is>
      </c>
      <c r="H231" s="31" t="n">
        <v>12545.18</v>
      </c>
      <c r="I231" s="31" t="n">
        <v>86.84</v>
      </c>
      <c r="J231" s="31" t="n">
        <v>2.45</v>
      </c>
      <c r="K231" s="31" t="n">
        <v>41805397</v>
      </c>
      <c r="L231" s="30" t="n">
        <v>92</v>
      </c>
      <c r="M231" s="30" t="inlineStr">
        <is>
          <t>Outperforming</t>
        </is>
      </c>
      <c r="N231" s="31">
        <f>IF(M231="Underperforming",-5,IF(L231&gt;=95,15,IF(L231&gt;=90,10,IF(L231&gt;=80,5,0))))</f>
        <v/>
      </c>
      <c r="O231" s="31" t="n">
        <v>75.70999999999999</v>
      </c>
      <c r="P231" s="31" t="n">
        <v>30.43</v>
      </c>
      <c r="Q231" s="31" t="n">
        <v>65.14</v>
      </c>
      <c r="R231" s="30" t="inlineStr">
        <is>
          <t>Volume Spike &amp; Near 52W High Breakout</t>
        </is>
      </c>
      <c r="S231" s="30" t="inlineStr">
        <is>
          <t>Nifty 50</t>
        </is>
      </c>
      <c r="T231" s="31" t="n">
        <v>-4.38</v>
      </c>
      <c r="U231" s="31" t="n">
        <v>52.12</v>
      </c>
      <c r="V231" s="31" t="n">
        <v>59.08</v>
      </c>
      <c r="W231" s="31" t="n">
        <v>38.76</v>
      </c>
      <c r="X231" s="30" t="inlineStr">
        <is>
          <t>Cyclical in an Upturn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Yes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20 to 40</t>
        </is>
      </c>
      <c r="AY231" s="30">
        <f>IF(AX231="Above 40",20,IF(AX231="20 to 40",10,IF(AX231="0 to 20",-5,0)))</f>
        <v/>
      </c>
      <c r="AZ231" s="30" t="inlineStr">
        <is>
          <t>Above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Blue sky scenario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More than 20%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Yes</t>
        </is>
      </c>
      <c r="BS231" s="30">
        <f>IF(BR231="NO",5,0)</f>
        <v/>
      </c>
      <c r="BT231" s="30" t="inlineStr">
        <is>
          <t>Above 2</t>
        </is>
      </c>
      <c r="BU231" s="30">
        <f>IF(BT231="Above 2",0,IF(BT231="Between 1.5 to 2",5,IF(BT231="Less than 1.5",10,0)))</f>
        <v/>
      </c>
      <c r="BV231" s="30" t="inlineStr">
        <is>
          <t>Negative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IF(B232=0,"",RANK(B232,$B$2:$B$427,0))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0" t="inlineStr">
        <is>
          <t>KDDL</t>
        </is>
      </c>
      <c r="D232" s="30" t="inlineStr">
        <is>
          <t>Kddl Limited</t>
        </is>
      </c>
      <c r="E232" s="30" t="inlineStr">
        <is>
          <t>consumer discretionary</t>
        </is>
      </c>
      <c r="F232" s="30" t="inlineStr">
        <is>
          <t>miscellaneous</t>
        </is>
      </c>
      <c r="G232" s="30" t="inlineStr">
        <is>
          <t>smallcap</t>
        </is>
      </c>
      <c r="H232" s="31" t="n">
        <v>3577.61</v>
      </c>
      <c r="I232" s="31" t="n">
        <v>2959.7</v>
      </c>
      <c r="J232" s="31" t="n">
        <v>1.75</v>
      </c>
      <c r="K232" s="31" t="n">
        <v>24109</v>
      </c>
      <c r="L232" s="30" t="n">
        <v>39</v>
      </c>
      <c r="M232" s="30" t="inlineStr">
        <is>
          <t>Outperforming</t>
        </is>
      </c>
      <c r="N232" s="31">
        <f>IF(M232="Underperforming",-5,IF(L232&gt;=95,15,IF(L232&gt;=90,10,IF(L232&gt;=80,5,0))))</f>
        <v/>
      </c>
      <c r="O232" s="31" t="n">
        <v>63.38</v>
      </c>
      <c r="P232" s="31" t="n">
        <v>17.14</v>
      </c>
      <c r="Q232" s="31" t="n">
        <v>2176.28</v>
      </c>
      <c r="R232" s="30" t="inlineStr">
        <is>
          <t>Near 52W High Breakout</t>
        </is>
      </c>
      <c r="S232" s="30" t="inlineStr">
        <is>
          <t>Nifty 50</t>
        </is>
      </c>
      <c r="T232" s="31" t="n">
        <v>-4.38</v>
      </c>
      <c r="U232" s="31" t="n">
        <v>9.02</v>
      </c>
      <c r="V232" s="31" t="n">
        <v>14.01</v>
      </c>
      <c r="W232" s="31" t="n">
        <v>9.869999999999999</v>
      </c>
      <c r="X232" s="30" t="inlineStr">
        <is>
          <t>Growing Industry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No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Yes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0 to 20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Close to 52 week high or retracement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More than 20%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Yes</t>
        </is>
      </c>
      <c r="BS232" s="30">
        <f>IF(BR232="NO",5,0)</f>
        <v/>
      </c>
      <c r="BT232" s="30" t="inlineStr">
        <is>
          <t>Between 1.5 to 2</t>
        </is>
      </c>
      <c r="BU232" s="30">
        <f>IF(BT232="Above 2",0,IF(BT232="Between 1.5 to 2",5,IF(BT232="Less than 1.5",10,0)))</f>
        <v/>
      </c>
      <c r="BV232" s="30" t="inlineStr">
        <is>
          <t>Less than 50%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IF(B233=0,"",RANK(B233,$B$2:$B$427,0))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NYKAA</t>
        </is>
      </c>
      <c r="D233" s="30" t="inlineStr">
        <is>
          <t>FSN E-Commerce Ventures Ltd</t>
        </is>
      </c>
      <c r="E233" s="30" t="inlineStr">
        <is>
          <t>i.t</t>
        </is>
      </c>
      <c r="F233" s="30" t="inlineStr">
        <is>
          <t>trading</t>
        </is>
      </c>
      <c r="G233" s="30" t="inlineStr">
        <is>
          <t>largecap</t>
        </is>
      </c>
      <c r="H233" s="31" t="n">
        <v>85352.81</v>
      </c>
      <c r="I233" s="31" t="n">
        <v>302.3</v>
      </c>
      <c r="J233" s="31" t="n">
        <v>1.41</v>
      </c>
      <c r="K233" s="31" t="n">
        <v>13610176</v>
      </c>
      <c r="L233" s="30" t="n">
        <v>57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67.42</v>
      </c>
      <c r="P233" s="31" t="n">
        <v>19.32</v>
      </c>
      <c r="Q233" s="31" t="n">
        <v>249.32</v>
      </c>
      <c r="R233" s="30" t="inlineStr">
        <is>
          <t>Volume Spike &amp; Near 52W High Breakout</t>
        </is>
      </c>
      <c r="S233" s="30" t="inlineStr">
        <is>
          <t>Nifty IT</t>
        </is>
      </c>
      <c r="T233" s="31" t="n">
        <v>-29.66</v>
      </c>
      <c r="U233" s="31" t="n">
        <v>53.4</v>
      </c>
      <c r="V233" s="31" t="n">
        <v>118.08</v>
      </c>
      <c r="W233" s="31" t="n">
        <v>14.75</v>
      </c>
      <c r="X233" s="30" t="inlineStr">
        <is>
          <t>Growing Industry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Yes</t>
        </is>
      </c>
      <c r="AQ233" s="30">
        <f>IF(AP233="Yes",10,0)</f>
        <v/>
      </c>
      <c r="AR233" s="30" t="inlineStr">
        <is>
          <t>Higher One Time, Lower Annuity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0 to 20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Positive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Blue sky scenario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More than 20%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Yes</t>
        </is>
      </c>
      <c r="BS233" s="30">
        <f>IF(BR233="NO",5,0)</f>
        <v/>
      </c>
      <c r="BT233" s="30" t="inlineStr">
        <is>
          <t>Above 2</t>
        </is>
      </c>
      <c r="BU233" s="30">
        <f>IF(BT233="Above 2",0,IF(BT233="Between 1.5 to 2",5,IF(BT233="Less than 1.5",10,0)))</f>
        <v/>
      </c>
      <c r="BV233" s="30" t="inlineStr">
        <is>
          <t>Above 70%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Between 0.7 to 1.2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IF(B234=0,"",RANK(B234,$B$2:$B$427,0))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0" t="inlineStr">
        <is>
          <t>ITDC</t>
        </is>
      </c>
      <c r="D234" s="30" t="inlineStr">
        <is>
          <t>India Tourism Development Corporation Ltd</t>
        </is>
      </c>
      <c r="E234" s="30" t="inlineStr">
        <is>
          <t>services</t>
        </is>
      </c>
      <c r="F234" s="30" t="inlineStr">
        <is>
          <t>hotels</t>
        </is>
      </c>
      <c r="G234" s="30" t="inlineStr">
        <is>
          <t>midcap</t>
        </is>
      </c>
      <c r="H234" s="31" t="n">
        <v>5246.09</v>
      </c>
      <c r="I234" s="31" t="n">
        <v>619</v>
      </c>
      <c r="J234" s="31" t="n">
        <v>1.2</v>
      </c>
      <c r="K234" s="31" t="n">
        <v>123317</v>
      </c>
      <c r="L234" s="30" t="n">
        <v>49</v>
      </c>
      <c r="M234" s="30" t="inlineStr">
        <is>
          <t>Outperforming</t>
        </is>
      </c>
      <c r="N234" s="31">
        <f>IF(M234="Underperforming",-5,IF(L234&gt;=95,15,IF(L234&gt;=90,10,IF(L234&gt;=80,5,0))))</f>
        <v/>
      </c>
      <c r="O234" s="31" t="n">
        <v>56.06</v>
      </c>
      <c r="P234" s="31" t="n">
        <v>28.03</v>
      </c>
      <c r="Q234" s="31" t="n">
        <v>467.06</v>
      </c>
      <c r="R234" s="30" t="inlineStr">
        <is>
          <t>Earnings / Momentum Support</t>
        </is>
      </c>
      <c r="S234" s="30" t="inlineStr">
        <is>
          <t>Nifty 50</t>
        </is>
      </c>
      <c r="T234" s="31" t="n">
        <v>-4.38</v>
      </c>
      <c r="U234" s="31" t="n">
        <v>5.98</v>
      </c>
      <c r="V234" s="31" t="n">
        <v>10.83</v>
      </c>
      <c r="W234" s="31" t="n">
        <v>12.62</v>
      </c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No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No</t>
        </is>
      </c>
      <c r="AQ234" s="30">
        <f>IF(AP234="Yes",10,0)</f>
        <v/>
      </c>
      <c r="AR234" s="30" t="inlineStr">
        <is>
          <t>Higher One Time, Lower Annuity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20 to 40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Positive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Close to 52 week high or retracement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Less than 12%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Yes</t>
        </is>
      </c>
      <c r="BS234" s="30">
        <f>IF(BR234="NO",5,0)</f>
        <v/>
      </c>
      <c r="BT234" s="30" t="inlineStr">
        <is>
          <t>Above 2</t>
        </is>
      </c>
      <c r="BU234" s="30">
        <f>IF(BT234="Above 2",0,IF(BT234="Between 1.5 to 2",5,IF(BT234="Less than 1.5",10,0)))</f>
        <v/>
      </c>
      <c r="BV234" s="30" t="inlineStr">
        <is>
          <t>Above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Less than 0.7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IF(B235=0,"",RANK(B235,$B$2:$B$427,0))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2" t="inlineStr">
        <is>
          <t>SSWL</t>
        </is>
      </c>
      <c r="D235" s="32" t="inlineStr">
        <is>
          <t>Steel Strips Wheels Limited</t>
        </is>
      </c>
      <c r="E235" s="30" t="inlineStr">
        <is>
          <t>auto</t>
        </is>
      </c>
      <c r="F235" s="30" t="inlineStr">
        <is>
          <t>auto ancillaries</t>
        </is>
      </c>
      <c r="G235" s="30" t="inlineStr">
        <is>
          <t>smallcap</t>
        </is>
      </c>
      <c r="H235" s="31" t="n">
        <v>3560.45</v>
      </c>
      <c r="I235" s="31" t="n">
        <v>229.09</v>
      </c>
      <c r="J235" s="31" t="n">
        <v>1.13</v>
      </c>
      <c r="K235" s="31" t="n">
        <v>891327</v>
      </c>
      <c r="L235" s="30" t="n">
        <v>9</v>
      </c>
      <c r="M235" s="30" t="inlineStr">
        <is>
          <t>Underperforming</t>
        </is>
      </c>
      <c r="N235" s="31">
        <f>IF(M235="Underperforming",-5,IF(L235&gt;=95,15,IF(L235&gt;=90,10,IF(L235&gt;=80,5,0))))</f>
        <v/>
      </c>
      <c r="O235" s="31" t="n">
        <v>58.16</v>
      </c>
      <c r="P235" s="31" t="n">
        <v>8.81</v>
      </c>
      <c r="Q235" s="31" t="n">
        <v>174.67</v>
      </c>
      <c r="R235" s="30" t="inlineStr">
        <is>
          <t>Volume Spike / Accumulation</t>
        </is>
      </c>
      <c r="S235" s="30" t="inlineStr">
        <is>
          <t>Nifty Auto</t>
        </is>
      </c>
      <c r="T235" s="31" t="n">
        <v>12.26</v>
      </c>
      <c r="U235" s="31" t="n">
        <v>-10.68</v>
      </c>
      <c r="V235" s="31" t="n">
        <v>-20.44</v>
      </c>
      <c r="W235" s="31" t="n">
        <v>3.45</v>
      </c>
      <c r="X235" s="30" t="inlineStr">
        <is>
          <t>Growing Industry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Structural (10 Years Consistency)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Yes</t>
        </is>
      </c>
      <c r="AQ235" s="30">
        <f>IF(AP235="Yes",10,0)</f>
        <v/>
      </c>
      <c r="AR235" s="30" t="inlineStr">
        <is>
          <t>Higher One Time, Lower Annuity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0 to 20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Positive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Close to 52 week high or retracement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Less than 12%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No</t>
        </is>
      </c>
      <c r="BS235" s="30">
        <f>IF(BR235="NO",5,0)</f>
        <v/>
      </c>
      <c r="BT235" s="30" t="inlineStr">
        <is>
          <t>Less than 1.5</t>
        </is>
      </c>
      <c r="BU235" s="30">
        <f>IF(BT235="Above 2",0,IF(BT235="Between 1.5 to 2",5,IF(BT235="Less than 1.5",10,0)))</f>
        <v/>
      </c>
      <c r="BV235" s="30" t="inlineStr">
        <is>
          <t>Between 50% to 70%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IF(B236=0,"",RANK(B236,$B$2:$B$427,0))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ADANIENT</t>
        </is>
      </c>
      <c r="D236" s="30" t="inlineStr">
        <is>
          <t>Adani Enterprises Limited</t>
        </is>
      </c>
      <c r="E236" s="30" t="inlineStr">
        <is>
          <t>services</t>
        </is>
      </c>
      <c r="F236" s="30" t="inlineStr">
        <is>
          <t>trading</t>
        </is>
      </c>
      <c r="G236" s="30" t="inlineStr">
        <is>
          <t>largecap</t>
        </is>
      </c>
      <c r="H236" s="31" t="n">
        <v>389536.92</v>
      </c>
      <c r="I236" s="31" t="n">
        <v>3038.4</v>
      </c>
      <c r="J236" s="31" t="n">
        <v>0.83</v>
      </c>
      <c r="K236" s="31" t="n">
        <v>3620222</v>
      </c>
      <c r="L236" s="30" t="n">
        <v>67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71.16</v>
      </c>
      <c r="P236" s="31" t="n">
        <v>32.69</v>
      </c>
      <c r="Q236" s="31" t="n">
        <v>2515.37</v>
      </c>
      <c r="R236" s="30" t="inlineStr">
        <is>
          <t>Near 52W High Breakout</t>
        </is>
      </c>
      <c r="S236" s="30" t="inlineStr">
        <is>
          <t>Nifty 50</t>
        </is>
      </c>
      <c r="T236" s="31" t="n">
        <v>-4.38</v>
      </c>
      <c r="U236" s="31" t="n">
        <v>24.15</v>
      </c>
      <c r="V236" s="31" t="n">
        <v>29.84</v>
      </c>
      <c r="W236" s="31" t="n">
        <v>18.67</v>
      </c>
      <c r="X236" s="30" t="inlineStr">
        <is>
          <t>Growing Industry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No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Yes</t>
        </is>
      </c>
      <c r="AQ236" s="30">
        <f>IF(AP236="Yes",10,0)</f>
        <v/>
      </c>
      <c r="AR236" s="30" t="inlineStr">
        <is>
          <t>Higher One Time, Lower Annuity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20 to 40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Positive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Blue sky scenario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More than 20%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Yes</t>
        </is>
      </c>
      <c r="BS236" s="30">
        <f>IF(BR236="NO",5,0)</f>
        <v/>
      </c>
      <c r="BT236" s="30" t="inlineStr">
        <is>
          <t>Above 2</t>
        </is>
      </c>
      <c r="BU236" s="30">
        <f>IF(BT236="Above 2",0,IF(BT236="Between 1.5 to 2",5,IF(BT236="Less than 1.5",10,0)))</f>
        <v/>
      </c>
      <c r="BV236" s="30" t="inlineStr">
        <is>
          <t>Less than 50% and Borrowings are increasing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Between 0.7 to 1.2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IF(B237=0,"",RANK(B237,$B$2:$B$427,0))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KAJARIACER</t>
        </is>
      </c>
      <c r="D237" s="30" t="inlineStr">
        <is>
          <t>Kajaria Ceramics Limited</t>
        </is>
      </c>
      <c r="E237" s="30" t="inlineStr">
        <is>
          <t>building materials</t>
        </is>
      </c>
      <c r="F237" s="30" t="inlineStr">
        <is>
          <t>ceramics - tiles / sanitaryware</t>
        </is>
      </c>
      <c r="G237" s="30" t="inlineStr">
        <is>
          <t>midcap</t>
        </is>
      </c>
      <c r="H237" s="31" t="n">
        <v>18540.89</v>
      </c>
      <c r="I237" s="31" t="n">
        <v>1170.4</v>
      </c>
      <c r="J237" s="31" t="n">
        <v>0.54</v>
      </c>
      <c r="K237" s="31" t="n">
        <v>186254</v>
      </c>
      <c r="L237" s="30" t="n">
        <v>33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60.95</v>
      </c>
      <c r="P237" s="31" t="n">
        <v>18.2</v>
      </c>
      <c r="Q237" s="31" t="n">
        <v>988.6900000000001</v>
      </c>
      <c r="R237" s="30" t="inlineStr">
        <is>
          <t>Earnings / Momentum Support</t>
        </is>
      </c>
      <c r="S237" s="30" t="inlineStr">
        <is>
          <t>Nifty Infra</t>
        </is>
      </c>
      <c r="T237" s="31" t="n">
        <v>4.18</v>
      </c>
      <c r="U237" s="31" t="n">
        <v>15.6</v>
      </c>
      <c r="V237" s="31" t="n">
        <v>10.97</v>
      </c>
      <c r="W237" s="31" t="n">
        <v>8.52</v>
      </c>
      <c r="X237" s="30" t="inlineStr">
        <is>
          <t>Growing Industry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No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No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0 to 20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Positive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Close to 52 week high or retracement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More than 20%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No</t>
        </is>
      </c>
      <c r="BS237" s="30">
        <f>IF(BR237="NO",5,0)</f>
        <v/>
      </c>
      <c r="BT237" s="30" t="inlineStr">
        <is>
          <t>Above 2</t>
        </is>
      </c>
      <c r="BU237" s="30">
        <f>IF(BT237="Above 2",0,IF(BT237="Between 1.5 to 2",5,IF(BT237="Less than 1.5",10,0)))</f>
        <v/>
      </c>
      <c r="BV237" s="30" t="inlineStr">
        <is>
          <t>Above 70%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IF(B238=0,"",RANK(B238,$B$2:$B$427,0))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0" t="inlineStr">
        <is>
          <t>HIRECT</t>
        </is>
      </c>
      <c r="D238" s="30" t="inlineStr">
        <is>
          <t>Hind Rectifiers Limited</t>
        </is>
      </c>
      <c r="E238" s="30" t="inlineStr">
        <is>
          <t>consumer discretionary</t>
        </is>
      </c>
      <c r="F238" s="30" t="inlineStr">
        <is>
          <t>electronics - components</t>
        </is>
      </c>
      <c r="G238" s="30" t="inlineStr">
        <is>
          <t>smallcap</t>
        </is>
      </c>
      <c r="H238" s="31" t="n">
        <v>3941.97</v>
      </c>
      <c r="I238" s="31" t="n">
        <v>1152.4</v>
      </c>
      <c r="J238" s="31" t="n">
        <v>0.47</v>
      </c>
      <c r="K238" s="31" t="n">
        <v>63546</v>
      </c>
      <c r="L238" s="30" t="n">
        <v>82</v>
      </c>
      <c r="M238" s="30" t="inlineStr">
        <is>
          <t>Outperforming</t>
        </is>
      </c>
      <c r="N238" s="31">
        <f>IF(M238="Underperforming",-5,IF(L238&gt;=95,15,IF(L238&gt;=90,10,IF(L238&gt;=80,5,0))))</f>
        <v/>
      </c>
      <c r="O238" s="31" t="n">
        <v>77.72</v>
      </c>
      <c r="P238" s="31" t="n">
        <v>27.33</v>
      </c>
      <c r="Q238" s="31" t="n">
        <v>817.79</v>
      </c>
      <c r="R238" s="30" t="inlineStr">
        <is>
          <t>Near 52W High Breakout</t>
        </is>
      </c>
      <c r="S238" s="30" t="inlineStr">
        <is>
          <t>Nifty 50</t>
        </is>
      </c>
      <c r="T238" s="31" t="n">
        <v>-4.38</v>
      </c>
      <c r="U238" s="31" t="n">
        <v>82.27</v>
      </c>
      <c r="V238" s="31" t="n">
        <v>90.61</v>
      </c>
      <c r="W238" s="31" t="n">
        <v>26.7</v>
      </c>
      <c r="X238" s="30" t="inlineStr">
        <is>
          <t>Growing Industry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Yes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20 to 40</t>
        </is>
      </c>
      <c r="AY238" s="30">
        <f>IF(AX238="Above 40",20,IF(AX238="20 to 40",10,IF(AX238="0 to 20",-5,0)))</f>
        <v/>
      </c>
      <c r="AZ238" s="30" t="inlineStr">
        <is>
          <t>Above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Blue sky scenario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Less than 12%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Yes</t>
        </is>
      </c>
      <c r="BS238" s="30">
        <f>IF(BR238="NO",5,0)</f>
        <v/>
      </c>
      <c r="BT238" s="30" t="inlineStr">
        <is>
          <t>Above 2</t>
        </is>
      </c>
      <c r="BU238" s="30">
        <f>IF(BT238="Above 2",0,IF(BT238="Between 1.5 to 2",5,IF(BT238="Less than 1.5",10,0)))</f>
        <v/>
      </c>
      <c r="BV238" s="30" t="inlineStr">
        <is>
          <t>Above 70%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Between 0.7 to 1.2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IF(B239=0,"",RANK(B239,$B$2:$B$427,0))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0" t="inlineStr">
        <is>
          <t>KKCL</t>
        </is>
      </c>
      <c r="D239" s="30" t="inlineStr">
        <is>
          <t>Kewal Kiran Clothing Limited</t>
        </is>
      </c>
      <c r="E239" s="30" t="inlineStr">
        <is>
          <t>consumer discretionary</t>
        </is>
      </c>
      <c r="F239" s="30" t="inlineStr">
        <is>
          <t>textiles - products</t>
        </is>
      </c>
      <c r="G239" s="30" t="inlineStr">
        <is>
          <t>smallcap</t>
        </is>
      </c>
      <c r="H239" s="31" t="n">
        <v>3028.57</v>
      </c>
      <c r="I239" s="31" t="n">
        <v>493.5</v>
      </c>
      <c r="J239" s="31" t="n">
        <v>0.42</v>
      </c>
      <c r="K239" s="31" t="n">
        <v>49402</v>
      </c>
      <c r="L239" s="30" t="n">
        <v>11</v>
      </c>
      <c r="M239" s="30" t="inlineStr">
        <is>
          <t>Outperforming</t>
        </is>
      </c>
      <c r="N239" s="31">
        <f>IF(M239="Underperforming",-5,IF(L239&gt;=95,15,IF(L239&gt;=90,10,IF(L239&gt;=80,5,0))))</f>
        <v/>
      </c>
      <c r="O239" s="31" t="n">
        <v>55.29</v>
      </c>
      <c r="P239" s="31" t="n">
        <v>12.09</v>
      </c>
      <c r="Q239" s="31" t="n">
        <v>387.45</v>
      </c>
      <c r="R239" s="30" t="inlineStr">
        <is>
          <t>Volume Spike / Accumulation</t>
        </is>
      </c>
      <c r="S239" s="30" t="inlineStr">
        <is>
          <t>Nifty 50</t>
        </is>
      </c>
      <c r="T239" s="31" t="n">
        <v>-4.38</v>
      </c>
      <c r="U239" s="31" t="n">
        <v>0.17</v>
      </c>
      <c r="V239" s="31" t="n">
        <v>4.76</v>
      </c>
      <c r="W239" s="31" t="n">
        <v>4.09</v>
      </c>
      <c r="X239" s="30" t="inlineStr">
        <is>
          <t>Growing Industry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Yes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0 to 20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1</t>
        </is>
      </c>
      <c r="BC239" s="30">
        <f>IF(BB239="Stage 2",20,IF(BB239="Stage 1",0,IF(BB239="Stage 3",5,IF(BB239="Stage 4",-5,0))))</f>
        <v/>
      </c>
      <c r="BD239" s="30" t="inlineStr">
        <is>
          <t>Positive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Close to 52 week high or retracement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More than 20%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No</t>
        </is>
      </c>
      <c r="BS239" s="30">
        <f>IF(BR239="NO",5,0)</f>
        <v/>
      </c>
      <c r="BT239" s="30" t="inlineStr">
        <is>
          <t>Less than 1.5</t>
        </is>
      </c>
      <c r="BU239" s="30">
        <f>IF(BT239="Above 2",0,IF(BT239="Between 1.5 to 2",5,IF(BT239="Less than 1.5",10,0)))</f>
        <v/>
      </c>
      <c r="BV239" s="30" t="inlineStr">
        <is>
          <t>Above 70%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IF(B240=0,"",RANK(B240,$B$2:$B$427,0))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0" t="inlineStr">
        <is>
          <t>DELHIVERY</t>
        </is>
      </c>
      <c r="D240" s="30" t="inlineStr">
        <is>
          <t>Delhivery Ltd</t>
        </is>
      </c>
      <c r="E240" s="30" t="inlineStr">
        <is>
          <t>transportation</t>
        </is>
      </c>
      <c r="F240" s="30" t="inlineStr">
        <is>
          <t>miscellaneous</t>
        </is>
      </c>
      <c r="G240" s="30" t="inlineStr">
        <is>
          <t>largecap</t>
        </is>
      </c>
      <c r="H240" s="31" t="n">
        <v>34376.08</v>
      </c>
      <c r="I240" s="31" t="n">
        <v>461.1</v>
      </c>
      <c r="J240" s="31" t="n">
        <v>0.41</v>
      </c>
      <c r="K240" s="31" t="n">
        <v>1719497</v>
      </c>
      <c r="L240" s="30" t="n">
        <v>31</v>
      </c>
      <c r="M240" s="30" t="inlineStr">
        <is>
          <t>Outperforming</t>
        </is>
      </c>
      <c r="N240" s="31">
        <f>IF(M240="Underperforming",-5,IF(L240&gt;=95,15,IF(L240&gt;=90,10,IF(L240&gt;=80,5,0))))</f>
        <v/>
      </c>
      <c r="O240" s="31" t="n">
        <v>56.03</v>
      </c>
      <c r="P240" s="31" t="n">
        <v>10.12</v>
      </c>
      <c r="Q240" s="31" t="n">
        <v>396</v>
      </c>
      <c r="R240" s="30" t="inlineStr">
        <is>
          <t>Near 52W High Breakout</t>
        </is>
      </c>
      <c r="S240" s="30" t="inlineStr">
        <is>
          <t>Nifty 50</t>
        </is>
      </c>
      <c r="T240" s="31" t="n">
        <v>-4.38</v>
      </c>
      <c r="U240" s="31" t="n">
        <v>28.85</v>
      </c>
      <c r="V240" s="31" t="n">
        <v>34.75</v>
      </c>
      <c r="W240" s="31" t="n">
        <v>8.17</v>
      </c>
      <c r="X240" s="30" t="inlineStr">
        <is>
          <t>Growing Industry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No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Yes</t>
        </is>
      </c>
      <c r="AQ240" s="30">
        <f>IF(AP240="Yes",10,0)</f>
        <v/>
      </c>
      <c r="AR240" s="30" t="inlineStr">
        <is>
          <t>Higher One Time, Lower Annuity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0 to 20</t>
        </is>
      </c>
      <c r="AY240" s="30">
        <f>IF(AX240="Above 40",20,IF(AX240="20 to 40",10,IF(AX240="0 to 20",-5,0)))</f>
        <v/>
      </c>
      <c r="AZ240" s="30" t="inlineStr">
        <is>
          <t>Between 50 to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Positive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Blue sky scenario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Less than 12%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Yes</t>
        </is>
      </c>
      <c r="BS240" s="30">
        <f>IF(BR240="NO",5,0)</f>
        <v/>
      </c>
      <c r="BT240" s="30" t="inlineStr">
        <is>
          <t>Above 2</t>
        </is>
      </c>
      <c r="BU240" s="30">
        <f>IF(BT240="Above 2",0,IF(BT240="Between 1.5 to 2",5,IF(BT240="Less than 1.5",10,0)))</f>
        <v/>
      </c>
      <c r="BV240" s="30" t="inlineStr">
        <is>
          <t>Above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Less than 0.7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IF(B241=0,"",RANK(B241,$B$2:$B$427,0))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0" t="inlineStr">
        <is>
          <t>INDNIPPON</t>
        </is>
      </c>
      <c r="D241" s="30" t="inlineStr">
        <is>
          <t>India Nippon Electricals Limited</t>
        </is>
      </c>
      <c r="E241" s="30" t="inlineStr">
        <is>
          <t>auto</t>
        </is>
      </c>
      <c r="F241" s="30" t="inlineStr">
        <is>
          <t>auto ancillaries</t>
        </is>
      </c>
      <c r="G241" s="30" t="inlineStr">
        <is>
          <t>smallcap</t>
        </is>
      </c>
      <c r="H241" s="31" t="n">
        <v>2062.96</v>
      </c>
      <c r="I241" s="31" t="n">
        <v>914.3</v>
      </c>
      <c r="J241" s="31" t="n">
        <v>0.26</v>
      </c>
      <c r="K241" s="31" t="n">
        <v>28400</v>
      </c>
      <c r="L241" s="30" t="n">
        <v>49</v>
      </c>
      <c r="M241" s="30" t="inlineStr">
        <is>
          <t>Outperforming</t>
        </is>
      </c>
      <c r="N241" s="31">
        <f>IF(M241="Underperforming",-5,IF(L241&gt;=95,15,IF(L241&gt;=90,10,IF(L241&gt;=80,5,0))))</f>
        <v/>
      </c>
      <c r="O241" s="31" t="n">
        <v>61.12</v>
      </c>
      <c r="P241" s="31" t="n">
        <v>13.34</v>
      </c>
      <c r="Q241" s="31" t="n">
        <v>720.12</v>
      </c>
      <c r="R241" s="30" t="inlineStr">
        <is>
          <t>Earnings / Momentum Support</t>
        </is>
      </c>
      <c r="S241" s="30" t="inlineStr">
        <is>
          <t>Nifty Auto</t>
        </is>
      </c>
      <c r="T241" s="31" t="n">
        <v>12.26</v>
      </c>
      <c r="U241" s="31" t="n">
        <v>31.5</v>
      </c>
      <c r="V241" s="31" t="n">
        <v>17.13</v>
      </c>
      <c r="W241" s="31" t="n">
        <v>12.58</v>
      </c>
      <c r="X241" s="30" t="inlineStr">
        <is>
          <t>Growing Industry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No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No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0 to 20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Close to 52 week high or retracement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More than 20%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No</t>
        </is>
      </c>
      <c r="BS241" s="30">
        <f>IF(BR241="NO",5,0)</f>
        <v/>
      </c>
      <c r="BT241" s="30" t="inlineStr">
        <is>
          <t>Less than 1.5</t>
        </is>
      </c>
      <c r="BU241" s="30">
        <f>IF(BT241="Above 2",0,IF(BT241="Between 1.5 to 2",5,IF(BT241="Less than 1.5",10,0)))</f>
        <v/>
      </c>
      <c r="BV241" s="30" t="inlineStr">
        <is>
          <t>Less than 50%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Less than 0.7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IF(B242=0,"",RANK(B242,$B$2:$B$427,0))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GNA</t>
        </is>
      </c>
      <c r="D242" s="30" t="inlineStr">
        <is>
          <t>Gna Axles Limited</t>
        </is>
      </c>
      <c r="E242" s="30" t="inlineStr">
        <is>
          <t>auto</t>
        </is>
      </c>
      <c r="F242" s="30" t="inlineStr">
        <is>
          <t>auto ancillaries</t>
        </is>
      </c>
      <c r="G242" s="30" t="inlineStr">
        <is>
          <t>smallcap</t>
        </is>
      </c>
      <c r="H242" s="31" t="n">
        <v>1772.4</v>
      </c>
      <c r="I242" s="31" t="n">
        <v>413.15</v>
      </c>
      <c r="J242" s="31" t="n">
        <v>0.07000000000000001</v>
      </c>
      <c r="K242" s="31" t="n">
        <v>4186116</v>
      </c>
      <c r="L242" s="30" t="n">
        <v>31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57.18</v>
      </c>
      <c r="P242" s="31" t="n">
        <v>19.16</v>
      </c>
      <c r="Q242" s="31" t="n">
        <v>323.92</v>
      </c>
      <c r="R242" s="30" t="inlineStr">
        <is>
          <t>Volume Spike / Accumulation</t>
        </is>
      </c>
      <c r="S242" s="30" t="inlineStr">
        <is>
          <t>Nifty Auto</t>
        </is>
      </c>
      <c r="T242" s="31" t="n">
        <v>12.26</v>
      </c>
      <c r="U242" s="31" t="n">
        <v>33.34</v>
      </c>
      <c r="V242" s="31" t="n">
        <v>18.77</v>
      </c>
      <c r="W242" s="31" t="n">
        <v>8.26</v>
      </c>
      <c r="X242" s="30" t="inlineStr">
        <is>
          <t>Growing Industry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Yes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0 to 20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1</t>
        </is>
      </c>
      <c r="BC242" s="30">
        <f>IF(BB242="Stage 2",20,IF(BB242="Stage 1",0,IF(BB242="Stage 3",5,IF(BB242="Stage 4",-5,0))))</f>
        <v/>
      </c>
      <c r="BD242" s="30" t="inlineStr">
        <is>
          <t>Positive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Close to 52 week high or retracement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More than 20%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No</t>
        </is>
      </c>
      <c r="BS242" s="30">
        <f>IF(BR242="NO",5,0)</f>
        <v/>
      </c>
      <c r="BT242" s="30" t="inlineStr">
        <is>
          <t>Less than 1.5</t>
        </is>
      </c>
      <c r="BU242" s="30">
        <f>IF(BT242="Above 2",0,IF(BT242="Between 1.5 to 2",5,IF(BT242="Less than 1.5",10,0)))</f>
        <v/>
      </c>
      <c r="BV242" s="30" t="inlineStr">
        <is>
          <t>Above 70%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Less than 0.7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IF(B243=0,"",RANK(B243,$B$2:$B$427,0))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0" t="inlineStr">
        <is>
          <t>LMW</t>
        </is>
      </c>
      <c r="D243" s="30" t="inlineStr">
        <is>
          <t>LMW Ltd</t>
        </is>
      </c>
      <c r="E243" s="30" t="inlineStr">
        <is>
          <t>industrials</t>
        </is>
      </c>
      <c r="F243" s="30" t="inlineStr">
        <is>
          <t>textile machinery</t>
        </is>
      </c>
      <c r="G243" s="30" t="inlineStr">
        <is>
          <t>midcap</t>
        </is>
      </c>
      <c r="H243" s="31" t="n">
        <v>17861.98</v>
      </c>
      <c r="I243" s="31" t="n">
        <v>16665</v>
      </c>
      <c r="J243" s="31" t="n">
        <v>-0.33</v>
      </c>
      <c r="K243" s="31" t="n">
        <v>6732</v>
      </c>
      <c r="L243" s="30" t="n">
        <v>21</v>
      </c>
      <c r="M243" s="30" t="inlineStr">
        <is>
          <t>Outperforming</t>
        </is>
      </c>
      <c r="N243" s="31">
        <f>IF(M243="Underperforming",-5,IF(L243&gt;=95,15,IF(L243&gt;=90,10,IF(L243&gt;=80,5,0))))</f>
        <v/>
      </c>
      <c r="O243" s="31" t="n">
        <v>64.02</v>
      </c>
      <c r="P243" s="31" t="n">
        <v>19.44</v>
      </c>
      <c r="Q243" s="31" t="n">
        <v>13599.37</v>
      </c>
      <c r="R243" s="30" t="inlineStr">
        <is>
          <t>Volume Spike &amp; Near 52W High Breakout</t>
        </is>
      </c>
      <c r="S243" s="30" t="inlineStr">
        <is>
          <t>Nifty 50</t>
        </is>
      </c>
      <c r="T243" s="31" t="n">
        <v>-4.38</v>
      </c>
      <c r="U243" s="31" t="n">
        <v>5.24</v>
      </c>
      <c r="V243" s="31" t="n">
        <v>10.06</v>
      </c>
      <c r="W243" s="31" t="n">
        <v>5.85</v>
      </c>
      <c r="X243" s="30" t="inlineStr">
        <is>
          <t>Cyclical in an Upturn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No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Yes</t>
        </is>
      </c>
      <c r="AQ243" s="30">
        <f>IF(AP243="Yes",10,0)</f>
        <v/>
      </c>
      <c r="AR243" s="30" t="inlineStr">
        <is>
          <t>Higher One Time, Lower Annuity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0 to 20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Positive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Close to 52 week high or retracement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More than 20%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Yes</t>
        </is>
      </c>
      <c r="BS243" s="30">
        <f>IF(BR243="NO",5,0)</f>
        <v/>
      </c>
      <c r="BT243" s="30" t="inlineStr">
        <is>
          <t>Above 2</t>
        </is>
      </c>
      <c r="BU243" s="30">
        <f>IF(BT243="Above 2",0,IF(BT243="Between 1.5 to 2",5,IF(BT243="Less than 1.5",10,0)))</f>
        <v/>
      </c>
      <c r="BV243" s="30" t="inlineStr">
        <is>
          <t>Above 70%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Less than 0.7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IF(B244=0,"",RANK(B244,$B$2:$B$427,0))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0" t="inlineStr">
        <is>
          <t>MBAPL</t>
        </is>
      </c>
      <c r="D244" s="30" t="inlineStr">
        <is>
          <t>Madhya Bharat Agro Products Ltd</t>
        </is>
      </c>
      <c r="E244" s="30" t="inlineStr">
        <is>
          <t>chemicals</t>
        </is>
      </c>
      <c r="F244" s="30" t="inlineStr">
        <is>
          <t>fertilizers</t>
        </is>
      </c>
      <c r="G244" s="30" t="inlineStr">
        <is>
          <t>smallcap</t>
        </is>
      </c>
      <c r="H244" s="31" t="n">
        <v>4958.81</v>
      </c>
      <c r="I244" s="31" t="n">
        <v>563</v>
      </c>
      <c r="J244" s="31" t="n">
        <v>-0.51</v>
      </c>
      <c r="K244" s="31" t="n">
        <v>106213</v>
      </c>
      <c r="L244" s="30" t="n">
        <v>53</v>
      </c>
      <c r="M244" s="30" t="inlineStr">
        <is>
          <t>Outperforming</t>
        </is>
      </c>
      <c r="N244" s="31">
        <f>IF(M244="Underperforming",-5,IF(L244&gt;=95,15,IF(L244&gt;=90,10,IF(L244&gt;=80,5,0))))</f>
        <v/>
      </c>
      <c r="O244" s="31" t="n">
        <v>67.38</v>
      </c>
      <c r="P244" s="31" t="n">
        <v>48.66</v>
      </c>
      <c r="Q244" s="31" t="n">
        <v>460.52</v>
      </c>
      <c r="R244" s="30" t="inlineStr">
        <is>
          <t>Near 52W High Breakout</t>
        </is>
      </c>
      <c r="S244" s="30" t="inlineStr">
        <is>
          <t>Nifty 50</t>
        </is>
      </c>
      <c r="T244" s="31" t="n">
        <v>-4.38</v>
      </c>
      <c r="U244" s="31" t="n">
        <v>50.3</v>
      </c>
      <c r="V244" s="31" t="n">
        <v>57.18</v>
      </c>
      <c r="W244" s="31" t="n">
        <v>13.94</v>
      </c>
      <c r="X244" s="30" t="inlineStr">
        <is>
          <t>Growing Industry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Yes</t>
        </is>
      </c>
      <c r="AQ244" s="30">
        <f>IF(AP244="Yes",10,0)</f>
        <v/>
      </c>
      <c r="AR244" s="30" t="inlineStr">
        <is>
          <t>Higher One Time, Lower Annuity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Above 40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2</t>
        </is>
      </c>
      <c r="BC244" s="30">
        <f>IF(BB244="Stage 2",20,IF(BB244="Stage 1",0,IF(BB244="Stage 3",5,IF(BB244="Stage 4",-5,0))))</f>
        <v/>
      </c>
      <c r="BD244" s="30" t="inlineStr">
        <is>
          <t>Positive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Blue sky scenario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More than 20%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No</t>
        </is>
      </c>
      <c r="BS244" s="30">
        <f>IF(BR244="NO",5,0)</f>
        <v/>
      </c>
      <c r="BT244" s="30" t="inlineStr">
        <is>
          <t>Above 2</t>
        </is>
      </c>
      <c r="BU244" s="30">
        <f>IF(BT244="Above 2",0,IF(BT244="Between 1.5 to 2",5,IF(BT244="Less than 1.5",10,0)))</f>
        <v/>
      </c>
      <c r="BV244" s="30" t="inlineStr">
        <is>
          <t>Negative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More than 1.2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IF(B245=0,"",RANK(B245,$B$2:$B$427,0))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0" t="inlineStr">
        <is>
          <t>OBEROIRLTY</t>
        </is>
      </c>
      <c r="D245" s="30" t="inlineStr">
        <is>
          <t>Oberoi Realty Limited</t>
        </is>
      </c>
      <c r="E245" s="30" t="inlineStr">
        <is>
          <t>realty</t>
        </is>
      </c>
      <c r="F245" s="30" t="inlineStr">
        <is>
          <t>construction</t>
        </is>
      </c>
      <c r="G245" s="30" t="inlineStr">
        <is>
          <t>largecap</t>
        </is>
      </c>
      <c r="H245" s="31" t="n">
        <v>61601.49</v>
      </c>
      <c r="I245" s="31" t="n">
        <v>1683.5</v>
      </c>
      <c r="J245" s="31" t="n">
        <v>-0.63</v>
      </c>
      <c r="K245" s="31" t="n">
        <v>168755</v>
      </c>
      <c r="L245" s="30" t="n">
        <v>2</v>
      </c>
      <c r="M245" s="30" t="inlineStr">
        <is>
          <t>Outperforming</t>
        </is>
      </c>
      <c r="N245" s="31">
        <f>IF(M245="Underperforming",-5,IF(L245&gt;=95,15,IF(L245&gt;=90,10,IF(L245&gt;=80,5,0))))</f>
        <v/>
      </c>
      <c r="O245" s="31" t="n">
        <v>54.86</v>
      </c>
      <c r="P245" s="31" t="n">
        <v>13.58</v>
      </c>
      <c r="Q245" s="31" t="n">
        <v>1419.45</v>
      </c>
      <c r="R245" s="30" t="inlineStr">
        <is>
          <t>Earnings / Momentum Support</t>
        </is>
      </c>
      <c r="S245" s="30" t="inlineStr">
        <is>
          <t>Nifty Realty</t>
        </is>
      </c>
      <c r="T245" s="31" t="n">
        <v>-19.9</v>
      </c>
      <c r="U245" s="31" t="n">
        <v>-11.47</v>
      </c>
      <c r="V245" s="31" t="n">
        <v>10.53</v>
      </c>
      <c r="W245" s="31" t="n">
        <v>1.5</v>
      </c>
      <c r="X245" s="30" t="inlineStr">
        <is>
          <t>Growing Industry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No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Structural (10 Years Consistency)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Stable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No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0 to 20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Positive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More than 20%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No</t>
        </is>
      </c>
      <c r="BS245" s="30">
        <f>IF(BR245="NO",5,0)</f>
        <v/>
      </c>
      <c r="BT245" s="30" t="inlineStr">
        <is>
          <t>Less than 1.5</t>
        </is>
      </c>
      <c r="BU245" s="30">
        <f>IF(BT245="Above 2",0,IF(BT245="Between 1.5 to 2",5,IF(BT245="Less than 1.5",10,0)))</f>
        <v/>
      </c>
      <c r="BV245" s="30" t="inlineStr">
        <is>
          <t>Less than 50%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IF(B246=0,"",RANK(B246,$B$2:$B$427,0))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0" t="inlineStr">
        <is>
          <t>BHAGERIA</t>
        </is>
      </c>
      <c r="D246" s="30" t="inlineStr">
        <is>
          <t>Bhageria Industries Limited</t>
        </is>
      </c>
      <c r="E246" s="30" t="inlineStr">
        <is>
          <t>chemicals</t>
        </is>
      </c>
      <c r="F246" s="30" t="inlineStr">
        <is>
          <t>dyes and pigments</t>
        </is>
      </c>
      <c r="G246" s="30" t="inlineStr">
        <is>
          <t>smallcap</t>
        </is>
      </c>
      <c r="H246" s="31" t="n">
        <v>987.89</v>
      </c>
      <c r="I246" s="31" t="n">
        <v>224.67</v>
      </c>
      <c r="J246" s="31" t="n">
        <v>-0.74</v>
      </c>
      <c r="K246" s="31" t="n">
        <v>73402</v>
      </c>
      <c r="L246" s="30" t="n">
        <v>69</v>
      </c>
      <c r="M246" s="30" t="inlineStr">
        <is>
          <t>Outperforming</t>
        </is>
      </c>
      <c r="N246" s="31">
        <f>IF(M246="Underperforming",-5,IF(L246&gt;=95,15,IF(L246&gt;=90,10,IF(L246&gt;=80,5,0))))</f>
        <v/>
      </c>
      <c r="O246" s="31" t="n">
        <v>68.31999999999999</v>
      </c>
      <c r="P246" s="31" t="n">
        <v>17.29</v>
      </c>
      <c r="Q246" s="31" t="n">
        <v>168.39</v>
      </c>
      <c r="R246" s="30" t="inlineStr">
        <is>
          <t>Near 52W High Breakout</t>
        </is>
      </c>
      <c r="S246" s="30" t="inlineStr">
        <is>
          <t>Nifty IT</t>
        </is>
      </c>
      <c r="T246" s="31" t="n">
        <v>-29.66</v>
      </c>
      <c r="U246" s="31" t="n">
        <v>25.42</v>
      </c>
      <c r="V246" s="31" t="n">
        <v>78.3</v>
      </c>
      <c r="W246" s="31" t="n">
        <v>19.41</v>
      </c>
      <c r="X246" s="30" t="inlineStr">
        <is>
          <t>Growing Industry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Yes</t>
        </is>
      </c>
      <c r="AQ246" s="30">
        <f>IF(AP246="Yes",10,0)</f>
        <v/>
      </c>
      <c r="AR246" s="30" t="inlineStr">
        <is>
          <t>Higher One Time, Lower Annuity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0 to 20</t>
        </is>
      </c>
      <c r="AY246" s="30">
        <f>IF(AX246="Above 40",20,IF(AX246="20 to 40",10,IF(AX246="0 to 20",-5,0)))</f>
        <v/>
      </c>
      <c r="AZ246" s="30" t="inlineStr">
        <is>
          <t>Between 50 to 75</t>
        </is>
      </c>
      <c r="BA246" s="30">
        <f>IF(AZ246="Between 50 to 75",10,IF(AZ246="Above 75",0,0))</f>
        <v/>
      </c>
      <c r="BB246" s="30" t="inlineStr">
        <is>
          <t>Stage 2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Close to 52 week high or retracement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Less than 12%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No</t>
        </is>
      </c>
      <c r="BS246" s="30">
        <f>IF(BR246="NO",5,0)</f>
        <v/>
      </c>
      <c r="BT246" s="30" t="inlineStr">
        <is>
          <t>Above 2</t>
        </is>
      </c>
      <c r="BU246" s="30">
        <f>IF(BT246="Above 2",0,IF(BT246="Between 1.5 to 2",5,IF(BT246="Less than 1.5",10,0)))</f>
        <v/>
      </c>
      <c r="BV246" s="30" t="inlineStr">
        <is>
          <t>Above 70%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Less than 0.7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IF(B247=0,"",RANK(B247,$B$2:$B$427,0))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2" t="inlineStr">
        <is>
          <t>BEPL</t>
        </is>
      </c>
      <c r="D247" s="32" t="inlineStr">
        <is>
          <t>Bhansali Engineering Polymers Limited</t>
        </is>
      </c>
      <c r="E247" s="30" t="inlineStr">
        <is>
          <t>energy</t>
        </is>
      </c>
      <c r="F247" s="30" t="inlineStr">
        <is>
          <t>petrochemicals</t>
        </is>
      </c>
      <c r="G247" s="30" t="inlineStr">
        <is>
          <t>smallcap</t>
        </is>
      </c>
      <c r="H247" s="31" t="n">
        <v>2664.28</v>
      </c>
      <c r="I247" s="31" t="n">
        <v>105.86</v>
      </c>
      <c r="J247" s="31" t="n">
        <v>-1.12</v>
      </c>
      <c r="K247" s="31" t="n">
        <v>979119</v>
      </c>
      <c r="L247" s="30" t="n">
        <v>17</v>
      </c>
      <c r="M247" s="30" t="inlineStr">
        <is>
          <t>Underperforming</t>
        </is>
      </c>
      <c r="N247" s="31">
        <f>IF(M247="Underperforming",-5,IF(L247&gt;=95,15,IF(L247&gt;=90,10,IF(L247&gt;=80,5,0))))</f>
        <v/>
      </c>
      <c r="O247" s="31" t="n">
        <v>67.02</v>
      </c>
      <c r="P247" s="31" t="n">
        <v>27.11</v>
      </c>
      <c r="Q247" s="31" t="n">
        <v>85.45</v>
      </c>
      <c r="R247" s="30" t="inlineStr">
        <is>
          <t>Volume Spike / Accumulation</t>
        </is>
      </c>
      <c r="S247" s="30" t="inlineStr">
        <is>
          <t>Nifty Energy</t>
        </is>
      </c>
      <c r="T247" s="31" t="n">
        <v>13.9</v>
      </c>
      <c r="U247" s="31" t="n">
        <v>-0.29</v>
      </c>
      <c r="V247" s="31" t="n">
        <v>-12.45</v>
      </c>
      <c r="W247" s="31" t="n">
        <v>5.2</v>
      </c>
      <c r="X247" s="30" t="inlineStr">
        <is>
          <t>Cyclical in an Upturn</t>
        </is>
      </c>
      <c r="Y247" s="30">
        <f>IF(X247="Growing Industry",10,IF(X247="Cyclical in an Upturn",5,0))</f>
        <v/>
      </c>
      <c r="Z247" s="30" t="inlineStr">
        <is>
          <t>Oligopoly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Yes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Cyclical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Volatile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Yes</t>
        </is>
      </c>
      <c r="AQ247" s="30">
        <f>IF(AP247="Yes",10,0)</f>
        <v/>
      </c>
      <c r="AR247" s="30" t="inlineStr">
        <is>
          <t>Higher One Time, Lower Annuity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20 to 40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Positive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Close to 52 week high or retracement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More than 20%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No</t>
        </is>
      </c>
      <c r="BS247" s="30">
        <f>IF(BR247="NO",5,0)</f>
        <v/>
      </c>
      <c r="BT247" s="30" t="inlineStr">
        <is>
          <t>Less than 1.5</t>
        </is>
      </c>
      <c r="BU247" s="30">
        <f>IF(BT247="Above 2",0,IF(BT247="Between 1.5 to 2",5,IF(BT247="Less than 1.5",10,0)))</f>
        <v/>
      </c>
      <c r="BV247" s="30" t="inlineStr">
        <is>
          <t>Above 70%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IF(B248=0,"",RANK(B248,$B$2:$B$427,0))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0" t="inlineStr">
        <is>
          <t>MARINE</t>
        </is>
      </c>
      <c r="D248" s="30" t="inlineStr">
        <is>
          <t>Marine Electricals (India) Ltd</t>
        </is>
      </c>
      <c r="E248" s="30" t="inlineStr">
        <is>
          <t>industrials</t>
        </is>
      </c>
      <c r="F248" s="30" t="inlineStr">
        <is>
          <t>electric equipment</t>
        </is>
      </c>
      <c r="G248" s="30" t="inlineStr">
        <is>
          <t>smallcap</t>
        </is>
      </c>
      <c r="H248" s="31" t="n">
        <v>641.54</v>
      </c>
      <c r="I248" s="31" t="n">
        <v>258.45</v>
      </c>
      <c r="J248" s="31" t="n">
        <v>-1.17</v>
      </c>
      <c r="K248" s="31" t="n">
        <v>520331</v>
      </c>
      <c r="L248" s="30" t="n">
        <v>62</v>
      </c>
      <c r="M248" s="30" t="inlineStr">
        <is>
          <t>Outperforming</t>
        </is>
      </c>
      <c r="N248" s="31">
        <f>IF(M248="Underperforming",-5,IF(L248&gt;=95,15,IF(L248&gt;=90,10,IF(L248&gt;=80,5,0))))</f>
        <v/>
      </c>
      <c r="O248" s="31" t="n">
        <v>61.5</v>
      </c>
      <c r="P248" s="31" t="n">
        <v>25.2</v>
      </c>
      <c r="Q248" s="31" t="n">
        <v>193.5</v>
      </c>
      <c r="R248" s="30" t="inlineStr">
        <is>
          <t>Near 52W High Breakout</t>
        </is>
      </c>
      <c r="S248" s="30" t="inlineStr">
        <is>
          <t>Nifty 50</t>
        </is>
      </c>
      <c r="T248" s="31" t="n">
        <v>-4.38</v>
      </c>
      <c r="U248" s="31" t="n">
        <v>23.75</v>
      </c>
      <c r="V248" s="31" t="n">
        <v>29.42</v>
      </c>
      <c r="W248" s="31" t="n">
        <v>16.9</v>
      </c>
      <c r="X248" s="30" t="inlineStr">
        <is>
          <t>Cyclical in an Upturn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Yes</t>
        </is>
      </c>
      <c r="AQ248" s="30">
        <f>IF(AP248="Yes",10,0)</f>
        <v/>
      </c>
      <c r="AR248" s="30" t="inlineStr">
        <is>
          <t>Higher One Time, Lower Annuity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20 to 40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Positive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Close to 52 week high or retracement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More than 20%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Yes</t>
        </is>
      </c>
      <c r="BS248" s="30">
        <f>IF(BR248="NO",5,0)</f>
        <v/>
      </c>
      <c r="BT248" s="30" t="inlineStr">
        <is>
          <t>Between 1.5 to 2</t>
        </is>
      </c>
      <c r="BU248" s="30">
        <f>IF(BT248="Above 2",0,IF(BT248="Between 1.5 to 2",5,IF(BT248="Less than 1.5",10,0)))</f>
        <v/>
      </c>
      <c r="BV248" s="30" t="inlineStr">
        <is>
          <t>Negative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Less than 0.7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IF(B249=0,"",RANK(B249,$B$2:$B$427,0))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2" t="inlineStr">
        <is>
          <t>INDGN</t>
        </is>
      </c>
      <c r="D249" s="32" t="inlineStr">
        <is>
          <t>Indegene Ltd</t>
        </is>
      </c>
      <c r="E249" s="30" t="inlineStr">
        <is>
          <t>healthcare</t>
        </is>
      </c>
      <c r="F249" s="30" t="inlineStr">
        <is>
          <t>miscellaneous</t>
        </is>
      </c>
      <c r="G249" s="30" t="inlineStr">
        <is>
          <t>midcap</t>
        </is>
      </c>
      <c r="H249" s="31" t="n">
        <v>12462.85</v>
      </c>
      <c r="I249" s="31" t="n">
        <v>532.4</v>
      </c>
      <c r="J249" s="31" t="n">
        <v>2.66</v>
      </c>
      <c r="K249" s="31" t="n">
        <v>237674</v>
      </c>
      <c r="L249" s="30" t="n">
        <v>8</v>
      </c>
      <c r="M249" s="30" t="inlineStr">
        <is>
          <t>Underperforming</t>
        </is>
      </c>
      <c r="N249" s="31">
        <f>IF(M249="Underperforming",-5,IF(L249&gt;=95,15,IF(L249&gt;=90,10,IF(L249&gt;=80,5,0))))</f>
        <v/>
      </c>
      <c r="O249" s="31" t="n">
        <v>57.42</v>
      </c>
      <c r="P249" s="31" t="n">
        <v>22.9</v>
      </c>
      <c r="Q249" s="31" t="n">
        <v>435.12</v>
      </c>
      <c r="R249" s="30" t="inlineStr">
        <is>
          <t>Earnings / Momentum Support</t>
        </is>
      </c>
      <c r="S249" s="30" t="inlineStr">
        <is>
          <t>Nifty Pharma</t>
        </is>
      </c>
      <c r="T249" s="31" t="n">
        <v>13.17</v>
      </c>
      <c r="U249" s="31" t="n">
        <v>-7.75</v>
      </c>
      <c r="V249" s="31" t="n">
        <v>-18.48</v>
      </c>
      <c r="W249" s="31" t="n">
        <v>3.36</v>
      </c>
      <c r="X249" s="30" t="inlineStr">
        <is>
          <t>Growing Industry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Yes</t>
        </is>
      </c>
      <c r="AC249" s="30">
        <f>IF(AB249="No",5,0)</f>
        <v/>
      </c>
      <c r="AD249" s="30" t="inlineStr">
        <is>
          <t>Tailwind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No</t>
        </is>
      </c>
      <c r="AQ249" s="30">
        <f>IF(AP249="Yes",10,0)</f>
        <v/>
      </c>
      <c r="AR249" s="30" t="inlineStr">
        <is>
          <t>Higher Annuity, Lower One Time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20 to 40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2</t>
        </is>
      </c>
      <c r="BC249" s="30">
        <f>IF(BB249="Stage 2",20,IF(BB249="Stage 1",0,IF(BB249="Stage 3",5,IF(BB249="Stage 4",-5,0))))</f>
        <v/>
      </c>
      <c r="BD249" s="30" t="inlineStr">
        <is>
          <t>Positive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Close to 52 week high or retracement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Less than 12%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No</t>
        </is>
      </c>
      <c r="BS249" s="30">
        <f>IF(BR249="NO",5,0)</f>
        <v/>
      </c>
      <c r="BT249" s="30" t="inlineStr">
        <is>
          <t>Above 2</t>
        </is>
      </c>
      <c r="BU249" s="30">
        <f>IF(BT249="Above 2",0,IF(BT249="Between 1.5 to 2",5,IF(BT249="Less than 1.5",10,0)))</f>
        <v/>
      </c>
      <c r="BV249" s="30" t="inlineStr">
        <is>
          <t>Above 70%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IF(B250=0,"",RANK(B250,$B$2:$B$427,0))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0" t="inlineStr">
        <is>
          <t>SANSTAR</t>
        </is>
      </c>
      <c r="D250" s="30" t="inlineStr">
        <is>
          <t>Sanstar Ltd</t>
        </is>
      </c>
      <c r="E250" s="30" t="inlineStr">
        <is>
          <t>fmcg</t>
        </is>
      </c>
      <c r="F250" s="30" t="inlineStr">
        <is>
          <t>miscellaneous</t>
        </is>
      </c>
      <c r="G250" s="30" t="inlineStr">
        <is>
          <t>smallcap</t>
        </is>
      </c>
      <c r="H250" s="31" t="n">
        <v>2098</v>
      </c>
      <c r="I250" s="31" t="n">
        <v>116.45</v>
      </c>
      <c r="J250" s="31" t="n">
        <v>1.16</v>
      </c>
      <c r="K250" s="31" t="n">
        <v>334616</v>
      </c>
      <c r="L250" s="30" t="n">
        <v>56</v>
      </c>
      <c r="M250" s="30" t="inlineStr">
        <is>
          <t>Outperforming</t>
        </is>
      </c>
      <c r="N250" s="31">
        <f>IF(M250="Underperforming",-5,IF(L250&gt;=95,15,IF(L250&gt;=90,10,IF(L250&gt;=80,5,0))))</f>
        <v/>
      </c>
      <c r="O250" s="31" t="n">
        <v>72.79000000000001</v>
      </c>
      <c r="P250" s="31" t="n">
        <v>32.05</v>
      </c>
      <c r="Q250" s="31" t="n">
        <v>92.81</v>
      </c>
      <c r="R250" s="30" t="inlineStr">
        <is>
          <t>Near 52W High Breakout</t>
        </is>
      </c>
      <c r="S250" s="30" t="inlineStr">
        <is>
          <t>Nifty FMCG</t>
        </is>
      </c>
      <c r="T250" s="31" t="n">
        <v>-9.279999999999999</v>
      </c>
      <c r="U250" s="31" t="n">
        <v>27.92</v>
      </c>
      <c r="V250" s="31" t="n">
        <v>41.02</v>
      </c>
      <c r="W250" s="31" t="n">
        <v>14.67</v>
      </c>
      <c r="X250" s="30" t="inlineStr">
        <is>
          <t>Growing Industry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B2C</t>
        </is>
      </c>
      <c r="AO250" s="30">
        <f>IF(AN250="B2C",10,IF(AN250="B2B",5,0))</f>
        <v/>
      </c>
      <c r="AP250" s="30" t="inlineStr">
        <is>
          <t>Yes</t>
        </is>
      </c>
      <c r="AQ250" s="30">
        <f>IF(AP250="Yes",10,0)</f>
        <v/>
      </c>
      <c r="AR250" s="30" t="inlineStr">
        <is>
          <t>Higher Annuity, Lower One Time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20 to 40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Negative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Close to 52 week high or retracement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More than 20%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Yes</t>
        </is>
      </c>
      <c r="BS250" s="30">
        <f>IF(BR250="NO",5,0)</f>
        <v/>
      </c>
      <c r="BT250" s="30" t="inlineStr">
        <is>
          <t>Above 2</t>
        </is>
      </c>
      <c r="BU250" s="30">
        <f>IF(BT250="Above 2",0,IF(BT250="Between 1.5 to 2",5,IF(BT250="Less than 1.5",10,0)))</f>
        <v/>
      </c>
      <c r="BV250" s="30" t="inlineStr">
        <is>
          <t>Above 70%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Less than 0.7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IF(B251=0,"",RANK(B251,$B$2:$B$427,0))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2" t="inlineStr">
        <is>
          <t>MEDANTA</t>
        </is>
      </c>
      <c r="D251" s="32" t="inlineStr">
        <is>
          <t>Global Health Ltd</t>
        </is>
      </c>
      <c r="E251" s="30" t="inlineStr">
        <is>
          <t>healthcare</t>
        </is>
      </c>
      <c r="F251" s="30" t="inlineStr">
        <is>
          <t>healthcare</t>
        </is>
      </c>
      <c r="G251" s="30" t="inlineStr">
        <is>
          <t>largecap</t>
        </is>
      </c>
      <c r="H251" s="31" t="n">
        <v>33819.21</v>
      </c>
      <c r="I251" s="31" t="n">
        <v>1265.8</v>
      </c>
      <c r="J251" s="31" t="n">
        <v>0.6</v>
      </c>
      <c r="K251" s="31" t="n">
        <v>161667</v>
      </c>
      <c r="L251" s="30" t="n">
        <v>34</v>
      </c>
      <c r="M251" s="30" t="inlineStr">
        <is>
          <t>Underperforming</t>
        </is>
      </c>
      <c r="N251" s="31">
        <f>IF(M251="Underperforming",-5,IF(L251&gt;=95,15,IF(L251&gt;=90,10,IF(L251&gt;=80,5,0))))</f>
        <v/>
      </c>
      <c r="O251" s="31" t="n">
        <v>60.39</v>
      </c>
      <c r="P251" s="31" t="n">
        <v>18.82</v>
      </c>
      <c r="Q251" s="31" t="n">
        <v>1032.53</v>
      </c>
      <c r="R251" s="30" t="inlineStr">
        <is>
          <t>Earnings / Momentum Support</t>
        </is>
      </c>
      <c r="S251" s="30" t="inlineStr">
        <is>
          <t>Nifty Pharma</t>
        </is>
      </c>
      <c r="T251" s="31" t="n">
        <v>13.17</v>
      </c>
      <c r="U251" s="31" t="n">
        <v>11.91</v>
      </c>
      <c r="V251" s="31" t="n">
        <v>-1.12</v>
      </c>
      <c r="W251" s="31" t="n">
        <v>8.76</v>
      </c>
      <c r="X251" s="30" t="inlineStr">
        <is>
          <t>Growing Industry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Yes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Structural (10 Years Consistency)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Stable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No</t>
        </is>
      </c>
      <c r="AQ251" s="30">
        <f>IF(AP251="Yes",10,0)</f>
        <v/>
      </c>
      <c r="AR251" s="30" t="inlineStr">
        <is>
          <t>Higher Annuity, Lower One Time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0 to 20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2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Close to 52 week high or retracement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More than 20%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Yes</t>
        </is>
      </c>
      <c r="BS251" s="30">
        <f>IF(BR251="NO",5,0)</f>
        <v/>
      </c>
      <c r="BT251" s="30" t="inlineStr">
        <is>
          <t>Less than 1.5</t>
        </is>
      </c>
      <c r="BU251" s="30">
        <f>IF(BT251="Above 2",0,IF(BT251="Between 1.5 to 2",5,IF(BT251="Less than 1.5",10,0)))</f>
        <v/>
      </c>
      <c r="BV251" s="30" t="inlineStr">
        <is>
          <t>Above 70%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Less than 0.7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IF(B252=0,"",RANK(B252,$B$2:$B$427,0))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ADVENZYMES</t>
        </is>
      </c>
      <c r="D252" s="30" t="inlineStr">
        <is>
          <t>Advanced Enzyme Technologies Limited</t>
        </is>
      </c>
      <c r="E252" s="30" t="inlineStr">
        <is>
          <t>healthcare</t>
        </is>
      </c>
      <c r="F252" s="30" t="inlineStr">
        <is>
          <t>pharmaceuticals - indian - bulk drugs &amp; formln</t>
        </is>
      </c>
      <c r="G252" s="30" t="inlineStr">
        <is>
          <t>smallcap</t>
        </is>
      </c>
      <c r="H252" s="31" t="n">
        <v>4179.35</v>
      </c>
      <c r="I252" s="31" t="n">
        <v>373.7</v>
      </c>
      <c r="J252" s="31" t="n">
        <v>0.08</v>
      </c>
      <c r="K252" s="31" t="n">
        <v>76626</v>
      </c>
      <c r="L252" s="30" t="n">
        <v>46</v>
      </c>
      <c r="M252" s="30" t="inlineStr">
        <is>
          <t>Outperforming</t>
        </is>
      </c>
      <c r="N252" s="31">
        <f>IF(M252="Underperforming",-5,IF(L252&gt;=95,15,IF(L252&gt;=90,10,IF(L252&gt;=80,5,0))))</f>
        <v/>
      </c>
      <c r="O252" s="31" t="n">
        <v>66.67</v>
      </c>
      <c r="P252" s="31" t="n">
        <v>33.99</v>
      </c>
      <c r="Q252" s="31" t="n">
        <v>289.95</v>
      </c>
      <c r="R252" s="30" t="inlineStr">
        <is>
          <t>Near 52W High Breakout</t>
        </is>
      </c>
      <c r="S252" s="30" t="inlineStr">
        <is>
          <t>Nifty Pharma</t>
        </is>
      </c>
      <c r="T252" s="31" t="n">
        <v>13.17</v>
      </c>
      <c r="U252" s="31" t="n">
        <v>15.39</v>
      </c>
      <c r="V252" s="31" t="n">
        <v>1.96</v>
      </c>
      <c r="W252" s="31" t="n">
        <v>11.65</v>
      </c>
      <c r="X252" s="30" t="inlineStr">
        <is>
          <t>Growing Industry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Yes</t>
        </is>
      </c>
      <c r="AC252" s="30">
        <f>IF(AB252="No",5,0)</f>
        <v/>
      </c>
      <c r="AD252" s="30" t="inlineStr">
        <is>
          <t>Tailwind</t>
        </is>
      </c>
      <c r="AE252" s="30">
        <f>IF(AD252="Tailwind",10,0)</f>
        <v/>
      </c>
      <c r="AF252" s="30" t="inlineStr">
        <is>
          <t>Structural (10 Years Consistency)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Stable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Yes</t>
        </is>
      </c>
      <c r="AQ252" s="30">
        <f>IF(AP252="Yes",10,0)</f>
        <v/>
      </c>
      <c r="AR252" s="30" t="inlineStr">
        <is>
          <t>Higher Annuity, Lower One Time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20 to 40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Negative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Close to 52 week high or retracement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More than 20%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No</t>
        </is>
      </c>
      <c r="BS252" s="30">
        <f>IF(BR252="NO",5,0)</f>
        <v/>
      </c>
      <c r="BT252" s="30" t="inlineStr">
        <is>
          <t>Less than 1.5</t>
        </is>
      </c>
      <c r="BU252" s="30">
        <f>IF(BT252="Above 2",0,IF(BT252="Between 1.5 to 2",5,IF(BT252="Less than 1.5",10,0)))</f>
        <v/>
      </c>
      <c r="BV252" s="30" t="inlineStr">
        <is>
          <t>Between 50% to 70%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Less than 0.7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IF(B253=0,"",RANK(B253,$B$2:$B$427,0))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2" t="inlineStr">
        <is>
          <t>ZYDUSLIFE</t>
        </is>
      </c>
      <c r="D253" s="32" t="inlineStr">
        <is>
          <t>Zydus Lifesciences Ltd</t>
        </is>
      </c>
      <c r="E253" s="30" t="inlineStr">
        <is>
          <t>healthcare</t>
        </is>
      </c>
      <c r="F253" s="30" t="inlineStr">
        <is>
          <t>pharmaceuticals - indian - bulk drugs &amp; formln</t>
        </is>
      </c>
      <c r="G253" s="30" t="inlineStr">
        <is>
          <t>largecap</t>
        </is>
      </c>
      <c r="H253" s="31" t="n">
        <v>108109.78</v>
      </c>
      <c r="I253" s="31" t="n">
        <v>1070.8</v>
      </c>
      <c r="J253" s="31" t="n">
        <v>-0.34</v>
      </c>
      <c r="K253" s="31" t="n">
        <v>887232</v>
      </c>
      <c r="L253" s="30" t="n">
        <v>24</v>
      </c>
      <c r="M253" s="30" t="inlineStr">
        <is>
          <t>Underperforming</t>
        </is>
      </c>
      <c r="N253" s="31">
        <f>IF(M253="Underperforming",-5,IF(L253&gt;=95,15,IF(L253&gt;=90,10,IF(L253&gt;=80,5,0))))</f>
        <v/>
      </c>
      <c r="O253" s="31" t="n">
        <v>65.12</v>
      </c>
      <c r="P253" s="31" t="n">
        <v>21.85</v>
      </c>
      <c r="Q253" s="31" t="n">
        <v>938.9</v>
      </c>
      <c r="R253" s="30" t="inlineStr">
        <is>
          <t>Near 52W High Breakout</t>
        </is>
      </c>
      <c r="S253" s="30" t="inlineStr">
        <is>
          <t>Nifty Pharma</t>
        </is>
      </c>
      <c r="T253" s="31" t="n">
        <v>13.17</v>
      </c>
      <c r="U253" s="31" t="n">
        <v>13.16</v>
      </c>
      <c r="V253" s="31" t="n">
        <v>-0.01</v>
      </c>
      <c r="W253" s="31" t="n">
        <v>7.12</v>
      </c>
      <c r="X253" s="30" t="inlineStr">
        <is>
          <t>Growing Industry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Yes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Yes</t>
        </is>
      </c>
      <c r="AQ253" s="30">
        <f>IF(AP253="Yes",10,0)</f>
        <v/>
      </c>
      <c r="AR253" s="30" t="inlineStr">
        <is>
          <t>Higher Annuity, Lower One Time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20 to 40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2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Less than 12%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No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Less than 50%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Less than 0.7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IF(B254=0,"",RANK(B254,$B$2:$B$427,0))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0" t="inlineStr">
        <is>
          <t>BBOX</t>
        </is>
      </c>
      <c r="D254" s="30" t="inlineStr">
        <is>
          <t>Black Box Ltd</t>
        </is>
      </c>
      <c r="E254" s="30" t="inlineStr">
        <is>
          <t>i.t</t>
        </is>
      </c>
      <c r="F254" s="30" t="inlineStr">
        <is>
          <t>computers - software - medium / small</t>
        </is>
      </c>
      <c r="G254" s="30" t="inlineStr">
        <is>
          <t>midcap</t>
        </is>
      </c>
      <c r="H254" s="31" t="n">
        <v>18495.01</v>
      </c>
      <c r="I254" s="31" t="n">
        <v>1023</v>
      </c>
      <c r="J254" s="31" t="n">
        <v>-1.82</v>
      </c>
      <c r="K254" s="31" t="n">
        <v>493024</v>
      </c>
      <c r="L254" s="30" t="n">
        <v>94</v>
      </c>
      <c r="M254" s="30" t="inlineStr">
        <is>
          <t>Outperforming</t>
        </is>
      </c>
      <c r="N254" s="31">
        <f>IF(M254="Underperforming",-5,IF(L254&gt;=95,15,IF(L254&gt;=90,10,IF(L254&gt;=80,5,0))))</f>
        <v/>
      </c>
      <c r="O254" s="31" t="n">
        <v>78.75</v>
      </c>
      <c r="P254" s="31" t="n">
        <v>38.54</v>
      </c>
      <c r="Q254" s="31" t="n">
        <v>831.6</v>
      </c>
      <c r="R254" s="30" t="inlineStr">
        <is>
          <t>Near 52W High Breakout</t>
        </is>
      </c>
      <c r="S254" s="30" t="inlineStr">
        <is>
          <t>Nifty IT</t>
        </is>
      </c>
      <c r="T254" s="31" t="n">
        <v>-29.66</v>
      </c>
      <c r="U254" s="31" t="n">
        <v>114.24</v>
      </c>
      <c r="V254" s="31" t="n">
        <v>204.58</v>
      </c>
      <c r="W254" s="31" t="n">
        <v>42.27</v>
      </c>
      <c r="X254" s="30" t="inlineStr">
        <is>
          <t>Growing Industry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Tailwind</t>
        </is>
      </c>
      <c r="AE254" s="30">
        <f>IF(AD254="Tailwind",10,0)</f>
        <v/>
      </c>
      <c r="AF254" s="30" t="inlineStr">
        <is>
          <t>Structural (10 Years Consistency)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Yes</t>
        </is>
      </c>
      <c r="AQ254" s="30">
        <f>IF(AP254="Yes",10,0)</f>
        <v/>
      </c>
      <c r="AR254" s="30" t="inlineStr">
        <is>
          <t>Higher Annuity, Lower One Time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20 to 40</t>
        </is>
      </c>
      <c r="AY254" s="30">
        <f>IF(AX254="Above 40",20,IF(AX254="20 to 40",10,IF(AX254="0 to 20",-5,0)))</f>
        <v/>
      </c>
      <c r="AZ254" s="30" t="inlineStr">
        <is>
          <t>Above 75</t>
        </is>
      </c>
      <c r="BA254" s="30">
        <f>IF(AZ254="Between 50 to 75",10,IF(AZ254="Above 75",0,0))</f>
        <v/>
      </c>
      <c r="BB254" s="30" t="inlineStr">
        <is>
          <t>Stage 2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Blue sky scenario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Less than 12%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Yes</t>
        </is>
      </c>
      <c r="BS254" s="30">
        <f>IF(BR254="NO",5,0)</f>
        <v/>
      </c>
      <c r="BT254" s="30" t="inlineStr">
        <is>
          <t>Above 2</t>
        </is>
      </c>
      <c r="BU254" s="30">
        <f>IF(BT254="Above 2",0,IF(BT254="Between 1.5 to 2",5,IF(BT254="Less than 1.5",10,0)))</f>
        <v/>
      </c>
      <c r="BV254" s="30" t="inlineStr">
        <is>
          <t>Less than 50%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Between 0.7 to 1.2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IF(B255=0,"",RANK(B255,$B$2:$B$427,0))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2" t="inlineStr">
        <is>
          <t>RBA</t>
        </is>
      </c>
      <c r="D255" s="32" t="inlineStr">
        <is>
          <t>Restaurant Brands Asia Ltd</t>
        </is>
      </c>
      <c r="E255" s="30" t="inlineStr">
        <is>
          <t>consumer discretionary</t>
        </is>
      </c>
      <c r="F255" s="30" t="inlineStr">
        <is>
          <t>hotels</t>
        </is>
      </c>
      <c r="G255" s="30" t="inlineStr">
        <is>
          <t>smallcap</t>
        </is>
      </c>
      <c r="H255" s="31" t="n">
        <v>4958.08</v>
      </c>
      <c r="I255" s="31" t="n">
        <v>73.67</v>
      </c>
      <c r="J255" s="31" t="n">
        <v>5.71</v>
      </c>
      <c r="K255" s="31" t="n">
        <v>77847711</v>
      </c>
      <c r="L255" s="30" t="n">
        <v>9</v>
      </c>
      <c r="M255" s="30" t="inlineStr">
        <is>
          <t>Underperforming</t>
        </is>
      </c>
      <c r="N255" s="31">
        <f>IF(M255="Underperforming",-5,IF(L255&gt;=95,15,IF(L255&gt;=90,10,IF(L255&gt;=80,5,0))))</f>
        <v/>
      </c>
      <c r="O255" s="31" t="n">
        <v>66.7</v>
      </c>
      <c r="P255" s="31" t="n">
        <v>18.6</v>
      </c>
      <c r="Q255" s="31" t="n">
        <v>62.95</v>
      </c>
      <c r="R255" s="30" t="inlineStr">
        <is>
          <t>Volume Spike / Accumulation</t>
        </is>
      </c>
      <c r="S255" s="30" t="inlineStr">
        <is>
          <t>Nifty 50</t>
        </is>
      </c>
      <c r="T255" s="31" t="n">
        <v>-4.38</v>
      </c>
      <c r="U255" s="31" t="n">
        <v>-7.52</v>
      </c>
      <c r="V255" s="31" t="n">
        <v>-3.29</v>
      </c>
      <c r="W255" s="31" t="n">
        <v>3.64</v>
      </c>
      <c r="X255" s="30" t="inlineStr">
        <is>
          <t>Growing Industry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Yes</t>
        </is>
      </c>
      <c r="AQ255" s="30">
        <f>IF(AP255="Yes",10,0)</f>
        <v/>
      </c>
      <c r="AR255" s="30" t="inlineStr">
        <is>
          <t>Higher One Time, Lower Annuity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0 to 20</t>
        </is>
      </c>
      <c r="AY255" s="30">
        <f>IF(AX255="Above 40",20,IF(AX255="20 to 40",10,IF(AX255="0 to 20",-5,0)))</f>
        <v/>
      </c>
      <c r="AZ255" s="30" t="inlineStr">
        <is>
          <t>Between 50 to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Positive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Close to 52 week high or retracement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More than 20%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No</t>
        </is>
      </c>
      <c r="BS255" s="30">
        <f>IF(BR255="NO",5,0)</f>
        <v/>
      </c>
      <c r="BT255" s="30" t="inlineStr">
        <is>
          <t>Less than 1.5</t>
        </is>
      </c>
      <c r="BU255" s="30">
        <f>IF(BT255="Above 2",0,IF(BT255="Between 1.5 to 2",5,IF(BT255="Less than 1.5",10,0)))</f>
        <v/>
      </c>
      <c r="BV255" s="30" t="inlineStr">
        <is>
          <t>Above 70%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More than 1.2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IF(B256=0,"",RANK(B256,$B$2:$B$427,0))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2" t="inlineStr">
        <is>
          <t>UNIMECH</t>
        </is>
      </c>
      <c r="D256" s="32" t="inlineStr">
        <is>
          <t>Unimech Aerospace and Manufacturing Ltd</t>
        </is>
      </c>
      <c r="E256" s="30" t="inlineStr">
        <is>
          <t>aerospace &amp; defence</t>
        </is>
      </c>
      <c r="F256" s="30" t="inlineStr">
        <is>
          <t>engineering</t>
        </is>
      </c>
      <c r="G256" s="30" t="inlineStr">
        <is>
          <t>midcap</t>
        </is>
      </c>
      <c r="H256" s="31" t="n">
        <v>5765.39</v>
      </c>
      <c r="I256" s="31" t="n">
        <v>1197.65</v>
      </c>
      <c r="J256" s="31" t="n">
        <v>5.65</v>
      </c>
      <c r="K256" s="31" t="n">
        <v>365512</v>
      </c>
      <c r="L256" s="30" t="n">
        <v>45</v>
      </c>
      <c r="M256" s="30" t="inlineStr">
        <is>
          <t>Underperforming</t>
        </is>
      </c>
      <c r="N256" s="31">
        <f>IF(M256="Underperforming",-5,IF(L256&gt;=95,15,IF(L256&gt;=90,10,IF(L256&gt;=80,5,0))))</f>
        <v/>
      </c>
      <c r="O256" s="31" t="n">
        <v>66.59999999999999</v>
      </c>
      <c r="P256" s="31" t="n">
        <v>25.9</v>
      </c>
      <c r="Q256" s="31" t="n">
        <v>882.3200000000001</v>
      </c>
      <c r="R256" s="30" t="inlineStr">
        <is>
          <t>Earnings / Momentum Support</t>
        </is>
      </c>
      <c r="S256" s="30" t="inlineStr">
        <is>
          <t>Nifty 50</t>
        </is>
      </c>
      <c r="T256" s="31" t="n">
        <v>-4.38</v>
      </c>
      <c r="U256" s="31" t="n">
        <v>-6.95</v>
      </c>
      <c r="V256" s="31" t="n">
        <v>-2.69</v>
      </c>
      <c r="W256" s="31" t="n">
        <v>11.33</v>
      </c>
      <c r="X256" s="30" t="inlineStr">
        <is>
          <t>Growing Industry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No</t>
        </is>
      </c>
      <c r="AQ256" s="30">
        <f>IF(AP256="Yes",10,0)</f>
        <v/>
      </c>
      <c r="AR256" s="30" t="inlineStr">
        <is>
          <t>Higher One Time, Lower Annuity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20 to 40</t>
        </is>
      </c>
      <c r="AY256" s="30">
        <f>IF(AX256="Above 40",20,IF(AX256="20 to 40",10,IF(AX256="0 to 20",-5,0)))</f>
        <v/>
      </c>
      <c r="AZ256" s="30" t="inlineStr">
        <is>
          <t>Between 50 to 75</t>
        </is>
      </c>
      <c r="BA256" s="30">
        <f>IF(AZ256="Between 50 to 75",10,IF(AZ256="Above 75",0,0))</f>
        <v/>
      </c>
      <c r="BB256" s="30" t="inlineStr">
        <is>
          <t>Stage 2</t>
        </is>
      </c>
      <c r="BC256" s="30">
        <f>IF(BB256="Stage 2",20,IF(BB256="Stage 1",0,IF(BB256="Stage 3",5,IF(BB256="Stage 4",-5,0))))</f>
        <v/>
      </c>
      <c r="BD256" s="30" t="inlineStr">
        <is>
          <t>Positive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Close to 52 week high or retracement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Less than 12%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Yes</t>
        </is>
      </c>
      <c r="BS256" s="30">
        <f>IF(BR256="NO",5,0)</f>
        <v/>
      </c>
      <c r="BT256" s="30" t="inlineStr">
        <is>
          <t>Above 2</t>
        </is>
      </c>
      <c r="BU256" s="30">
        <f>IF(BT256="Above 2",0,IF(BT256="Between 1.5 to 2",5,IF(BT256="Less than 1.5",10,0)))</f>
        <v/>
      </c>
      <c r="BV256" s="30" t="inlineStr">
        <is>
          <t>Above 70%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Less than 0.7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IF(B257=0,"",RANK(B257,$B$2:$B$427,0))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0" t="inlineStr">
        <is>
          <t>MSPL</t>
        </is>
      </c>
      <c r="D257" s="30" t="inlineStr">
        <is>
          <t>Msp Steel &amp; Power Limited</t>
        </is>
      </c>
      <c r="E257" s="30" t="inlineStr">
        <is>
          <t>metals &amp; mining</t>
        </is>
      </c>
      <c r="F257" s="30" t="inlineStr">
        <is>
          <t>steel - medium / small</t>
        </is>
      </c>
      <c r="G257" s="30" t="inlineStr">
        <is>
          <t>smallcap</t>
        </is>
      </c>
      <c r="H257" s="31" t="n">
        <v>2392.45</v>
      </c>
      <c r="I257" s="31" t="n">
        <v>44.32</v>
      </c>
      <c r="J257" s="31" t="n">
        <v>5</v>
      </c>
      <c r="K257" s="31" t="n">
        <v>5362185</v>
      </c>
      <c r="L257" s="30" t="n">
        <v>76</v>
      </c>
      <c r="M257" s="30" t="inlineStr">
        <is>
          <t>Outperforming</t>
        </is>
      </c>
      <c r="N257" s="31">
        <f>IF(M257="Underperforming",-5,IF(L257&gt;=95,15,IF(L257&gt;=90,10,IF(L257&gt;=80,5,0))))</f>
        <v/>
      </c>
      <c r="O257" s="31" t="n">
        <v>67.62</v>
      </c>
      <c r="P257" s="31" t="n">
        <v>22.2</v>
      </c>
      <c r="Q257" s="31" t="n">
        <v>34.01</v>
      </c>
      <c r="R257" s="30" t="inlineStr">
        <is>
          <t>Volume Spike &amp; Near 52W High Breakout</t>
        </is>
      </c>
      <c r="S257" s="30" t="inlineStr">
        <is>
          <t>Nifty Metal</t>
        </is>
      </c>
      <c r="T257" s="31" t="n">
        <v>42.48</v>
      </c>
      <c r="U257" s="31" t="n">
        <v>63.78</v>
      </c>
      <c r="V257" s="31" t="n">
        <v>14.95</v>
      </c>
      <c r="W257" s="31" t="n">
        <v>22.78</v>
      </c>
      <c r="X257" s="30" t="inlineStr">
        <is>
          <t>Cyclical in an Upturn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Tailwind</t>
        </is>
      </c>
      <c r="AE257" s="30">
        <f>IF(AD257="Tailwind",10,0)</f>
        <v/>
      </c>
      <c r="AF257" s="30" t="inlineStr">
        <is>
          <t>Cyclical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Volatile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Yes</t>
        </is>
      </c>
      <c r="AQ257" s="30">
        <f>IF(AP257="Yes",10,0)</f>
        <v/>
      </c>
      <c r="AR257" s="30" t="inlineStr">
        <is>
          <t>Higher One Time, Lower Annuity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20 to 40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Positive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More than 20%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Yes</t>
        </is>
      </c>
      <c r="BS257" s="30">
        <f>IF(BR257="NO",5,0)</f>
        <v/>
      </c>
      <c r="BT257" s="30" t="inlineStr">
        <is>
          <t>Above 2</t>
        </is>
      </c>
      <c r="BU257" s="30">
        <f>IF(BT257="Above 2",0,IF(BT257="Between 1.5 to 2",5,IF(BT257="Less than 1.5",10,0)))</f>
        <v/>
      </c>
      <c r="BV257" s="30" t="inlineStr">
        <is>
          <t>Above 70%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Less than 0.7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IF(B258=0,"",RANK(B258,$B$2:$B$427,0))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0" t="inlineStr">
        <is>
          <t>BIRLACABLE</t>
        </is>
      </c>
      <c r="D258" s="30" t="inlineStr">
        <is>
          <t>Birla Cable Limited</t>
        </is>
      </c>
      <c r="E258" s="30" t="inlineStr">
        <is>
          <t>industrials</t>
        </is>
      </c>
      <c r="F258" s="30" t="inlineStr">
        <is>
          <t>cables - telephone</t>
        </is>
      </c>
      <c r="G258" s="30" t="inlineStr">
        <is>
          <t>smallcap</t>
        </is>
      </c>
      <c r="H258" s="31" t="n">
        <v>649.59</v>
      </c>
      <c r="I258" s="31" t="n">
        <v>227.35</v>
      </c>
      <c r="J258" s="31" t="n">
        <v>5</v>
      </c>
      <c r="K258" s="31" t="n">
        <v>165630</v>
      </c>
      <c r="L258" s="30" t="n">
        <v>79</v>
      </c>
      <c r="M258" s="30" t="inlineStr">
        <is>
          <t>Outperforming</t>
        </is>
      </c>
      <c r="N258" s="31">
        <f>IF(M258="Underperforming",-5,IF(L258&gt;=95,15,IF(L258&gt;=90,10,IF(L258&gt;=80,5,0))))</f>
        <v/>
      </c>
      <c r="O258" s="31" t="n">
        <v>67.67</v>
      </c>
      <c r="P258" s="31" t="n">
        <v>33.53</v>
      </c>
      <c r="Q258" s="31" t="n">
        <v>161.28</v>
      </c>
      <c r="R258" s="30" t="inlineStr">
        <is>
          <t>Near 52W High Breakout</t>
        </is>
      </c>
      <c r="S258" s="30" t="inlineStr">
        <is>
          <t>Nifty Infra</t>
        </is>
      </c>
      <c r="T258" s="31" t="n">
        <v>4.18</v>
      </c>
      <c r="U258" s="31" t="n">
        <v>24</v>
      </c>
      <c r="V258" s="31" t="n">
        <v>19.03</v>
      </c>
      <c r="W258" s="31" t="n">
        <v>24.23</v>
      </c>
      <c r="X258" s="30" t="inlineStr">
        <is>
          <t>Cyclical in an Upturn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Structural (10 Years Consistency)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Yes</t>
        </is>
      </c>
      <c r="AQ258" s="30">
        <f>IF(AP258="Yes",10,0)</f>
        <v/>
      </c>
      <c r="AR258" s="30" t="inlineStr">
        <is>
          <t>Higher One Time, Lower Annuity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20 to 40</t>
        </is>
      </c>
      <c r="AY258" s="30">
        <f>IF(AX258="Above 40",20,IF(AX258="20 to 40",10,IF(AX258="0 to 20",-5,0)))</f>
        <v/>
      </c>
      <c r="AZ258" s="30" t="inlineStr">
        <is>
          <t>Between 50 to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Positive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Close to 52 week high or retracement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More than 20%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Yes</t>
        </is>
      </c>
      <c r="BS258" s="30">
        <f>IF(BR258="NO",5,0)</f>
        <v/>
      </c>
      <c r="BT258" s="30" t="inlineStr">
        <is>
          <t>Above 2</t>
        </is>
      </c>
      <c r="BU258" s="30">
        <f>IF(BT258="Above 2",0,IF(BT258="Between 1.5 to 2",5,IF(BT258="Less than 1.5",10,0)))</f>
        <v/>
      </c>
      <c r="BV258" s="30" t="inlineStr">
        <is>
          <t>Negative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Less than 0.7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IF(B259=0,"",RANK(B259,$B$2:$B$427,0))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2" t="inlineStr">
        <is>
          <t>CERA</t>
        </is>
      </c>
      <c r="D259" s="32" t="inlineStr">
        <is>
          <t>Cera Sanitaryware Limited</t>
        </is>
      </c>
      <c r="E259" s="30" t="inlineStr">
        <is>
          <t>building materials</t>
        </is>
      </c>
      <c r="F259" s="30" t="inlineStr">
        <is>
          <t>ceramics - tiles / sanitaryware</t>
        </is>
      </c>
      <c r="G259" s="30" t="inlineStr">
        <is>
          <t>midcap</t>
        </is>
      </c>
      <c r="H259" s="31" t="n">
        <v>7944.89</v>
      </c>
      <c r="I259" s="31" t="n">
        <v>6448</v>
      </c>
      <c r="J259" s="31" t="n">
        <v>4.68</v>
      </c>
      <c r="K259" s="31" t="n">
        <v>54046</v>
      </c>
      <c r="L259" s="30" t="n">
        <v>31</v>
      </c>
      <c r="M259" s="30" t="inlineStr">
        <is>
          <t>Underperforming</t>
        </is>
      </c>
      <c r="N259" s="31">
        <f>IF(M259="Underperforming",-5,IF(L259&gt;=95,15,IF(L259&gt;=90,10,IF(L259&gt;=80,5,0))))</f>
        <v/>
      </c>
      <c r="O259" s="31" t="n">
        <v>68.56999999999999</v>
      </c>
      <c r="P259" s="31" t="n">
        <v>29.46</v>
      </c>
      <c r="Q259" s="31" t="n">
        <v>5300.13</v>
      </c>
      <c r="R259" s="30" t="inlineStr">
        <is>
          <t>Earnings / Momentum Support</t>
        </is>
      </c>
      <c r="S259" s="30" t="inlineStr">
        <is>
          <t>Nifty Infra</t>
        </is>
      </c>
      <c r="T259" s="31" t="n">
        <v>4.18</v>
      </c>
      <c r="U259" s="31" t="n">
        <v>-1.43</v>
      </c>
      <c r="V259" s="31" t="n">
        <v>-5.38</v>
      </c>
      <c r="W259" s="31" t="n">
        <v>8.27</v>
      </c>
      <c r="X259" s="30" t="inlineStr">
        <is>
          <t>Growing Industry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No</t>
        </is>
      </c>
      <c r="AC259" s="30">
        <f>IF(AB259="No",5,0)</f>
        <v/>
      </c>
      <c r="AD259" s="30" t="inlineStr">
        <is>
          <t>Tailwind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No</t>
        </is>
      </c>
      <c r="AQ259" s="30">
        <f>IF(AP259="Yes",10,0)</f>
        <v/>
      </c>
      <c r="AR259" s="30" t="inlineStr">
        <is>
          <t>Higher One Time, Lower Annuity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20 to 40</t>
        </is>
      </c>
      <c r="AY259" s="30">
        <f>IF(AX259="Above 40",20,IF(AX259="20 to 40",10,IF(AX259="0 to 20",-5,0)))</f>
        <v/>
      </c>
      <c r="AZ259" s="30" t="inlineStr">
        <is>
          <t>Between 50 to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Positive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Close to 52 week high or retracement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Less than 12%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Yes</t>
        </is>
      </c>
      <c r="BS259" s="30">
        <f>IF(BR259="NO",5,0)</f>
        <v/>
      </c>
      <c r="BT259" s="30" t="inlineStr">
        <is>
          <t>Above 2</t>
        </is>
      </c>
      <c r="BU259" s="30">
        <f>IF(BT259="Above 2",0,IF(BT259="Between 1.5 to 2",5,IF(BT259="Less than 1.5",10,0)))</f>
        <v/>
      </c>
      <c r="BV259" s="30" t="inlineStr">
        <is>
          <t>Above 70%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IF(B260=0,"",RANK(B260,$B$2:$B$427,0))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0" t="inlineStr">
        <is>
          <t>GREAVESCOT</t>
        </is>
      </c>
      <c r="D260" s="30" t="inlineStr">
        <is>
          <t>Greaves Cotton Limited</t>
        </is>
      </c>
      <c r="E260" s="30" t="inlineStr">
        <is>
          <t>industrials</t>
        </is>
      </c>
      <c r="F260" s="30" t="inlineStr">
        <is>
          <t>engines</t>
        </is>
      </c>
      <c r="G260" s="30" t="inlineStr">
        <is>
          <t>smallcap</t>
        </is>
      </c>
      <c r="H260" s="31" t="n">
        <v>4472.73</v>
      </c>
      <c r="I260" s="31" t="n">
        <v>198.54</v>
      </c>
      <c r="J260" s="31" t="n">
        <v>3.38</v>
      </c>
      <c r="K260" s="31" t="n">
        <v>2770897</v>
      </c>
      <c r="L260" s="30" t="n">
        <v>51</v>
      </c>
      <c r="M260" s="30" t="inlineStr">
        <is>
          <t>Outperforming</t>
        </is>
      </c>
      <c r="N260" s="31">
        <f>IF(M260="Underperforming",-5,IF(L260&gt;=95,15,IF(L260&gt;=90,10,IF(L260&gt;=80,5,0))))</f>
        <v/>
      </c>
      <c r="O260" s="31" t="n">
        <v>61.57</v>
      </c>
      <c r="P260" s="31" t="n">
        <v>19.82</v>
      </c>
      <c r="Q260" s="31" t="n">
        <v>151.46</v>
      </c>
      <c r="R260" s="30" t="inlineStr">
        <is>
          <t>Earnings / Momentum Support</t>
        </is>
      </c>
      <c r="S260" s="30" t="inlineStr">
        <is>
          <t>Nifty 50</t>
        </is>
      </c>
      <c r="T260" s="31" t="n">
        <v>-4.38</v>
      </c>
      <c r="U260" s="31" t="n">
        <v>2.74</v>
      </c>
      <c r="V260" s="31" t="n">
        <v>7.45</v>
      </c>
      <c r="W260" s="31" t="n">
        <v>13.08</v>
      </c>
      <c r="X260" s="30" t="inlineStr">
        <is>
          <t>Cyclical in an Upturn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Tailwind</t>
        </is>
      </c>
      <c r="AE260" s="30">
        <f>IF(AD260="Tailwind",10,0)</f>
        <v/>
      </c>
      <c r="AF260" s="30" t="inlineStr">
        <is>
          <t>Structural (10 Years Consistency)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No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0 to 20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Close to 52 week high or retracement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More than 20%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Yes</t>
        </is>
      </c>
      <c r="BS260" s="30">
        <f>IF(BR260="NO",5,0)</f>
        <v/>
      </c>
      <c r="BT260" s="30" t="inlineStr">
        <is>
          <t>Between 1.5 to 2</t>
        </is>
      </c>
      <c r="BU260" s="30">
        <f>IF(BT260="Above 2",0,IF(BT260="Between 1.5 to 2",5,IF(BT260="Less than 1.5",10,0)))</f>
        <v/>
      </c>
      <c r="BV260" s="30" t="inlineStr">
        <is>
          <t>Above 70%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Less than 0.7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IF(B261=0,"",RANK(B261,$B$2:$B$427,0))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0" t="inlineStr">
        <is>
          <t>KSB</t>
        </is>
      </c>
      <c r="D261" s="30" t="inlineStr">
        <is>
          <t>KSB Ltd</t>
        </is>
      </c>
      <c r="E261" s="30" t="inlineStr">
        <is>
          <t>industrials</t>
        </is>
      </c>
      <c r="F261" s="30" t="inlineStr">
        <is>
          <t>pumps</t>
        </is>
      </c>
      <c r="G261" s="30" t="inlineStr">
        <is>
          <t>midcap</t>
        </is>
      </c>
      <c r="H261" s="31" t="n">
        <v>15283.25</v>
      </c>
      <c r="I261" s="31" t="n">
        <v>902.55</v>
      </c>
      <c r="J261" s="31" t="n">
        <v>2.78</v>
      </c>
      <c r="K261" s="31" t="n">
        <v>179225</v>
      </c>
      <c r="L261" s="30" t="n">
        <v>18</v>
      </c>
      <c r="M261" s="30" t="inlineStr">
        <is>
          <t>Outperforming</t>
        </is>
      </c>
      <c r="N261" s="31">
        <f>IF(M261="Underperforming",-5,IF(L261&gt;=95,15,IF(L261&gt;=90,10,IF(L261&gt;=80,5,0))))</f>
        <v/>
      </c>
      <c r="O261" s="31" t="n">
        <v>59.82</v>
      </c>
      <c r="P261" s="31" t="n">
        <v>28.51</v>
      </c>
      <c r="Q261" s="31" t="n">
        <v>785.22</v>
      </c>
      <c r="R261" s="30" t="inlineStr">
        <is>
          <t>Earnings / Momentum Support</t>
        </is>
      </c>
      <c r="S261" s="30" t="inlineStr">
        <is>
          <t>Nifty 50</t>
        </is>
      </c>
      <c r="T261" s="31" t="n">
        <v>-4.38</v>
      </c>
      <c r="U261" s="31" t="n">
        <v>9.56</v>
      </c>
      <c r="V261" s="31" t="n">
        <v>14.58</v>
      </c>
      <c r="W261" s="31" t="n">
        <v>5.41</v>
      </c>
      <c r="X261" s="30" t="inlineStr">
        <is>
          <t>Cyclical in an Upturn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No</t>
        </is>
      </c>
      <c r="AQ261" s="30">
        <f>IF(AP261="Yes",10,0)</f>
        <v/>
      </c>
      <c r="AR261" s="30" t="inlineStr">
        <is>
          <t>Higher One Time, Lower Annuity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20 to 40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Positive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Close to 52 week high or retracement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Less than 12%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Yes</t>
        </is>
      </c>
      <c r="BS261" s="30">
        <f>IF(BR261="NO",5,0)</f>
        <v/>
      </c>
      <c r="BT261" s="30" t="inlineStr">
        <is>
          <t>Above 2</t>
        </is>
      </c>
      <c r="BU261" s="30">
        <f>IF(BT261="Above 2",0,IF(BT261="Between 1.5 to 2",5,IF(BT261="Less than 1.5",10,0)))</f>
        <v/>
      </c>
      <c r="BV261" s="30" t="inlineStr">
        <is>
          <t>Above 70%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Less than 0.7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IF(B262=0,"",RANK(B262,$B$2:$B$427,0))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0" t="inlineStr">
        <is>
          <t>NAVINFLUOR</t>
        </is>
      </c>
      <c r="D262" s="30" t="inlineStr">
        <is>
          <t>Navin Fluorine International Limited</t>
        </is>
      </c>
      <c r="E262" s="30" t="inlineStr">
        <is>
          <t>chemicals</t>
        </is>
      </c>
      <c r="F262" s="30" t="inlineStr">
        <is>
          <t>chemicals</t>
        </is>
      </c>
      <c r="G262" s="30" t="inlineStr">
        <is>
          <t>largecap</t>
        </is>
      </c>
      <c r="H262" s="31" t="n">
        <v>37429.4</v>
      </c>
      <c r="I262" s="31" t="n">
        <v>7493.5</v>
      </c>
      <c r="J262" s="31" t="n">
        <v>2.6</v>
      </c>
      <c r="K262" s="31" t="n">
        <v>219971</v>
      </c>
      <c r="L262" s="30" t="n">
        <v>57</v>
      </c>
      <c r="M262" s="30" t="inlineStr">
        <is>
          <t>Outperforming</t>
        </is>
      </c>
      <c r="N262" s="31">
        <f>IF(M262="Underperforming",-5,IF(L262&gt;=95,15,IF(L262&gt;=90,10,IF(L262&gt;=80,5,0))))</f>
        <v/>
      </c>
      <c r="O262" s="31" t="n">
        <v>71.8</v>
      </c>
      <c r="P262" s="31" t="n">
        <v>37.44</v>
      </c>
      <c r="Q262" s="31" t="n">
        <v>6126.76</v>
      </c>
      <c r="R262" s="30" t="inlineStr">
        <is>
          <t>Near 52W High Breakout</t>
        </is>
      </c>
      <c r="S262" s="30" t="inlineStr">
        <is>
          <t>Nifty 50</t>
        </is>
      </c>
      <c r="T262" s="31" t="n">
        <v>-4.38</v>
      </c>
      <c r="U262" s="31" t="n">
        <v>60.54</v>
      </c>
      <c r="V262" s="31" t="n">
        <v>67.89</v>
      </c>
      <c r="W262" s="31" t="n">
        <v>14.86</v>
      </c>
      <c r="X262" s="30" t="inlineStr">
        <is>
          <t>Growing Industry</t>
        </is>
      </c>
      <c r="Y262" s="30">
        <f>IF(X262="Growing Industry",10,IF(X262="Cyclical in an Upturn",5,0))</f>
        <v/>
      </c>
      <c r="Z262" s="30" t="inlineStr">
        <is>
          <t>Oligopoly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No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Shallow Cyclical (2 to 3 Years Growth)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Yes</t>
        </is>
      </c>
      <c r="AQ262" s="30">
        <f>IF(AP262="Yes",10,0)</f>
        <v/>
      </c>
      <c r="AR262" s="30" t="inlineStr">
        <is>
          <t>Higher One Time, Lower Annuity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20 to 40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3</t>
        </is>
      </c>
      <c r="BC262" s="30">
        <f>IF(BB262="Stage 2",20,IF(BB262="Stage 1",0,IF(BB262="Stage 3",5,IF(BB262="Stage 4",-5,0))))</f>
        <v/>
      </c>
      <c r="BD262" s="30" t="inlineStr">
        <is>
          <t>Positive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Close to 52 week high or retracement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More than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Yes</t>
        </is>
      </c>
      <c r="BS262" s="30">
        <f>IF(BR262="NO",5,0)</f>
        <v/>
      </c>
      <c r="BT262" s="30" t="inlineStr">
        <is>
          <t>Above 2</t>
        </is>
      </c>
      <c r="BU262" s="30">
        <f>IF(BT262="Above 2",0,IF(BT262="Between 1.5 to 2",5,IF(BT262="Less than 1.5",10,0)))</f>
        <v/>
      </c>
      <c r="BV262" s="30" t="inlineStr">
        <is>
          <t>Between 50% to 70%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Less than 0.7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IF(B263=0,"",RANK(B263,$B$2:$B$427,0))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0" t="inlineStr">
        <is>
          <t>SCHNEIDER</t>
        </is>
      </c>
      <c r="D263" s="30" t="inlineStr">
        <is>
          <t>Schneider Electric Infrastructure Limited</t>
        </is>
      </c>
      <c r="E263" s="30" t="inlineStr">
        <is>
          <t>industrials</t>
        </is>
      </c>
      <c r="F263" s="30" t="inlineStr">
        <is>
          <t>electric equipment</t>
        </is>
      </c>
      <c r="G263" s="30" t="inlineStr">
        <is>
          <t>largecap</t>
        </is>
      </c>
      <c r="H263" s="31" t="n">
        <v>31107.44</v>
      </c>
      <c r="I263" s="31" t="n">
        <v>1331.4</v>
      </c>
      <c r="J263" s="31" t="n">
        <v>2.34</v>
      </c>
      <c r="K263" s="31" t="n">
        <v>389634</v>
      </c>
      <c r="L263" s="30" t="n">
        <v>79</v>
      </c>
      <c r="M263" s="30" t="inlineStr">
        <is>
          <t>Outperforming</t>
        </is>
      </c>
      <c r="N263" s="31">
        <f>IF(M263="Underperforming",-5,IF(L263&gt;=95,15,IF(L263&gt;=90,10,IF(L263&gt;=80,5,0))))</f>
        <v/>
      </c>
      <c r="O263" s="31" t="n">
        <v>66.69</v>
      </c>
      <c r="P263" s="31" t="n">
        <v>39.9</v>
      </c>
      <c r="Q263" s="31" t="n">
        <v>981.76</v>
      </c>
      <c r="R263" s="30" t="inlineStr">
        <is>
          <t>Volume Spike &amp; Near 52W High Breakout</t>
        </is>
      </c>
      <c r="S263" s="30" t="inlineStr">
        <is>
          <t>Nifty 50</t>
        </is>
      </c>
      <c r="T263" s="31" t="n">
        <v>-4.38</v>
      </c>
      <c r="U263" s="31" t="n">
        <v>76.25</v>
      </c>
      <c r="V263" s="31" t="n">
        <v>84.31999999999999</v>
      </c>
      <c r="W263" s="31" t="n">
        <v>24.24</v>
      </c>
      <c r="X263" s="30" t="inlineStr">
        <is>
          <t>Cyclical in an Upturn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Yes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20 to 40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2</t>
        </is>
      </c>
      <c r="BC263" s="30">
        <f>IF(BB263="Stage 2",20,IF(BB263="Stage 1",0,IF(BB263="Stage 3",5,IF(BB263="Stage 4",-5,0))))</f>
        <v/>
      </c>
      <c r="BD263" s="30" t="inlineStr">
        <is>
          <t>Positive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Blue sky scenario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Less than 12%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Yes</t>
        </is>
      </c>
      <c r="BS263" s="30">
        <f>IF(BR263="NO",5,0)</f>
        <v/>
      </c>
      <c r="BT263" s="30" t="inlineStr">
        <is>
          <t>Above 2</t>
        </is>
      </c>
      <c r="BU263" s="30">
        <f>IF(BT263="Above 2",0,IF(BT263="Between 1.5 to 2",5,IF(BT263="Less than 1.5",10,0)))</f>
        <v/>
      </c>
      <c r="BV263" s="30" t="inlineStr">
        <is>
          <t>Between 50% to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Between 0.7 to 1.2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IF(B264=0,"",RANK(B264,$B$2:$B$427,0))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0" t="inlineStr">
        <is>
          <t>SOLARINDS</t>
        </is>
      </c>
      <c r="D264" s="30" t="inlineStr">
        <is>
          <t>Solar Industries India Limited</t>
        </is>
      </c>
      <c r="E264" s="30" t="inlineStr">
        <is>
          <t>aerospace &amp; defence</t>
        </is>
      </c>
      <c r="F264" s="30" t="inlineStr">
        <is>
          <t>chemicals</t>
        </is>
      </c>
      <c r="G264" s="30" t="inlineStr">
        <is>
          <t>largecap</t>
        </is>
      </c>
      <c r="H264" s="31" t="n">
        <v>160746.53</v>
      </c>
      <c r="I264" s="31" t="n">
        <v>18052</v>
      </c>
      <c r="J264" s="31" t="n">
        <v>1.62</v>
      </c>
      <c r="K264" s="31" t="n">
        <v>283451</v>
      </c>
      <c r="L264" s="30" t="n">
        <v>43</v>
      </c>
      <c r="M264" s="30" t="inlineStr">
        <is>
          <t>Outperforming</t>
        </is>
      </c>
      <c r="N264" s="31">
        <f>IF(M264="Underperforming",-5,IF(L264&gt;=95,15,IF(L264&gt;=90,10,IF(L264&gt;=80,5,0))))</f>
        <v/>
      </c>
      <c r="O264" s="31" t="n">
        <v>66.45999999999999</v>
      </c>
      <c r="P264" s="31" t="n">
        <v>30.44</v>
      </c>
      <c r="Q264" s="31" t="n">
        <v>14969.48</v>
      </c>
      <c r="R264" s="30" t="inlineStr">
        <is>
          <t>Near 52W High Breakout</t>
        </is>
      </c>
      <c r="S264" s="30" t="inlineStr">
        <is>
          <t>Nifty 50</t>
        </is>
      </c>
      <c r="T264" s="31" t="n">
        <v>-4.38</v>
      </c>
      <c r="U264" s="31" t="n">
        <v>6.28</v>
      </c>
      <c r="V264" s="31" t="n">
        <v>11.14</v>
      </c>
      <c r="W264" s="31" t="n">
        <v>11.06</v>
      </c>
      <c r="X264" s="30" t="inlineStr">
        <is>
          <t>Growing Industry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Tailwind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Yes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20 to 40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2</t>
        </is>
      </c>
      <c r="BC264" s="30">
        <f>IF(BB264="Stage 2",20,IF(BB264="Stage 1",0,IF(BB264="Stage 3",5,IF(BB264="Stage 4",-5,0))))</f>
        <v/>
      </c>
      <c r="BD264" s="30" t="inlineStr">
        <is>
          <t>Negative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Blue sky scenario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More than 20%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Yes</t>
        </is>
      </c>
      <c r="BS264" s="30">
        <f>IF(BR264="NO",5,0)</f>
        <v/>
      </c>
      <c r="BT264" s="30" t="inlineStr">
        <is>
          <t>Less than 1.5</t>
        </is>
      </c>
      <c r="BU264" s="30">
        <f>IF(BT264="Above 2",0,IF(BT264="Between 1.5 to 2",5,IF(BT264="Less than 1.5",10,0)))</f>
        <v/>
      </c>
      <c r="BV264" s="30" t="inlineStr">
        <is>
          <t>Less than 50%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IF(B265=0,"",RANK(B265,$B$2:$B$427,0))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0" t="inlineStr">
        <is>
          <t>BHARATFORG</t>
        </is>
      </c>
      <c r="D265" s="30" t="inlineStr">
        <is>
          <t>Bharat Forge Limited</t>
        </is>
      </c>
      <c r="E265" s="30" t="inlineStr">
        <is>
          <t>industrials</t>
        </is>
      </c>
      <c r="F265" s="30" t="inlineStr">
        <is>
          <t>castings &amp; forgings</t>
        </is>
      </c>
      <c r="G265" s="30" t="inlineStr">
        <is>
          <t>largecap</t>
        </is>
      </c>
      <c r="H265" s="31" t="n">
        <v>96569.12</v>
      </c>
      <c r="I265" s="31" t="n">
        <v>2041.4</v>
      </c>
      <c r="J265" s="31" t="n">
        <v>1.06</v>
      </c>
      <c r="K265" s="31" t="n">
        <v>1726725</v>
      </c>
      <c r="L265" s="30" t="n">
        <v>54</v>
      </c>
      <c r="M265" s="30" t="inlineStr">
        <is>
          <t>Outperforming</t>
        </is>
      </c>
      <c r="N265" s="31">
        <f>IF(M265="Underperforming",-5,IF(L265&gt;=95,15,IF(L265&gt;=90,10,IF(L265&gt;=80,5,0))))</f>
        <v/>
      </c>
      <c r="O265" s="31" t="n">
        <v>68.53</v>
      </c>
      <c r="P265" s="31" t="n">
        <v>34.62</v>
      </c>
      <c r="Q265" s="31" t="n">
        <v>1687.08</v>
      </c>
      <c r="R265" s="30" t="inlineStr">
        <is>
          <t>Near 52W High Breakout</t>
        </is>
      </c>
      <c r="S265" s="30" t="inlineStr">
        <is>
          <t>Nifty 50</t>
        </is>
      </c>
      <c r="T265" s="31" t="n">
        <v>-4.38</v>
      </c>
      <c r="U265" s="31" t="n">
        <v>60.62</v>
      </c>
      <c r="V265" s="31" t="n">
        <v>67.97</v>
      </c>
      <c r="W265" s="31" t="n">
        <v>14.14</v>
      </c>
      <c r="X265" s="30" t="inlineStr">
        <is>
          <t>Cyclical in an Upturn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No</t>
        </is>
      </c>
      <c r="AC265" s="30">
        <f>IF(AB265="No",5,0)</f>
        <v/>
      </c>
      <c r="AD265" s="30" t="inlineStr">
        <is>
          <t>Tailwind</t>
        </is>
      </c>
      <c r="AE265" s="30">
        <f>IF(AD265="Tailwind",10,0)</f>
        <v/>
      </c>
      <c r="AF265" s="30" t="inlineStr">
        <is>
          <t>Structural (10 Years Consistency)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Stable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Yes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20 to 40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2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Blue sky scenario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Less than 12%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Yes</t>
        </is>
      </c>
      <c r="BS265" s="30">
        <f>IF(BR265="NO",5,0)</f>
        <v/>
      </c>
      <c r="BT265" s="30" t="inlineStr">
        <is>
          <t>Above 2</t>
        </is>
      </c>
      <c r="BU265" s="30">
        <f>IF(BT265="Above 2",0,IF(BT265="Between 1.5 to 2",5,IF(BT265="Less than 1.5",10,0)))</f>
        <v/>
      </c>
      <c r="BV265" s="30" t="inlineStr">
        <is>
          <t>Between 50% to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Between 0.7 to 1.2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IF(B266=0,"",RANK(B266,$B$2:$B$427,0))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2" t="inlineStr">
        <is>
          <t>RATNAVEER</t>
        </is>
      </c>
      <c r="D266" s="32" t="inlineStr">
        <is>
          <t>Ratnaveer Precision Engineering Ltd</t>
        </is>
      </c>
      <c r="E266" s="30" t="inlineStr">
        <is>
          <t>metals &amp; mining</t>
        </is>
      </c>
      <c r="F266" s="30" t="inlineStr">
        <is>
          <t>steel - medium / small</t>
        </is>
      </c>
      <c r="G266" s="30" t="inlineStr">
        <is>
          <t>smallcap</t>
        </is>
      </c>
      <c r="H266" s="31" t="n">
        <v>1336.61</v>
      </c>
      <c r="I266" s="31" t="n">
        <v>188.99</v>
      </c>
      <c r="J266" s="31" t="n">
        <v>0.99</v>
      </c>
      <c r="K266" s="31" t="n">
        <v>2537463</v>
      </c>
      <c r="L266" s="30" t="n">
        <v>50</v>
      </c>
      <c r="M266" s="30" t="inlineStr">
        <is>
          <t>Underperforming</t>
        </is>
      </c>
      <c r="N266" s="31">
        <f>IF(M266="Underperforming",-5,IF(L266&gt;=95,15,IF(L266&gt;=90,10,IF(L266&gt;=80,5,0))))</f>
        <v/>
      </c>
      <c r="O266" s="31" t="n">
        <v>62.75</v>
      </c>
      <c r="P266" s="31" t="n">
        <v>43.86</v>
      </c>
      <c r="Q266" s="31" t="n">
        <v>131.32</v>
      </c>
      <c r="R266" s="30" t="inlineStr">
        <is>
          <t>Volume Spike &amp; Near 52W High Breakout</t>
        </is>
      </c>
      <c r="S266" s="30" t="inlineStr">
        <is>
          <t>Nifty Metal</t>
        </is>
      </c>
      <c r="T266" s="31" t="n">
        <v>42.48</v>
      </c>
      <c r="U266" s="31" t="n">
        <v>24.01</v>
      </c>
      <c r="V266" s="31" t="n">
        <v>-12.96</v>
      </c>
      <c r="W266" s="31" t="n">
        <v>12.67</v>
      </c>
      <c r="X266" s="30" t="inlineStr">
        <is>
          <t>Cyclical in an Upturn</t>
        </is>
      </c>
      <c r="Y266" s="30">
        <f>IF(X266="Growing Industry",10,IF(X266="Cyclical in an Upturn",5,0))</f>
        <v/>
      </c>
      <c r="Z266" s="30" t="inlineStr">
        <is>
          <t>Too Many Players with High ROCE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No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Cyclical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Volatile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Yes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Above 40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2</t>
        </is>
      </c>
      <c r="BC266" s="30">
        <f>IF(BB266="Stage 2",20,IF(BB266="Stage 1",0,IF(BB266="Stage 3",5,IF(BB266="Stage 4",-5,0))))</f>
        <v/>
      </c>
      <c r="BD266" s="30" t="inlineStr">
        <is>
          <t>Positive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Close to 52 week high or retracement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More than 20%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No</t>
        </is>
      </c>
      <c r="BS266" s="30">
        <f>IF(BR266="NO",5,0)</f>
        <v/>
      </c>
      <c r="BT266" s="30" t="inlineStr">
        <is>
          <t>Less than 1.5</t>
        </is>
      </c>
      <c r="BU266" s="30">
        <f>IF(BT266="Above 2",0,IF(BT266="Between 1.5 to 2",5,IF(BT266="Less than 1.5",10,0)))</f>
        <v/>
      </c>
      <c r="BV266" s="30" t="inlineStr">
        <is>
          <t>Negative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Less than 0.7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IF(B267=0,"",RANK(B267,$B$2:$B$427,0))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0" t="inlineStr">
        <is>
          <t>DIFFNKG</t>
        </is>
      </c>
      <c r="D267" s="30" t="inlineStr">
        <is>
          <t>Diffusion Engineers Ltd</t>
        </is>
      </c>
      <c r="E267" s="30" t="inlineStr">
        <is>
          <t>industrials</t>
        </is>
      </c>
      <c r="F267" s="30" t="inlineStr">
        <is>
          <t>electrodes - welding equipment</t>
        </is>
      </c>
      <c r="G267" s="30" t="inlineStr">
        <is>
          <t>smallcap</t>
        </is>
      </c>
      <c r="H267" s="31" t="n">
        <v>1393.19</v>
      </c>
      <c r="I267" s="31" t="n">
        <v>375.55</v>
      </c>
      <c r="J267" s="31" t="n">
        <v>0.89</v>
      </c>
      <c r="K267" s="31" t="n">
        <v>51373</v>
      </c>
      <c r="L267" s="30" t="n">
        <v>63</v>
      </c>
      <c r="M267" s="30" t="inlineStr">
        <is>
          <t>Outperforming</t>
        </is>
      </c>
      <c r="N267" s="31">
        <f>IF(M267="Underperforming",-5,IF(L267&gt;=95,15,IF(L267&gt;=90,10,IF(L267&gt;=80,5,0))))</f>
        <v/>
      </c>
      <c r="O267" s="31" t="n">
        <v>67.48</v>
      </c>
      <c r="P267" s="31" t="n">
        <v>16.24</v>
      </c>
      <c r="Q267" s="31" t="n">
        <v>279.05</v>
      </c>
      <c r="R267" s="30" t="inlineStr">
        <is>
          <t>Earnings / Momentum Support</t>
        </is>
      </c>
      <c r="S267" s="30" t="inlineStr">
        <is>
          <t>Nifty Infra</t>
        </is>
      </c>
      <c r="T267" s="31" t="n">
        <v>4.18</v>
      </c>
      <c r="U267" s="31" t="n">
        <v>23.86</v>
      </c>
      <c r="V267" s="31" t="n">
        <v>18.9</v>
      </c>
      <c r="W267" s="31" t="n">
        <v>17.16</v>
      </c>
      <c r="X267" s="30" t="inlineStr">
        <is>
          <t>Cyclical in an Upturn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No</t>
        </is>
      </c>
      <c r="AC267" s="30">
        <f>IF(AB267="No",5,0)</f>
        <v/>
      </c>
      <c r="AD267" s="30" t="inlineStr">
        <is>
          <t>Tailwind</t>
        </is>
      </c>
      <c r="AE267" s="30">
        <f>IF(AD267="Tailwind",10,0)</f>
        <v/>
      </c>
      <c r="AF267" s="30" t="inlineStr">
        <is>
          <t>Structural (10 Years Consistency)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Stable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No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0 to 20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2</t>
        </is>
      </c>
      <c r="BC267" s="30">
        <f>IF(BB267="Stage 2",20,IF(BB267="Stage 1",0,IF(BB267="Stage 3",5,IF(BB267="Stage 4",-5,0))))</f>
        <v/>
      </c>
      <c r="BD267" s="30" t="inlineStr">
        <is>
          <t>Positive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Close to 52 week high or retracement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More than 20%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No</t>
        </is>
      </c>
      <c r="BS267" s="30">
        <f>IF(BR267="NO",5,0)</f>
        <v/>
      </c>
      <c r="BT267" s="30" t="inlineStr">
        <is>
          <t>Less than 1.5</t>
        </is>
      </c>
      <c r="BU267" s="30">
        <f>IF(BT267="Above 2",0,IF(BT267="Between 1.5 to 2",5,IF(BT267="Less than 1.5",10,0)))</f>
        <v/>
      </c>
      <c r="BV267" s="30" t="inlineStr">
        <is>
          <t>Less than 50%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Less than 0.7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IF(B268=0,"",RANK(B268,$B$2:$B$427,0))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2" t="inlineStr">
        <is>
          <t>CHAMBLFERT</t>
        </is>
      </c>
      <c r="D268" s="32" t="inlineStr">
        <is>
          <t>Chambal Fertilizers &amp; Chemicals Limited</t>
        </is>
      </c>
      <c r="E268" s="30" t="inlineStr">
        <is>
          <t>chemicals</t>
        </is>
      </c>
      <c r="F268" s="30" t="inlineStr">
        <is>
          <t>fertilizers</t>
        </is>
      </c>
      <c r="G268" s="30" t="inlineStr">
        <is>
          <t>midcap</t>
        </is>
      </c>
      <c r="H268" s="31" t="n">
        <v>19313.44</v>
      </c>
      <c r="I268" s="31" t="n">
        <v>484.2</v>
      </c>
      <c r="J268" s="31" t="n">
        <v>0.45</v>
      </c>
      <c r="K268" s="31" t="n">
        <v>678507</v>
      </c>
      <c r="L268" s="30" t="n">
        <v>1</v>
      </c>
      <c r="M268" s="30" t="inlineStr">
        <is>
          <t>Underperforming</t>
        </is>
      </c>
      <c r="N268" s="31">
        <f>IF(M268="Underperforming",-5,IF(L268&gt;=95,15,IF(L268&gt;=90,10,IF(L268&gt;=80,5,0))))</f>
        <v/>
      </c>
      <c r="O268" s="31" t="n">
        <v>59.11</v>
      </c>
      <c r="P268" s="31" t="n">
        <v>13.71</v>
      </c>
      <c r="Q268" s="31" t="n">
        <v>399.46</v>
      </c>
      <c r="R268" s="30" t="inlineStr">
        <is>
          <t>Earnings / Momentum Support</t>
        </is>
      </c>
      <c r="S268" s="30" t="inlineStr">
        <is>
          <t>Nifty 50</t>
        </is>
      </c>
      <c r="T268" s="31" t="n">
        <v>-4.38</v>
      </c>
      <c r="U268" s="31" t="n">
        <v>-10.31</v>
      </c>
      <c r="V268" s="31" t="n">
        <v>-6.2</v>
      </c>
      <c r="W268" s="31" t="n">
        <v>0.92</v>
      </c>
      <c r="X268" s="30" t="inlineStr">
        <is>
          <t>Growing Industry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No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0 to 20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Positive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Close to 52 week high or retracement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More than 20%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No</t>
        </is>
      </c>
      <c r="BS268" s="30">
        <f>IF(BR268="NO",5,0)</f>
        <v/>
      </c>
      <c r="BT268" s="30" t="inlineStr">
        <is>
          <t>Less than 1.5</t>
        </is>
      </c>
      <c r="BU268" s="30">
        <f>IF(BT268="Above 2",0,IF(BT268="Between 1.5 to 2",5,IF(BT268="Less than 1.5",10,0)))</f>
        <v/>
      </c>
      <c r="BV268" s="30" t="inlineStr">
        <is>
          <t>Less than 50%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Less than 0.7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IF(B269=0,"",RANK(B269,$B$2:$B$427,0))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0" t="inlineStr">
        <is>
          <t>PANACHE</t>
        </is>
      </c>
      <c r="D269" s="30" t="inlineStr">
        <is>
          <t>Panache Digilife Ltd</t>
        </is>
      </c>
      <c r="E269" s="30" t="inlineStr">
        <is>
          <t>i.t</t>
        </is>
      </c>
      <c r="F269" s="30" t="inlineStr">
        <is>
          <t>computers - hardware</t>
        </is>
      </c>
      <c r="G269" s="30" t="inlineStr">
        <is>
          <t>smallcap</t>
        </is>
      </c>
      <c r="H269" s="31" t="n">
        <v>679.23</v>
      </c>
      <c r="I269" s="31" t="n">
        <v>425.8</v>
      </c>
      <c r="J269" s="31" t="n">
        <v>0.39</v>
      </c>
      <c r="K269" s="31" t="n">
        <v>13445</v>
      </c>
      <c r="L269" s="30" t="n">
        <v>82</v>
      </c>
      <c r="M269" s="30" t="inlineStr">
        <is>
          <t>Outperforming</t>
        </is>
      </c>
      <c r="N269" s="31">
        <f>IF(M269="Underperforming",-5,IF(L269&gt;=95,15,IF(L269&gt;=90,10,IF(L269&gt;=80,5,0))))</f>
        <v/>
      </c>
      <c r="O269" s="31" t="n">
        <v>65.54000000000001</v>
      </c>
      <c r="P269" s="31" t="n">
        <v>12.75</v>
      </c>
      <c r="Q269" s="31" t="n">
        <v>301.95</v>
      </c>
      <c r="R269" s="30" t="inlineStr">
        <is>
          <t>Volume Spike &amp; Near 52W High Breakout</t>
        </is>
      </c>
      <c r="S269" s="30" t="inlineStr">
        <is>
          <t>Nifty IT</t>
        </is>
      </c>
      <c r="T269" s="31" t="n">
        <v>-29.66</v>
      </c>
      <c r="U269" s="31" t="n">
        <v>119.39</v>
      </c>
      <c r="V269" s="31" t="n">
        <v>211.9</v>
      </c>
      <c r="W269" s="31" t="n">
        <v>26.58</v>
      </c>
      <c r="X269" s="30" t="inlineStr">
        <is>
          <t>Growing Industry</t>
        </is>
      </c>
      <c r="Y269" s="30">
        <f>IF(X269="Growing Industry",10,IF(X269="Cyclical in an Upturn",5,0))</f>
        <v/>
      </c>
      <c r="Z269" s="30" t="inlineStr">
        <is>
          <t>Too Many Players with High ROCE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No</t>
        </is>
      </c>
      <c r="AC269" s="30">
        <f>IF(AB269="No",5,0)</f>
        <v/>
      </c>
      <c r="AD269" s="30" t="inlineStr">
        <is>
          <t>Tailwind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Yes</t>
        </is>
      </c>
      <c r="AQ269" s="30">
        <f>IF(AP269="Yes",10,0)</f>
        <v/>
      </c>
      <c r="AR269" s="30" t="inlineStr">
        <is>
          <t>Higher One Time, Lower Annuity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0 to 20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2</t>
        </is>
      </c>
      <c r="BC269" s="30">
        <f>IF(BB269="Stage 2",20,IF(BB269="Stage 1",0,IF(BB269="Stage 3",5,IF(BB269="Stage 4",-5,0))))</f>
        <v/>
      </c>
      <c r="BD269" s="30" t="inlineStr">
        <is>
          <t>Positive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Blue sky scenario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More than 20%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Yes</t>
        </is>
      </c>
      <c r="BS269" s="30">
        <f>IF(BR269="NO",5,0)</f>
        <v/>
      </c>
      <c r="BT269" s="30" t="inlineStr">
        <is>
          <t>Above 2</t>
        </is>
      </c>
      <c r="BU269" s="30">
        <f>IF(BT269="Above 2",0,IF(BT269="Between 1.5 to 2",5,IF(BT269="Less than 1.5",10,0)))</f>
        <v/>
      </c>
      <c r="BV269" s="30" t="inlineStr">
        <is>
          <t>Negative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Less than 0.7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IF(B270=0,"",RANK(B270,$B$2:$B$427,0))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2" t="inlineStr">
        <is>
          <t>VARROC</t>
        </is>
      </c>
      <c r="D270" s="32" t="inlineStr">
        <is>
          <t>Varroc Engineering Ltd</t>
        </is>
      </c>
      <c r="E270" s="30" t="inlineStr">
        <is>
          <t>auto</t>
        </is>
      </c>
      <c r="F270" s="30" t="inlineStr">
        <is>
          <t>auto ancillaries</t>
        </is>
      </c>
      <c r="G270" s="30" t="inlineStr">
        <is>
          <t>midcap</t>
        </is>
      </c>
      <c r="H270" s="31" t="n">
        <v>9371.15</v>
      </c>
      <c r="I270" s="31" t="n">
        <v>615.2</v>
      </c>
      <c r="J270" s="31" t="n">
        <v>0.3</v>
      </c>
      <c r="K270" s="31" t="n">
        <v>83632</v>
      </c>
      <c r="L270" s="30" t="n">
        <v>27</v>
      </c>
      <c r="M270" s="30" t="inlineStr">
        <is>
          <t>Underperforming</t>
        </is>
      </c>
      <c r="N270" s="31">
        <f>IF(M270="Underperforming",-5,IF(L270&gt;=95,15,IF(L270&gt;=90,10,IF(L270&gt;=80,5,0))))</f>
        <v/>
      </c>
      <c r="O270" s="31" t="n">
        <v>62.2</v>
      </c>
      <c r="P270" s="31" t="n">
        <v>15.1</v>
      </c>
      <c r="Q270" s="31" t="n">
        <v>489.67</v>
      </c>
      <c r="R270" s="30" t="inlineStr">
        <is>
          <t>Volume Spike / Accumulation</t>
        </is>
      </c>
      <c r="S270" s="30" t="inlineStr">
        <is>
          <t>Nifty Auto</t>
        </is>
      </c>
      <c r="T270" s="31" t="n">
        <v>12.26</v>
      </c>
      <c r="U270" s="31" t="n">
        <v>9.289999999999999</v>
      </c>
      <c r="V270" s="31" t="n">
        <v>-2.64</v>
      </c>
      <c r="W270" s="31" t="n">
        <v>7.64</v>
      </c>
      <c r="X270" s="30" t="inlineStr">
        <is>
          <t>Growing Industry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Tailwind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Yes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0 to 20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2</t>
        </is>
      </c>
      <c r="BC270" s="30">
        <f>IF(BB270="Stage 2",20,IF(BB270="Stage 1",0,IF(BB270="Stage 3",5,IF(BB270="Stage 4",-5,0))))</f>
        <v/>
      </c>
      <c r="BD270" s="30" t="inlineStr">
        <is>
          <t>Positive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Close to 52 week high or retracement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More than 20%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Yes</t>
        </is>
      </c>
      <c r="BS270" s="30">
        <f>IF(BR270="NO",5,0)</f>
        <v/>
      </c>
      <c r="BT270" s="30" t="inlineStr">
        <is>
          <t>Above 2</t>
        </is>
      </c>
      <c r="BU270" s="30">
        <f>IF(BT270="Above 2",0,IF(BT270="Between 1.5 to 2",5,IF(BT270="Less than 1.5",10,0)))</f>
        <v/>
      </c>
      <c r="BV270" s="30" t="inlineStr">
        <is>
          <t>Between 50% to 70%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Less than 0.7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IF(B271=0,"",RANK(B271,$B$2:$B$427,0))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0" t="inlineStr">
        <is>
          <t>TDPOWERSYS</t>
        </is>
      </c>
      <c r="D271" s="30" t="inlineStr">
        <is>
          <t>Td Power Systems Limited</t>
        </is>
      </c>
      <c r="E271" s="30" t="inlineStr">
        <is>
          <t>industrials</t>
        </is>
      </c>
      <c r="F271" s="30" t="inlineStr">
        <is>
          <t>electric equipment</t>
        </is>
      </c>
      <c r="G271" s="30" t="inlineStr">
        <is>
          <t>midcap</t>
        </is>
      </c>
      <c r="H271" s="31" t="n">
        <v>19823.66</v>
      </c>
      <c r="I271" s="31" t="n">
        <v>1272.7</v>
      </c>
      <c r="J271" s="31" t="n">
        <v>0.29</v>
      </c>
      <c r="K271" s="31" t="n">
        <v>508115</v>
      </c>
      <c r="L271" s="30" t="n">
        <v>87</v>
      </c>
      <c r="M271" s="30" t="inlineStr">
        <is>
          <t>Outperforming</t>
        </is>
      </c>
      <c r="N271" s="31">
        <f>IF(M271="Underperforming",-5,IF(L271&gt;=95,15,IF(L271&gt;=90,10,IF(L271&gt;=80,5,0))))</f>
        <v/>
      </c>
      <c r="O271" s="31" t="n">
        <v>69.58</v>
      </c>
      <c r="P271" s="31" t="n">
        <v>49.24</v>
      </c>
      <c r="Q271" s="31" t="n">
        <v>971.29</v>
      </c>
      <c r="R271" s="30" t="inlineStr">
        <is>
          <t>Near 52W High Breakout</t>
        </is>
      </c>
      <c r="S271" s="30" t="inlineStr">
        <is>
          <t>Nifty 50</t>
        </is>
      </c>
      <c r="T271" s="31" t="n">
        <v>-4.38</v>
      </c>
      <c r="U271" s="31" t="n">
        <v>147.71</v>
      </c>
      <c r="V271" s="31" t="n">
        <v>159.05</v>
      </c>
      <c r="W271" s="31" t="n">
        <v>30.51</v>
      </c>
      <c r="X271" s="30" t="inlineStr">
        <is>
          <t>Cyclical in an Upturn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No</t>
        </is>
      </c>
      <c r="AC271" s="30">
        <f>IF(AB271="No",5,0)</f>
        <v/>
      </c>
      <c r="AD271" s="30" t="inlineStr">
        <is>
          <t>Tailwind</t>
        </is>
      </c>
      <c r="AE271" s="30">
        <f>IF(AD271="Tailwind",10,0)</f>
        <v/>
      </c>
      <c r="AF271" s="30" t="inlineStr">
        <is>
          <t>Structural (10 Years Consistency)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Yes</t>
        </is>
      </c>
      <c r="AQ271" s="30">
        <f>IF(AP271="Yes",10,0)</f>
        <v/>
      </c>
      <c r="AR271" s="30" t="inlineStr">
        <is>
          <t>Higher One Time, Lower Annuity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Above 40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2</t>
        </is>
      </c>
      <c r="BC271" s="30">
        <f>IF(BB271="Stage 2",20,IF(BB271="Stage 1",0,IF(BB271="Stage 3",5,IF(BB271="Stage 4",-5,0))))</f>
        <v/>
      </c>
      <c r="BD271" s="30" t="inlineStr">
        <is>
          <t>Negative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Blue sky scenario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More than 20%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Yes</t>
        </is>
      </c>
      <c r="BS271" s="30">
        <f>IF(BR271="NO",5,0)</f>
        <v/>
      </c>
      <c r="BT271" s="30" t="inlineStr">
        <is>
          <t>Above 2</t>
        </is>
      </c>
      <c r="BU271" s="30">
        <f>IF(BT271="Above 2",0,IF(BT271="Between 1.5 to 2",5,IF(BT271="Less than 1.5",10,0)))</f>
        <v/>
      </c>
      <c r="BV271" s="30" t="inlineStr">
        <is>
          <t>Less than 50%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Less than 0.7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IF(B272=0,"",RANK(B272,$B$2:$B$427,0))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0" t="inlineStr">
        <is>
          <t>EPL</t>
        </is>
      </c>
      <c r="D272" s="30" t="inlineStr">
        <is>
          <t>EPL Ltd</t>
        </is>
      </c>
      <c r="E272" s="30" t="inlineStr">
        <is>
          <t>industrials</t>
        </is>
      </c>
      <c r="F272" s="30" t="inlineStr">
        <is>
          <t>packaging</t>
        </is>
      </c>
      <c r="G272" s="30" t="inlineStr">
        <is>
          <t>midcap</t>
        </is>
      </c>
      <c r="H272" s="31" t="n">
        <v>7341.04</v>
      </c>
      <c r="I272" s="31" t="n">
        <v>229.57</v>
      </c>
      <c r="J272" s="31" t="n">
        <v>0.15</v>
      </c>
      <c r="K272" s="31" t="n">
        <v>265384</v>
      </c>
      <c r="L272" s="30" t="n">
        <v>14</v>
      </c>
      <c r="M272" s="30" t="inlineStr">
        <is>
          <t>Outperforming</t>
        </is>
      </c>
      <c r="N272" s="31">
        <f>IF(M272="Underperforming",-5,IF(L272&gt;=95,15,IF(L272&gt;=90,10,IF(L272&gt;=80,5,0))))</f>
        <v/>
      </c>
      <c r="O272" s="31" t="n">
        <v>56.59</v>
      </c>
      <c r="P272" s="31" t="n">
        <v>10.83</v>
      </c>
      <c r="Q272" s="31" t="n">
        <v>187.47</v>
      </c>
      <c r="R272" s="30" t="inlineStr">
        <is>
          <t>Near 52W High Breakout</t>
        </is>
      </c>
      <c r="S272" s="30" t="inlineStr">
        <is>
          <t>Nifty 50</t>
        </is>
      </c>
      <c r="T272" s="31" t="n">
        <v>-4.38</v>
      </c>
      <c r="U272" s="31" t="n">
        <v>0.58</v>
      </c>
      <c r="V272" s="31" t="n">
        <v>5.18</v>
      </c>
      <c r="W272" s="31" t="n">
        <v>4.71</v>
      </c>
      <c r="X272" s="30" t="inlineStr">
        <is>
          <t>Cyclical in an Upturn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Tailwind</t>
        </is>
      </c>
      <c r="AE272" s="30">
        <f>IF(AD272="Tailwind",10,0)</f>
        <v/>
      </c>
      <c r="AF272" s="30" t="inlineStr">
        <is>
          <t>Structural (10 Years Consistency)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Stable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Yes</t>
        </is>
      </c>
      <c r="AQ272" s="30">
        <f>IF(AP272="Yes",10,0)</f>
        <v/>
      </c>
      <c r="AR272" s="30" t="inlineStr">
        <is>
          <t>Higher One Time, Lower Annuity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0 to 20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2</t>
        </is>
      </c>
      <c r="BC272" s="30">
        <f>IF(BB272="Stage 2",20,IF(BB272="Stage 1",0,IF(BB272="Stage 3",5,IF(BB272="Stage 4",-5,0))))</f>
        <v/>
      </c>
      <c r="BD272" s="30" t="inlineStr">
        <is>
          <t>Positive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Close to 52 week high or retracement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Less than 12%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No</t>
        </is>
      </c>
      <c r="BS272" s="30">
        <f>IF(BR272="NO",5,0)</f>
        <v/>
      </c>
      <c r="BT272" s="30" t="inlineStr">
        <is>
          <t>Above 2</t>
        </is>
      </c>
      <c r="BU272" s="30">
        <f>IF(BT272="Above 2",0,IF(BT272="Between 1.5 to 2",5,IF(BT272="Less than 1.5",10,0)))</f>
        <v/>
      </c>
      <c r="BV272" s="30" t="inlineStr">
        <is>
          <t>Above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Less than 0.7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IF(B273=0,"",RANK(B273,$B$2:$B$427,0))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0" t="inlineStr">
        <is>
          <t>TVSSRICHAK</t>
        </is>
      </c>
      <c r="D273" s="30" t="inlineStr">
        <is>
          <t>Tvs Srichakra Limited</t>
        </is>
      </c>
      <c r="E273" s="30" t="inlineStr">
        <is>
          <t>auto</t>
        </is>
      </c>
      <c r="F273" s="30" t="inlineStr">
        <is>
          <t>tyres</t>
        </is>
      </c>
      <c r="G273" s="30" t="inlineStr">
        <is>
          <t>smallcap</t>
        </is>
      </c>
      <c r="H273" s="31" t="n">
        <v>3140.77</v>
      </c>
      <c r="I273" s="31" t="n">
        <v>4105.6</v>
      </c>
      <c r="J273" s="31" t="n">
        <v>0.09</v>
      </c>
      <c r="K273" s="31" t="n">
        <v>5178</v>
      </c>
      <c r="L273" s="30" t="n">
        <v>43</v>
      </c>
      <c r="M273" s="30" t="inlineStr">
        <is>
          <t>Outperforming</t>
        </is>
      </c>
      <c r="N273" s="31">
        <f>IF(M273="Underperforming",-5,IF(L273&gt;=95,15,IF(L273&gt;=90,10,IF(L273&gt;=80,5,0))))</f>
        <v/>
      </c>
      <c r="O273" s="31" t="n">
        <v>56.63</v>
      </c>
      <c r="P273" s="31" t="n">
        <v>11.47</v>
      </c>
      <c r="Q273" s="31" t="n">
        <v>3161.7</v>
      </c>
      <c r="R273" s="30" t="inlineStr">
        <is>
          <t>Earnings / Momentum Support</t>
        </is>
      </c>
      <c r="S273" s="30" t="inlineStr">
        <is>
          <t>Nifty Auto</t>
        </is>
      </c>
      <c r="T273" s="31" t="n">
        <v>12.26</v>
      </c>
      <c r="U273" s="31" t="n">
        <v>38.88</v>
      </c>
      <c r="V273" s="31" t="n">
        <v>23.7</v>
      </c>
      <c r="W273" s="31" t="n">
        <v>11.01</v>
      </c>
      <c r="X273" s="30" t="inlineStr">
        <is>
          <t>Growing Industry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No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No</t>
        </is>
      </c>
      <c r="AQ273" s="30">
        <f>IF(AP273="Yes",10,0)</f>
        <v/>
      </c>
      <c r="AR273" s="30" t="inlineStr">
        <is>
          <t>Higher One Time, Lower Annuity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0 to 20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2</t>
        </is>
      </c>
      <c r="BC273" s="30">
        <f>IF(BB273="Stage 2",20,IF(BB273="Stage 1",0,IF(BB273="Stage 3",5,IF(BB273="Stage 4",-5,0))))</f>
        <v/>
      </c>
      <c r="BD273" s="30" t="inlineStr">
        <is>
          <t>Positive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Close to 52 week high or retracement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More than 20%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Yes</t>
        </is>
      </c>
      <c r="BS273" s="30">
        <f>IF(BR273="NO",5,0)</f>
        <v/>
      </c>
      <c r="BT273" s="30" t="inlineStr">
        <is>
          <t>Above 2</t>
        </is>
      </c>
      <c r="BU273" s="30">
        <f>IF(BT273="Above 2",0,IF(BT273="Between 1.5 to 2",5,IF(BT273="Less than 1.5",10,0)))</f>
        <v/>
      </c>
      <c r="BV273" s="30" t="inlineStr">
        <is>
          <t>Above 70%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Less than 0.7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IF(B274=0,"",RANK(B274,$B$2:$B$427,0))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0" t="inlineStr">
        <is>
          <t>MANINDS</t>
        </is>
      </c>
      <c r="D274" s="30" t="inlineStr">
        <is>
          <t>Man Industries (india) Limited</t>
        </is>
      </c>
      <c r="E274" s="30" t="inlineStr">
        <is>
          <t>metals &amp; mining</t>
        </is>
      </c>
      <c r="F274" s="30" t="inlineStr">
        <is>
          <t>steel - medium / small</t>
        </is>
      </c>
      <c r="G274" s="30" t="inlineStr">
        <is>
          <t>smallcap</t>
        </is>
      </c>
      <c r="H274" s="31" t="n">
        <v>4414.31</v>
      </c>
      <c r="I274" s="31" t="n">
        <v>587.6</v>
      </c>
      <c r="J274" s="31" t="n">
        <v>-0.15</v>
      </c>
      <c r="K274" s="31" t="n">
        <v>834859</v>
      </c>
      <c r="L274" s="30" t="n">
        <v>77</v>
      </c>
      <c r="M274" s="30" t="inlineStr">
        <is>
          <t>Outperforming</t>
        </is>
      </c>
      <c r="N274" s="31">
        <f>IF(M274="Underperforming",-5,IF(L274&gt;=95,15,IF(L274&gt;=90,10,IF(L274&gt;=80,5,0))))</f>
        <v/>
      </c>
      <c r="O274" s="31" t="n">
        <v>64.01000000000001</v>
      </c>
      <c r="P274" s="31" t="n">
        <v>26.44</v>
      </c>
      <c r="Q274" s="31" t="n">
        <v>406.4</v>
      </c>
      <c r="R274" s="30" t="inlineStr">
        <is>
          <t>Near 52W High Breakout</t>
        </is>
      </c>
      <c r="S274" s="30" t="inlineStr">
        <is>
          <t>Nifty Metal</t>
        </is>
      </c>
      <c r="T274" s="31" t="n">
        <v>42.48</v>
      </c>
      <c r="U274" s="31" t="n">
        <v>56.09</v>
      </c>
      <c r="V274" s="31" t="n">
        <v>9.550000000000001</v>
      </c>
      <c r="W274" s="31" t="n">
        <v>23.45</v>
      </c>
      <c r="X274" s="30" t="inlineStr">
        <is>
          <t>Cyclical in an Upturn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No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Cyclical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Volatile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Yes</t>
        </is>
      </c>
      <c r="AQ274" s="30">
        <f>IF(AP274="Yes",10,0)</f>
        <v/>
      </c>
      <c r="AR274" s="30" t="inlineStr">
        <is>
          <t>Higher One Time, Lower Annuity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20 to 40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2</t>
        </is>
      </c>
      <c r="BC274" s="30">
        <f>IF(BB274="Stage 2",20,IF(BB274="Stage 1",0,IF(BB274="Stage 3",5,IF(BB274="Stage 4",-5,0))))</f>
        <v/>
      </c>
      <c r="BD274" s="30" t="inlineStr">
        <is>
          <t>Positive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Blue sky scenario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Less than 12%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No</t>
        </is>
      </c>
      <c r="BS274" s="30">
        <f>IF(BR274="NO",5,0)</f>
        <v/>
      </c>
      <c r="BT274" s="30" t="inlineStr">
        <is>
          <t>Above 2</t>
        </is>
      </c>
      <c r="BU274" s="30">
        <f>IF(BT274="Above 2",0,IF(BT274="Between 1.5 to 2",5,IF(BT274="Less than 1.5",10,0)))</f>
        <v/>
      </c>
      <c r="BV274" s="30" t="inlineStr">
        <is>
          <t>Above 70%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Less than 0.7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IF(B275=0,"",RANK(B275,$B$2:$B$427,0))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0" t="inlineStr">
        <is>
          <t>TBZ</t>
        </is>
      </c>
      <c r="D275" s="30" t="inlineStr">
        <is>
          <t>Tribhovandas Bhimji Zaveri Limited</t>
        </is>
      </c>
      <c r="E275" s="30" t="inlineStr">
        <is>
          <t>consumer discretionary</t>
        </is>
      </c>
      <c r="F275" s="30" t="inlineStr">
        <is>
          <t>diamond cutting / jewellery</t>
        </is>
      </c>
      <c r="G275" s="30" t="inlineStr">
        <is>
          <t>smallcap</t>
        </is>
      </c>
      <c r="H275" s="31" t="n">
        <v>1265.68</v>
      </c>
      <c r="I275" s="31" t="n">
        <v>188.88</v>
      </c>
      <c r="J275" s="31" t="n">
        <v>-0.42</v>
      </c>
      <c r="K275" s="31" t="n">
        <v>360453</v>
      </c>
      <c r="L275" s="30" t="n">
        <v>47</v>
      </c>
      <c r="M275" s="30" t="inlineStr">
        <is>
          <t>Outperforming</t>
        </is>
      </c>
      <c r="N275" s="31">
        <f>IF(M275="Underperforming",-5,IF(L275&gt;=95,15,IF(L275&gt;=90,10,IF(L275&gt;=80,5,0))))</f>
        <v/>
      </c>
      <c r="O275" s="31" t="n">
        <v>63.69</v>
      </c>
      <c r="P275" s="31" t="n">
        <v>15.54</v>
      </c>
      <c r="Q275" s="31" t="n">
        <v>137.62</v>
      </c>
      <c r="R275" s="30" t="inlineStr">
        <is>
          <t>Near 52W High Breakout</t>
        </is>
      </c>
      <c r="S275" s="30" t="inlineStr">
        <is>
          <t>Nifty 50</t>
        </is>
      </c>
      <c r="T275" s="31" t="n">
        <v>-4.38</v>
      </c>
      <c r="U275" s="31" t="n">
        <v>2.56</v>
      </c>
      <c r="V275" s="31" t="n">
        <v>7.25</v>
      </c>
      <c r="W275" s="31" t="n">
        <v>12.12</v>
      </c>
      <c r="X275" s="30" t="inlineStr">
        <is>
          <t>Growing Industry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No</t>
        </is>
      </c>
      <c r="AC275" s="30">
        <f>IF(AB275="No",5,0)</f>
        <v/>
      </c>
      <c r="AD275" s="30" t="inlineStr">
        <is>
          <t>Tailwind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Yes</t>
        </is>
      </c>
      <c r="AQ275" s="30">
        <f>IF(AP275="Yes",10,0)</f>
        <v/>
      </c>
      <c r="AR275" s="30" t="inlineStr">
        <is>
          <t>Higher One Time, Lower Annuity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0 to 20</t>
        </is>
      </c>
      <c r="AY275" s="30">
        <f>IF(AX275="Above 40",20,IF(AX275="20 to 40",10,IF(AX275="0 to 20",-5,0)))</f>
        <v/>
      </c>
      <c r="AZ275" s="30" t="inlineStr">
        <is>
          <t>Between 50 to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Positive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Close to 52 week high or retracement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More than 20%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No</t>
        </is>
      </c>
      <c r="BS275" s="30">
        <f>IF(BR275="NO",5,0)</f>
        <v/>
      </c>
      <c r="BT275" s="30" t="inlineStr">
        <is>
          <t>Less than 1.5</t>
        </is>
      </c>
      <c r="BU275" s="30">
        <f>IF(BT275="Above 2",0,IF(BT275="Between 1.5 to 2",5,IF(BT275="Less than 1.5",10,0)))</f>
        <v/>
      </c>
      <c r="BV275" s="30" t="inlineStr">
        <is>
          <t>Less than 50% and Borrowings are increasing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Between 0.7 to 1.2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IF(B276=0,"",RANK(B276,$B$2:$B$427,0))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0" t="inlineStr">
        <is>
          <t>WELSPUNLIV</t>
        </is>
      </c>
      <c r="D276" s="30" t="inlineStr">
        <is>
          <t>Welspun Living Ltd</t>
        </is>
      </c>
      <c r="E276" s="30" t="inlineStr">
        <is>
          <t>textiles</t>
        </is>
      </c>
      <c r="F276" s="30" t="inlineStr">
        <is>
          <t>textiles - products</t>
        </is>
      </c>
      <c r="G276" s="30" t="inlineStr">
        <is>
          <t>midcap</t>
        </is>
      </c>
      <c r="H276" s="31" t="n">
        <v>15634.19</v>
      </c>
      <c r="I276" s="31" t="n">
        <v>162.23</v>
      </c>
      <c r="J276" s="31" t="n">
        <v>-0.47</v>
      </c>
      <c r="K276" s="31" t="n">
        <v>5648234</v>
      </c>
      <c r="L276" s="30" t="n">
        <v>58</v>
      </c>
      <c r="M276" s="30" t="inlineStr">
        <is>
          <t>Outperforming</t>
        </is>
      </c>
      <c r="N276" s="31">
        <f>IF(M276="Underperforming",-5,IF(L276&gt;=95,15,IF(L276&gt;=90,10,IF(L276&gt;=80,5,0))))</f>
        <v/>
      </c>
      <c r="O276" s="31" t="n">
        <v>69.27</v>
      </c>
      <c r="P276" s="31" t="n">
        <v>18.87</v>
      </c>
      <c r="Q276" s="31" t="n">
        <v>126.34</v>
      </c>
      <c r="R276" s="30" t="inlineStr">
        <is>
          <t>Volume Spike &amp; Near 52W High Breakout</t>
        </is>
      </c>
      <c r="S276" s="30" t="inlineStr">
        <is>
          <t>Nifty 50</t>
        </is>
      </c>
      <c r="T276" s="31" t="n">
        <v>-4.38</v>
      </c>
      <c r="U276" s="31" t="n">
        <v>27.49</v>
      </c>
      <c r="V276" s="31" t="n">
        <v>33.32</v>
      </c>
      <c r="W276" s="31" t="n">
        <v>14.9</v>
      </c>
      <c r="X276" s="30" t="inlineStr">
        <is>
          <t>Growing Industry</t>
        </is>
      </c>
      <c r="Y276" s="30">
        <f>IF(X276="Growing Industry",10,IF(X276="Cyclical in an Upturn",5,0))</f>
        <v/>
      </c>
      <c r="Z276" s="30" t="inlineStr">
        <is>
          <t>Too Many Players with High ROCE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No</t>
        </is>
      </c>
      <c r="AC276" s="30">
        <f>IF(AB276="No",5,0)</f>
        <v/>
      </c>
      <c r="AD276" s="30" t="inlineStr">
        <is>
          <t>Tailwind</t>
        </is>
      </c>
      <c r="AE276" s="30">
        <f>IF(AD276="Tailwind",10,0)</f>
        <v/>
      </c>
      <c r="AF276" s="30" t="inlineStr">
        <is>
          <t>Structural (10 Years Consistency)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Stable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B2B</t>
        </is>
      </c>
      <c r="AO276" s="30">
        <f>IF(AN276="B2C",10,IF(AN276="B2B",5,0))</f>
        <v/>
      </c>
      <c r="AP276" s="30" t="inlineStr">
        <is>
          <t>Yes</t>
        </is>
      </c>
      <c r="AQ276" s="30">
        <f>IF(AP276="Yes",10,0)</f>
        <v/>
      </c>
      <c r="AR276" s="30" t="inlineStr">
        <is>
          <t>Higher One Time, Lower Annuity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0 to 20</t>
        </is>
      </c>
      <c r="AY276" s="30">
        <f>IF(AX276="Above 40",20,IF(AX276="20 to 40",10,IF(AX276="0 to 20",-5,0)))</f>
        <v/>
      </c>
      <c r="AZ276" s="30" t="inlineStr">
        <is>
          <t>Between 50 to 75</t>
        </is>
      </c>
      <c r="BA276" s="30">
        <f>IF(AZ276="Between 50 to 75",10,IF(AZ276="Above 75",0,0))</f>
        <v/>
      </c>
      <c r="BB276" s="30" t="inlineStr">
        <is>
          <t>Stage 2</t>
        </is>
      </c>
      <c r="BC276" s="30">
        <f>IF(BB276="Stage 2",20,IF(BB276="Stage 1",0,IF(BB276="Stage 3",5,IF(BB276="Stage 4",-5,0))))</f>
        <v/>
      </c>
      <c r="BD276" s="30" t="inlineStr">
        <is>
          <t>Positive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Close to 52 week high or retracement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Less than 12%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Yes</t>
        </is>
      </c>
      <c r="BS276" s="30">
        <f>IF(BR276="NO",5,0)</f>
        <v/>
      </c>
      <c r="BT276" s="30" t="inlineStr">
        <is>
          <t>Above 2</t>
        </is>
      </c>
      <c r="BU276" s="30">
        <f>IF(BT276="Above 2",0,IF(BT276="Between 1.5 to 2",5,IF(BT276="Less than 1.5",10,0)))</f>
        <v/>
      </c>
      <c r="BV276" s="30" t="inlineStr">
        <is>
          <t>Above 70%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Less than 0.7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IF(B277=0,"",RANK(B277,$B$2:$B$427,0))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2" t="inlineStr">
        <is>
          <t>SHYAMMETL</t>
        </is>
      </c>
      <c r="D277" s="32" t="inlineStr">
        <is>
          <t>Shyam Metalics &amp; Energy Ltd</t>
        </is>
      </c>
      <c r="E277" s="30" t="inlineStr">
        <is>
          <t>metals &amp; mining</t>
        </is>
      </c>
      <c r="F277" s="30" t="inlineStr">
        <is>
          <t>steel - large</t>
        </is>
      </c>
      <c r="G277" s="30" t="inlineStr">
        <is>
          <t>largecap</t>
        </is>
      </c>
      <c r="H277" s="31" t="n">
        <v>27218.15</v>
      </c>
      <c r="I277" s="31" t="n">
        <v>970.3</v>
      </c>
      <c r="J277" s="31" t="n">
        <v>-0.49</v>
      </c>
      <c r="K277" s="31" t="n">
        <v>417295</v>
      </c>
      <c r="L277" s="30" t="n">
        <v>32</v>
      </c>
      <c r="M277" s="30" t="inlineStr">
        <is>
          <t>Underperforming</t>
        </is>
      </c>
      <c r="N277" s="31">
        <f>IF(M277="Underperforming",-5,IF(L277&gt;=95,15,IF(L277&gt;=90,10,IF(L277&gt;=80,5,0))))</f>
        <v/>
      </c>
      <c r="O277" s="31" t="n">
        <v>61.09</v>
      </c>
      <c r="P277" s="31" t="n">
        <v>15.22</v>
      </c>
      <c r="Q277" s="31" t="n">
        <v>814.54</v>
      </c>
      <c r="R277" s="30" t="inlineStr">
        <is>
          <t>Near 52W High Breakout</t>
        </is>
      </c>
      <c r="S277" s="30" t="inlineStr">
        <is>
          <t>Nifty Metal</t>
        </is>
      </c>
      <c r="T277" s="31" t="n">
        <v>42.48</v>
      </c>
      <c r="U277" s="31" t="n">
        <v>17.91</v>
      </c>
      <c r="V277" s="31" t="n">
        <v>-17.24</v>
      </c>
      <c r="W277" s="31" t="n">
        <v>8.33</v>
      </c>
      <c r="X277" s="30" t="inlineStr">
        <is>
          <t>Cyclical in an Upturn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Cyclical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Volatile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Yes</t>
        </is>
      </c>
      <c r="AQ277" s="30">
        <f>IF(AP277="Yes",10,0)</f>
        <v/>
      </c>
      <c r="AR277" s="30" t="inlineStr">
        <is>
          <t>Higher One Time, Lower Annuity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0 to 20</t>
        </is>
      </c>
      <c r="AY277" s="30">
        <f>IF(AX277="Above 40",20,IF(AX277="20 to 40",10,IF(AX277="0 to 20",-5,0)))</f>
        <v/>
      </c>
      <c r="AZ277" s="30" t="inlineStr">
        <is>
          <t>Between 50 to 75</t>
        </is>
      </c>
      <c r="BA277" s="30">
        <f>IF(AZ277="Between 50 to 75",10,IF(AZ277="Above 75",0,0))</f>
        <v/>
      </c>
      <c r="BB277" s="30" t="inlineStr">
        <is>
          <t>Stage 2</t>
        </is>
      </c>
      <c r="BC277" s="30">
        <f>IF(BB277="Stage 2",20,IF(BB277="Stage 1",0,IF(BB277="Stage 3",5,IF(BB277="Stage 4",-5,0))))</f>
        <v/>
      </c>
      <c r="BD277" s="30" t="inlineStr">
        <is>
          <t>Positive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Blue sky scenario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More than 20%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No</t>
        </is>
      </c>
      <c r="BS277" s="30">
        <f>IF(BR277="NO",5,0)</f>
        <v/>
      </c>
      <c r="BT277" s="30" t="inlineStr">
        <is>
          <t>Less than 1.5</t>
        </is>
      </c>
      <c r="BU277" s="30">
        <f>IF(BT277="Above 2",0,IF(BT277="Between 1.5 to 2",5,IF(BT277="Less than 1.5",10,0)))</f>
        <v/>
      </c>
      <c r="BV277" s="30" t="inlineStr">
        <is>
          <t>Above 70%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Less than 0.7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IF(B278=0,"",RANK(B278,$B$2:$B$427,0))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2" t="inlineStr">
        <is>
          <t>OAL</t>
        </is>
      </c>
      <c r="D278" s="32" t="inlineStr">
        <is>
          <t>Oriental Aromatics Ltd</t>
        </is>
      </c>
      <c r="E278" s="30" t="inlineStr">
        <is>
          <t>chemicals</t>
        </is>
      </c>
      <c r="F278" s="30" t="inlineStr">
        <is>
          <t>chemicals</t>
        </is>
      </c>
      <c r="G278" s="30" t="inlineStr">
        <is>
          <t>smallcap</t>
        </is>
      </c>
      <c r="H278" s="31" t="n">
        <v>1166.77</v>
      </c>
      <c r="I278" s="31" t="n">
        <v>343.3</v>
      </c>
      <c r="J278" s="31" t="n">
        <v>-0.98</v>
      </c>
      <c r="K278" s="31" t="n">
        <v>19406</v>
      </c>
      <c r="L278" s="30" t="n">
        <v>23</v>
      </c>
      <c r="M278" s="30" t="inlineStr">
        <is>
          <t>Underperforming</t>
        </is>
      </c>
      <c r="N278" s="31">
        <f>IF(M278="Underperforming",-5,IF(L278&gt;=95,15,IF(L278&gt;=90,10,IF(L278&gt;=80,5,0))))</f>
        <v/>
      </c>
      <c r="O278" s="31" t="n">
        <v>61.74</v>
      </c>
      <c r="P278" s="31" t="n">
        <v>23.41</v>
      </c>
      <c r="Q278" s="31" t="n">
        <v>256.12</v>
      </c>
      <c r="R278" s="30" t="inlineStr">
        <is>
          <t>Earnings / Momentum Support</t>
        </is>
      </c>
      <c r="S278" s="30" t="inlineStr">
        <is>
          <t>Nifty 50</t>
        </is>
      </c>
      <c r="T278" s="31" t="n">
        <v>-4.38</v>
      </c>
      <c r="U278" s="31" t="n">
        <v>-11.7</v>
      </c>
      <c r="V278" s="31" t="n">
        <v>-7.66</v>
      </c>
      <c r="W278" s="31" t="n">
        <v>6.34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Tailwind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B2B</t>
        </is>
      </c>
      <c r="AO278" s="30">
        <f>IF(AN278="B2C",10,IF(AN278="B2B",5,0))</f>
        <v/>
      </c>
      <c r="AP278" s="30" t="inlineStr">
        <is>
          <t>No</t>
        </is>
      </c>
      <c r="AQ278" s="30">
        <f>IF(AP278="Yes",10,0)</f>
        <v/>
      </c>
      <c r="AR278" s="30" t="inlineStr">
        <is>
          <t>Higher One Time, Lower Annuity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20 to 40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2</t>
        </is>
      </c>
      <c r="BC278" s="30">
        <f>IF(BB278="Stage 2",20,IF(BB278="Stage 1",0,IF(BB278="Stage 3",5,IF(BB278="Stage 4",-5,0))))</f>
        <v/>
      </c>
      <c r="BD278" s="30" t="inlineStr">
        <is>
          <t>Positive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Close to 52 week high or retracement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More than 20%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Yes</t>
        </is>
      </c>
      <c r="BS278" s="30">
        <f>IF(BR278="NO",5,0)</f>
        <v/>
      </c>
      <c r="BT278" s="30" t="inlineStr">
        <is>
          <t>Above 2</t>
        </is>
      </c>
      <c r="BU278" s="30">
        <f>IF(BT278="Above 2",0,IF(BT278="Between 1.5 to 2",5,IF(BT278="Less than 1.5",10,0)))</f>
        <v/>
      </c>
      <c r="BV278" s="30" t="inlineStr">
        <is>
          <t>Less than 50%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Less than 0.7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IF(B279=0,"",RANK(B279,$B$2:$B$427,0))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0" t="inlineStr">
        <is>
          <t>ADANIENSOL</t>
        </is>
      </c>
      <c r="D279" s="30" t="inlineStr">
        <is>
          <t>Adani Energy Solutions Ltd</t>
        </is>
      </c>
      <c r="E279" s="30" t="inlineStr">
        <is>
          <t>power &amp; utilities</t>
        </is>
      </c>
      <c r="F279" s="30" t="inlineStr">
        <is>
          <t>power generation and supply</t>
        </is>
      </c>
      <c r="G279" s="30" t="inlineStr">
        <is>
          <t>largecap</t>
        </is>
      </c>
      <c r="H279" s="31" t="n">
        <v>182991.38</v>
      </c>
      <c r="I279" s="31" t="n">
        <v>1507.4</v>
      </c>
      <c r="J279" s="31" t="n">
        <v>-1.04</v>
      </c>
      <c r="K279" s="31" t="n">
        <v>2482204</v>
      </c>
      <c r="L279" s="30" t="n">
        <v>78</v>
      </c>
      <c r="M279" s="30" t="inlineStr">
        <is>
          <t>Outperforming</t>
        </is>
      </c>
      <c r="N279" s="31">
        <f>IF(M279="Underperforming",-5,IF(L279&gt;=95,15,IF(L279&gt;=90,10,IF(L279&gt;=80,5,0))))</f>
        <v/>
      </c>
      <c r="O279" s="31" t="n">
        <v>68.45</v>
      </c>
      <c r="P279" s="31" t="n">
        <v>37.85</v>
      </c>
      <c r="Q279" s="31" t="n">
        <v>1231.09</v>
      </c>
      <c r="R279" s="30" t="inlineStr">
        <is>
          <t>Near 52W High Breakout</t>
        </is>
      </c>
      <c r="S279" s="30" t="inlineStr">
        <is>
          <t>Nifty IT</t>
        </is>
      </c>
      <c r="T279" s="31" t="n">
        <v>-29.66</v>
      </c>
      <c r="U279" s="31" t="n">
        <v>82.03</v>
      </c>
      <c r="V279" s="31" t="n">
        <v>158.79</v>
      </c>
      <c r="W279" s="31" t="n">
        <v>23.86</v>
      </c>
      <c r="X279" s="30" t="inlineStr">
        <is>
          <t>Growing Industry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Tailwind</t>
        </is>
      </c>
      <c r="AE279" s="30">
        <f>IF(AD279="Tailwind",10,0)</f>
        <v/>
      </c>
      <c r="AF279" s="30" t="inlineStr">
        <is>
          <t>Structural (10 Years Consistency)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Yes</t>
        </is>
      </c>
      <c r="AQ279" s="30">
        <f>IF(AP279="Yes",10,0)</f>
        <v/>
      </c>
      <c r="AR279" s="30" t="inlineStr">
        <is>
          <t>Higher One Time, Lower Annuity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20 to 40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2</t>
        </is>
      </c>
      <c r="BC279" s="30">
        <f>IF(BB279="Stage 2",20,IF(BB279="Stage 1",0,IF(BB279="Stage 3",5,IF(BB279="Stage 4",-5,0))))</f>
        <v/>
      </c>
      <c r="BD279" s="30" t="inlineStr">
        <is>
          <t>Positive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Blue sky scenario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Less than 12%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Yes</t>
        </is>
      </c>
      <c r="BS279" s="30">
        <f>IF(BR279="NO",5,0)</f>
        <v/>
      </c>
      <c r="BT279" s="30" t="inlineStr">
        <is>
          <t>Above 2</t>
        </is>
      </c>
      <c r="BU279" s="30">
        <f>IF(BT279="Above 2",0,IF(BT279="Between 1.5 to 2",5,IF(BT279="Less than 1.5",10,0)))</f>
        <v/>
      </c>
      <c r="BV279" s="30" t="inlineStr">
        <is>
          <t>Above 70%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More than 1.2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IF(B280=0,"",RANK(B280,$B$2:$B$427,0))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0" t="inlineStr">
        <is>
          <t>GREENLAM</t>
        </is>
      </c>
      <c r="D280" s="30" t="inlineStr">
        <is>
          <t>Greenlam Industries Limited</t>
        </is>
      </c>
      <c r="E280" s="30" t="inlineStr">
        <is>
          <t>building materials</t>
        </is>
      </c>
      <c r="F280" s="30" t="inlineStr">
        <is>
          <t>miscellaneous</t>
        </is>
      </c>
      <c r="G280" s="30" t="inlineStr">
        <is>
          <t>midcap</t>
        </is>
      </c>
      <c r="H280" s="31" t="n">
        <v>6520.3</v>
      </c>
      <c r="I280" s="31" t="n">
        <v>252.25</v>
      </c>
      <c r="J280" s="31" t="n">
        <v>-1.29</v>
      </c>
      <c r="K280" s="31" t="n">
        <v>123223</v>
      </c>
      <c r="L280" s="30" t="n">
        <v>20</v>
      </c>
      <c r="M280" s="30" t="inlineStr">
        <is>
          <t>Outperforming</t>
        </is>
      </c>
      <c r="N280" s="31">
        <f>IF(M280="Underperforming",-5,IF(L280&gt;=95,15,IF(L280&gt;=90,10,IF(L280&gt;=80,5,0))))</f>
        <v/>
      </c>
      <c r="O280" s="31" t="n">
        <v>59.09</v>
      </c>
      <c r="P280" s="31" t="n">
        <v>18.41</v>
      </c>
      <c r="Q280" s="31" t="n">
        <v>185.8</v>
      </c>
      <c r="R280" s="30" t="inlineStr">
        <is>
          <t>Near 52W High Breakout</t>
        </is>
      </c>
      <c r="S280" s="30" t="inlineStr">
        <is>
          <t>Nifty Infra</t>
        </is>
      </c>
      <c r="T280" s="31" t="n">
        <v>4.18</v>
      </c>
      <c r="U280" s="31" t="n">
        <v>7.3</v>
      </c>
      <c r="V280" s="31" t="n">
        <v>2.99</v>
      </c>
      <c r="W280" s="31" t="n">
        <v>5.7</v>
      </c>
      <c r="X280" s="30" t="inlineStr">
        <is>
          <t>Growing Industry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Tailwind</t>
        </is>
      </c>
      <c r="AE280" s="30">
        <f>IF(AD280="Tailwind",10,0)</f>
        <v/>
      </c>
      <c r="AF280" s="30" t="inlineStr">
        <is>
          <t>Structural (10 Years Consistency)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Stable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Yes</t>
        </is>
      </c>
      <c r="AQ280" s="30">
        <f>IF(AP280="Yes",10,0)</f>
        <v/>
      </c>
      <c r="AR280" s="30" t="inlineStr">
        <is>
          <t>Higher One Time, Lower Annuity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0 to 20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2</t>
        </is>
      </c>
      <c r="BC280" s="30">
        <f>IF(BB280="Stage 2",20,IF(BB280="Stage 1",0,IF(BB280="Stage 3",5,IF(BB280="Stage 4",-5,0))))</f>
        <v/>
      </c>
      <c r="BD280" s="30" t="inlineStr">
        <is>
          <t>Positive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Close to 52 week high or retracement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More than 20%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Yes</t>
        </is>
      </c>
      <c r="BS280" s="30">
        <f>IF(BR280="NO",5,0)</f>
        <v/>
      </c>
      <c r="BT280" s="30" t="inlineStr">
        <is>
          <t>Above 2</t>
        </is>
      </c>
      <c r="BU280" s="30">
        <f>IF(BT280="Above 2",0,IF(BT280="Between 1.5 to 2",5,IF(BT280="Less than 1.5",10,0)))</f>
        <v/>
      </c>
      <c r="BV280" s="30" t="inlineStr">
        <is>
          <t>Above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Between 0.7 to 1.2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IF(B281=0,"",RANK(B281,$B$2:$B$427,0))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0" t="inlineStr">
        <is>
          <t>APCOTEXIND</t>
        </is>
      </c>
      <c r="D281" s="30" t="inlineStr">
        <is>
          <t>Apcotex Industries Limited</t>
        </is>
      </c>
      <c r="E281" s="30" t="inlineStr">
        <is>
          <t>chemicals</t>
        </is>
      </c>
      <c r="F281" s="30" t="inlineStr">
        <is>
          <t>miscellaneous</t>
        </is>
      </c>
      <c r="G281" s="30" t="inlineStr">
        <is>
          <t>smallcap</t>
        </is>
      </c>
      <c r="H281" s="31" t="n">
        <v>2728.34</v>
      </c>
      <c r="I281" s="31" t="n">
        <v>546.65</v>
      </c>
      <c r="J281" s="31" t="n">
        <v>3.88</v>
      </c>
      <c r="K281" s="31" t="n">
        <v>106791</v>
      </c>
      <c r="L281" s="30" t="n">
        <v>73</v>
      </c>
      <c r="M281" s="30" t="inlineStr">
        <is>
          <t>Outperforming</t>
        </is>
      </c>
      <c r="N281" s="31">
        <f>IF(M281="Underperforming",-5,IF(L281&gt;=95,15,IF(L281&gt;=90,10,IF(L281&gt;=80,5,0))))</f>
        <v/>
      </c>
      <c r="O281" s="31" t="n">
        <v>72.52</v>
      </c>
      <c r="P281" s="31" t="n">
        <v>38.47</v>
      </c>
      <c r="Q281" s="31" t="n">
        <v>417.12</v>
      </c>
      <c r="R281" s="30" t="inlineStr">
        <is>
          <t>Near 52W High Breakout</t>
        </is>
      </c>
      <c r="S281" s="30" t="inlineStr">
        <is>
          <t>Nifty 50</t>
        </is>
      </c>
      <c r="T281" s="31" t="n">
        <v>-4.38</v>
      </c>
      <c r="U281" s="31" t="n">
        <v>43.42</v>
      </c>
      <c r="V281" s="31" t="n">
        <v>49.99</v>
      </c>
      <c r="W281" s="31" t="n">
        <v>21.31</v>
      </c>
      <c r="X281" s="30" t="inlineStr">
        <is>
          <t>Growing Industry</t>
        </is>
      </c>
      <c r="Y281" s="30">
        <f>IF(X281="Growing Industry",10,IF(X281="Cyclical in an Upturn",5,0))</f>
        <v/>
      </c>
      <c r="Z281" s="30" t="inlineStr">
        <is>
          <t>Oligopoly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No</t>
        </is>
      </c>
      <c r="AC281" s="30">
        <f>IF(AB281="No",5,0)</f>
        <v/>
      </c>
      <c r="AD281" s="30" t="inlineStr">
        <is>
          <t>Tailwind</t>
        </is>
      </c>
      <c r="AE281" s="30">
        <f>IF(AD281="Tailwind",10,0)</f>
        <v/>
      </c>
      <c r="AF281" s="30" t="inlineStr">
        <is>
          <t>Cyclical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Stable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Yes</t>
        </is>
      </c>
      <c r="AQ281" s="30">
        <f>IF(AP281="Yes",10,0)</f>
        <v/>
      </c>
      <c r="AR281" s="30" t="inlineStr">
        <is>
          <t>Fully One Time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Above 40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1</t>
        </is>
      </c>
      <c r="BC281" s="30">
        <f>IF(BB281="Stage 2",20,IF(BB281="Stage 1",0,IF(BB281="Stage 3",5,IF(BB281="Stage 4",-5,0))))</f>
        <v/>
      </c>
      <c r="BD281" s="30" t="inlineStr">
        <is>
          <t>Positive Trend</t>
        </is>
      </c>
      <c r="BE281" s="30">
        <f>IF(BD281="Positive Trend",20,IF(BD281="Negative Trend",-10,0))</f>
        <v/>
      </c>
      <c r="BF281" s="30" t="inlineStr">
        <is>
          <t>Sideways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Overhead supply in last 2 years in last 2 years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More than 20%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No</t>
        </is>
      </c>
      <c r="BS281" s="30">
        <f>IF(BR281="NO",5,0)</f>
        <v/>
      </c>
      <c r="BT281" s="30" t="inlineStr">
        <is>
          <t>Less than 1.5</t>
        </is>
      </c>
      <c r="BU281" s="30">
        <f>IF(BT281="Above 2",0,IF(BT281="Between 1.5 to 2",5,IF(BT281="Less than 1.5",10,0)))</f>
        <v/>
      </c>
      <c r="BV281" s="30" t="inlineStr">
        <is>
          <t>Between 50% to 70%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Less than 0.7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IF(B282=0,"",RANK(B282,$B$2:$B$427,0))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2" t="inlineStr">
        <is>
          <t>GUFICBIO</t>
        </is>
      </c>
      <c r="D282" s="32" t="inlineStr">
        <is>
          <t>Gufic Biosciences Limited</t>
        </is>
      </c>
      <c r="E282" s="30" t="inlineStr">
        <is>
          <t>healthcare</t>
        </is>
      </c>
      <c r="F282" s="30" t="inlineStr">
        <is>
          <t>pharmaceuticals - indian - bulk drugs &amp; formln</t>
        </is>
      </c>
      <c r="G282" s="30" t="inlineStr">
        <is>
          <t>smallcap</t>
        </is>
      </c>
      <c r="H282" s="31" t="n">
        <v>3586.6</v>
      </c>
      <c r="I282" s="31" t="n">
        <v>355.25</v>
      </c>
      <c r="J282" s="31" t="n">
        <v>-0.67</v>
      </c>
      <c r="K282" s="31" t="n">
        <v>70549</v>
      </c>
      <c r="L282" s="30" t="n">
        <v>15</v>
      </c>
      <c r="M282" s="30" t="inlineStr">
        <is>
          <t>Underperforming</t>
        </is>
      </c>
      <c r="N282" s="31">
        <f>IF(M282="Underperforming",-5,IF(L282&gt;=95,15,IF(L282&gt;=90,10,IF(L282&gt;=80,5,0))))</f>
        <v/>
      </c>
      <c r="O282" s="31" t="n">
        <v>59.89</v>
      </c>
      <c r="P282" s="31" t="n">
        <v>23.68</v>
      </c>
      <c r="Q282" s="31" t="n">
        <v>286.48</v>
      </c>
      <c r="R282" s="30" t="inlineStr">
        <is>
          <t>Earnings / Momentum Support</t>
        </is>
      </c>
      <c r="S282" s="30" t="inlineStr">
        <is>
          <t>Nifty Pharma</t>
        </is>
      </c>
      <c r="T282" s="31" t="n">
        <v>13.17</v>
      </c>
      <c r="U282" s="31" t="n">
        <v>-0.11</v>
      </c>
      <c r="V282" s="31" t="n">
        <v>-11.74</v>
      </c>
      <c r="W282" s="31" t="n">
        <v>4.81</v>
      </c>
      <c r="X282" s="30" t="inlineStr">
        <is>
          <t>Growing Industry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Yes</t>
        </is>
      </c>
      <c r="AC282" s="30">
        <f>IF(AB282="No",5,0)</f>
        <v/>
      </c>
      <c r="AD282" s="30" t="inlineStr">
        <is>
          <t>Tailwind</t>
        </is>
      </c>
      <c r="AE282" s="30">
        <f>IF(AD282="Tailwind",10,0)</f>
        <v/>
      </c>
      <c r="AF282" s="30" t="inlineStr">
        <is>
          <t>Structural (10 Years Consistency)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No</t>
        </is>
      </c>
      <c r="AQ282" s="30">
        <f>IF(AP282="Yes",10,0)</f>
        <v/>
      </c>
      <c r="AR282" s="30" t="inlineStr">
        <is>
          <t>Higher Annuity, Lower One Time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20 to 40</t>
        </is>
      </c>
      <c r="AY282" s="30">
        <f>IF(AX282="Above 40",20,IF(AX282="20 to 40",10,IF(AX282="0 to 20",-5,0)))</f>
        <v/>
      </c>
      <c r="AZ282" s="30" t="inlineStr">
        <is>
          <t>Between 50 to 75</t>
        </is>
      </c>
      <c r="BA282" s="30">
        <f>IF(AZ282="Between 50 to 75",10,IF(AZ282="Above 75",0,0))</f>
        <v/>
      </c>
      <c r="BB282" s="30" t="inlineStr">
        <is>
          <t>Stage 2</t>
        </is>
      </c>
      <c r="BC282" s="30">
        <f>IF(BB282="Stage 2",20,IF(BB282="Stage 1",0,IF(BB282="Stage 3",5,IF(BB282="Stage 4",-5,0))))</f>
        <v/>
      </c>
      <c r="BD282" s="30" t="inlineStr">
        <is>
          <t>Positive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Close to 52 week high or retracement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More than 20%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Yes</t>
        </is>
      </c>
      <c r="BS282" s="30">
        <f>IF(BR282="NO",5,0)</f>
        <v/>
      </c>
      <c r="BT282" s="30" t="inlineStr">
        <is>
          <t>Above 2</t>
        </is>
      </c>
      <c r="BU282" s="30">
        <f>IF(BT282="Above 2",0,IF(BT282="Between 1.5 to 2",5,IF(BT282="Less than 1.5",10,0)))</f>
        <v/>
      </c>
      <c r="BV282" s="30" t="inlineStr">
        <is>
          <t>Less than 50%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Less than 0.7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IF(B283=0,"",RANK(B283,$B$2:$B$427,0))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0" t="inlineStr">
        <is>
          <t>EIFFL</t>
        </is>
      </c>
      <c r="D283" s="30" t="inlineStr">
        <is>
          <t>Euro India Fresh Foods Ltd</t>
        </is>
      </c>
      <c r="E283" s="30" t="inlineStr">
        <is>
          <t>fmcg</t>
        </is>
      </c>
      <c r="F283" s="30" t="inlineStr">
        <is>
          <t>food - processing - indian</t>
        </is>
      </c>
      <c r="G283" s="30" t="inlineStr">
        <is>
          <t>smallcap</t>
        </is>
      </c>
      <c r="H283" s="31" t="n">
        <v>867.28</v>
      </c>
      <c r="I283" s="31" t="n">
        <v>347.24</v>
      </c>
      <c r="J283" s="31" t="n">
        <v>-0.71</v>
      </c>
      <c r="K283" s="31" t="n">
        <v>195241</v>
      </c>
      <c r="L283" s="30" t="n">
        <v>74</v>
      </c>
      <c r="M283" s="30" t="inlineStr">
        <is>
          <t>Outperforming</t>
        </is>
      </c>
      <c r="N283" s="31">
        <f>IF(M283="Underperforming",-5,IF(L283&gt;=95,15,IF(L283&gt;=90,10,IF(L283&gt;=80,5,0))))</f>
        <v/>
      </c>
      <c r="O283" s="31" t="n">
        <v>77</v>
      </c>
      <c r="P283" s="31" t="n">
        <v>13.36</v>
      </c>
      <c r="Q283" s="31" t="n">
        <v>259.37</v>
      </c>
      <c r="R283" s="30" t="inlineStr">
        <is>
          <t>Volume Spike &amp; Near 52W High Breakout</t>
        </is>
      </c>
      <c r="S283" s="30" t="inlineStr">
        <is>
          <t>Nifty FMCG</t>
        </is>
      </c>
      <c r="T283" s="31" t="n">
        <v>-9.279999999999999</v>
      </c>
      <c r="U283" s="31" t="n">
        <v>62.22</v>
      </c>
      <c r="V283" s="31" t="n">
        <v>78.83</v>
      </c>
      <c r="W283" s="31" t="n">
        <v>21.57</v>
      </c>
      <c r="X283" s="30" t="inlineStr">
        <is>
          <t>Growing Industry</t>
        </is>
      </c>
      <c r="Y283" s="30">
        <f>IF(X283="Growing Industry",10,IF(X283="Cyclical in an Upturn",5,0))</f>
        <v/>
      </c>
      <c r="Z283" s="30" t="inlineStr">
        <is>
          <t>Too Many Players with High ROCE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No</t>
        </is>
      </c>
      <c r="AC283" s="30">
        <f>IF(AB283="No",5,0)</f>
        <v/>
      </c>
      <c r="AD283" s="30" t="inlineStr">
        <is>
          <t>Tailwind</t>
        </is>
      </c>
      <c r="AE283" s="30">
        <f>IF(AD283="Tailwind",10,0)</f>
        <v/>
      </c>
      <c r="AF283" s="30" t="inlineStr">
        <is>
          <t>Structural (10 Years Consistency)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Stable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B2C</t>
        </is>
      </c>
      <c r="AO283" s="30">
        <f>IF(AN283="B2C",10,IF(AN283="B2B",5,0))</f>
        <v/>
      </c>
      <c r="AP283" s="30" t="inlineStr">
        <is>
          <t>Yes</t>
        </is>
      </c>
      <c r="AQ283" s="30">
        <f>IF(AP283="Yes",10,0)</f>
        <v/>
      </c>
      <c r="AR283" s="30" t="inlineStr">
        <is>
          <t>Higher Annuity, Lower One Time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0 to 20</t>
        </is>
      </c>
      <c r="AY283" s="30">
        <f>IF(AX283="Above 40",20,IF(AX283="20 to 40",10,IF(AX283="0 to 20",-5,0)))</f>
        <v/>
      </c>
      <c r="AZ283" s="30" t="inlineStr">
        <is>
          <t>Above 75</t>
        </is>
      </c>
      <c r="BA283" s="30">
        <f>IF(AZ283="Between 50 to 75",10,IF(AZ283="Above 75",0,0))</f>
        <v/>
      </c>
      <c r="BB283" s="30" t="inlineStr">
        <is>
          <t>Stage 2</t>
        </is>
      </c>
      <c r="BC283" s="30">
        <f>IF(BB283="Stage 2",20,IF(BB283="Stage 1",0,IF(BB283="Stage 3",5,IF(BB283="Stage 4",-5,0))))</f>
        <v/>
      </c>
      <c r="BD283" s="30" t="inlineStr">
        <is>
          <t>Positive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Blue sky scenario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More than 20%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Yes</t>
        </is>
      </c>
      <c r="BS283" s="30">
        <f>IF(BR283="NO",5,0)</f>
        <v/>
      </c>
      <c r="BT283" s="30" t="inlineStr">
        <is>
          <t>Above 2</t>
        </is>
      </c>
      <c r="BU283" s="30">
        <f>IF(BT283="Above 2",0,IF(BT283="Between 1.5 to 2",5,IF(BT283="Less than 1.5",10,0)))</f>
        <v/>
      </c>
      <c r="BV283" s="30" t="inlineStr">
        <is>
          <t>Between 50% to 70%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Between 0.7 to 1.2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IF(B284=0,"",RANK(B284,$B$2:$B$427,0))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2" t="inlineStr">
        <is>
          <t>GARFIBRES</t>
        </is>
      </c>
      <c r="D284" s="32" t="inlineStr">
        <is>
          <t>Garware Technical Fibres Ltd</t>
        </is>
      </c>
      <c r="E284" s="30" t="inlineStr">
        <is>
          <t>textiles</t>
        </is>
      </c>
      <c r="F284" s="30" t="inlineStr">
        <is>
          <t>textiles - products</t>
        </is>
      </c>
      <c r="G284" s="30" t="inlineStr">
        <is>
          <t>midcap</t>
        </is>
      </c>
      <c r="H284" s="31" t="n">
        <v>6924.79</v>
      </c>
      <c r="I284" s="31" t="n">
        <v>796.4</v>
      </c>
      <c r="J284" s="31" t="n">
        <v>14.16</v>
      </c>
      <c r="K284" s="31" t="n">
        <v>4899596</v>
      </c>
      <c r="L284" s="30" t="n">
        <v>21</v>
      </c>
      <c r="M284" s="30" t="inlineStr">
        <is>
          <t>Underperforming</t>
        </is>
      </c>
      <c r="N284" s="31">
        <f>IF(M284="Underperforming",-5,IF(L284&gt;=95,15,IF(L284&gt;=90,10,IF(L284&gt;=80,5,0))))</f>
        <v/>
      </c>
      <c r="O284" s="31" t="n">
        <v>68.72</v>
      </c>
      <c r="P284" s="31" t="n">
        <v>18.27</v>
      </c>
      <c r="Q284" s="31" t="n">
        <v>628.5599999999999</v>
      </c>
      <c r="R284" s="30" t="inlineStr">
        <is>
          <t>Volume Spike / Accumulation</t>
        </is>
      </c>
      <c r="S284" s="30" t="inlineStr">
        <is>
          <t>Nifty 50</t>
        </is>
      </c>
      <c r="T284" s="31" t="n">
        <v>-4.38</v>
      </c>
      <c r="U284" s="31" t="n">
        <v>-5.49</v>
      </c>
      <c r="V284" s="31" t="n">
        <v>-1.17</v>
      </c>
      <c r="W284" s="31" t="n">
        <v>6.06</v>
      </c>
      <c r="X284" s="30" t="inlineStr">
        <is>
          <t>Growing Industry</t>
        </is>
      </c>
      <c r="Y284" s="30">
        <f>IF(X284="Growing Industry",10,IF(X284="Cyclical in an Upturn",5,0))</f>
        <v/>
      </c>
      <c r="Z284" s="30" t="inlineStr">
        <is>
          <t>Too Many Players with High ROCE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Tailwind</t>
        </is>
      </c>
      <c r="AE284" s="30">
        <f>IF(AD284="Tailwind",10,0)</f>
        <v/>
      </c>
      <c r="AF284" s="30" t="inlineStr">
        <is>
          <t>Structural (10 Years Consistency)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Stable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B2B</t>
        </is>
      </c>
      <c r="AO284" s="30">
        <f>IF(AN284="B2C",10,IF(AN284="B2B",5,0))</f>
        <v/>
      </c>
      <c r="AP284" s="30" t="inlineStr">
        <is>
          <t>Yes</t>
        </is>
      </c>
      <c r="AQ284" s="30">
        <f>IF(AP284="Yes",10,0)</f>
        <v/>
      </c>
      <c r="AR284" s="30" t="inlineStr">
        <is>
          <t>Higher One Time, Lower Annuity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0 to 20</t>
        </is>
      </c>
      <c r="AY284" s="30">
        <f>IF(AX284="Above 40",20,IF(AX284="20 to 40",10,IF(AX284="0 to 20",-5,0)))</f>
        <v/>
      </c>
      <c r="AZ284" s="30" t="inlineStr">
        <is>
          <t>Between 50 to 75</t>
        </is>
      </c>
      <c r="BA284" s="30">
        <f>IF(AZ284="Between 50 to 75",10,IF(AZ284="Above 75",0,0))</f>
        <v/>
      </c>
      <c r="BB284" s="30" t="inlineStr">
        <is>
          <t>Stage 2</t>
        </is>
      </c>
      <c r="BC284" s="30">
        <f>IF(BB284="Stage 2",20,IF(BB284="Stage 1",0,IF(BB284="Stage 3",5,IF(BB284="Stage 4",-5,0))))</f>
        <v/>
      </c>
      <c r="BD284" s="30" t="inlineStr">
        <is>
          <t>Positive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Close to 52 week high or retracement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Less than 12%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No</t>
        </is>
      </c>
      <c r="BS284" s="30">
        <f>IF(BR284="NO",5,0)</f>
        <v/>
      </c>
      <c r="BT284" s="30" t="inlineStr">
        <is>
          <t>Above 2</t>
        </is>
      </c>
      <c r="BU284" s="30">
        <f>IF(BT284="Above 2",0,IF(BT284="Between 1.5 to 2",5,IF(BT284="Less than 1.5",10,0)))</f>
        <v/>
      </c>
      <c r="BV284" s="30" t="inlineStr">
        <is>
          <t>Between 50% to 70%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Less than 0.7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IF(B285=0,"",RANK(B285,$B$2:$B$427,0))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0" t="inlineStr">
        <is>
          <t>VHLTD</t>
        </is>
      </c>
      <c r="D285" s="30" t="inlineStr">
        <is>
          <t>Viceroy Hotels Ltd</t>
        </is>
      </c>
      <c r="E285" s="30" t="inlineStr">
        <is>
          <t>services</t>
        </is>
      </c>
      <c r="F285" s="30" t="inlineStr">
        <is>
          <t>hotels</t>
        </is>
      </c>
      <c r="G285" s="30" t="inlineStr">
        <is>
          <t>smallcap</t>
        </is>
      </c>
      <c r="H285" s="31" t="n">
        <v>929.14</v>
      </c>
      <c r="I285" s="31" t="n">
        <v>141.07</v>
      </c>
      <c r="J285" s="31" t="n">
        <v>2.6</v>
      </c>
      <c r="K285" s="31" t="n">
        <v>195064</v>
      </c>
      <c r="L285" s="30" t="n">
        <v>28</v>
      </c>
      <c r="M285" s="30" t="inlineStr">
        <is>
          <t>Outperforming</t>
        </is>
      </c>
      <c r="N285" s="31">
        <f>IF(M285="Underperforming",-5,IF(L285&gt;=95,15,IF(L285&gt;=90,10,IF(L285&gt;=80,5,0))))</f>
        <v/>
      </c>
      <c r="O285" s="31" t="n">
        <v>54.73</v>
      </c>
      <c r="P285" s="31" t="n">
        <v>21.14</v>
      </c>
      <c r="Q285" s="31" t="n">
        <v>110.64</v>
      </c>
      <c r="R285" s="30" t="inlineStr">
        <is>
          <t>Volume Spike / Accumulation</t>
        </is>
      </c>
      <c r="S285" s="30" t="inlineStr">
        <is>
          <t>Nifty 50</t>
        </is>
      </c>
      <c r="T285" s="31" t="n">
        <v>-4.38</v>
      </c>
      <c r="U285" s="31" t="n">
        <v>45.13</v>
      </c>
      <c r="V285" s="31" t="n">
        <v>51.78</v>
      </c>
      <c r="W285" s="31" t="n">
        <v>7.73</v>
      </c>
      <c r="X285" s="30" t="inlineStr">
        <is>
          <t>Growing Industry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No</t>
        </is>
      </c>
      <c r="AC285" s="30">
        <f>IF(AB285="No",5,0)</f>
        <v/>
      </c>
      <c r="AD285" s="30" t="inlineStr">
        <is>
          <t>Headwind</t>
        </is>
      </c>
      <c r="AE285" s="30">
        <f>IF(AD285="Tailwind",10,0)</f>
        <v/>
      </c>
      <c r="AF285" s="30" t="inlineStr">
        <is>
          <t>Structural (10 Years Consistency)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Stable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Yes</t>
        </is>
      </c>
      <c r="AQ285" s="30">
        <f>IF(AP285="Yes",10,0)</f>
        <v/>
      </c>
      <c r="AR285" s="30" t="inlineStr">
        <is>
          <t>Higher One Time, Lower Annuity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20 to 40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2</t>
        </is>
      </c>
      <c r="BC285" s="30">
        <f>IF(BB285="Stage 2",20,IF(BB285="Stage 1",0,IF(BB285="Stage 3",5,IF(BB285="Stage 4",-5,0))))</f>
        <v/>
      </c>
      <c r="BD285" s="30" t="inlineStr">
        <is>
          <t>Positive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Less than 12%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Yes</t>
        </is>
      </c>
      <c r="BS285" s="30">
        <f>IF(BR285="NO",5,0)</f>
        <v/>
      </c>
      <c r="BT285" s="30" t="inlineStr">
        <is>
          <t>Above 2</t>
        </is>
      </c>
      <c r="BU285" s="30">
        <f>IF(BT285="Above 2",0,IF(BT285="Between 1.5 to 2",5,IF(BT285="Less than 1.5",10,0)))</f>
        <v/>
      </c>
      <c r="BV285" s="30" t="inlineStr">
        <is>
          <t>Above 70%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Between 0.7 to 1.2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IF(B286=0,"",RANK(B286,$B$2:$B$427,0))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0" t="inlineStr">
        <is>
          <t>TATACOMM</t>
        </is>
      </c>
      <c r="D286" s="30" t="inlineStr">
        <is>
          <t>Tata Communications Limited</t>
        </is>
      </c>
      <c r="E286" s="30" t="inlineStr">
        <is>
          <t>telecom-service</t>
        </is>
      </c>
      <c r="F286" s="30" t="inlineStr">
        <is>
          <t>telecommunications - service provider</t>
        </is>
      </c>
      <c r="G286" s="30" t="inlineStr">
        <is>
          <t>largecap</t>
        </is>
      </c>
      <c r="H286" s="31" t="n">
        <v>55347</v>
      </c>
      <c r="I286" s="31" t="n">
        <v>1988.8</v>
      </c>
      <c r="J286" s="31" t="n">
        <v>2.41</v>
      </c>
      <c r="K286" s="31" t="n">
        <v>1088874</v>
      </c>
      <c r="L286" s="30" t="n">
        <v>56</v>
      </c>
      <c r="M286" s="30" t="inlineStr">
        <is>
          <t>Outperforming</t>
        </is>
      </c>
      <c r="N286" s="31">
        <f>IF(M286="Underperforming",-5,IF(L286&gt;=95,15,IF(L286&gt;=90,10,IF(L286&gt;=80,5,0))))</f>
        <v/>
      </c>
      <c r="O286" s="31" t="n">
        <v>70.31</v>
      </c>
      <c r="P286" s="31" t="n">
        <v>28.29</v>
      </c>
      <c r="Q286" s="31" t="n">
        <v>1582.16</v>
      </c>
      <c r="R286" s="30" t="inlineStr">
        <is>
          <t>Near 52W High Breakout</t>
        </is>
      </c>
      <c r="S286" s="30" t="inlineStr">
        <is>
          <t>Nifty 50</t>
        </is>
      </c>
      <c r="T286" s="31" t="n">
        <v>-4.38</v>
      </c>
      <c r="U286" s="31" t="n">
        <v>23.11</v>
      </c>
      <c r="V286" s="31" t="n">
        <v>28.75</v>
      </c>
      <c r="W286" s="31" t="n">
        <v>14.52</v>
      </c>
      <c r="X286" s="30" t="inlineStr">
        <is>
          <t>Growing Industry</t>
        </is>
      </c>
      <c r="Y286" s="30">
        <f>IF(X286="Growing Industry",10,IF(X286="Cyclical in an Upturn",5,0))</f>
        <v/>
      </c>
      <c r="Z286" s="30" t="inlineStr">
        <is>
          <t>Oligopoly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Yes</t>
        </is>
      </c>
      <c r="AC286" s="30">
        <f>IF(AB286="No",5,0)</f>
        <v/>
      </c>
      <c r="AD286" s="30" t="inlineStr">
        <is>
          <t>Tailwind</t>
        </is>
      </c>
      <c r="AE286" s="30">
        <f>IF(AD286="Tailwind",10,0)</f>
        <v/>
      </c>
      <c r="AF286" s="30" t="inlineStr">
        <is>
          <t>Structural (10 Years Consistency)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Stable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Yes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20 to 40</t>
        </is>
      </c>
      <c r="AY286" s="30">
        <f>IF(AX286="Above 40",20,IF(AX286="20 to 40",10,IF(AX286="0 to 20",-5,0)))</f>
        <v/>
      </c>
      <c r="AZ286" s="30" t="inlineStr">
        <is>
          <t>Between 50 to 75</t>
        </is>
      </c>
      <c r="BA286" s="30">
        <f>IF(AZ286="Between 50 to 75",10,IF(AZ286="Above 75",0,0))</f>
        <v/>
      </c>
      <c r="BB286" s="30" t="inlineStr">
        <is>
          <t>Stage 2</t>
        </is>
      </c>
      <c r="BC286" s="30">
        <f>IF(BB286="Stage 2",20,IF(BB286="Stage 1",0,IF(BB286="Stage 3",5,IF(BB286="Stage 4",-5,0))))</f>
        <v/>
      </c>
      <c r="BD286" s="30" t="inlineStr">
        <is>
          <t>Positive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Blue sky scenario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Less than 12%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Yes</t>
        </is>
      </c>
      <c r="BS286" s="30">
        <f>IF(BR286="NO",5,0)</f>
        <v/>
      </c>
      <c r="BT286" s="30" t="inlineStr">
        <is>
          <t>Above 2</t>
        </is>
      </c>
      <c r="BU286" s="30">
        <f>IF(BT286="Above 2",0,IF(BT286="Between 1.5 to 2",5,IF(BT286="Less than 1.5",10,0)))</f>
        <v/>
      </c>
      <c r="BV286" s="30" t="inlineStr">
        <is>
          <t>Above 70%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More than 1.2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IF(B287=0,"",RANK(B287,$B$2:$B$427,0))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0" t="inlineStr">
        <is>
          <t>WHEELS</t>
        </is>
      </c>
      <c r="D287" s="30" t="inlineStr">
        <is>
          <t>Wheels India Limited</t>
        </is>
      </c>
      <c r="E287" s="30" t="inlineStr">
        <is>
          <t>auto</t>
        </is>
      </c>
      <c r="F287" s="30" t="inlineStr">
        <is>
          <t>auto ancillaries</t>
        </is>
      </c>
      <c r="G287" s="30" t="inlineStr">
        <is>
          <t>smallcap</t>
        </is>
      </c>
      <c r="H287" s="31" t="n">
        <v>3731.41</v>
      </c>
      <c r="I287" s="31" t="n">
        <v>1553.4</v>
      </c>
      <c r="J287" s="31" t="n">
        <v>1.72</v>
      </c>
      <c r="K287" s="31" t="n">
        <v>89140</v>
      </c>
      <c r="L287" s="30" t="n">
        <v>83</v>
      </c>
      <c r="M287" s="30" t="inlineStr">
        <is>
          <t>Outperforming</t>
        </is>
      </c>
      <c r="N287" s="31">
        <f>IF(M287="Underperforming",-5,IF(L287&gt;=95,15,IF(L287&gt;=90,10,IF(L287&gt;=80,5,0))))</f>
        <v/>
      </c>
      <c r="O287" s="31" t="n">
        <v>68.06999999999999</v>
      </c>
      <c r="P287" s="31" t="n">
        <v>53.69</v>
      </c>
      <c r="Q287" s="31" t="n">
        <v>1256.35</v>
      </c>
      <c r="R287" s="30" t="inlineStr">
        <is>
          <t>Earnings / Momentum Support</t>
        </is>
      </c>
      <c r="S287" s="30" t="inlineStr">
        <is>
          <t>Nifty Auto</t>
        </is>
      </c>
      <c r="T287" s="31" t="n">
        <v>12.26</v>
      </c>
      <c r="U287" s="31" t="n">
        <v>107.6</v>
      </c>
      <c r="V287" s="31" t="n">
        <v>84.92</v>
      </c>
      <c r="W287" s="31" t="n">
        <v>27.31</v>
      </c>
      <c r="X287" s="30" t="inlineStr">
        <is>
          <t>Growing Industry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Tailwind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No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Above 40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2</t>
        </is>
      </c>
      <c r="BC287" s="30">
        <f>IF(BB287="Stage 2",20,IF(BB287="Stage 1",0,IF(BB287="Stage 3",5,IF(BB287="Stage 4",-5,0))))</f>
        <v/>
      </c>
      <c r="BD287" s="30" t="inlineStr">
        <is>
          <t>Negative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Close to 52 week high or retracement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Less than 12%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No</t>
        </is>
      </c>
      <c r="BS287" s="30">
        <f>IF(BR287="NO",5,0)</f>
        <v/>
      </c>
      <c r="BT287" s="30" t="inlineStr">
        <is>
          <t>Above 2</t>
        </is>
      </c>
      <c r="BU287" s="30">
        <f>IF(BT287="Above 2",0,IF(BT287="Between 1.5 to 2",5,IF(BT287="Less than 1.5",10,0)))</f>
        <v/>
      </c>
      <c r="BV287" s="30" t="inlineStr">
        <is>
          <t>Above 70%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Less than 0.7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IF(B288=0,"",RANK(B288,$B$2:$B$427,0))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0" t="inlineStr">
        <is>
          <t>GLOSTERLTD</t>
        </is>
      </c>
      <c r="D288" s="30" t="inlineStr">
        <is>
          <t>Gloster Ltd</t>
        </is>
      </c>
      <c r="E288" s="30" t="inlineStr">
        <is>
          <t>textiles</t>
        </is>
      </c>
      <c r="F288" s="30" t="inlineStr">
        <is>
          <t>textiles - jute - yarn / products</t>
        </is>
      </c>
      <c r="G288" s="30" t="inlineStr">
        <is>
          <t>smallcap</t>
        </is>
      </c>
      <c r="H288" s="31" t="n">
        <v>757.8200000000001</v>
      </c>
      <c r="I288" s="31" t="n">
        <v>699.2</v>
      </c>
      <c r="J288" s="31" t="n">
        <v>0.97</v>
      </c>
      <c r="K288" s="31" t="n">
        <v>10969</v>
      </c>
      <c r="L288" s="30" t="n">
        <v>36</v>
      </c>
      <c r="M288" s="30" t="inlineStr">
        <is>
          <t>Outperforming</t>
        </is>
      </c>
      <c r="N288" s="31">
        <f>IF(M288="Underperforming",-5,IF(L288&gt;=95,15,IF(L288&gt;=90,10,IF(L288&gt;=80,5,0))))</f>
        <v/>
      </c>
      <c r="O288" s="31" t="n">
        <v>64.84</v>
      </c>
      <c r="P288" s="31" t="n">
        <v>26.64</v>
      </c>
      <c r="Q288" s="31" t="n">
        <v>557.5599999999999</v>
      </c>
      <c r="R288" s="30" t="inlineStr">
        <is>
          <t>Earnings / Momentum Support</t>
        </is>
      </c>
      <c r="S288" s="30" t="inlineStr">
        <is>
          <t>Nifty IT</t>
        </is>
      </c>
      <c r="T288" s="31" t="n">
        <v>-29.66</v>
      </c>
      <c r="U288" s="31" t="n">
        <v>3</v>
      </c>
      <c r="V288" s="31" t="n">
        <v>46.43</v>
      </c>
      <c r="W288" s="31" t="n">
        <v>9.31</v>
      </c>
      <c r="X288" s="30" t="inlineStr">
        <is>
          <t>Growing Industry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No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Structural (10 Years Consistency)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Stable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No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20 to 40</t>
        </is>
      </c>
      <c r="AY288" s="30">
        <f>IF(AX288="Above 40",20,IF(AX288="20 to 40",10,IF(AX288="0 to 20",-5,0)))</f>
        <v/>
      </c>
      <c r="AZ288" s="30" t="inlineStr">
        <is>
          <t>Between 50 to 75</t>
        </is>
      </c>
      <c r="BA288" s="30">
        <f>IF(AZ288="Between 50 to 75",10,IF(AZ288="Above 75",0,0))</f>
        <v/>
      </c>
      <c r="BB288" s="30" t="inlineStr">
        <is>
          <t>Stage 2</t>
        </is>
      </c>
      <c r="BC288" s="30">
        <f>IF(BB288="Stage 2",20,IF(BB288="Stage 1",0,IF(BB288="Stage 3",5,IF(BB288="Stage 4",-5,0))))</f>
        <v/>
      </c>
      <c r="BD288" s="30" t="inlineStr">
        <is>
          <t>Positive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Close to 52 week high or retracement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More than 20%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Yes</t>
        </is>
      </c>
      <c r="BS288" s="30">
        <f>IF(BR288="NO",5,0)</f>
        <v/>
      </c>
      <c r="BT288" s="30" t="inlineStr">
        <is>
          <t>Less than 1.5</t>
        </is>
      </c>
      <c r="BU288" s="30">
        <f>IF(BT288="Above 2",0,IF(BT288="Between 1.5 to 2",5,IF(BT288="Less than 1.5",10,0)))</f>
        <v/>
      </c>
      <c r="BV288" s="30" t="inlineStr">
        <is>
          <t>Negative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Between 0.7 to 1.2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IF(B289=0,"",RANK(B289,$B$2:$B$427,0))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2" t="inlineStr">
        <is>
          <t>SUYOG</t>
        </is>
      </c>
      <c r="D289" s="32" t="inlineStr">
        <is>
          <t>Suyog Telematics Ltd</t>
        </is>
      </c>
      <c r="E289" s="30" t="inlineStr">
        <is>
          <t>telecom</t>
        </is>
      </c>
      <c r="F289" s="30" t="inlineStr">
        <is>
          <t>transmisson line towers / equipment</t>
        </is>
      </c>
      <c r="G289" s="30" t="inlineStr">
        <is>
          <t>smallcap</t>
        </is>
      </c>
      <c r="H289" s="31" t="n">
        <v>943.46</v>
      </c>
      <c r="I289" s="31" t="n">
        <v>813.05</v>
      </c>
      <c r="J289" s="31" t="n">
        <v>0.97</v>
      </c>
      <c r="K289" s="31" t="n">
        <v>77830</v>
      </c>
      <c r="L289" s="30" t="n">
        <v>7</v>
      </c>
      <c r="M289" s="30" t="inlineStr">
        <is>
          <t>Underperforming</t>
        </is>
      </c>
      <c r="N289" s="31">
        <f>IF(M289="Underperforming",-5,IF(L289&gt;=95,15,IF(L289&gt;=90,10,IF(L289&gt;=80,5,0))))</f>
        <v/>
      </c>
      <c r="O289" s="31" t="n">
        <v>56.37</v>
      </c>
      <c r="P289" s="31" t="n">
        <v>14.94</v>
      </c>
      <c r="Q289" s="31" t="n">
        <v>592.74</v>
      </c>
      <c r="R289" s="30" t="inlineStr">
        <is>
          <t>Volume Spike / Accumulation</t>
        </is>
      </c>
      <c r="S289" s="30" t="inlineStr">
        <is>
          <t>Nifty 50</t>
        </is>
      </c>
      <c r="T289" s="31" t="n">
        <v>-4.38</v>
      </c>
      <c r="U289" s="31" t="n">
        <v>-8.6</v>
      </c>
      <c r="V289" s="31" t="n">
        <v>-4.42</v>
      </c>
      <c r="W289" s="31" t="n">
        <v>3.16</v>
      </c>
      <c r="X289" s="30" t="inlineStr">
        <is>
          <t>Growing Industry</t>
        </is>
      </c>
      <c r="Y289" s="30">
        <f>IF(X289="Growing Industry",10,IF(X289="Cyclical in an Upturn",5,0))</f>
        <v/>
      </c>
      <c r="Z289" s="30" t="inlineStr">
        <is>
          <t>Oligopoly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Yes</t>
        </is>
      </c>
      <c r="AC289" s="30">
        <f>IF(AB289="No",5,0)</f>
        <v/>
      </c>
      <c r="AD289" s="30" t="inlineStr">
        <is>
          <t>Tailwind</t>
        </is>
      </c>
      <c r="AE289" s="30">
        <f>IF(AD289="Tailwind",10,0)</f>
        <v/>
      </c>
      <c r="AF289" s="30" t="inlineStr">
        <is>
          <t>Structural (10 Years Consistency)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Yes</t>
        </is>
      </c>
      <c r="AQ289" s="30">
        <f>IF(AP289="Yes",10,0)</f>
        <v/>
      </c>
      <c r="AR289" s="30" t="inlineStr">
        <is>
          <t>Higher One Time, Lower Annuity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0 to 20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2</t>
        </is>
      </c>
      <c r="BC289" s="30">
        <f>IF(BB289="Stage 2",20,IF(BB289="Stage 1",0,IF(BB289="Stage 3",5,IF(BB289="Stage 4",-5,0))))</f>
        <v/>
      </c>
      <c r="BD289" s="30" t="inlineStr">
        <is>
          <t>Positive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Close to 52 week high or retracement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More than 20%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No</t>
        </is>
      </c>
      <c r="BS289" s="30">
        <f>IF(BR289="NO",5,0)</f>
        <v/>
      </c>
      <c r="BT289" s="30" t="inlineStr">
        <is>
          <t>Less than 1.5</t>
        </is>
      </c>
      <c r="BU289" s="30">
        <f>IF(BT289="Above 2",0,IF(BT289="Between 1.5 to 2",5,IF(BT289="Less than 1.5",10,0)))</f>
        <v/>
      </c>
      <c r="BV289" s="30" t="inlineStr">
        <is>
          <t>Less than 50%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Between 0.7 to 1.2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IF(B290=0,"",RANK(B290,$B$2:$B$427,0))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0" t="inlineStr">
        <is>
          <t>KIRLOSENG</t>
        </is>
      </c>
      <c r="D290" s="30" t="inlineStr">
        <is>
          <t>Kirloskar Oil Engines Limited</t>
        </is>
      </c>
      <c r="E290" s="30" t="inlineStr">
        <is>
          <t>industrials</t>
        </is>
      </c>
      <c r="F290" s="30" t="inlineStr">
        <is>
          <t>engines</t>
        </is>
      </c>
      <c r="G290" s="30" t="inlineStr">
        <is>
          <t>largecap</t>
        </is>
      </c>
      <c r="H290" s="31" t="n">
        <v>28832</v>
      </c>
      <c r="I290" s="31" t="n">
        <v>1991.5</v>
      </c>
      <c r="J290" s="31" t="n">
        <v>0.4</v>
      </c>
      <c r="K290" s="31" t="n">
        <v>343321</v>
      </c>
      <c r="L290" s="30" t="n">
        <v>85</v>
      </c>
      <c r="M290" s="30" t="inlineStr">
        <is>
          <t>Outperforming</t>
        </is>
      </c>
      <c r="N290" s="31">
        <f>IF(M290="Underperforming",-5,IF(L290&gt;=95,15,IF(L290&gt;=90,10,IF(L290&gt;=80,5,0))))</f>
        <v/>
      </c>
      <c r="O290" s="31" t="n">
        <v>75.91</v>
      </c>
      <c r="P290" s="31" t="n">
        <v>38.91</v>
      </c>
      <c r="Q290" s="31" t="n">
        <v>1556.6</v>
      </c>
      <c r="R290" s="30" t="inlineStr">
        <is>
          <t>Near 52W High Breakout</t>
        </is>
      </c>
      <c r="S290" s="30" t="inlineStr">
        <is>
          <t>Nifty 50</t>
        </is>
      </c>
      <c r="T290" s="31" t="n">
        <v>-4.38</v>
      </c>
      <c r="U290" s="31" t="n">
        <v>136.76</v>
      </c>
      <c r="V290" s="31" t="n">
        <v>147.6</v>
      </c>
      <c r="W290" s="31" t="n">
        <v>28.73</v>
      </c>
      <c r="X290" s="30" t="inlineStr">
        <is>
          <t>Cyclical in an Upturn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No</t>
        </is>
      </c>
      <c r="AC290" s="30">
        <f>IF(AB290="No",5,0)</f>
        <v/>
      </c>
      <c r="AD290" s="30" t="inlineStr">
        <is>
          <t>Tailwind</t>
        </is>
      </c>
      <c r="AE290" s="30">
        <f>IF(AD290="Tailwind",10,0)</f>
        <v/>
      </c>
      <c r="AF290" s="30" t="inlineStr">
        <is>
          <t>Structural (10 Years Consistency)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Stable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Yes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20 to 40</t>
        </is>
      </c>
      <c r="AY290" s="30">
        <f>IF(AX290="Above 40",20,IF(AX290="20 to 40",10,IF(AX290="0 to 20",-5,0)))</f>
        <v/>
      </c>
      <c r="AZ290" s="30" t="inlineStr">
        <is>
          <t>Above 75</t>
        </is>
      </c>
      <c r="BA290" s="30">
        <f>IF(AZ290="Between 50 to 75",10,IF(AZ290="Above 75",0,0))</f>
        <v/>
      </c>
      <c r="BB290" s="30" t="inlineStr">
        <is>
          <t>Stage 2</t>
        </is>
      </c>
      <c r="BC290" s="30">
        <f>IF(BB290="Stage 2",20,IF(BB290="Stage 1",0,IF(BB290="Stage 3",5,IF(BB290="Stage 4",-5,0))))</f>
        <v/>
      </c>
      <c r="BD290" s="30" t="inlineStr">
        <is>
          <t>Positive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Blue sky scenario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More than 20%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Yes</t>
        </is>
      </c>
      <c r="BS290" s="30">
        <f>IF(BR290="NO",5,0)</f>
        <v/>
      </c>
      <c r="BT290" s="30" t="inlineStr">
        <is>
          <t>Above 2</t>
        </is>
      </c>
      <c r="BU290" s="30">
        <f>IF(BT290="Above 2",0,IF(BT290="Between 1.5 to 2",5,IF(BT290="Less than 1.5",10,0)))</f>
        <v/>
      </c>
      <c r="BV290" s="30" t="inlineStr">
        <is>
          <t>Between 50% to 70%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More than 1.2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IF(B291=0,"",RANK(B291,$B$2:$B$427,0))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0" t="inlineStr">
        <is>
          <t>EICHERMOT</t>
        </is>
      </c>
      <c r="D291" s="30" t="inlineStr">
        <is>
          <t>Eicher Motors Limited</t>
        </is>
      </c>
      <c r="E291" s="30" t="inlineStr">
        <is>
          <t>auto</t>
        </is>
      </c>
      <c r="F291" s="30" t="inlineStr">
        <is>
          <t>automobiles - motorcycles / mopeds</t>
        </is>
      </c>
      <c r="G291" s="30" t="inlineStr">
        <is>
          <t>largecap</t>
        </is>
      </c>
      <c r="H291" s="31" t="n">
        <v>208506.23</v>
      </c>
      <c r="I291" s="31" t="n">
        <v>7611</v>
      </c>
      <c r="J291" s="31" t="n">
        <v>0.13</v>
      </c>
      <c r="K291" s="31" t="n">
        <v>682982</v>
      </c>
      <c r="L291" s="30" t="n">
        <v>36</v>
      </c>
      <c r="M291" s="30" t="inlineStr">
        <is>
          <t>Outperforming</t>
        </is>
      </c>
      <c r="N291" s="31">
        <f>IF(M291="Underperforming",-5,IF(L291&gt;=95,15,IF(L291&gt;=90,10,IF(L291&gt;=80,5,0))))</f>
        <v/>
      </c>
      <c r="O291" s="31" t="n">
        <v>58.42</v>
      </c>
      <c r="P291" s="31" t="n">
        <v>8.84</v>
      </c>
      <c r="Q291" s="31" t="n">
        <v>6391.37</v>
      </c>
      <c r="R291" s="30" t="inlineStr">
        <is>
          <t>Earnings / Momentum Support</t>
        </is>
      </c>
      <c r="S291" s="30" t="inlineStr">
        <is>
          <t>Nifty Auto</t>
        </is>
      </c>
      <c r="T291" s="31" t="n">
        <v>12.26</v>
      </c>
      <c r="U291" s="31" t="n">
        <v>39.54</v>
      </c>
      <c r="V291" s="31" t="n">
        <v>24.3</v>
      </c>
      <c r="W291" s="31" t="n">
        <v>9.48</v>
      </c>
      <c r="X291" s="30" t="inlineStr">
        <is>
          <t>Growing Industry</t>
        </is>
      </c>
      <c r="Y291" s="30">
        <f>IF(X291="Growing Industry",10,IF(X291="Cyclical in an Upturn",5,0))</f>
        <v/>
      </c>
      <c r="Z291" s="30" t="inlineStr">
        <is>
          <t>Too Many Players with High ROCE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No</t>
        </is>
      </c>
      <c r="AC291" s="30">
        <f>IF(AB291="No",5,0)</f>
        <v/>
      </c>
      <c r="AD291" s="30" t="inlineStr">
        <is>
          <t>Tailwind</t>
        </is>
      </c>
      <c r="AE291" s="30">
        <f>IF(AD291="Tailwind",10,0)</f>
        <v/>
      </c>
      <c r="AF291" s="30" t="inlineStr">
        <is>
          <t>Structural (10 Years Consistency)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Stable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No</t>
        </is>
      </c>
      <c r="AQ291" s="30">
        <f>IF(AP291="Yes",10,0)</f>
        <v/>
      </c>
      <c r="AR291" s="30" t="inlineStr">
        <is>
          <t>Higher One Time, Lower Annuity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0 to 20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2</t>
        </is>
      </c>
      <c r="BC291" s="30">
        <f>IF(BB291="Stage 2",20,IF(BB291="Stage 1",0,IF(BB291="Stage 3",5,IF(BB291="Stage 4",-5,0))))</f>
        <v/>
      </c>
      <c r="BD291" s="30" t="inlineStr">
        <is>
          <t>Positive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Close to 52 week high or retracement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Less than 12%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No</t>
        </is>
      </c>
      <c r="BS291" s="30">
        <f>IF(BR291="NO",5,0)</f>
        <v/>
      </c>
      <c r="BT291" s="30" t="inlineStr">
        <is>
          <t>Above 2</t>
        </is>
      </c>
      <c r="BU291" s="30">
        <f>IF(BT291="Above 2",0,IF(BT291="Between 1.5 to 2",5,IF(BT291="Less than 1.5",10,0)))</f>
        <v/>
      </c>
      <c r="BV291" s="30" t="inlineStr">
        <is>
          <t>Above 70%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Less than 0.7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IF(B292=0,"",RANK(B292,$B$2:$B$427,0))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2" t="inlineStr">
        <is>
          <t>PYRAMID</t>
        </is>
      </c>
      <c r="D292" s="32" t="inlineStr">
        <is>
          <t>Pyramid Technoplast Ltd</t>
        </is>
      </c>
      <c r="E292" s="30" t="inlineStr">
        <is>
          <t>industrials</t>
        </is>
      </c>
      <c r="F292" s="30" t="inlineStr">
        <is>
          <t>packaging</t>
        </is>
      </c>
      <c r="G292" s="30" t="inlineStr">
        <is>
          <t>smallcap</t>
        </is>
      </c>
      <c r="H292" s="31" t="n">
        <v>644.84</v>
      </c>
      <c r="I292" s="31" t="n">
        <v>175.41</v>
      </c>
      <c r="J292" s="31" t="n">
        <v>0.06</v>
      </c>
      <c r="K292" s="31" t="n">
        <v>14286</v>
      </c>
      <c r="L292" s="30" t="n">
        <v>11</v>
      </c>
      <c r="M292" s="30" t="inlineStr">
        <is>
          <t>Underperforming</t>
        </is>
      </c>
      <c r="N292" s="31">
        <f>IF(M292="Underperforming",-5,IF(L292&gt;=95,15,IF(L292&gt;=90,10,IF(L292&gt;=80,5,0))))</f>
        <v/>
      </c>
      <c r="O292" s="31" t="n">
        <v>58.01</v>
      </c>
      <c r="P292" s="31" t="n">
        <v>15.07</v>
      </c>
      <c r="Q292" s="31" t="n">
        <v>133.72</v>
      </c>
      <c r="R292" s="30" t="inlineStr">
        <is>
          <t>Near 52W High Breakout</t>
        </is>
      </c>
      <c r="S292" s="30" t="inlineStr">
        <is>
          <t>Nifty Infra</t>
        </is>
      </c>
      <c r="T292" s="31" t="n">
        <v>4.18</v>
      </c>
      <c r="U292" s="31" t="n">
        <v>-1.69</v>
      </c>
      <c r="V292" s="31" t="n">
        <v>-5.63</v>
      </c>
      <c r="W292" s="31" t="n">
        <v>3.97</v>
      </c>
      <c r="X292" s="30" t="inlineStr">
        <is>
          <t>Cyclical in an Upturn</t>
        </is>
      </c>
      <c r="Y292" s="30">
        <f>IF(X292="Growing Industry",10,IF(X292="Cyclical in an Upturn",5,0))</f>
        <v/>
      </c>
      <c r="Z292" s="30" t="inlineStr">
        <is>
          <t>Too Many Players with High ROCE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No</t>
        </is>
      </c>
      <c r="AC292" s="30">
        <f>IF(AB292="No",5,0)</f>
        <v/>
      </c>
      <c r="AD292" s="30" t="inlineStr">
        <is>
          <t>Tailwind</t>
        </is>
      </c>
      <c r="AE292" s="30">
        <f>IF(AD292="Tailwind",10,0)</f>
        <v/>
      </c>
      <c r="AF292" s="30" t="inlineStr">
        <is>
          <t>Structural (10 Years Consistency)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Stable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Yes</t>
        </is>
      </c>
      <c r="AQ292" s="30">
        <f>IF(AP292="Yes",10,0)</f>
        <v/>
      </c>
      <c r="AR292" s="30" t="inlineStr">
        <is>
          <t>Higher One Time, Lower Annuity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0 to 20</t>
        </is>
      </c>
      <c r="AY292" s="30">
        <f>IF(AX292="Above 40",20,IF(AX292="20 to 40",10,IF(AX292="0 to 20",-5,0)))</f>
        <v/>
      </c>
      <c r="AZ292" s="30" t="inlineStr">
        <is>
          <t>Between 50 to 75</t>
        </is>
      </c>
      <c r="BA292" s="30">
        <f>IF(AZ292="Between 50 to 75",10,IF(AZ292="Above 75",0,0))</f>
        <v/>
      </c>
      <c r="BB292" s="30" t="inlineStr">
        <is>
          <t>Stage 2</t>
        </is>
      </c>
      <c r="BC292" s="30">
        <f>IF(BB292="Stage 2",20,IF(BB292="Stage 1",0,IF(BB292="Stage 3",5,IF(BB292="Stage 4",-5,0))))</f>
        <v/>
      </c>
      <c r="BD292" s="30" t="inlineStr">
        <is>
          <t>Positive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Close to 52 week high or retracement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More than 20%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No</t>
        </is>
      </c>
      <c r="BS292" s="30">
        <f>IF(BR292="NO",5,0)</f>
        <v/>
      </c>
      <c r="BT292" s="30" t="inlineStr">
        <is>
          <t>Less than 1.5</t>
        </is>
      </c>
      <c r="BU292" s="30">
        <f>IF(BT292="Above 2",0,IF(BT292="Between 1.5 to 2",5,IF(BT292="Less than 1.5",10,0)))</f>
        <v/>
      </c>
      <c r="BV292" s="30" t="inlineStr">
        <is>
          <t>Negative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Less than 0.7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IF(B293=0,"",RANK(B293,$B$2:$B$427,0))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0" t="inlineStr">
        <is>
          <t>COMSYN</t>
        </is>
      </c>
      <c r="D293" s="30" t="inlineStr">
        <is>
          <t>Commercial Syn Bags Ltd</t>
        </is>
      </c>
      <c r="E293" s="30" t="inlineStr">
        <is>
          <t>industrials</t>
        </is>
      </c>
      <c r="F293" s="30" t="inlineStr">
        <is>
          <t>packaging</t>
        </is>
      </c>
      <c r="G293" s="30" t="inlineStr">
        <is>
          <t>smallcap</t>
        </is>
      </c>
      <c r="H293" s="31" t="n">
        <v>658.9400000000001</v>
      </c>
      <c r="I293" s="31" t="n">
        <v>163.41</v>
      </c>
      <c r="J293" s="31" t="n">
        <v>0.04</v>
      </c>
      <c r="K293" s="31" t="n">
        <v>11642</v>
      </c>
      <c r="L293" s="30" t="n">
        <v>20</v>
      </c>
      <c r="M293" s="30" t="inlineStr">
        <is>
          <t>Outperforming</t>
        </is>
      </c>
      <c r="N293" s="31">
        <f>IF(M293="Underperforming",-5,IF(L293&gt;=95,15,IF(L293&gt;=90,10,IF(L293&gt;=80,5,0))))</f>
        <v/>
      </c>
      <c r="O293" s="31" t="n">
        <v>56.64</v>
      </c>
      <c r="P293" s="31" t="n">
        <v>30.83</v>
      </c>
      <c r="Q293" s="31" t="n">
        <v>137.78</v>
      </c>
      <c r="R293" s="30" t="inlineStr">
        <is>
          <t>Earnings / Momentum Support</t>
        </is>
      </c>
      <c r="S293" s="30" t="inlineStr">
        <is>
          <t>Nifty 50</t>
        </is>
      </c>
      <c r="T293" s="31" t="n">
        <v>-4.38</v>
      </c>
      <c r="U293" s="31" t="n">
        <v>22.43</v>
      </c>
      <c r="V293" s="31" t="n">
        <v>28.03</v>
      </c>
      <c r="W293" s="31" t="n">
        <v>5.71</v>
      </c>
      <c r="X293" s="30" t="inlineStr">
        <is>
          <t>Cyclical in an Upturn</t>
        </is>
      </c>
      <c r="Y293" s="30">
        <f>IF(X293="Growing Industry",10,IF(X293="Cyclical in an Upturn",5,0))</f>
        <v/>
      </c>
      <c r="Z293" s="30" t="inlineStr">
        <is>
          <t>Too Many Players with High ROCE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No</t>
        </is>
      </c>
      <c r="AC293" s="30">
        <f>IF(AB293="No",5,0)</f>
        <v/>
      </c>
      <c r="AD293" s="30" t="inlineStr">
        <is>
          <t>Tailwind</t>
        </is>
      </c>
      <c r="AE293" s="30">
        <f>IF(AD293="Tailwind",10,0)</f>
        <v/>
      </c>
      <c r="AF293" s="30" t="inlineStr">
        <is>
          <t>Structural (10 Years Consistency)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Stable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No</t>
        </is>
      </c>
      <c r="AQ293" s="30">
        <f>IF(AP293="Yes",10,0)</f>
        <v/>
      </c>
      <c r="AR293" s="30" t="inlineStr">
        <is>
          <t>Higher One Time, Lower Annuity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20 to 40</t>
        </is>
      </c>
      <c r="AY293" s="30">
        <f>IF(AX293="Above 40",20,IF(AX293="20 to 40",10,IF(AX293="0 to 20",-5,0)))</f>
        <v/>
      </c>
      <c r="AZ293" s="30" t="inlineStr">
        <is>
          <t>Between 50 to 75</t>
        </is>
      </c>
      <c r="BA293" s="30">
        <f>IF(AZ293="Between 50 to 75",10,IF(AZ293="Above 75",0,0))</f>
        <v/>
      </c>
      <c r="BB293" s="30" t="inlineStr">
        <is>
          <t>Stage 2</t>
        </is>
      </c>
      <c r="BC293" s="30">
        <f>IF(BB293="Stage 2",20,IF(BB293="Stage 1",0,IF(BB293="Stage 3",5,IF(BB293="Stage 4",-5,0))))</f>
        <v/>
      </c>
      <c r="BD293" s="30" t="inlineStr">
        <is>
          <t>Positive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Close to 52 week high or retracement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Less than 12%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No</t>
        </is>
      </c>
      <c r="BS293" s="30">
        <f>IF(BR293="NO",5,0)</f>
        <v/>
      </c>
      <c r="BT293" s="30" t="inlineStr">
        <is>
          <t>Above 2</t>
        </is>
      </c>
      <c r="BU293" s="30">
        <f>IF(BT293="Above 2",0,IF(BT293="Between 1.5 to 2",5,IF(BT293="Less than 1.5",10,0)))</f>
        <v/>
      </c>
      <c r="BV293" s="30" t="inlineStr">
        <is>
          <t>Above 70%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Between 0.7 to 1.2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IF(B294=0,"",RANK(B294,$B$2:$B$427,0))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2" t="inlineStr">
        <is>
          <t>RIIL</t>
        </is>
      </c>
      <c r="D294" s="32" t="inlineStr">
        <is>
          <t>Reliance Industrial Infrastructure Limited</t>
        </is>
      </c>
      <c r="E294" s="30" t="inlineStr">
        <is>
          <t>transportation</t>
        </is>
      </c>
      <c r="F294" s="30" t="inlineStr">
        <is>
          <t>miscellaneous</t>
        </is>
      </c>
      <c r="G294" s="30" t="inlineStr">
        <is>
          <t>smallcap</t>
        </is>
      </c>
      <c r="H294" s="31" t="n">
        <v>1301.62</v>
      </c>
      <c r="I294" s="31" t="n">
        <v>858.4</v>
      </c>
      <c r="J294" s="31" t="n">
        <v>-0.42</v>
      </c>
      <c r="K294" s="31" t="n">
        <v>176308</v>
      </c>
      <c r="L294" s="30" t="n">
        <v>6</v>
      </c>
      <c r="M294" s="30" t="inlineStr">
        <is>
          <t>Underperforming</t>
        </is>
      </c>
      <c r="N294" s="31">
        <f>IF(M294="Underperforming",-5,IF(L294&gt;=95,15,IF(L294&gt;=90,10,IF(L294&gt;=80,5,0))))</f>
        <v/>
      </c>
      <c r="O294" s="31" t="n">
        <v>61.6</v>
      </c>
      <c r="P294" s="31" t="n">
        <v>14.92</v>
      </c>
      <c r="Q294" s="31" t="n">
        <v>663.76</v>
      </c>
      <c r="R294" s="30" t="inlineStr">
        <is>
          <t>Volume Spike / Accumulation</t>
        </is>
      </c>
      <c r="S294" s="30" t="inlineStr">
        <is>
          <t>Nifty 50</t>
        </is>
      </c>
      <c r="T294" s="31" t="n">
        <v>-4.38</v>
      </c>
      <c r="U294" s="31" t="n">
        <v>-8.460000000000001</v>
      </c>
      <c r="V294" s="31" t="n">
        <v>-4.27</v>
      </c>
      <c r="W294" s="31" t="n">
        <v>3.04</v>
      </c>
      <c r="X294" s="30" t="inlineStr">
        <is>
          <t>Growing Industry</t>
        </is>
      </c>
      <c r="Y294" s="30">
        <f>IF(X294="Growing Industry",10,IF(X294="Cyclical in an Upturn",5,0))</f>
        <v/>
      </c>
      <c r="Z294" s="30" t="inlineStr">
        <is>
          <t>Too Many Players with High ROCE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No</t>
        </is>
      </c>
      <c r="AC294" s="30">
        <f>IF(AB294="No",5,0)</f>
        <v/>
      </c>
      <c r="AD294" s="30" t="inlineStr">
        <is>
          <t>Tailwind</t>
        </is>
      </c>
      <c r="AE294" s="30">
        <f>IF(AD294="Tailwind",10,0)</f>
        <v/>
      </c>
      <c r="AF294" s="30" t="inlineStr">
        <is>
          <t>Structural (10 Years Consistency)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Stable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Yes</t>
        </is>
      </c>
      <c r="AQ294" s="30">
        <f>IF(AP294="Yes",10,0)</f>
        <v/>
      </c>
      <c r="AR294" s="30" t="inlineStr">
        <is>
          <t>Higher One Time, Lower Annuity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0 to 20</t>
        </is>
      </c>
      <c r="AY294" s="30">
        <f>IF(AX294="Above 40",20,IF(AX294="20 to 40",10,IF(AX294="0 to 20",-5,0)))</f>
        <v/>
      </c>
      <c r="AZ294" s="30" t="inlineStr">
        <is>
          <t>Between 50 to 75</t>
        </is>
      </c>
      <c r="BA294" s="30">
        <f>IF(AZ294="Between 50 to 75",10,IF(AZ294="Above 75",0,0))</f>
        <v/>
      </c>
      <c r="BB294" s="30" t="inlineStr">
        <is>
          <t>Stage 2</t>
        </is>
      </c>
      <c r="BC294" s="30">
        <f>IF(BB294="Stage 2",20,IF(BB294="Stage 1",0,IF(BB294="Stage 3",5,IF(BB294="Stage 4",-5,0))))</f>
        <v/>
      </c>
      <c r="BD294" s="30" t="inlineStr">
        <is>
          <t>Positive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Close to 52 week high or retracement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Less than 12%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Yes</t>
        </is>
      </c>
      <c r="BS294" s="30">
        <f>IF(BR294="NO",5,0)</f>
        <v/>
      </c>
      <c r="BT294" s="30" t="inlineStr">
        <is>
          <t>Above 2</t>
        </is>
      </c>
      <c r="BU294" s="30">
        <f>IF(BT294="Above 2",0,IF(BT294="Between 1.5 to 2",5,IF(BT294="Less than 1.5",10,0)))</f>
        <v/>
      </c>
      <c r="BV294" s="30" t="inlineStr">
        <is>
          <t>Above 70%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Less than 0.7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IF(B295=0,"",RANK(B295,$B$2:$B$427,0))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2" t="inlineStr">
        <is>
          <t>VSSL</t>
        </is>
      </c>
      <c r="D295" s="32" t="inlineStr">
        <is>
          <t>Vardhman Special Steels Limited</t>
        </is>
      </c>
      <c r="E295" s="30" t="inlineStr">
        <is>
          <t>metals &amp; mining</t>
        </is>
      </c>
      <c r="F295" s="30" t="inlineStr">
        <is>
          <t>steel - medium / small</t>
        </is>
      </c>
      <c r="G295" s="30" t="inlineStr">
        <is>
          <t>smallcap</t>
        </is>
      </c>
      <c r="H295" s="31" t="n">
        <v>2738.14</v>
      </c>
      <c r="I295" s="31" t="n">
        <v>281.55</v>
      </c>
      <c r="J295" s="31" t="n">
        <v>-0.58</v>
      </c>
      <c r="K295" s="31" t="n">
        <v>17712</v>
      </c>
      <c r="L295" s="30" t="n">
        <v>28</v>
      </c>
      <c r="M295" s="30" t="inlineStr">
        <is>
          <t>Underperforming</t>
        </is>
      </c>
      <c r="N295" s="31">
        <f>IF(M295="Underperforming",-5,IF(L295&gt;=95,15,IF(L295&gt;=90,10,IF(L295&gt;=80,5,0))))</f>
        <v/>
      </c>
      <c r="O295" s="31" t="n">
        <v>58.22</v>
      </c>
      <c r="P295" s="31" t="n">
        <v>21.41</v>
      </c>
      <c r="Q295" s="31" t="n">
        <v>220.41</v>
      </c>
      <c r="R295" s="30" t="inlineStr">
        <is>
          <t>Earnings / Momentum Support</t>
        </is>
      </c>
      <c r="S295" s="30" t="inlineStr">
        <is>
          <t>Nifty Metal</t>
        </is>
      </c>
      <c r="T295" s="31" t="n">
        <v>42.48</v>
      </c>
      <c r="U295" s="31" t="n">
        <v>13.23</v>
      </c>
      <c r="V295" s="31" t="n">
        <v>-20.53</v>
      </c>
      <c r="W295" s="31" t="n">
        <v>7.75</v>
      </c>
      <c r="X295" s="30" t="inlineStr">
        <is>
          <t>Cyclical in an Upturn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No</t>
        </is>
      </c>
      <c r="AC295" s="30">
        <f>IF(AB295="No",5,0)</f>
        <v/>
      </c>
      <c r="AD295" s="30" t="inlineStr">
        <is>
          <t>Tailwind</t>
        </is>
      </c>
      <c r="AE295" s="30">
        <f>IF(AD295="Tailwind",10,0)</f>
        <v/>
      </c>
      <c r="AF295" s="30" t="inlineStr">
        <is>
          <t>Cyclical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Volatile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B2B</t>
        </is>
      </c>
      <c r="AO295" s="30">
        <f>IF(AN295="B2C",10,IF(AN295="B2B",5,0))</f>
        <v/>
      </c>
      <c r="AP295" s="30" t="inlineStr">
        <is>
          <t>No</t>
        </is>
      </c>
      <c r="AQ295" s="30">
        <f>IF(AP295="Yes",10,0)</f>
        <v/>
      </c>
      <c r="AR295" s="30" t="inlineStr">
        <is>
          <t>Higher One Time, Lower Annuity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20 to 40</t>
        </is>
      </c>
      <c r="AY295" s="30">
        <f>IF(AX295="Above 40",20,IF(AX295="20 to 40",10,IF(AX295="0 to 20",-5,0)))</f>
        <v/>
      </c>
      <c r="AZ295" s="30" t="inlineStr">
        <is>
          <t>Between 50 to 75</t>
        </is>
      </c>
      <c r="BA295" s="30">
        <f>IF(AZ295="Between 50 to 75",10,IF(AZ295="Above 75",0,0))</f>
        <v/>
      </c>
      <c r="BB295" s="30" t="inlineStr">
        <is>
          <t>Stage 2</t>
        </is>
      </c>
      <c r="BC295" s="30">
        <f>IF(BB295="Stage 2",20,IF(BB295="Stage 1",0,IF(BB295="Stage 3",5,IF(BB295="Stage 4",-5,0))))</f>
        <v/>
      </c>
      <c r="BD295" s="30" t="inlineStr">
        <is>
          <t>Positive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Close to 52 week high or retracement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More than 20%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No</t>
        </is>
      </c>
      <c r="BS295" s="30">
        <f>IF(BR295="NO",5,0)</f>
        <v/>
      </c>
      <c r="BT295" s="30" t="inlineStr">
        <is>
          <t>Less than 1.5</t>
        </is>
      </c>
      <c r="BU295" s="30">
        <f>IF(BT295="Above 2",0,IF(BT295="Between 1.5 to 2",5,IF(BT295="Less than 1.5",10,0)))</f>
        <v/>
      </c>
      <c r="BV295" s="30" t="inlineStr">
        <is>
          <t>Between 50% to 70%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Less than 0.7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IF(B296=0,"",RANK(B296,$B$2:$B$427,0))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2" t="inlineStr">
        <is>
          <t>SOMANYCERA</t>
        </is>
      </c>
      <c r="D296" s="32" t="inlineStr">
        <is>
          <t>Somany Ceramics Limited</t>
        </is>
      </c>
      <c r="E296" s="30" t="inlineStr">
        <is>
          <t>building materials</t>
        </is>
      </c>
      <c r="F296" s="30" t="inlineStr">
        <is>
          <t>ceramics - tiles / sanitaryware</t>
        </is>
      </c>
      <c r="G296" s="30" t="inlineStr">
        <is>
          <t>smallcap</t>
        </is>
      </c>
      <c r="H296" s="31" t="n">
        <v>2131.03</v>
      </c>
      <c r="I296" s="31" t="n">
        <v>516.4</v>
      </c>
      <c r="J296" s="31" t="n">
        <v>-0.62</v>
      </c>
      <c r="K296" s="31" t="n">
        <v>37511</v>
      </c>
      <c r="L296" s="30" t="n">
        <v>30</v>
      </c>
      <c r="M296" s="30" t="inlineStr">
        <is>
          <t>Underperforming</t>
        </is>
      </c>
      <c r="N296" s="31">
        <f>IF(M296="Underperforming",-5,IF(L296&gt;=95,15,IF(L296&gt;=90,10,IF(L296&gt;=80,5,0))))</f>
        <v/>
      </c>
      <c r="O296" s="31" t="n">
        <v>63.28</v>
      </c>
      <c r="P296" s="31" t="n">
        <v>27.12</v>
      </c>
      <c r="Q296" s="31" t="n">
        <v>405.48</v>
      </c>
      <c r="R296" s="30" t="inlineStr">
        <is>
          <t>Earnings / Momentum Support</t>
        </is>
      </c>
      <c r="S296" s="30" t="inlineStr">
        <is>
          <t>Nifty Infra</t>
        </is>
      </c>
      <c r="T296" s="31" t="n">
        <v>4.18</v>
      </c>
      <c r="U296" s="31" t="n">
        <v>-4.8</v>
      </c>
      <c r="V296" s="31" t="n">
        <v>-8.609999999999999</v>
      </c>
      <c r="W296" s="31" t="n">
        <v>8.140000000000001</v>
      </c>
      <c r="X296" s="30" t="inlineStr">
        <is>
          <t>Growing Industry</t>
        </is>
      </c>
      <c r="Y296" s="30">
        <f>IF(X296="Growing Industry",10,IF(X296="Cyclical in an Upturn",5,0))</f>
        <v/>
      </c>
      <c r="Z296" s="30" t="inlineStr">
        <is>
          <t>Too Many Players with High ROCE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No</t>
        </is>
      </c>
      <c r="AC296" s="30">
        <f>IF(AB296="No",5,0)</f>
        <v/>
      </c>
      <c r="AD296" s="30" t="inlineStr">
        <is>
          <t>Tailwind</t>
        </is>
      </c>
      <c r="AE296" s="30">
        <f>IF(AD296="Tailwind",10,0)</f>
        <v/>
      </c>
      <c r="AF296" s="30" t="inlineStr">
        <is>
          <t>Structural (10 Years Consistency)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Stable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B2B</t>
        </is>
      </c>
      <c r="AO296" s="30">
        <f>IF(AN296="B2C",10,IF(AN296="B2B",5,0))</f>
        <v/>
      </c>
      <c r="AP296" s="30" t="inlineStr">
        <is>
          <t>No</t>
        </is>
      </c>
      <c r="AQ296" s="30">
        <f>IF(AP296="Yes",10,0)</f>
        <v/>
      </c>
      <c r="AR296" s="30" t="inlineStr">
        <is>
          <t>Higher One Time, Lower Annuity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20 to 40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2</t>
        </is>
      </c>
      <c r="BC296" s="30">
        <f>IF(BB296="Stage 2",20,IF(BB296="Stage 1",0,IF(BB296="Stage 3",5,IF(BB296="Stage 4",-5,0))))</f>
        <v/>
      </c>
      <c r="BD296" s="30" t="inlineStr">
        <is>
          <t>Negative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More than 20%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No</t>
        </is>
      </c>
      <c r="BS296" s="30">
        <f>IF(BR296="NO",5,0)</f>
        <v/>
      </c>
      <c r="BT296" s="30" t="inlineStr">
        <is>
          <t>Less than 1.5</t>
        </is>
      </c>
      <c r="BU296" s="30">
        <f>IF(BT296="Above 2",0,IF(BT296="Between 1.5 to 2",5,IF(BT296="Less than 1.5",10,0)))</f>
        <v/>
      </c>
      <c r="BV296" s="30" t="inlineStr">
        <is>
          <t>Above 70%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Less than 0.7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IF(B297=0,"",RANK(B297,$B$2:$B$427,0))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2" t="inlineStr">
        <is>
          <t>SUPRAJIT</t>
        </is>
      </c>
      <c r="D297" s="32" t="inlineStr">
        <is>
          <t>Suprajit Engineering Limited</t>
        </is>
      </c>
      <c r="E297" s="30" t="inlineStr">
        <is>
          <t>auto</t>
        </is>
      </c>
      <c r="F297" s="30" t="inlineStr">
        <is>
          <t>auto ancillaries</t>
        </is>
      </c>
      <c r="G297" s="30" t="inlineStr">
        <is>
          <t>midcap</t>
        </is>
      </c>
      <c r="H297" s="31" t="n">
        <v>6444.3</v>
      </c>
      <c r="I297" s="31" t="n">
        <v>466.55</v>
      </c>
      <c r="J297" s="31" t="n">
        <v>-0.6899999999999999</v>
      </c>
      <c r="K297" s="31" t="n">
        <v>69636</v>
      </c>
      <c r="L297" s="30" t="n">
        <v>15</v>
      </c>
      <c r="M297" s="30" t="inlineStr">
        <is>
          <t>Underperforming</t>
        </is>
      </c>
      <c r="N297" s="31">
        <f>IF(M297="Underperforming",-5,IF(L297&gt;=95,15,IF(L297&gt;=90,10,IF(L297&gt;=80,5,0))))</f>
        <v/>
      </c>
      <c r="O297" s="31" t="n">
        <v>56.11</v>
      </c>
      <c r="P297" s="31" t="n">
        <v>21.72</v>
      </c>
      <c r="Q297" s="31" t="n">
        <v>375.4</v>
      </c>
      <c r="R297" s="30" t="inlineStr">
        <is>
          <t>Earnings / Momentum Support</t>
        </is>
      </c>
      <c r="S297" s="30" t="inlineStr">
        <is>
          <t>Nifty Auto</t>
        </is>
      </c>
      <c r="T297" s="31" t="n">
        <v>12.26</v>
      </c>
      <c r="U297" s="31" t="n">
        <v>5.79</v>
      </c>
      <c r="V297" s="31" t="n">
        <v>-5.77</v>
      </c>
      <c r="W297" s="31" t="n">
        <v>4.78</v>
      </c>
      <c r="X297" s="30" t="inlineStr">
        <is>
          <t>Growing Industry</t>
        </is>
      </c>
      <c r="Y297" s="30">
        <f>IF(X297="Growing Industry",10,IF(X297="Cyclical in an Upturn",5,0))</f>
        <v/>
      </c>
      <c r="Z297" s="30" t="inlineStr">
        <is>
          <t>Too Many Players with High ROCE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No</t>
        </is>
      </c>
      <c r="AC297" s="30">
        <f>IF(AB297="No",5,0)</f>
        <v/>
      </c>
      <c r="AD297" s="30" t="inlineStr">
        <is>
          <t>Headwind</t>
        </is>
      </c>
      <c r="AE297" s="30">
        <f>IF(AD297="Tailwind",10,0)</f>
        <v/>
      </c>
      <c r="AF297" s="30" t="inlineStr">
        <is>
          <t>Structural (10 Years Consistency)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Stable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No</t>
        </is>
      </c>
      <c r="AQ297" s="30">
        <f>IF(AP297="Yes",10,0)</f>
        <v/>
      </c>
      <c r="AR297" s="30" t="inlineStr">
        <is>
          <t>Higher One Time, Lower Annuity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Good</t>
        </is>
      </c>
      <c r="AU297" s="30">
        <f>IF(AT297="Good",10,0)</f>
        <v/>
      </c>
      <c r="AV297" s="30" t="inlineStr">
        <is>
          <t>Yes for more than 2 years</t>
        </is>
      </c>
      <c r="AW297" s="30">
        <f>IF(AV297="Yes for more than 2 years",10,IF(AV297="Yes only for next 1 to 2 years",5,0))</f>
        <v/>
      </c>
      <c r="AX297" s="30" t="inlineStr">
        <is>
          <t>20 to 40</t>
        </is>
      </c>
      <c r="AY297" s="30">
        <f>IF(AX297="Above 40",20,IF(AX297="20 to 40",10,IF(AX297="0 to 20",-5,0)))</f>
        <v/>
      </c>
      <c r="AZ297" s="30" t="inlineStr">
        <is>
          <t>Between 50 to 75</t>
        </is>
      </c>
      <c r="BA297" s="30">
        <f>IF(AZ297="Between 50 to 75",10,IF(AZ297="Above 75",0,0))</f>
        <v/>
      </c>
      <c r="BB297" s="30" t="inlineStr">
        <is>
          <t>Stage 2</t>
        </is>
      </c>
      <c r="BC297" s="30">
        <f>IF(BB297="Stage 2",20,IF(BB297="Stage 1",0,IF(BB297="Stage 3",5,IF(BB297="Stage 4",-5,0))))</f>
        <v/>
      </c>
      <c r="BD297" s="30" t="inlineStr">
        <is>
          <t>Positive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Close to 52 week high or retracement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More than 20%</t>
        </is>
      </c>
      <c r="BO297" s="30">
        <f>IF(BN297="More than 20%",10,IF(BN297="Between 12 to 20%",5,IF(BN297="Less than 12%",0,0)))</f>
        <v/>
      </c>
      <c r="BP297" s="30" t="inlineStr">
        <is>
          <t>No</t>
        </is>
      </c>
      <c r="BQ297" s="30">
        <f>IF(BP297="No",10,0)</f>
        <v/>
      </c>
      <c r="BR297" s="30" t="inlineStr">
        <is>
          <t>No</t>
        </is>
      </c>
      <c r="BS297" s="30">
        <f>IF(BR297="NO",5,0)</f>
        <v/>
      </c>
      <c r="BT297" s="30" t="inlineStr">
        <is>
          <t>Above 2</t>
        </is>
      </c>
      <c r="BU297" s="30">
        <f>IF(BT297="Above 2",0,IF(BT297="Between 1.5 to 2",5,IF(BT297="Less than 1.5",10,0)))</f>
        <v/>
      </c>
      <c r="BV297" s="30" t="inlineStr">
        <is>
          <t>Less than 50%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Less than 0.7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IF(B298=0,"",RANK(B298,$B$2:$B$427,0))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0" t="inlineStr">
        <is>
          <t>ENGINERSIN</t>
        </is>
      </c>
      <c r="D298" s="30" t="inlineStr">
        <is>
          <t>Engineers India Limited</t>
        </is>
      </c>
      <c r="E298" s="30" t="inlineStr">
        <is>
          <t>realty</t>
        </is>
      </c>
      <c r="F298" s="30" t="inlineStr">
        <is>
          <t>engineering - turnkey services</t>
        </is>
      </c>
      <c r="G298" s="30" t="inlineStr">
        <is>
          <t>midcap</t>
        </is>
      </c>
      <c r="H298" s="31" t="n">
        <v>14228.1</v>
      </c>
      <c r="I298" s="31" t="n">
        <v>250.74</v>
      </c>
      <c r="J298" s="31" t="n">
        <v>-0.95</v>
      </c>
      <c r="K298" s="31" t="n">
        <v>6016884</v>
      </c>
      <c r="L298" s="30" t="n">
        <v>40</v>
      </c>
      <c r="M298" s="30" t="inlineStr">
        <is>
          <t>Outperforming</t>
        </is>
      </c>
      <c r="N298" s="31">
        <f>IF(M298="Underperforming",-5,IF(L298&gt;=95,15,IF(L298&gt;=90,10,IF(L298&gt;=80,5,0))))</f>
        <v/>
      </c>
      <c r="O298" s="31" t="n">
        <v>61.26</v>
      </c>
      <c r="P298" s="31" t="n">
        <v>18.94</v>
      </c>
      <c r="Q298" s="31" t="n">
        <v>192.26</v>
      </c>
      <c r="R298" s="30" t="inlineStr">
        <is>
          <t>Near 52W High Breakout</t>
        </is>
      </c>
      <c r="S298" s="30" t="inlineStr">
        <is>
          <t>Nifty Realty</t>
        </is>
      </c>
      <c r="T298" s="31" t="n">
        <v>-19.9</v>
      </c>
      <c r="U298" s="31" t="n">
        <v>15.94</v>
      </c>
      <c r="V298" s="31" t="n">
        <v>44.75</v>
      </c>
      <c r="W298" s="31" t="n">
        <v>9.970000000000001</v>
      </c>
      <c r="X298" s="30" t="inlineStr">
        <is>
          <t>Growing Industry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No</t>
        </is>
      </c>
      <c r="AC298" s="30">
        <f>IF(AB298="No",5,0)</f>
        <v/>
      </c>
      <c r="AD298" s="30" t="inlineStr">
        <is>
          <t>Tailwind</t>
        </is>
      </c>
      <c r="AE298" s="30">
        <f>IF(AD298="Tailwind",10,0)</f>
        <v/>
      </c>
      <c r="AF298" s="30" t="inlineStr">
        <is>
          <t>Structural (10 Years Consistency)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Stable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Yes</t>
        </is>
      </c>
      <c r="AQ298" s="30">
        <f>IF(AP298="Yes",10,0)</f>
        <v/>
      </c>
      <c r="AR298" s="30" t="inlineStr">
        <is>
          <t>Higher One Time, Lower Annuity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0 to 20</t>
        </is>
      </c>
      <c r="AY298" s="30">
        <f>IF(AX298="Above 40",20,IF(AX298="20 to 40",10,IF(AX298="0 to 20",-5,0)))</f>
        <v/>
      </c>
      <c r="AZ298" s="30" t="inlineStr">
        <is>
          <t>Between 50 to 75</t>
        </is>
      </c>
      <c r="BA298" s="30">
        <f>IF(AZ298="Between 50 to 75",10,IF(AZ298="Above 75",0,0))</f>
        <v/>
      </c>
      <c r="BB298" s="30" t="inlineStr">
        <is>
          <t>Stage 2</t>
        </is>
      </c>
      <c r="BC298" s="30">
        <f>IF(BB298="Stage 2",20,IF(BB298="Stage 1",0,IF(BB298="Stage 3",5,IF(BB298="Stage 4",-5,0))))</f>
        <v/>
      </c>
      <c r="BD298" s="30" t="inlineStr">
        <is>
          <t>Positive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Close to 52 week high or retracement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Less than 12%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No</t>
        </is>
      </c>
      <c r="BS298" s="30">
        <f>IF(BR298="NO",5,0)</f>
        <v/>
      </c>
      <c r="BT298" s="30" t="inlineStr">
        <is>
          <t>Above 2</t>
        </is>
      </c>
      <c r="BU298" s="30">
        <f>IF(BT298="Above 2",0,IF(BT298="Between 1.5 to 2",5,IF(BT298="Less than 1.5",10,0)))</f>
        <v/>
      </c>
      <c r="BV298" s="30" t="inlineStr">
        <is>
          <t>Less than 50%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Less than 0.7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IF(B299=0,"",RANK(B299,$B$2:$B$427,0))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0" t="inlineStr">
        <is>
          <t>INDSWFTLAB</t>
        </is>
      </c>
      <c r="D299" s="30" t="inlineStr">
        <is>
          <t>Ind-swift Laboratories Limited</t>
        </is>
      </c>
      <c r="E299" s="30" t="inlineStr">
        <is>
          <t>healthcare</t>
        </is>
      </c>
      <c r="F299" s="30" t="inlineStr">
        <is>
          <t>pharmaceuticals - indian - bulk drugs &amp; formln</t>
        </is>
      </c>
      <c r="G299" s="30" t="inlineStr">
        <is>
          <t>smallcap</t>
        </is>
      </c>
      <c r="H299" s="31" t="n">
        <v>1464.76</v>
      </c>
      <c r="I299" s="31" t="n">
        <v>187.38</v>
      </c>
      <c r="J299" s="31" t="n">
        <v>11.09</v>
      </c>
      <c r="K299" s="31" t="n">
        <v>4532691</v>
      </c>
      <c r="L299" s="30" t="n">
        <v>72</v>
      </c>
      <c r="M299" s="30" t="inlineStr">
        <is>
          <t>Outperforming</t>
        </is>
      </c>
      <c r="N299" s="31">
        <f>IF(M299="Underperforming",-5,IF(L299&gt;=95,15,IF(L299&gt;=90,10,IF(L299&gt;=80,5,0))))</f>
        <v/>
      </c>
      <c r="O299" s="31" t="n">
        <v>80.20999999999999</v>
      </c>
      <c r="P299" s="31" t="n">
        <v>35.81</v>
      </c>
      <c r="Q299" s="31" t="n">
        <v>137.77</v>
      </c>
      <c r="R299" s="30" t="inlineStr">
        <is>
          <t>Near 52W High Breakout</t>
        </is>
      </c>
      <c r="S299" s="30" t="inlineStr">
        <is>
          <t>Nifty Pharma</t>
        </is>
      </c>
      <c r="T299" s="31" t="n">
        <v>13.17</v>
      </c>
      <c r="U299" s="31" t="n">
        <v>75.94</v>
      </c>
      <c r="V299" s="31" t="n">
        <v>55.46</v>
      </c>
      <c r="W299" s="31" t="n">
        <v>20.76</v>
      </c>
      <c r="X299" s="30" t="inlineStr">
        <is>
          <t>Growing Industry</t>
        </is>
      </c>
      <c r="Y299" s="30">
        <f>IF(X299="Growing Industry",10,IF(X299="Cyclical in an Upturn",5,0))</f>
        <v/>
      </c>
      <c r="Z299" s="30" t="inlineStr">
        <is>
          <t>Too Many Players with High ROCE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Yes</t>
        </is>
      </c>
      <c r="AC299" s="30">
        <f>IF(AB299="No",5,0)</f>
        <v/>
      </c>
      <c r="AD299" s="30" t="inlineStr">
        <is>
          <t>Tailwind</t>
        </is>
      </c>
      <c r="AE299" s="30">
        <f>IF(AD299="Tailwind",10,0)</f>
        <v/>
      </c>
      <c r="AF299" s="30" t="inlineStr">
        <is>
          <t>Structural (10 Years Consistency)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Stable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B2B</t>
        </is>
      </c>
      <c r="AO299" s="30">
        <f>IF(AN299="B2C",10,IF(AN299="B2B",5,0))</f>
        <v/>
      </c>
      <c r="AP299" s="30" t="inlineStr">
        <is>
          <t>Yes</t>
        </is>
      </c>
      <c r="AQ299" s="30">
        <f>IF(AP299="Yes",10,0)</f>
        <v/>
      </c>
      <c r="AR299" s="30" t="inlineStr">
        <is>
          <t>Higher Annuity, Lower One Time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20 to 40</t>
        </is>
      </c>
      <c r="AY299" s="30">
        <f>IF(AX299="Above 40",20,IF(AX299="20 to 40",10,IF(AX299="0 to 20",-5,0)))</f>
        <v/>
      </c>
      <c r="AZ299" s="30" t="inlineStr">
        <is>
          <t>Above 75</t>
        </is>
      </c>
      <c r="BA299" s="30">
        <f>IF(AZ299="Between 50 to 75",10,IF(AZ299="Above 75",0,0))</f>
        <v/>
      </c>
      <c r="BB299" s="30" t="inlineStr">
        <is>
          <t>Stage 2</t>
        </is>
      </c>
      <c r="BC299" s="30">
        <f>IF(BB299="Stage 2",20,IF(BB299="Stage 1",0,IF(BB299="Stage 3",5,IF(BB299="Stage 4",-5,0))))</f>
        <v/>
      </c>
      <c r="BD299" s="30" t="inlineStr">
        <is>
          <t>Positive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Blue sky scenario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Less than 12%</t>
        </is>
      </c>
      <c r="BO299" s="30">
        <f>IF(BN299="More than 20%",10,IF(BN299="Between 12 to 20%",5,IF(BN299="Less than 12%",0,0)))</f>
        <v/>
      </c>
      <c r="BP299" s="30" t="inlineStr">
        <is>
          <t>No</t>
        </is>
      </c>
      <c r="BQ299" s="30">
        <f>IF(BP299="No",10,0)</f>
        <v/>
      </c>
      <c r="BR299" s="30" t="inlineStr">
        <is>
          <t>No</t>
        </is>
      </c>
      <c r="BS299" s="30">
        <f>IF(BR299="NO",5,0)</f>
        <v/>
      </c>
      <c r="BT299" s="30" t="inlineStr">
        <is>
          <t>Above 2</t>
        </is>
      </c>
      <c r="BU299" s="30">
        <f>IF(BT299="Above 2",0,IF(BT299="Between 1.5 to 2",5,IF(BT299="Less than 1.5",10,0)))</f>
        <v/>
      </c>
      <c r="BV299" s="30" t="inlineStr">
        <is>
          <t>Negative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Less than 0.7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IF(B300=0,"",RANK(B300,$B$2:$B$427,0))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0" t="inlineStr">
        <is>
          <t>KIMS</t>
        </is>
      </c>
      <c r="D300" s="30" t="inlineStr">
        <is>
          <t>Krishna Institute of Medical Sciences Ltd</t>
        </is>
      </c>
      <c r="E300" s="30" t="inlineStr">
        <is>
          <t>healthcare</t>
        </is>
      </c>
      <c r="F300" s="30" t="inlineStr">
        <is>
          <t>healthcare</t>
        </is>
      </c>
      <c r="G300" s="30" t="inlineStr">
        <is>
          <t>largecap</t>
        </is>
      </c>
      <c r="H300" s="31" t="n">
        <v>31600.97</v>
      </c>
      <c r="I300" s="31" t="n">
        <v>804.25</v>
      </c>
      <c r="J300" s="31" t="n">
        <v>1.84</v>
      </c>
      <c r="K300" s="31" t="n">
        <v>761160</v>
      </c>
      <c r="L300" s="30" t="n">
        <v>42</v>
      </c>
      <c r="M300" s="30" t="inlineStr">
        <is>
          <t>Outperforming</t>
        </is>
      </c>
      <c r="N300" s="31">
        <f>IF(M300="Underperforming",-5,IF(L300&gt;=95,15,IF(L300&gt;=90,10,IF(L300&gt;=80,5,0))))</f>
        <v/>
      </c>
      <c r="O300" s="31" t="n">
        <v>66.2</v>
      </c>
      <c r="P300" s="31" t="n">
        <v>23.47</v>
      </c>
      <c r="Q300" s="31" t="n">
        <v>645.28</v>
      </c>
      <c r="R300" s="30" t="inlineStr">
        <is>
          <t>Near 52W High Breakout</t>
        </is>
      </c>
      <c r="S300" s="30" t="inlineStr">
        <is>
          <t>Nifty Pharma</t>
        </is>
      </c>
      <c r="T300" s="31" t="n">
        <v>13.17</v>
      </c>
      <c r="U300" s="31" t="n">
        <v>27.14</v>
      </c>
      <c r="V300" s="31" t="n">
        <v>12.34</v>
      </c>
      <c r="W300" s="31" t="n">
        <v>10.76</v>
      </c>
      <c r="X300" s="30" t="inlineStr">
        <is>
          <t>Growing Industry</t>
        </is>
      </c>
      <c r="Y300" s="30">
        <f>IF(X300="Growing Industry",10,IF(X300="Cyclical in an Upturn",5,0))</f>
        <v/>
      </c>
      <c r="Z300" s="30" t="inlineStr">
        <is>
          <t>Too Many Players with High ROCE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Yes</t>
        </is>
      </c>
      <c r="AC300" s="30">
        <f>IF(AB300="No",5,0)</f>
        <v/>
      </c>
      <c r="AD300" s="30" t="inlineStr">
        <is>
          <t>Tailwind</t>
        </is>
      </c>
      <c r="AE300" s="30">
        <f>IF(AD300="Tailwind",10,0)</f>
        <v/>
      </c>
      <c r="AF300" s="30" t="inlineStr">
        <is>
          <t>Structural (10 Years Consistency)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Stable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Yes</t>
        </is>
      </c>
      <c r="AQ300" s="30">
        <f>IF(AP300="Yes",10,0)</f>
        <v/>
      </c>
      <c r="AR300" s="30" t="inlineStr">
        <is>
          <t>Higher Annuity, Lower One Time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20 to 40</t>
        </is>
      </c>
      <c r="AY300" s="30">
        <f>IF(AX300="Above 40",20,IF(AX300="20 to 40",10,IF(AX300="0 to 20",-5,0)))</f>
        <v/>
      </c>
      <c r="AZ300" s="30" t="inlineStr">
        <is>
          <t>Between 50 to 75</t>
        </is>
      </c>
      <c r="BA300" s="30">
        <f>IF(AZ300="Between 50 to 75",10,IF(AZ300="Above 75",0,0))</f>
        <v/>
      </c>
      <c r="BB300" s="30" t="inlineStr">
        <is>
          <t>Stage 2</t>
        </is>
      </c>
      <c r="BC300" s="30">
        <f>IF(BB300="Stage 2",20,IF(BB300="Stage 1",0,IF(BB300="Stage 3",5,IF(BB300="Stage 4",-5,0))))</f>
        <v/>
      </c>
      <c r="BD300" s="30" t="inlineStr">
        <is>
          <t>Positive Trend</t>
        </is>
      </c>
      <c r="BE300" s="30">
        <f>IF(BD300="Positive Trend",20,IF(BD300="Negative Trend",-10,0))</f>
        <v/>
      </c>
      <c r="BF300" s="30" t="inlineStr">
        <is>
          <t>Uptrend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Blue sky scenario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Yes</t>
        </is>
      </c>
      <c r="BM300" s="30">
        <f>IF(BL300="Yes",10,0)</f>
        <v/>
      </c>
      <c r="BN300" s="30" t="inlineStr">
        <is>
          <t>Less than 12%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Yes</t>
        </is>
      </c>
      <c r="BS300" s="30">
        <f>IF(BR300="NO",5,0)</f>
        <v/>
      </c>
      <c r="BT300" s="30" t="inlineStr">
        <is>
          <t>Above 2</t>
        </is>
      </c>
      <c r="BU300" s="30">
        <f>IF(BT300="Above 2",0,IF(BT300="Between 1.5 to 2",5,IF(BT300="Less than 1.5",10,0)))</f>
        <v/>
      </c>
      <c r="BV300" s="30" t="inlineStr">
        <is>
          <t>Between 50% to 70%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More than 1.2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IF(B301=0,"",RANK(B301,$B$2:$B$427,0))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0" t="inlineStr">
        <is>
          <t>RAMCOSYS</t>
        </is>
      </c>
      <c r="D301" s="30" t="inlineStr">
        <is>
          <t>Ramco Systems Limited</t>
        </is>
      </c>
      <c r="E301" s="30" t="inlineStr">
        <is>
          <t>i.t</t>
        </is>
      </c>
      <c r="F301" s="30" t="inlineStr">
        <is>
          <t>computers - software - medium / small</t>
        </is>
      </c>
      <c r="G301" s="30" t="inlineStr">
        <is>
          <t>smallcap</t>
        </is>
      </c>
      <c r="H301" s="31" t="n">
        <v>2097.87</v>
      </c>
      <c r="I301" s="31" t="n">
        <v>557.2</v>
      </c>
      <c r="J301" s="31" t="n">
        <v>-0.63</v>
      </c>
      <c r="K301" s="31" t="n">
        <v>245907</v>
      </c>
      <c r="L301" s="30" t="n">
        <v>69</v>
      </c>
      <c r="M301" s="30" t="inlineStr">
        <is>
          <t>Outperforming</t>
        </is>
      </c>
      <c r="N301" s="31">
        <f>IF(M301="Underperforming",-5,IF(L301&gt;=95,15,IF(L301&gt;=90,10,IF(L301&gt;=80,5,0))))</f>
        <v/>
      </c>
      <c r="O301" s="31" t="n">
        <v>60.5</v>
      </c>
      <c r="P301" s="31" t="n">
        <v>16.7</v>
      </c>
      <c r="Q301" s="31" t="n">
        <v>379.44</v>
      </c>
      <c r="R301" s="30" t="inlineStr">
        <is>
          <t>Earnings / Momentum Support</t>
        </is>
      </c>
      <c r="S301" s="30" t="inlineStr">
        <is>
          <t>Nifty IT</t>
        </is>
      </c>
      <c r="T301" s="31" t="n">
        <v>-29.66</v>
      </c>
      <c r="U301" s="31" t="n">
        <v>44.97</v>
      </c>
      <c r="V301" s="31" t="n">
        <v>106.1</v>
      </c>
      <c r="W301" s="31" t="n">
        <v>19.66</v>
      </c>
      <c r="X301" s="30" t="inlineStr">
        <is>
          <t>Growing Industry</t>
        </is>
      </c>
      <c r="Y301" s="30">
        <f>IF(X301="Growing Industry",10,IF(X301="Cyclical in an Upturn",5,0))</f>
        <v/>
      </c>
      <c r="Z301" s="30" t="inlineStr">
        <is>
          <t>Too Many Players with High ROCE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No</t>
        </is>
      </c>
      <c r="AC301" s="30">
        <f>IF(AB301="No",5,0)</f>
        <v/>
      </c>
      <c r="AD301" s="30" t="inlineStr">
        <is>
          <t>Headwind</t>
        </is>
      </c>
      <c r="AE301" s="30">
        <f>IF(AD301="Tailwind",10,0)</f>
        <v/>
      </c>
      <c r="AF301" s="30" t="inlineStr">
        <is>
          <t>Structural (10 Years Consistency)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Stable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B2B</t>
        </is>
      </c>
      <c r="AO301" s="30">
        <f>IF(AN301="B2C",10,IF(AN301="B2B",5,0))</f>
        <v/>
      </c>
      <c r="AP301" s="30" t="inlineStr">
        <is>
          <t>No</t>
        </is>
      </c>
      <c r="AQ301" s="30">
        <f>IF(AP301="Yes",10,0)</f>
        <v/>
      </c>
      <c r="AR301" s="30" t="inlineStr">
        <is>
          <t>Higher Annuity, Lower One Time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0 to 20</t>
        </is>
      </c>
      <c r="AY301" s="30">
        <f>IF(AX301="Above 40",20,IF(AX301="20 to 40",10,IF(AX301="0 to 20",-5,0)))</f>
        <v/>
      </c>
      <c r="AZ301" s="30" t="inlineStr">
        <is>
          <t>Between 50 to 75</t>
        </is>
      </c>
      <c r="BA301" s="30">
        <f>IF(AZ301="Between 50 to 75",10,IF(AZ301="Above 75",0,0))</f>
        <v/>
      </c>
      <c r="BB301" s="30" t="inlineStr">
        <is>
          <t>Stage 2</t>
        </is>
      </c>
      <c r="BC301" s="30">
        <f>IF(BB301="Stage 2",20,IF(BB301="Stage 1",0,IF(BB301="Stage 3",5,IF(BB301="Stage 4",-5,0))))</f>
        <v/>
      </c>
      <c r="BD301" s="30" t="inlineStr">
        <is>
          <t>Positive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Close to 52 week high or retracement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More than 20%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Yes</t>
        </is>
      </c>
      <c r="BS301" s="30">
        <f>IF(BR301="NO",5,0)</f>
        <v/>
      </c>
      <c r="BT301" s="30" t="inlineStr">
        <is>
          <t>Above 2</t>
        </is>
      </c>
      <c r="BU301" s="30">
        <f>IF(BT301="Above 2",0,IF(BT301="Between 1.5 to 2",5,IF(BT301="Less than 1.5",10,0)))</f>
        <v/>
      </c>
      <c r="BV301" s="30" t="inlineStr">
        <is>
          <t>Above 70%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Less than 0.7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IF(B302=0,"",RANK(B302,$B$2:$B$427,0))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0" t="inlineStr">
        <is>
          <t>PANAMAPET</t>
        </is>
      </c>
      <c r="D302" s="30" t="inlineStr">
        <is>
          <t>Panama Petrochem Limited</t>
        </is>
      </c>
      <c r="E302" s="30" t="inlineStr">
        <is>
          <t>energy</t>
        </is>
      </c>
      <c r="F302" s="30" t="inlineStr">
        <is>
          <t>petrochemicals</t>
        </is>
      </c>
      <c r="G302" s="30" t="inlineStr">
        <is>
          <t>smallcap</t>
        </is>
      </c>
      <c r="H302" s="31" t="n">
        <v>2469.65</v>
      </c>
      <c r="I302" s="31" t="n">
        <v>483.25</v>
      </c>
      <c r="J302" s="31" t="n">
        <v>18.37</v>
      </c>
      <c r="K302" s="31" t="n">
        <v>10473948</v>
      </c>
      <c r="L302" s="30" t="n">
        <v>84</v>
      </c>
      <c r="M302" s="30" t="inlineStr">
        <is>
          <t>Outperforming</t>
        </is>
      </c>
      <c r="N302" s="31">
        <f>IF(M302="Underperforming",-5,IF(L302&gt;=95,15,IF(L302&gt;=90,10,IF(L302&gt;=80,5,0))))</f>
        <v/>
      </c>
      <c r="O302" s="31" t="n">
        <v>81.31</v>
      </c>
      <c r="P302" s="31" t="n">
        <v>24.06</v>
      </c>
      <c r="Q302" s="31" t="n">
        <v>366.77</v>
      </c>
      <c r="R302" s="30" t="inlineStr">
        <is>
          <t>Volume Spike &amp; Near 52W High Breakout</t>
        </is>
      </c>
      <c r="S302" s="30" t="inlineStr">
        <is>
          <t>Nifty Energy</t>
        </is>
      </c>
      <c r="T302" s="31" t="n">
        <v>13.9</v>
      </c>
      <c r="U302" s="31" t="n">
        <v>34.67</v>
      </c>
      <c r="V302" s="31" t="n">
        <v>18.24</v>
      </c>
      <c r="W302" s="31" t="n">
        <v>27.79</v>
      </c>
      <c r="X302" s="30" t="inlineStr">
        <is>
          <t>Cyclical in an Upturn</t>
        </is>
      </c>
      <c r="Y302" s="30">
        <f>IF(X302="Growing Industry",10,IF(X302="Cyclical in an Upturn",5,0))</f>
        <v/>
      </c>
      <c r="Z302" s="30" t="inlineStr">
        <is>
          <t>Oligopoly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Yes</t>
        </is>
      </c>
      <c r="AC302" s="30">
        <f>IF(AB302="No",5,0)</f>
        <v/>
      </c>
      <c r="AD302" s="30" t="inlineStr">
        <is>
          <t>Tailwind</t>
        </is>
      </c>
      <c r="AE302" s="30">
        <f>IF(AD302="Tailwind",10,0)</f>
        <v/>
      </c>
      <c r="AF302" s="30" t="inlineStr">
        <is>
          <t>Cyclical</t>
        </is>
      </c>
      <c r="AG302" s="30">
        <f>IF(AF302="Structural (10 Years Consistency)",10,IF(AF302="Shallow Cyclical (2 to 3 years growth)",5,0))</f>
        <v/>
      </c>
      <c r="AH302" s="30" t="inlineStr">
        <is>
          <t>No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Volatile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Yes</t>
        </is>
      </c>
      <c r="AQ302" s="30">
        <f>IF(AP302="Yes",10,0)</f>
        <v/>
      </c>
      <c r="AR302" s="30" t="inlineStr">
        <is>
          <t>Higher One Time, Lower Annuity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Good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20 to 40</t>
        </is>
      </c>
      <c r="AY302" s="30">
        <f>IF(AX302="Above 40",20,IF(AX302="20 to 40",10,IF(AX302="0 to 20",-5,0)))</f>
        <v/>
      </c>
      <c r="AZ302" s="30" t="inlineStr">
        <is>
          <t>Above 75</t>
        </is>
      </c>
      <c r="BA302" s="30">
        <f>IF(AZ302="Between 50 to 75",10,IF(AZ302="Above 75",0,0))</f>
        <v/>
      </c>
      <c r="BB302" s="30" t="inlineStr">
        <is>
          <t>Stage 2</t>
        </is>
      </c>
      <c r="BC302" s="30">
        <f>IF(BB302="Stage 2",20,IF(BB302="Stage 1",0,IF(BB302="Stage 3",5,IF(BB302="Stage 4",-5,0))))</f>
        <v/>
      </c>
      <c r="BD302" s="30" t="inlineStr">
        <is>
          <t>Positive Trend</t>
        </is>
      </c>
      <c r="BE302" s="30">
        <f>IF(BD302="Positive Trend",20,IF(BD302="Negative Trend",-10,0))</f>
        <v/>
      </c>
      <c r="BF302" s="30" t="inlineStr">
        <is>
          <t>Uptrend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Blue sky scenario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More than 20%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No</t>
        </is>
      </c>
      <c r="BS302" s="30">
        <f>IF(BR302="NO",5,0)</f>
        <v/>
      </c>
      <c r="BT302" s="30" t="inlineStr">
        <is>
          <t>Less than 1.5</t>
        </is>
      </c>
      <c r="BU302" s="30">
        <f>IF(BT302="Above 2",0,IF(BT302="Between 1.5 to 2",5,IF(BT302="Less than 1.5",10,0)))</f>
        <v/>
      </c>
      <c r="BV302" s="30" t="inlineStr">
        <is>
          <t>Negative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Less than 0.7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Less than 15%</t>
        </is>
      </c>
      <c r="CC302" s="30">
        <f>IF(CB302="More than 15%",-10,IF(CB302="Less than 15%",10,0))</f>
        <v/>
      </c>
      <c r="CD302" s="30" t="inlineStr">
        <is>
          <t>No</t>
        </is>
      </c>
      <c r="CE302" s="30">
        <f>IF(CD302="Yes, more than 10%",-10,IF(CD302="No",10,0))</f>
        <v/>
      </c>
    </row>
    <row r="303">
      <c r="A303" s="30">
        <f>IF(B303=0,"",RANK(B303,$B$2:$B$427,0))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0" t="inlineStr">
        <is>
          <t>SBC</t>
        </is>
      </c>
      <c r="D303" s="30" t="inlineStr">
        <is>
          <t>SBC Exports Ltd</t>
        </is>
      </c>
      <c r="E303" s="30" t="inlineStr">
        <is>
          <t>textiles</t>
        </is>
      </c>
      <c r="F303" s="30" t="inlineStr">
        <is>
          <t>textiles - products</t>
        </is>
      </c>
      <c r="G303" s="30" t="inlineStr">
        <is>
          <t>smallcap</t>
        </is>
      </c>
      <c r="H303" s="31" t="n">
        <v>1899.05</v>
      </c>
      <c r="I303" s="31" t="n">
        <v>43.59</v>
      </c>
      <c r="J303" s="31" t="n">
        <v>9.300000000000001</v>
      </c>
      <c r="K303" s="31" t="n">
        <v>59439267</v>
      </c>
      <c r="L303" s="30" t="n">
        <v>89</v>
      </c>
      <c r="M303" s="30" t="inlineStr">
        <is>
          <t>Outperforming</t>
        </is>
      </c>
      <c r="N303" s="31">
        <f>IF(M303="Underperforming",-5,IF(L303&gt;=95,15,IF(L303&gt;=90,10,IF(L303&gt;=80,5,0))))</f>
        <v/>
      </c>
      <c r="O303" s="31" t="n">
        <v>80.76000000000001</v>
      </c>
      <c r="P303" s="31" t="n">
        <v>25.88</v>
      </c>
      <c r="Q303" s="31" t="n">
        <v>35.79</v>
      </c>
      <c r="R303" s="30" t="inlineStr">
        <is>
          <t>Volume Spike &amp; Near 52W High Breakout</t>
        </is>
      </c>
      <c r="S303" s="30" t="inlineStr">
        <is>
          <t>Nifty 50</t>
        </is>
      </c>
      <c r="T303" s="31" t="n">
        <v>-4.38</v>
      </c>
      <c r="U303" s="31" t="n">
        <v>199.59</v>
      </c>
      <c r="V303" s="31" t="n">
        <v>213.3</v>
      </c>
      <c r="W303" s="31" t="n">
        <v>33.36</v>
      </c>
      <c r="X303" s="30" t="inlineStr">
        <is>
          <t>Growing Industry</t>
        </is>
      </c>
      <c r="Y303" s="30">
        <f>IF(X303="Growing Industry",10,IF(X303="Cyclical in an Upturn",5,0))</f>
        <v/>
      </c>
      <c r="Z303" s="30" t="inlineStr">
        <is>
          <t>Too Many Players with High ROCE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No</t>
        </is>
      </c>
      <c r="AC303" s="30">
        <f>IF(AB303="No",5,0)</f>
        <v/>
      </c>
      <c r="AD303" s="30" t="inlineStr">
        <is>
          <t>Tailwind</t>
        </is>
      </c>
      <c r="AE303" s="30">
        <f>IF(AD303="Tailwind",10,0)</f>
        <v/>
      </c>
      <c r="AF303" s="30" t="inlineStr">
        <is>
          <t>Structural (10 Years Consistency)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Stable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Yes</t>
        </is>
      </c>
      <c r="AQ303" s="30">
        <f>IF(AP303="Yes",10,0)</f>
        <v/>
      </c>
      <c r="AR303" s="30" t="inlineStr">
        <is>
          <t>Higher One Time, Lower Annuity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20 to 40</t>
        </is>
      </c>
      <c r="AY303" s="30">
        <f>IF(AX303="Above 40",20,IF(AX303="20 to 40",10,IF(AX303="0 to 20",-5,0)))</f>
        <v/>
      </c>
      <c r="AZ303" s="30" t="inlineStr">
        <is>
          <t>Above 75</t>
        </is>
      </c>
      <c r="BA303" s="30">
        <f>IF(AZ303="Between 50 to 75",10,IF(AZ303="Above 75",0,0))</f>
        <v/>
      </c>
      <c r="BB303" s="30" t="inlineStr">
        <is>
          <t>Stage 2</t>
        </is>
      </c>
      <c r="BC303" s="30">
        <f>IF(BB303="Stage 2",20,IF(BB303="Stage 1",0,IF(BB303="Stage 3",5,IF(BB303="Stage 4",-5,0))))</f>
        <v/>
      </c>
      <c r="BD303" s="30" t="inlineStr">
        <is>
          <t>Positive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Blue sky scenario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More than 20%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Yes</t>
        </is>
      </c>
      <c r="BS303" s="30">
        <f>IF(BR303="NO",5,0)</f>
        <v/>
      </c>
      <c r="BT303" s="30" t="inlineStr">
        <is>
          <t>Between 1.5 to 2</t>
        </is>
      </c>
      <c r="BU303" s="30">
        <f>IF(BT303="Above 2",0,IF(BT303="Between 1.5 to 2",5,IF(BT303="Less than 1.5",10,0)))</f>
        <v/>
      </c>
      <c r="BV303" s="30" t="inlineStr">
        <is>
          <t>Negative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More than 1.2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IF(B304=0,"",RANK(B304,$B$2:$B$427,0))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2" t="inlineStr">
        <is>
          <t>AEROENTER</t>
        </is>
      </c>
      <c r="D304" s="32" t="inlineStr">
        <is>
          <t>Aeroflex Enterprises Ltd</t>
        </is>
      </c>
      <c r="E304" s="30" t="inlineStr">
        <is>
          <t>metals &amp; mining</t>
        </is>
      </c>
      <c r="F304" s="30" t="inlineStr">
        <is>
          <t>steel - medium / small</t>
        </is>
      </c>
      <c r="G304" s="30" t="inlineStr">
        <is>
          <t>smallcap</t>
        </is>
      </c>
      <c r="H304" s="31" t="n">
        <v>1407</v>
      </c>
      <c r="I304" s="31" t="n">
        <v>135.87</v>
      </c>
      <c r="J304" s="31" t="n">
        <v>9.199999999999999</v>
      </c>
      <c r="K304" s="31" t="n">
        <v>6427192</v>
      </c>
      <c r="L304" s="30" t="n">
        <v>85</v>
      </c>
      <c r="M304" s="30" t="inlineStr">
        <is>
          <t>Underperforming</t>
        </is>
      </c>
      <c r="N304" s="31">
        <f>IF(M304="Underperforming",-5,IF(L304&gt;=95,15,IF(L304&gt;=90,10,IF(L304&gt;=80,5,0))))</f>
        <v/>
      </c>
      <c r="O304" s="31" t="n">
        <v>75.09999999999999</v>
      </c>
      <c r="P304" s="31" t="n">
        <v>35.76</v>
      </c>
      <c r="Q304" s="31" t="n">
        <v>100.97</v>
      </c>
      <c r="R304" s="30" t="inlineStr">
        <is>
          <t>Volume Spike &amp; Near 52W High Breakout</t>
        </is>
      </c>
      <c r="S304" s="30" t="inlineStr">
        <is>
          <t>Nifty Metal</t>
        </is>
      </c>
      <c r="T304" s="31" t="n">
        <v>42.48</v>
      </c>
      <c r="U304" s="31" t="n">
        <v>38.33</v>
      </c>
      <c r="V304" s="31" t="n">
        <v>-2.91</v>
      </c>
      <c r="W304" s="31" t="n">
        <v>29.25</v>
      </c>
      <c r="X304" s="30" t="inlineStr">
        <is>
          <t>Cyclical in an Upturn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No</t>
        </is>
      </c>
      <c r="AC304" s="30">
        <f>IF(AB304="No",5,0)</f>
        <v/>
      </c>
      <c r="AD304" s="30" t="inlineStr">
        <is>
          <t>Tailwind</t>
        </is>
      </c>
      <c r="AE304" s="30">
        <f>IF(AD304="Tailwind",10,0)</f>
        <v/>
      </c>
      <c r="AF304" s="30" t="inlineStr">
        <is>
          <t>Cyclical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Volatile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Yes</t>
        </is>
      </c>
      <c r="AQ304" s="30">
        <f>IF(AP304="Yes",10,0)</f>
        <v/>
      </c>
      <c r="AR304" s="30" t="inlineStr">
        <is>
          <t>Higher One Time, Lower Annuity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20 to 40</t>
        </is>
      </c>
      <c r="AY304" s="30">
        <f>IF(AX304="Above 40",20,IF(AX304="20 to 40",10,IF(AX304="0 to 20",-5,0)))</f>
        <v/>
      </c>
      <c r="AZ304" s="30" t="inlineStr">
        <is>
          <t>Above 75</t>
        </is>
      </c>
      <c r="BA304" s="30">
        <f>IF(AZ304="Between 50 to 75",10,IF(AZ304="Above 75",0,0))</f>
        <v/>
      </c>
      <c r="BB304" s="30" t="inlineStr">
        <is>
          <t>Stage 2</t>
        </is>
      </c>
      <c r="BC304" s="30">
        <f>IF(BB304="Stage 2",20,IF(BB304="Stage 1",0,IF(BB304="Stage 3",5,IF(BB304="Stage 4",-5,0))))</f>
        <v/>
      </c>
      <c r="BD304" s="30" t="inlineStr">
        <is>
          <t>Positive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Close to 52 week high or retracement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More than 20%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No</t>
        </is>
      </c>
      <c r="BS304" s="30">
        <f>IF(BR304="NO",5,0)</f>
        <v/>
      </c>
      <c r="BT304" s="30" t="inlineStr">
        <is>
          <t>Less than 1.5</t>
        </is>
      </c>
      <c r="BU304" s="30">
        <f>IF(BT304="Above 2",0,IF(BT304="Between 1.5 to 2",5,IF(BT304="Less than 1.5",10,0)))</f>
        <v/>
      </c>
      <c r="BV304" s="30" t="inlineStr">
        <is>
          <t>Less than 50%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Less than 0.7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IF(B305=0,"",RANK(B305,$B$2:$B$427,0))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2" t="inlineStr">
        <is>
          <t>GANDHAR</t>
        </is>
      </c>
      <c r="D305" s="32" t="inlineStr">
        <is>
          <t>Gandhar Oil Refinery (India) Ltd</t>
        </is>
      </c>
      <c r="E305" s="30" t="inlineStr">
        <is>
          <t>energy</t>
        </is>
      </c>
      <c r="F305" s="30" t="inlineStr">
        <is>
          <t>refineries</t>
        </is>
      </c>
      <c r="G305" s="30" t="inlineStr">
        <is>
          <t>smallcap</t>
        </is>
      </c>
      <c r="H305" s="31" t="n">
        <v>1704.18</v>
      </c>
      <c r="I305" s="31" t="n">
        <v>180.26</v>
      </c>
      <c r="J305" s="31" t="n">
        <v>3.53</v>
      </c>
      <c r="K305" s="31" t="n">
        <v>3490988</v>
      </c>
      <c r="L305" s="30" t="n">
        <v>39</v>
      </c>
      <c r="M305" s="30" t="inlineStr">
        <is>
          <t>Underperforming</t>
        </is>
      </c>
      <c r="N305" s="31">
        <f>IF(M305="Underperforming",-5,IF(L305&gt;=95,15,IF(L305&gt;=90,10,IF(L305&gt;=80,5,0))))</f>
        <v/>
      </c>
      <c r="O305" s="31" t="n">
        <v>66.01000000000001</v>
      </c>
      <c r="P305" s="31" t="n">
        <v>27.36</v>
      </c>
      <c r="Q305" s="31" t="n">
        <v>133.83</v>
      </c>
      <c r="R305" s="30" t="inlineStr">
        <is>
          <t>Volume Spike &amp; Near 52W High Breakout</t>
        </is>
      </c>
      <c r="S305" s="30" t="inlineStr">
        <is>
          <t>Nifty Energy</t>
        </is>
      </c>
      <c r="T305" s="31" t="n">
        <v>13.9</v>
      </c>
      <c r="U305" s="31" t="n">
        <v>6.68</v>
      </c>
      <c r="V305" s="31" t="n">
        <v>-6.34</v>
      </c>
      <c r="W305" s="31" t="n">
        <v>9.859999999999999</v>
      </c>
      <c r="X305" s="30" t="inlineStr">
        <is>
          <t>Cyclical in an Upturn</t>
        </is>
      </c>
      <c r="Y305" s="30">
        <f>IF(X305="Growing Industry",10,IF(X305="Cyclical in an Upturn",5,0))</f>
        <v/>
      </c>
      <c r="Z305" s="30" t="inlineStr">
        <is>
          <t>Oligopoly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Yes</t>
        </is>
      </c>
      <c r="AC305" s="30">
        <f>IF(AB305="No",5,0)</f>
        <v/>
      </c>
      <c r="AD305" s="30" t="inlineStr">
        <is>
          <t>Tailwind</t>
        </is>
      </c>
      <c r="AE305" s="30">
        <f>IF(AD305="Tailwind",10,0)</f>
        <v/>
      </c>
      <c r="AF305" s="30" t="inlineStr">
        <is>
          <t>Cyclical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Volatile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Yes</t>
        </is>
      </c>
      <c r="AQ305" s="30">
        <f>IF(AP305="Yes",10,0)</f>
        <v/>
      </c>
      <c r="AR305" s="30" t="inlineStr">
        <is>
          <t>Higher One Time, Lower Annuity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20 to 40</t>
        </is>
      </c>
      <c r="AY305" s="30">
        <f>IF(AX305="Above 40",20,IF(AX305="20 to 40",10,IF(AX305="0 to 20",-5,0)))</f>
        <v/>
      </c>
      <c r="AZ305" s="30" t="inlineStr">
        <is>
          <t>Between 50 to 75</t>
        </is>
      </c>
      <c r="BA305" s="30">
        <f>IF(AZ305="Between 50 to 75",10,IF(AZ305="Above 75",0,0))</f>
        <v/>
      </c>
      <c r="BB305" s="30" t="inlineStr">
        <is>
          <t>Stage 2</t>
        </is>
      </c>
      <c r="BC305" s="30">
        <f>IF(BB305="Stage 2",20,IF(BB305="Stage 1",0,IF(BB305="Stage 3",5,IF(BB305="Stage 4",-5,0))))</f>
        <v/>
      </c>
      <c r="BD305" s="30" t="inlineStr">
        <is>
          <t>Positive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Close to 52 week high or retracement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More than 20%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No</t>
        </is>
      </c>
      <c r="BS305" s="30">
        <f>IF(BR305="NO",5,0)</f>
        <v/>
      </c>
      <c r="BT305" s="30" t="inlineStr">
        <is>
          <t>Above 2</t>
        </is>
      </c>
      <c r="BU305" s="30">
        <f>IF(BT305="Above 2",0,IF(BT305="Between 1.5 to 2",5,IF(BT305="Less than 1.5",10,0)))</f>
        <v/>
      </c>
      <c r="BV305" s="30" t="inlineStr">
        <is>
          <t>Between 50% to 70%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Less than 0.7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IF(B306=0,"",RANK(B306,$B$2:$B$427,0))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0" t="inlineStr">
        <is>
          <t>TVSSCS</t>
        </is>
      </c>
      <c r="D306" s="30" t="inlineStr">
        <is>
          <t>TVS Supply Chain Solutions Ltd</t>
        </is>
      </c>
      <c r="E306" s="30" t="inlineStr">
        <is>
          <t>transportation</t>
        </is>
      </c>
      <c r="F306" s="30" t="inlineStr">
        <is>
          <t>miscellaneous</t>
        </is>
      </c>
      <c r="G306" s="30" t="inlineStr">
        <is>
          <t>midcap</t>
        </is>
      </c>
      <c r="H306" s="31" t="n">
        <v>6005.34</v>
      </c>
      <c r="I306" s="31" t="n">
        <v>140.31</v>
      </c>
      <c r="J306" s="31" t="n">
        <v>3.08</v>
      </c>
      <c r="K306" s="31" t="n">
        <v>1891206</v>
      </c>
      <c r="L306" s="30" t="n">
        <v>42</v>
      </c>
      <c r="M306" s="30" t="inlineStr">
        <is>
          <t>Outperforming</t>
        </is>
      </c>
      <c r="N306" s="31">
        <f>IF(M306="Underperforming",-5,IF(L306&gt;=95,15,IF(L306&gt;=90,10,IF(L306&gt;=80,5,0))))</f>
        <v/>
      </c>
      <c r="O306" s="31" t="n">
        <v>62.89</v>
      </c>
      <c r="P306" s="31" t="n">
        <v>12.35</v>
      </c>
      <c r="Q306" s="31" t="n">
        <v>106.06</v>
      </c>
      <c r="R306" s="30" t="inlineStr">
        <is>
          <t>Volume Spike &amp; Near 52W High Breakout</t>
        </is>
      </c>
      <c r="S306" s="30" t="inlineStr">
        <is>
          <t>Nifty 50</t>
        </is>
      </c>
      <c r="T306" s="31" t="n">
        <v>-4.38</v>
      </c>
      <c r="U306" s="31" t="n">
        <v>6.91</v>
      </c>
      <c r="V306" s="31" t="n">
        <v>11.81</v>
      </c>
      <c r="W306" s="31" t="n">
        <v>10.96</v>
      </c>
      <c r="X306" s="30" t="inlineStr">
        <is>
          <t>Growing Industry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No</t>
        </is>
      </c>
      <c r="AC306" s="30">
        <f>IF(AB306="No",5,0)</f>
        <v/>
      </c>
      <c r="AD306" s="30" t="inlineStr">
        <is>
          <t>Tailwind</t>
        </is>
      </c>
      <c r="AE306" s="30">
        <f>IF(AD306="Tailwind",10,0)</f>
        <v/>
      </c>
      <c r="AF306" s="30" t="inlineStr">
        <is>
          <t>Structural (10 Years Consistency)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Stable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Yes</t>
        </is>
      </c>
      <c r="AQ306" s="30">
        <f>IF(AP306="Yes",10,0)</f>
        <v/>
      </c>
      <c r="AR306" s="30" t="inlineStr">
        <is>
          <t>Higher One Time, Lower Annuity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0 to 20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2</t>
        </is>
      </c>
      <c r="BC306" s="30">
        <f>IF(BB306="Stage 2",20,IF(BB306="Stage 1",0,IF(BB306="Stage 3",5,IF(BB306="Stage 4",-5,0))))</f>
        <v/>
      </c>
      <c r="BD306" s="30" t="inlineStr">
        <is>
          <t>Positive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Close to 52 week high or retracement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More than 20%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Yes</t>
        </is>
      </c>
      <c r="BS306" s="30">
        <f>IF(BR306="NO",5,0)</f>
        <v/>
      </c>
      <c r="BT306" s="30" t="inlineStr">
        <is>
          <t>Above 2</t>
        </is>
      </c>
      <c r="BU306" s="30">
        <f>IF(BT306="Above 2",0,IF(BT306="Between 1.5 to 2",5,IF(BT306="Less than 1.5",10,0)))</f>
        <v/>
      </c>
      <c r="BV306" s="30" t="inlineStr">
        <is>
          <t>Above 70%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More than 1.2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  <row r="307">
      <c r="A307" s="30">
        <f>IF(B307=0,"",RANK(B307,$B$2:$B$427,0))</f>
        <v/>
      </c>
      <c r="B307" s="31">
        <f>SUM(N307,Y307,AA307,AC307,AE307,AG307,AI307,AK307,AM307,AO307,AQ307,AS307,AU307,AW307,AY307,BA307,BC307,BE307,BG307,BI307,BK307,BM307,BO307,BQ307,BS307,BU307,BW307,BY307,CA307,CC307,CE307)</f>
        <v/>
      </c>
      <c r="C307" s="30" t="inlineStr">
        <is>
          <t>V2RETAIL</t>
        </is>
      </c>
      <c r="D307" s="30" t="inlineStr">
        <is>
          <t>V2 Retail Limited</t>
        </is>
      </c>
      <c r="E307" s="30" t="inlineStr">
        <is>
          <t>consumer discretionary</t>
        </is>
      </c>
      <c r="F307" s="30" t="inlineStr">
        <is>
          <t>textiles - products</t>
        </is>
      </c>
      <c r="G307" s="30" t="inlineStr">
        <is>
          <t>midcap</t>
        </is>
      </c>
      <c r="H307" s="31" t="n">
        <v>8402.709999999999</v>
      </c>
      <c r="I307" s="31" t="n">
        <v>236.85</v>
      </c>
      <c r="J307" s="31" t="n">
        <v>2.78</v>
      </c>
      <c r="K307" s="31" t="n">
        <v>1525962</v>
      </c>
      <c r="L307" s="30" t="n">
        <v>42</v>
      </c>
      <c r="M307" s="30" t="inlineStr">
        <is>
          <t>Outperforming</t>
        </is>
      </c>
      <c r="N307" s="31">
        <f>IF(M307="Underperforming",-5,IF(L307&gt;=95,15,IF(L307&gt;=90,10,IF(L307&gt;=80,5,0))))</f>
        <v/>
      </c>
      <c r="O307" s="31" t="n">
        <v>58.87</v>
      </c>
      <c r="P307" s="31" t="n">
        <v>31.4</v>
      </c>
      <c r="Q307" s="31" t="n">
        <v>181.27</v>
      </c>
      <c r="R307" s="30" t="inlineStr">
        <is>
          <t>Near 52W High Breakout</t>
        </is>
      </c>
      <c r="S307" s="30" t="inlineStr">
        <is>
          <t>Nifty 50</t>
        </is>
      </c>
      <c r="T307" s="31" t="n">
        <v>-4.38</v>
      </c>
      <c r="U307" s="31" t="n">
        <v>28.94</v>
      </c>
      <c r="V307" s="31" t="n">
        <v>34.84</v>
      </c>
      <c r="W307" s="31" t="n">
        <v>10.91</v>
      </c>
      <c r="X307" s="30" t="inlineStr">
        <is>
          <t>Growing Industry</t>
        </is>
      </c>
      <c r="Y307" s="30">
        <f>IF(X307="Growing Industry",10,IF(X307="Cyclical in an Upturn",5,0))</f>
        <v/>
      </c>
      <c r="Z307" s="30" t="inlineStr">
        <is>
          <t>Too Many Players with High ROCE</t>
        </is>
      </c>
      <c r="AA307" s="30">
        <f>IF(Z307="Monopoly",10,IF(Z307="Oligopoly",5,IF(Z307="Duopoly that cooperate",10,IF(Z307="Duopoly that compete",5,IF(Z307="Too many players with High ROCE",5,0)))))</f>
        <v/>
      </c>
      <c r="AB307" s="30" t="inlineStr">
        <is>
          <t>No</t>
        </is>
      </c>
      <c r="AC307" s="30">
        <f>IF(AB307="No",5,0)</f>
        <v/>
      </c>
      <c r="AD307" s="30" t="inlineStr">
        <is>
          <t>Headwind</t>
        </is>
      </c>
      <c r="AE307" s="30">
        <f>IF(AD307="Tailwind",10,0)</f>
        <v/>
      </c>
      <c r="AF307" s="30" t="inlineStr">
        <is>
          <t>Structural (10 Years Consistency)</t>
        </is>
      </c>
      <c r="AG307" s="30">
        <f>IF(AF307="Structural (10 Years Consistency)",10,IF(AF307="Shallow Cyclical (2 to 3 years growth)",5,0))</f>
        <v/>
      </c>
      <c r="AH307" s="30" t="inlineStr">
        <is>
          <t>No</t>
        </is>
      </c>
      <c r="AI307" s="30">
        <f>IF(AH307="Yes due to Product Mix change or Operating Leverage",10,IF(AH307="Yes, these are peak margins",-5,IF(AH307="No",5,0)))</f>
        <v/>
      </c>
      <c r="AJ307" s="30" t="inlineStr">
        <is>
          <t>Stable</t>
        </is>
      </c>
      <c r="AK307" s="30">
        <f>IF(AJ307="Stable",10,0)</f>
        <v/>
      </c>
      <c r="AL307" s="30" t="inlineStr">
        <is>
          <t>Yes</t>
        </is>
      </c>
      <c r="AM307" s="30">
        <f>IF(AL307="Yes",10,0)</f>
        <v/>
      </c>
      <c r="AN307" s="30" t="inlineStr">
        <is>
          <t>B2B</t>
        </is>
      </c>
      <c r="AO307" s="30">
        <f>IF(AN307="B2C",10,IF(AN307="B2B",5,0))</f>
        <v/>
      </c>
      <c r="AP307" s="30" t="inlineStr">
        <is>
          <t>Yes</t>
        </is>
      </c>
      <c r="AQ307" s="30">
        <f>IF(AP307="Yes",10,0)</f>
        <v/>
      </c>
      <c r="AR307" s="30" t="inlineStr">
        <is>
          <t>Higher One Time, Lower Annuity</t>
        </is>
      </c>
      <c r="AS307" s="30">
        <f>IF(AR307="Fully Annuity",10,IF(AR307="Higher Annuity, Lower One Time",5,IF(AR307="Higher One Time, Lower Annuity",3,0)))</f>
        <v/>
      </c>
      <c r="AT307" s="30" t="inlineStr">
        <is>
          <t>Good</t>
        </is>
      </c>
      <c r="AU307" s="30">
        <f>IF(AT307="Good",10,0)</f>
        <v/>
      </c>
      <c r="AV307" s="30" t="inlineStr">
        <is>
          <t>Yes for more than 2 years</t>
        </is>
      </c>
      <c r="AW307" s="30">
        <f>IF(AV307="Yes for more than 2 years",10,IF(AV307="Yes only for next 1 to 2 years",5,0))</f>
        <v/>
      </c>
      <c r="AX307" s="30" t="inlineStr">
        <is>
          <t>20 to 40</t>
        </is>
      </c>
      <c r="AY307" s="30">
        <f>IF(AX307="Above 40",20,IF(AX307="20 to 40",10,IF(AX307="0 to 20",-5,0)))</f>
        <v/>
      </c>
      <c r="AZ307" s="30" t="inlineStr">
        <is>
          <t>Between 50 to 75</t>
        </is>
      </c>
      <c r="BA307" s="30">
        <f>IF(AZ307="Between 50 to 75",10,IF(AZ307="Above 75",0,0))</f>
        <v/>
      </c>
      <c r="BB307" s="30" t="inlineStr">
        <is>
          <t>Stage 2</t>
        </is>
      </c>
      <c r="BC307" s="30">
        <f>IF(BB307="Stage 2",20,IF(BB307="Stage 1",0,IF(BB307="Stage 3",5,IF(BB307="Stage 4",-5,0))))</f>
        <v/>
      </c>
      <c r="BD307" s="30" t="inlineStr">
        <is>
          <t>Positive Trend</t>
        </is>
      </c>
      <c r="BE307" s="30">
        <f>IF(BD307="Positive Trend",20,IF(BD307="Negative Trend",-10,0))</f>
        <v/>
      </c>
      <c r="BF307" s="30" t="inlineStr">
        <is>
          <t>Uptrend</t>
        </is>
      </c>
      <c r="BG307" s="30">
        <f>IF(BF307="Uptrend",10,IF(BF307="Sideways",5,0))</f>
        <v/>
      </c>
      <c r="BH307" s="30" t="inlineStr">
        <is>
          <t>Uptrend</t>
        </is>
      </c>
      <c r="BI307" s="30">
        <f>IF(BH307="Uptrend",10,IF(BH307="Sideways",5,0))</f>
        <v/>
      </c>
      <c r="BJ307" s="30" t="inlineStr">
        <is>
          <t>Blue sky scenario</t>
        </is>
      </c>
      <c r="BK307" s="30">
        <f>IF(BJ307="Overhead supply in last 2 years in last 2 years",-5,IF(BJ307="Close to 52 week high or retracement",5,IF(BJ307="Blue sky scenario",10,IF(BJ307="Long term Downtrend",-10,0))))</f>
        <v/>
      </c>
      <c r="BL307" s="30" t="inlineStr">
        <is>
          <t>Yes</t>
        </is>
      </c>
      <c r="BM307" s="30">
        <f>IF(BL307="Yes",10,0)</f>
        <v/>
      </c>
      <c r="BN307" s="30" t="inlineStr">
        <is>
          <t>More than 20%</t>
        </is>
      </c>
      <c r="BO307" s="30">
        <f>IF(BN307="More than 20%",10,IF(BN307="Between 12 to 20%",5,IF(BN307="Less than 12%",0,0)))</f>
        <v/>
      </c>
      <c r="BP307" s="30" t="inlineStr">
        <is>
          <t>No</t>
        </is>
      </c>
      <c r="BQ307" s="30">
        <f>IF(BP307="No",10,0)</f>
        <v/>
      </c>
      <c r="BR307" s="30" t="inlineStr">
        <is>
          <t>Yes</t>
        </is>
      </c>
      <c r="BS307" s="30">
        <f>IF(BR307="NO",5,0)</f>
        <v/>
      </c>
      <c r="BT307" s="30" t="inlineStr">
        <is>
          <t>Above 2</t>
        </is>
      </c>
      <c r="BU307" s="30">
        <f>IF(BT307="Above 2",0,IF(BT307="Between 1.5 to 2",5,IF(BT307="Less than 1.5",10,0)))</f>
        <v/>
      </c>
      <c r="BV307" s="30" t="inlineStr">
        <is>
          <t>Negative</t>
        </is>
      </c>
      <c r="BW307" s="30">
        <f>IF(BV307="Above 70%",10,IF(BV307="Between 50% to 70%",5,IF(BV307="Less than 50%",0,IF(BV307="Negative",-10,IF(BV307="Less than 50% and Borrowings are increasing",-5,0)))))</f>
        <v/>
      </c>
      <c r="BX307" s="30" t="inlineStr">
        <is>
          <t>Between 0.7 to 1.2</t>
        </is>
      </c>
      <c r="BY307" s="30">
        <f>IF(BX307="More than 1.2",-10,IF(BX307="Between 0.7 to 1.2",0,IF(BX307="Less than 0.7",10,0)))</f>
        <v/>
      </c>
      <c r="BZ307" s="30" t="inlineStr">
        <is>
          <t>No</t>
        </is>
      </c>
      <c r="CA307" s="30">
        <f>IF(BZ307="Yes",-10,0)</f>
        <v/>
      </c>
      <c r="CB307" s="30" t="inlineStr">
        <is>
          <t>Less than 15%</t>
        </is>
      </c>
      <c r="CC307" s="30">
        <f>IF(CB307="More than 15%",-10,IF(CB307="Less than 15%",10,0))</f>
        <v/>
      </c>
      <c r="CD307" s="30" t="inlineStr">
        <is>
          <t>No</t>
        </is>
      </c>
      <c r="CE307" s="30">
        <f>IF(CD307="Yes, more than 10%",-10,IF(CD307="No",10,0))</f>
        <v/>
      </c>
    </row>
    <row r="308">
      <c r="A308" s="30">
        <f>IF(B308=0,"",RANK(B308,$B$2:$B$427,0))</f>
        <v/>
      </c>
      <c r="B308" s="31">
        <f>SUM(N308,Y308,AA308,AC308,AE308,AG308,AI308,AK308,AM308,AO308,AQ308,AS308,AU308,AW308,AY308,BA308,BC308,BE308,BG308,BI308,BK308,BM308,BO308,BQ308,BS308,BU308,BW308,BY308,CA308,CC308,CE308)</f>
        <v/>
      </c>
      <c r="C308" s="30" t="inlineStr">
        <is>
          <t>DEEPAKFERT</t>
        </is>
      </c>
      <c r="D308" s="30" t="inlineStr">
        <is>
          <t>Deepak Fertilizers And Petrochemicals Corporation Limited</t>
        </is>
      </c>
      <c r="E308" s="30" t="inlineStr">
        <is>
          <t>chemicals</t>
        </is>
      </c>
      <c r="F308" s="30" t="inlineStr">
        <is>
          <t>chemicals</t>
        </is>
      </c>
      <c r="G308" s="30" t="inlineStr">
        <is>
          <t>midcap</t>
        </is>
      </c>
      <c r="H308" s="31" t="n">
        <v>19260.11</v>
      </c>
      <c r="I308" s="31" t="n">
        <v>1563.3</v>
      </c>
      <c r="J308" s="31" t="n">
        <v>2.46</v>
      </c>
      <c r="K308" s="31" t="n">
        <v>347529</v>
      </c>
      <c r="L308" s="30" t="n">
        <v>69</v>
      </c>
      <c r="M308" s="30" t="inlineStr">
        <is>
          <t>Outperforming</t>
        </is>
      </c>
      <c r="N308" s="31">
        <f>IF(M308="Underperforming",-5,IF(L308&gt;=95,15,IF(L308&gt;=90,10,IF(L308&gt;=80,5,0))))</f>
        <v/>
      </c>
      <c r="O308" s="31" t="n">
        <v>69.64</v>
      </c>
      <c r="P308" s="31" t="n">
        <v>32.11</v>
      </c>
      <c r="Q308" s="31" t="n">
        <v>1198.63</v>
      </c>
      <c r="R308" s="30" t="inlineStr">
        <is>
          <t>Earnings / Momentum Support</t>
        </is>
      </c>
      <c r="S308" s="30" t="inlineStr">
        <is>
          <t>Nifty 50</t>
        </is>
      </c>
      <c r="T308" s="31" t="n">
        <v>-4.38</v>
      </c>
      <c r="U308" s="31" t="n">
        <v>2.62</v>
      </c>
      <c r="V308" s="31" t="n">
        <v>7.32</v>
      </c>
      <c r="W308" s="31" t="n">
        <v>19.58</v>
      </c>
      <c r="X308" s="30" t="inlineStr">
        <is>
          <t>Growing Industry</t>
        </is>
      </c>
      <c r="Y308" s="30">
        <f>IF(X308="Growing Industry",10,IF(X308="Cyclical in an Upturn",5,0))</f>
        <v/>
      </c>
      <c r="Z308" s="30" t="inlineStr">
        <is>
          <t>Too Many Players with High ROCE</t>
        </is>
      </c>
      <c r="AA308" s="30">
        <f>IF(Z308="Monopoly",10,IF(Z308="Oligopoly",5,IF(Z308="Duopoly that cooperate",10,IF(Z308="Duopoly that compete",5,IF(Z308="Too many players with High ROCE",5,0)))))</f>
        <v/>
      </c>
      <c r="AB308" s="30" t="inlineStr">
        <is>
          <t>No</t>
        </is>
      </c>
      <c r="AC308" s="30">
        <f>IF(AB308="No",5,0)</f>
        <v/>
      </c>
      <c r="AD308" s="30" t="inlineStr">
        <is>
          <t>Tailwind</t>
        </is>
      </c>
      <c r="AE308" s="30">
        <f>IF(AD308="Tailwind",10,0)</f>
        <v/>
      </c>
      <c r="AF308" s="30" t="inlineStr">
        <is>
          <t>Structural (10 Years Consistency)</t>
        </is>
      </c>
      <c r="AG308" s="30">
        <f>IF(AF308="Structural (10 Years Consistency)",10,IF(AF308="Shallow Cyclical (2 to 3 years growth)",5,0))</f>
        <v/>
      </c>
      <c r="AH308" s="30" t="inlineStr">
        <is>
          <t>No</t>
        </is>
      </c>
      <c r="AI308" s="30">
        <f>IF(AH308="Yes due to Product Mix change or Operating Leverage",10,IF(AH308="Yes, these are peak margins",-5,IF(AH308="No",5,0)))</f>
        <v/>
      </c>
      <c r="AJ308" s="30" t="inlineStr">
        <is>
          <t>Stable</t>
        </is>
      </c>
      <c r="AK308" s="30">
        <f>IF(AJ308="Stable",10,0)</f>
        <v/>
      </c>
      <c r="AL308" s="30" t="inlineStr">
        <is>
          <t>Yes</t>
        </is>
      </c>
      <c r="AM308" s="30">
        <f>IF(AL308="Yes",10,0)</f>
        <v/>
      </c>
      <c r="AN308" s="30" t="inlineStr">
        <is>
          <t>B2B</t>
        </is>
      </c>
      <c r="AO308" s="30">
        <f>IF(AN308="B2C",10,IF(AN308="B2B",5,0))</f>
        <v/>
      </c>
      <c r="AP308" s="30" t="inlineStr">
        <is>
          <t>No</t>
        </is>
      </c>
      <c r="AQ308" s="30">
        <f>IF(AP308="Yes",10,0)</f>
        <v/>
      </c>
      <c r="AR308" s="30" t="inlineStr">
        <is>
          <t>Higher One Time, Lower Annuity</t>
        </is>
      </c>
      <c r="AS308" s="30">
        <f>IF(AR308="Fully Annuity",10,IF(AR308="Higher Annuity, Lower One Time",5,IF(AR308="Higher One Time, Lower Annuity",3,0)))</f>
        <v/>
      </c>
      <c r="AT308" s="30" t="inlineStr">
        <is>
          <t>Good</t>
        </is>
      </c>
      <c r="AU308" s="30">
        <f>IF(AT308="Good",10,0)</f>
        <v/>
      </c>
      <c r="AV308" s="30" t="inlineStr">
        <is>
          <t>Yes for more than 2 years</t>
        </is>
      </c>
      <c r="AW308" s="30">
        <f>IF(AV308="Yes for more than 2 years",10,IF(AV308="Yes only for next 1 to 2 years",5,0))</f>
        <v/>
      </c>
      <c r="AX308" s="30" t="inlineStr">
        <is>
          <t>20 to 40</t>
        </is>
      </c>
      <c r="AY308" s="30">
        <f>IF(AX308="Above 40",20,IF(AX308="20 to 40",10,IF(AX308="0 to 20",-5,0)))</f>
        <v/>
      </c>
      <c r="AZ308" s="30" t="inlineStr">
        <is>
          <t>Between 50 to 75</t>
        </is>
      </c>
      <c r="BA308" s="30">
        <f>IF(AZ308="Between 50 to 75",10,IF(AZ308="Above 75",0,0))</f>
        <v/>
      </c>
      <c r="BB308" s="30" t="inlineStr">
        <is>
          <t>Stage 2</t>
        </is>
      </c>
      <c r="BC308" s="30">
        <f>IF(BB308="Stage 2",20,IF(BB308="Stage 1",0,IF(BB308="Stage 3",5,IF(BB308="Stage 4",-5,0))))</f>
        <v/>
      </c>
      <c r="BD308" s="30" t="inlineStr">
        <is>
          <t>Positive Trend</t>
        </is>
      </c>
      <c r="BE308" s="30">
        <f>IF(BD308="Positive Trend",20,IF(BD308="Negative Trend",-10,0))</f>
        <v/>
      </c>
      <c r="BF308" s="30" t="inlineStr">
        <is>
          <t>Uptrend</t>
        </is>
      </c>
      <c r="BG308" s="30">
        <f>IF(BF308="Uptrend",10,IF(BF308="Sideways",5,0))</f>
        <v/>
      </c>
      <c r="BH308" s="30" t="inlineStr">
        <is>
          <t>Uptrend</t>
        </is>
      </c>
      <c r="BI308" s="30">
        <f>IF(BH308="Uptrend",10,IF(BH308="Sideways",5,0))</f>
        <v/>
      </c>
      <c r="BJ308" s="30" t="inlineStr">
        <is>
          <t>Close to 52 week high or retracement</t>
        </is>
      </c>
      <c r="BK308" s="30">
        <f>IF(BJ308="Overhead supply in last 2 years in last 2 years",-5,IF(BJ308="Close to 52 week high or retracement",5,IF(BJ308="Blue sky scenario",10,IF(BJ308="Long term Downtrend",-10,0))))</f>
        <v/>
      </c>
      <c r="BL308" s="30" t="inlineStr">
        <is>
          <t>Yes</t>
        </is>
      </c>
      <c r="BM308" s="30">
        <f>IF(BL308="Yes",10,0)</f>
        <v/>
      </c>
      <c r="BN308" s="30" t="inlineStr">
        <is>
          <t>Less than 12%</t>
        </is>
      </c>
      <c r="BO308" s="30">
        <f>IF(BN308="More than 20%",10,IF(BN308="Between 12 to 20%",5,IF(BN308="Less than 12%",0,0)))</f>
        <v/>
      </c>
      <c r="BP308" s="30" t="inlineStr">
        <is>
          <t>No</t>
        </is>
      </c>
      <c r="BQ308" s="30">
        <f>IF(BP308="No",10,0)</f>
        <v/>
      </c>
      <c r="BR308" s="30" t="inlineStr">
        <is>
          <t>No</t>
        </is>
      </c>
      <c r="BS308" s="30">
        <f>IF(BR308="NO",5,0)</f>
        <v/>
      </c>
      <c r="BT308" s="30" t="inlineStr">
        <is>
          <t>Above 2</t>
        </is>
      </c>
      <c r="BU308" s="30">
        <f>IF(BT308="Above 2",0,IF(BT308="Between 1.5 to 2",5,IF(BT308="Less than 1.5",10,0)))</f>
        <v/>
      </c>
      <c r="BV308" s="30" t="inlineStr">
        <is>
          <t>Less than 50%</t>
        </is>
      </c>
      <c r="BW308" s="30">
        <f>IF(BV308="Above 70%",10,IF(BV308="Between 50% to 70%",5,IF(BV308="Less than 50%",0,IF(BV308="Negative",-10,IF(BV308="Less than 50% and Borrowings are increasing",-5,0)))))</f>
        <v/>
      </c>
      <c r="BX308" s="30" t="inlineStr">
        <is>
          <t>Between 0.7 to 1.2</t>
        </is>
      </c>
      <c r="BY308" s="30">
        <f>IF(BX308="More than 1.2",-10,IF(BX308="Between 0.7 to 1.2",0,IF(BX308="Less than 0.7",10,0)))</f>
        <v/>
      </c>
      <c r="BZ308" s="30" t="inlineStr">
        <is>
          <t>No</t>
        </is>
      </c>
      <c r="CA308" s="30">
        <f>IF(BZ308="Yes",-10,0)</f>
        <v/>
      </c>
      <c r="CB308" s="30" t="inlineStr">
        <is>
          <t>Less than 15%</t>
        </is>
      </c>
      <c r="CC308" s="30">
        <f>IF(CB308="More than 15%",-10,IF(CB308="Less than 15%",10,0))</f>
        <v/>
      </c>
      <c r="CD308" s="30" t="inlineStr">
        <is>
          <t>No</t>
        </is>
      </c>
      <c r="CE308" s="30">
        <f>IF(CD308="Yes, more than 10%",-10,IF(CD308="No",10,0))</f>
        <v/>
      </c>
    </row>
    <row r="309">
      <c r="A309" s="30">
        <f>IF(B309=0,"",RANK(B309,$B$2:$B$427,0))</f>
        <v/>
      </c>
      <c r="B309" s="31">
        <f>SUM(N309,Y309,AA309,AC309,AE309,AG309,AI309,AK309,AM309,AO309,AQ309,AS309,AU309,AW309,AY309,BA309,BC309,BE309,BG309,BI309,BK309,BM309,BO309,BQ309,BS309,BU309,BW309,BY309,CA309,CC309,CE309)</f>
        <v/>
      </c>
      <c r="C309" s="32" t="inlineStr">
        <is>
          <t>SWARAJENG</t>
        </is>
      </c>
      <c r="D309" s="32" t="inlineStr">
        <is>
          <t>Swaraj Engines Limited</t>
        </is>
      </c>
      <c r="E309" s="30" t="inlineStr">
        <is>
          <t>industrials</t>
        </is>
      </c>
      <c r="F309" s="30" t="inlineStr">
        <is>
          <t>engines</t>
        </is>
      </c>
      <c r="G309" s="30" t="inlineStr">
        <is>
          <t>smallcap</t>
        </is>
      </c>
      <c r="H309" s="31" t="n">
        <v>4704.79</v>
      </c>
      <c r="I309" s="31" t="n">
        <v>3927.6</v>
      </c>
      <c r="J309" s="31" t="n">
        <v>1.43</v>
      </c>
      <c r="K309" s="31" t="n">
        <v>14327</v>
      </c>
      <c r="L309" s="30" t="n">
        <v>4</v>
      </c>
      <c r="M309" s="30" t="inlineStr">
        <is>
          <t>Underperforming</t>
        </is>
      </c>
      <c r="N309" s="31">
        <f>IF(M309="Underperforming",-5,IF(L309&gt;=95,15,IF(L309&gt;=90,10,IF(L309&gt;=80,5,0))))</f>
        <v/>
      </c>
      <c r="O309" s="31" t="n">
        <v>55.51</v>
      </c>
      <c r="P309" s="31" t="n">
        <v>20.82</v>
      </c>
      <c r="Q309" s="31" t="n">
        <v>3368.11</v>
      </c>
      <c r="R309" s="30" t="inlineStr">
        <is>
          <t>Earnings / Momentum Support</t>
        </is>
      </c>
      <c r="S309" s="30" t="inlineStr">
        <is>
          <t>Nifty Infra</t>
        </is>
      </c>
      <c r="T309" s="31" t="n">
        <v>4.18</v>
      </c>
      <c r="U309" s="31" t="n">
        <v>-2.33</v>
      </c>
      <c r="V309" s="31" t="n">
        <v>-6.24</v>
      </c>
      <c r="W309" s="31" t="n">
        <v>2.17</v>
      </c>
      <c r="X309" s="30" t="inlineStr">
        <is>
          <t>Cyclical in an Upturn</t>
        </is>
      </c>
      <c r="Y309" s="30">
        <f>IF(X309="Growing Industry",10,IF(X309="Cyclical in an Upturn",5,0))</f>
        <v/>
      </c>
      <c r="Z309" s="30" t="inlineStr">
        <is>
          <t>Too Many Players with High ROCE</t>
        </is>
      </c>
      <c r="AA309" s="30">
        <f>IF(Z309="Monopoly",10,IF(Z309="Oligopoly",5,IF(Z309="Duopoly that cooperate",10,IF(Z309="Duopoly that compete",5,IF(Z309="Too many players with High ROCE",5,0)))))</f>
        <v/>
      </c>
      <c r="AB309" s="30" t="inlineStr">
        <is>
          <t>No</t>
        </is>
      </c>
      <c r="AC309" s="30">
        <f>IF(AB309="No",5,0)</f>
        <v/>
      </c>
      <c r="AD309" s="30" t="inlineStr">
        <is>
          <t>Tailwind</t>
        </is>
      </c>
      <c r="AE309" s="30">
        <f>IF(AD309="Tailwind",10,0)</f>
        <v/>
      </c>
      <c r="AF309" s="30" t="inlineStr">
        <is>
          <t>Structural (10 Years Consistency)</t>
        </is>
      </c>
      <c r="AG309" s="30">
        <f>IF(AF309="Structural (10 Years Consistency)",10,IF(AF309="Shallow Cyclical (2 to 3 years growth)",5,0))</f>
        <v/>
      </c>
      <c r="AH309" s="30" t="inlineStr">
        <is>
          <t>No</t>
        </is>
      </c>
      <c r="AI309" s="30">
        <f>IF(AH309="Yes due to Product Mix change or Operating Leverage",10,IF(AH309="Yes, these are peak margins",-5,IF(AH309="No",5,0)))</f>
        <v/>
      </c>
      <c r="AJ309" s="30" t="inlineStr">
        <is>
          <t>Stable</t>
        </is>
      </c>
      <c r="AK309" s="30">
        <f>IF(AJ309="Stable",10,0)</f>
        <v/>
      </c>
      <c r="AL309" s="30" t="inlineStr">
        <is>
          <t>Yes</t>
        </is>
      </c>
      <c r="AM309" s="30">
        <f>IF(AL309="Yes",10,0)</f>
        <v/>
      </c>
      <c r="AN309" s="30" t="inlineStr">
        <is>
          <t>B2B</t>
        </is>
      </c>
      <c r="AO309" s="30">
        <f>IF(AN309="B2C",10,IF(AN309="B2B",5,0))</f>
        <v/>
      </c>
      <c r="AP309" s="30" t="inlineStr">
        <is>
          <t>No</t>
        </is>
      </c>
      <c r="AQ309" s="30">
        <f>IF(AP309="Yes",10,0)</f>
        <v/>
      </c>
      <c r="AR309" s="30" t="inlineStr">
        <is>
          <t>Higher One Time, Lower Annuity</t>
        </is>
      </c>
      <c r="AS309" s="30">
        <f>IF(AR309="Fully Annuity",10,IF(AR309="Higher Annuity, Lower One Time",5,IF(AR309="Higher One Time, Lower Annuity",3,0)))</f>
        <v/>
      </c>
      <c r="AT309" s="30" t="inlineStr">
        <is>
          <t>Good</t>
        </is>
      </c>
      <c r="AU309" s="30">
        <f>IF(AT309="Good",10,0)</f>
        <v/>
      </c>
      <c r="AV309" s="30" t="inlineStr">
        <is>
          <t>Yes for more than 2 years</t>
        </is>
      </c>
      <c r="AW309" s="30">
        <f>IF(AV309="Yes for more than 2 years",10,IF(AV309="Yes only for next 1 to 2 years",5,0))</f>
        <v/>
      </c>
      <c r="AX309" s="30" t="inlineStr">
        <is>
          <t>20 to 40</t>
        </is>
      </c>
      <c r="AY309" s="30">
        <f>IF(AX309="Above 40",20,IF(AX309="20 to 40",10,IF(AX309="0 to 20",-5,0)))</f>
        <v/>
      </c>
      <c r="AZ309" s="30" t="inlineStr">
        <is>
          <t>Between 50 to 75</t>
        </is>
      </c>
      <c r="BA309" s="30">
        <f>IF(AZ309="Between 50 to 75",10,IF(AZ309="Above 75",0,0))</f>
        <v/>
      </c>
      <c r="BB309" s="30" t="inlineStr">
        <is>
          <t>Stage 1</t>
        </is>
      </c>
      <c r="BC309" s="30">
        <f>IF(BB309="Stage 2",20,IF(BB309="Stage 1",0,IF(BB309="Stage 3",5,IF(BB309="Stage 4",-5,0))))</f>
        <v/>
      </c>
      <c r="BD309" s="30" t="inlineStr">
        <is>
          <t>Positive Trend</t>
        </is>
      </c>
      <c r="BE309" s="30">
        <f>IF(BD309="Positive Trend",20,IF(BD309="Negative Trend",-10,0))</f>
        <v/>
      </c>
      <c r="BF309" s="30" t="inlineStr">
        <is>
          <t>Uptrend</t>
        </is>
      </c>
      <c r="BG309" s="30">
        <f>IF(BF309="Uptrend",10,IF(BF309="Sideways",5,0))</f>
        <v/>
      </c>
      <c r="BH309" s="30" t="inlineStr">
        <is>
          <t>Uptrend</t>
        </is>
      </c>
      <c r="BI309" s="30">
        <f>IF(BH309="Uptrend",10,IF(BH309="Sideways",5,0))</f>
        <v/>
      </c>
      <c r="BJ309" s="30" t="inlineStr">
        <is>
          <t>Close to 52 week high or retracement</t>
        </is>
      </c>
      <c r="BK309" s="30">
        <f>IF(BJ309="Overhead supply in last 2 years in last 2 years",-5,IF(BJ309="Close to 52 week high or retracement",5,IF(BJ309="Blue sky scenario",10,IF(BJ309="Long term Downtrend",-10,0))))</f>
        <v/>
      </c>
      <c r="BL309" s="30" t="inlineStr">
        <is>
          <t>Yes</t>
        </is>
      </c>
      <c r="BM309" s="30">
        <f>IF(BL309="Yes",10,0)</f>
        <v/>
      </c>
      <c r="BN309" s="30" t="inlineStr">
        <is>
          <t>More than 20%</t>
        </is>
      </c>
      <c r="BO309" s="30">
        <f>IF(BN309="More than 20%",10,IF(BN309="Between 12 to 20%",5,IF(BN309="Less than 12%",0,0)))</f>
        <v/>
      </c>
      <c r="BP309" s="30" t="inlineStr">
        <is>
          <t>No</t>
        </is>
      </c>
      <c r="BQ309" s="30">
        <f>IF(BP309="No",10,0)</f>
        <v/>
      </c>
      <c r="BR309" s="30" t="inlineStr">
        <is>
          <t>No</t>
        </is>
      </c>
      <c r="BS309" s="30">
        <f>IF(BR309="NO",5,0)</f>
        <v/>
      </c>
      <c r="BT309" s="30" t="inlineStr">
        <is>
          <t>Less than 1.5</t>
        </is>
      </c>
      <c r="BU309" s="30">
        <f>IF(BT309="Above 2",0,IF(BT309="Between 1.5 to 2",5,IF(BT309="Less than 1.5",10,0)))</f>
        <v/>
      </c>
      <c r="BV309" s="30" t="inlineStr">
        <is>
          <t>Less than 50%</t>
        </is>
      </c>
      <c r="BW309" s="30">
        <f>IF(BV309="Above 70%",10,IF(BV309="Between 50% to 70%",5,IF(BV309="Less than 50%",0,IF(BV309="Negative",-10,IF(BV309="Less than 50% and Borrowings are increasing",-5,0)))))</f>
        <v/>
      </c>
      <c r="BX309" s="30" t="inlineStr">
        <is>
          <t>Less than 0.7</t>
        </is>
      </c>
      <c r="BY309" s="30">
        <f>IF(BX309="More than 1.2",-10,IF(BX309="Between 0.7 to 1.2",0,IF(BX309="Less than 0.7",10,0)))</f>
        <v/>
      </c>
      <c r="BZ309" s="30" t="inlineStr">
        <is>
          <t>No</t>
        </is>
      </c>
      <c r="CA309" s="30">
        <f>IF(BZ309="Yes",-10,0)</f>
        <v/>
      </c>
      <c r="CB309" s="30" t="inlineStr">
        <is>
          <t>Less than 15%</t>
        </is>
      </c>
      <c r="CC309" s="30">
        <f>IF(CB309="More than 15%",-10,IF(CB309="Less than 15%",10,0))</f>
        <v/>
      </c>
      <c r="CD309" s="30" t="inlineStr">
        <is>
          <t>No</t>
        </is>
      </c>
      <c r="CE309" s="30">
        <f>IF(CD309="Yes, more than 10%",-10,IF(CD309="No",10,0))</f>
        <v/>
      </c>
    </row>
    <row r="310">
      <c r="A310" s="30">
        <f>IF(B310=0,"",RANK(B310,$B$2:$B$427,0))</f>
        <v/>
      </c>
      <c r="B310" s="31">
        <f>SUM(N310,Y310,AA310,AC310,AE310,AG310,AI310,AK310,AM310,AO310,AQ310,AS310,AU310,AW310,AY310,BA310,BC310,BE310,BG310,BI310,BK310,BM310,BO310,BQ310,BS310,BU310,BW310,BY310,CA310,CC310,CE310)</f>
        <v/>
      </c>
      <c r="C310" s="32" t="inlineStr">
        <is>
          <t>VMART</t>
        </is>
      </c>
      <c r="D310" s="32" t="inlineStr">
        <is>
          <t>V-mart Retail Limited</t>
        </is>
      </c>
      <c r="E310" s="30" t="inlineStr">
        <is>
          <t>consumer discretionary</t>
        </is>
      </c>
      <c r="F310" s="30" t="inlineStr">
        <is>
          <t>trading</t>
        </is>
      </c>
      <c r="G310" s="30" t="inlineStr">
        <is>
          <t>midcap</t>
        </is>
      </c>
      <c r="H310" s="31" t="n">
        <v>6270.85</v>
      </c>
      <c r="I310" s="31" t="n">
        <v>797.8</v>
      </c>
      <c r="J310" s="31" t="n">
        <v>1.09</v>
      </c>
      <c r="K310" s="31" t="n">
        <v>168516</v>
      </c>
      <c r="L310" s="30" t="n">
        <v>51</v>
      </c>
      <c r="M310" s="30" t="inlineStr">
        <is>
          <t>Underperforming</t>
        </is>
      </c>
      <c r="N310" s="31">
        <f>IF(M310="Underperforming",-5,IF(L310&gt;=95,15,IF(L310&gt;=90,10,IF(L310&gt;=80,5,0))))</f>
        <v/>
      </c>
      <c r="O310" s="31" t="n">
        <v>67.93000000000001</v>
      </c>
      <c r="P310" s="31" t="n">
        <v>20.92</v>
      </c>
      <c r="Q310" s="31" t="n">
        <v>622.84</v>
      </c>
      <c r="R310" s="30" t="inlineStr">
        <is>
          <t>Earnings / Momentum Support</t>
        </is>
      </c>
      <c r="S310" s="30" t="inlineStr">
        <is>
          <t>Nifty 50</t>
        </is>
      </c>
      <c r="T310" s="31" t="n">
        <v>-4.38</v>
      </c>
      <c r="U310" s="31" t="n">
        <v>-10.27</v>
      </c>
      <c r="V310" s="31" t="n">
        <v>-6.16</v>
      </c>
      <c r="W310" s="31" t="n">
        <v>12.97</v>
      </c>
      <c r="X310" s="30" t="inlineStr">
        <is>
          <t>Growing Industry</t>
        </is>
      </c>
      <c r="Y310" s="30">
        <f>IF(X310="Growing Industry",10,IF(X310="Cyclical in an Upturn",5,0))</f>
        <v/>
      </c>
      <c r="Z310" s="30" t="inlineStr">
        <is>
          <t>Too Many Players with High ROCE</t>
        </is>
      </c>
      <c r="AA310" s="30">
        <f>IF(Z310="Monopoly",10,IF(Z310="Oligopoly",5,IF(Z310="Duopoly that cooperate",10,IF(Z310="Duopoly that compete",5,IF(Z310="Too many players with High ROCE",5,0)))))</f>
        <v/>
      </c>
      <c r="AB310" s="30" t="inlineStr">
        <is>
          <t>No</t>
        </is>
      </c>
      <c r="AC310" s="30">
        <f>IF(AB310="No",5,0)</f>
        <v/>
      </c>
      <c r="AD310" s="30" t="inlineStr">
        <is>
          <t>Tailwind</t>
        </is>
      </c>
      <c r="AE310" s="30">
        <f>IF(AD310="Tailwind",10,0)</f>
        <v/>
      </c>
      <c r="AF310" s="30" t="inlineStr">
        <is>
          <t>Structural (10 Years Consistency)</t>
        </is>
      </c>
      <c r="AG310" s="30">
        <f>IF(AF310="Structural (10 Years Consistency)",10,IF(AF310="Shallow Cyclical (2 to 3 years growth)",5,0))</f>
        <v/>
      </c>
      <c r="AH310" s="30" t="inlineStr">
        <is>
          <t>No</t>
        </is>
      </c>
      <c r="AI310" s="30">
        <f>IF(AH310="Yes due to Product Mix change or Operating Leverage",10,IF(AH310="Yes, these are peak margins",-5,IF(AH310="No",5,0)))</f>
        <v/>
      </c>
      <c r="AJ310" s="30" t="inlineStr">
        <is>
          <t>Stable</t>
        </is>
      </c>
      <c r="AK310" s="30">
        <f>IF(AJ310="Stable",10,0)</f>
        <v/>
      </c>
      <c r="AL310" s="30" t="inlineStr">
        <is>
          <t>Yes</t>
        </is>
      </c>
      <c r="AM310" s="30">
        <f>IF(AL310="Yes",10,0)</f>
        <v/>
      </c>
      <c r="AN310" s="30" t="inlineStr">
        <is>
          <t>B2B</t>
        </is>
      </c>
      <c r="AO310" s="30">
        <f>IF(AN310="B2C",10,IF(AN310="B2B",5,0))</f>
        <v/>
      </c>
      <c r="AP310" s="30" t="inlineStr">
        <is>
          <t>No</t>
        </is>
      </c>
      <c r="AQ310" s="30">
        <f>IF(AP310="Yes",10,0)</f>
        <v/>
      </c>
      <c r="AR310" s="30" t="inlineStr">
        <is>
          <t>Higher One Time, Lower Annuity</t>
        </is>
      </c>
      <c r="AS310" s="30">
        <f>IF(AR310="Fully Annuity",10,IF(AR310="Higher Annuity, Lower One Time",5,IF(AR310="Higher One Time, Lower Annuity",3,0)))</f>
        <v/>
      </c>
      <c r="AT310" s="30" t="inlineStr">
        <is>
          <t>Good</t>
        </is>
      </c>
      <c r="AU310" s="30">
        <f>IF(AT310="Good",10,0)</f>
        <v/>
      </c>
      <c r="AV310" s="30" t="inlineStr">
        <is>
          <t>Yes for more than 2 years</t>
        </is>
      </c>
      <c r="AW310" s="30">
        <f>IF(AV310="Yes for more than 2 years",10,IF(AV310="Yes only for next 1 to 2 years",5,0))</f>
        <v/>
      </c>
      <c r="AX310" s="30" t="inlineStr">
        <is>
          <t>20 to 40</t>
        </is>
      </c>
      <c r="AY310" s="30">
        <f>IF(AX310="Above 40",20,IF(AX310="20 to 40",10,IF(AX310="0 to 20",-5,0)))</f>
        <v/>
      </c>
      <c r="AZ310" s="30" t="inlineStr">
        <is>
          <t>Between 50 to 75</t>
        </is>
      </c>
      <c r="BA310" s="30">
        <f>IF(AZ310="Between 50 to 75",10,IF(AZ310="Above 75",0,0))</f>
        <v/>
      </c>
      <c r="BB310" s="30" t="inlineStr">
        <is>
          <t>Stage 2</t>
        </is>
      </c>
      <c r="BC310" s="30">
        <f>IF(BB310="Stage 2",20,IF(BB310="Stage 1",0,IF(BB310="Stage 3",5,IF(BB310="Stage 4",-5,0))))</f>
        <v/>
      </c>
      <c r="BD310" s="30" t="inlineStr">
        <is>
          <t>Positive Trend</t>
        </is>
      </c>
      <c r="BE310" s="30">
        <f>IF(BD310="Positive Trend",20,IF(BD310="Negative Trend",-10,0))</f>
        <v/>
      </c>
      <c r="BF310" s="30" t="inlineStr">
        <is>
          <t>Uptrend</t>
        </is>
      </c>
      <c r="BG310" s="30">
        <f>IF(BF310="Uptrend",10,IF(BF310="Sideways",5,0))</f>
        <v/>
      </c>
      <c r="BH310" s="30" t="inlineStr">
        <is>
          <t>Uptrend</t>
        </is>
      </c>
      <c r="BI310" s="30">
        <f>IF(BH310="Uptrend",10,IF(BH310="Sideways",5,0))</f>
        <v/>
      </c>
      <c r="BJ310" s="30" t="inlineStr">
        <is>
          <t>Close to 52 week high or retracement</t>
        </is>
      </c>
      <c r="BK310" s="30">
        <f>IF(BJ310="Overhead supply in last 2 years in last 2 years",-5,IF(BJ310="Close to 52 week high or retracement",5,IF(BJ310="Blue sky scenario",10,IF(BJ310="Long term Downtrend",-10,0))))</f>
        <v/>
      </c>
      <c r="BL310" s="30" t="inlineStr">
        <is>
          <t>Yes</t>
        </is>
      </c>
      <c r="BM310" s="30">
        <f>IF(BL310="Yes",10,0)</f>
        <v/>
      </c>
      <c r="BN310" s="30" t="inlineStr">
        <is>
          <t>Less than 12%</t>
        </is>
      </c>
      <c r="BO310" s="30">
        <f>IF(BN310="More than 20%",10,IF(BN310="Between 12 to 20%",5,IF(BN310="Less than 12%",0,0)))</f>
        <v/>
      </c>
      <c r="BP310" s="30" t="inlineStr">
        <is>
          <t>No</t>
        </is>
      </c>
      <c r="BQ310" s="30">
        <f>IF(BP310="No",10,0)</f>
        <v/>
      </c>
      <c r="BR310" s="30" t="inlineStr">
        <is>
          <t>Yes</t>
        </is>
      </c>
      <c r="BS310" s="30">
        <f>IF(BR310="NO",5,0)</f>
        <v/>
      </c>
      <c r="BT310" s="30" t="inlineStr">
        <is>
          <t>Above 2</t>
        </is>
      </c>
      <c r="BU310" s="30">
        <f>IF(BT310="Above 2",0,IF(BT310="Between 1.5 to 2",5,IF(BT310="Less than 1.5",10,0)))</f>
        <v/>
      </c>
      <c r="BV310" s="30" t="inlineStr">
        <is>
          <t>Above 70%</t>
        </is>
      </c>
      <c r="BW310" s="30">
        <f>IF(BV310="Above 70%",10,IF(BV310="Between 50% to 70%",5,IF(BV310="Less than 50%",0,IF(BV310="Negative",-10,IF(BV310="Less than 50% and Borrowings are increasing",-5,0)))))</f>
        <v/>
      </c>
      <c r="BX310" s="30" t="inlineStr">
        <is>
          <t>Between 0.7 to 1.2</t>
        </is>
      </c>
      <c r="BY310" s="30">
        <f>IF(BX310="More than 1.2",-10,IF(BX310="Between 0.7 to 1.2",0,IF(BX310="Less than 0.7",10,0)))</f>
        <v/>
      </c>
      <c r="BZ310" s="30" t="inlineStr">
        <is>
          <t>No</t>
        </is>
      </c>
      <c r="CA310" s="30">
        <f>IF(BZ310="Yes",-10,0)</f>
        <v/>
      </c>
      <c r="CB310" s="30" t="inlineStr">
        <is>
          <t>Less than 15%</t>
        </is>
      </c>
      <c r="CC310" s="30">
        <f>IF(CB310="More than 15%",-10,IF(CB310="Less than 15%",10,0))</f>
        <v/>
      </c>
      <c r="CD310" s="30" t="inlineStr">
        <is>
          <t>No</t>
        </is>
      </c>
      <c r="CE310" s="30">
        <f>IF(CD310="Yes, more than 10%",-10,IF(CD310="No",10,0))</f>
        <v/>
      </c>
    </row>
    <row r="311">
      <c r="A311" s="30">
        <f>IF(B311=0,"",RANK(B311,$B$2:$B$427,0))</f>
        <v/>
      </c>
      <c r="B311" s="31">
        <f>SUM(N311,Y311,AA311,AC311,AE311,AG311,AI311,AK311,AM311,AO311,AQ311,AS311,AU311,AW311,AY311,BA311,BC311,BE311,BG311,BI311,BK311,BM311,BO311,BQ311,BS311,BU311,BW311,BY311,CA311,CC311,CE311)</f>
        <v/>
      </c>
      <c r="C311" s="30" t="inlineStr">
        <is>
          <t>SCI</t>
        </is>
      </c>
      <c r="D311" s="30" t="inlineStr">
        <is>
          <t>Shipping Corporation Of India Limited</t>
        </is>
      </c>
      <c r="E311" s="30" t="inlineStr">
        <is>
          <t>transportation</t>
        </is>
      </c>
      <c r="F311" s="30" t="inlineStr">
        <is>
          <t>shipping</t>
        </is>
      </c>
      <c r="G311" s="30" t="inlineStr">
        <is>
          <t>midcap</t>
        </is>
      </c>
      <c r="H311" s="31" t="n">
        <v>14404.83</v>
      </c>
      <c r="I311" s="31" t="n">
        <v>312.15</v>
      </c>
      <c r="J311" s="31" t="n">
        <v>0.9399999999999999</v>
      </c>
      <c r="K311" s="31" t="n">
        <v>5887279</v>
      </c>
      <c r="L311" s="30" t="n">
        <v>60</v>
      </c>
      <c r="M311" s="30" t="inlineStr">
        <is>
          <t>Outperforming</t>
        </is>
      </c>
      <c r="N311" s="31">
        <f>IF(M311="Underperforming",-5,IF(L311&gt;=95,15,IF(L311&gt;=90,10,IF(L311&gt;=80,5,0))))</f>
        <v/>
      </c>
      <c r="O311" s="31" t="n">
        <v>60.61</v>
      </c>
      <c r="P311" s="31" t="n">
        <v>32.9</v>
      </c>
      <c r="Q311" s="31" t="n">
        <v>247.77</v>
      </c>
      <c r="R311" s="30" t="inlineStr">
        <is>
          <t>Earnings / Momentum Support</t>
        </is>
      </c>
      <c r="S311" s="30" t="inlineStr">
        <is>
          <t>Nifty 50</t>
        </is>
      </c>
      <c r="T311" s="31" t="n">
        <v>-4.38</v>
      </c>
      <c r="U311" s="31" t="n">
        <v>50.18</v>
      </c>
      <c r="V311" s="31" t="n">
        <v>57.06</v>
      </c>
      <c r="W311" s="31" t="n">
        <v>15.99</v>
      </c>
      <c r="X311" s="30" t="inlineStr">
        <is>
          <t>Growing Industry</t>
        </is>
      </c>
      <c r="Y311" s="30">
        <f>IF(X311="Growing Industry",10,IF(X311="Cyclical in an Upturn",5,0))</f>
        <v/>
      </c>
      <c r="Z311" s="30" t="inlineStr">
        <is>
          <t>Too Many Players with High ROCE</t>
        </is>
      </c>
      <c r="AA311" s="30">
        <f>IF(Z311="Monopoly",10,IF(Z311="Oligopoly",5,IF(Z311="Duopoly that cooperate",10,IF(Z311="Duopoly that compete",5,IF(Z311="Too many players with High ROCE",5,0)))))</f>
        <v/>
      </c>
      <c r="AB311" s="30" t="inlineStr">
        <is>
          <t>No</t>
        </is>
      </c>
      <c r="AC311" s="30">
        <f>IF(AB311="No",5,0)</f>
        <v/>
      </c>
      <c r="AD311" s="30" t="inlineStr">
        <is>
          <t>Tailwind</t>
        </is>
      </c>
      <c r="AE311" s="30">
        <f>IF(AD311="Tailwind",10,0)</f>
        <v/>
      </c>
      <c r="AF311" s="30" t="inlineStr">
        <is>
          <t>Structural (10 Years Consistency)</t>
        </is>
      </c>
      <c r="AG311" s="30">
        <f>IF(AF311="Structural (10 Years Consistency)",10,IF(AF311="Shallow Cyclical (2 to 3 years growth)",5,0))</f>
        <v/>
      </c>
      <c r="AH311" s="30" t="inlineStr">
        <is>
          <t>No</t>
        </is>
      </c>
      <c r="AI311" s="30">
        <f>IF(AH311="Yes due to Product Mix change or Operating Leverage",10,IF(AH311="Yes, these are peak margins",-5,IF(AH311="No",5,0)))</f>
        <v/>
      </c>
      <c r="AJ311" s="30" t="inlineStr">
        <is>
          <t>Stable</t>
        </is>
      </c>
      <c r="AK311" s="30">
        <f>IF(AJ311="Stable",10,0)</f>
        <v/>
      </c>
      <c r="AL311" s="30" t="inlineStr">
        <is>
          <t>Yes</t>
        </is>
      </c>
      <c r="AM311" s="30">
        <f>IF(AL311="Yes",10,0)</f>
        <v/>
      </c>
      <c r="AN311" s="30" t="inlineStr">
        <is>
          <t>B2B</t>
        </is>
      </c>
      <c r="AO311" s="30">
        <f>IF(AN311="B2C",10,IF(AN311="B2B",5,0))</f>
        <v/>
      </c>
      <c r="AP311" s="30" t="inlineStr">
        <is>
          <t>No</t>
        </is>
      </c>
      <c r="AQ311" s="30">
        <f>IF(AP311="Yes",10,0)</f>
        <v/>
      </c>
      <c r="AR311" s="30" t="inlineStr">
        <is>
          <t>Higher One Time, Lower Annuity</t>
        </is>
      </c>
      <c r="AS311" s="30">
        <f>IF(AR311="Fully Annuity",10,IF(AR311="Higher Annuity, Lower One Time",5,IF(AR311="Higher One Time, Lower Annuity",3,0)))</f>
        <v/>
      </c>
      <c r="AT311" s="30" t="inlineStr">
        <is>
          <t>Good</t>
        </is>
      </c>
      <c r="AU311" s="30">
        <f>IF(AT311="Good",10,0)</f>
        <v/>
      </c>
      <c r="AV311" s="30" t="inlineStr">
        <is>
          <t>Yes for more than 2 years</t>
        </is>
      </c>
      <c r="AW311" s="30">
        <f>IF(AV311="Yes for more than 2 years",10,IF(AV311="Yes only for next 1 to 2 years",5,0))</f>
        <v/>
      </c>
      <c r="AX311" s="30" t="inlineStr">
        <is>
          <t>20 to 40</t>
        </is>
      </c>
      <c r="AY311" s="30">
        <f>IF(AX311="Above 40",20,IF(AX311="20 to 40",10,IF(AX311="0 to 20",-5,0)))</f>
        <v/>
      </c>
      <c r="AZ311" s="30" t="inlineStr">
        <is>
          <t>Between 50 to 75</t>
        </is>
      </c>
      <c r="BA311" s="30">
        <f>IF(AZ311="Between 50 to 75",10,IF(AZ311="Above 75",0,0))</f>
        <v/>
      </c>
      <c r="BB311" s="30" t="inlineStr">
        <is>
          <t>Stage 2</t>
        </is>
      </c>
      <c r="BC311" s="30">
        <f>IF(BB311="Stage 2",20,IF(BB311="Stage 1",0,IF(BB311="Stage 3",5,IF(BB311="Stage 4",-5,0))))</f>
        <v/>
      </c>
      <c r="BD311" s="30" t="inlineStr">
        <is>
          <t>Negative Trend</t>
        </is>
      </c>
      <c r="BE311" s="30">
        <f>IF(BD311="Positive Trend",20,IF(BD311="Negative Trend",-10,0))</f>
        <v/>
      </c>
      <c r="BF311" s="30" t="inlineStr">
        <is>
          <t>Uptrend</t>
        </is>
      </c>
      <c r="BG311" s="30">
        <f>IF(BF311="Uptrend",10,IF(BF311="Sideways",5,0))</f>
        <v/>
      </c>
      <c r="BH311" s="30" t="inlineStr">
        <is>
          <t>Uptrend</t>
        </is>
      </c>
      <c r="BI311" s="30">
        <f>IF(BH311="Uptrend",10,IF(BH311="Sideways",5,0))</f>
        <v/>
      </c>
      <c r="BJ311" s="30" t="inlineStr">
        <is>
          <t>Close to 52 week high or retracement</t>
        </is>
      </c>
      <c r="BK311" s="30">
        <f>IF(BJ311="Overhead supply in last 2 years in last 2 years",-5,IF(BJ311="Close to 52 week high or retracement",5,IF(BJ311="Blue sky scenario",10,IF(BJ311="Long term Downtrend",-10,0))))</f>
        <v/>
      </c>
      <c r="BL311" s="30" t="inlineStr">
        <is>
          <t>Yes</t>
        </is>
      </c>
      <c r="BM311" s="30">
        <f>IF(BL311="Yes",10,0)</f>
        <v/>
      </c>
      <c r="BN311" s="30" t="inlineStr">
        <is>
          <t>More than 20%</t>
        </is>
      </c>
      <c r="BO311" s="30">
        <f>IF(BN311="More than 20%",10,IF(BN311="Between 12 to 20%",5,IF(BN311="Less than 12%",0,0)))</f>
        <v/>
      </c>
      <c r="BP311" s="30" t="inlineStr">
        <is>
          <t>No</t>
        </is>
      </c>
      <c r="BQ311" s="30">
        <f>IF(BP311="No",10,0)</f>
        <v/>
      </c>
      <c r="BR311" s="30" t="inlineStr">
        <is>
          <t>No</t>
        </is>
      </c>
      <c r="BS311" s="30">
        <f>IF(BR311="NO",5,0)</f>
        <v/>
      </c>
      <c r="BT311" s="30" t="inlineStr">
        <is>
          <t>Above 2</t>
        </is>
      </c>
      <c r="BU311" s="30">
        <f>IF(BT311="Above 2",0,IF(BT311="Between 1.5 to 2",5,IF(BT311="Less than 1.5",10,0)))</f>
        <v/>
      </c>
      <c r="BV311" s="30" t="inlineStr">
        <is>
          <t>Above 70%</t>
        </is>
      </c>
      <c r="BW311" s="30">
        <f>IF(BV311="Above 70%",10,IF(BV311="Between 50% to 70%",5,IF(BV311="Less than 50%",0,IF(BV311="Negative",-10,IF(BV311="Less than 50% and Borrowings are increasing",-5,0)))))</f>
        <v/>
      </c>
      <c r="BX311" s="30" t="inlineStr">
        <is>
          <t>Less than 0.7</t>
        </is>
      </c>
      <c r="BY311" s="30">
        <f>IF(BX311="More than 1.2",-10,IF(BX311="Between 0.7 to 1.2",0,IF(BX311="Less than 0.7",10,0)))</f>
        <v/>
      </c>
      <c r="BZ311" s="30" t="inlineStr">
        <is>
          <t>No</t>
        </is>
      </c>
      <c r="CA311" s="30">
        <f>IF(BZ311="Yes",-10,0)</f>
        <v/>
      </c>
      <c r="CB311" s="30" t="inlineStr">
        <is>
          <t>Less than 15%</t>
        </is>
      </c>
      <c r="CC311" s="30">
        <f>IF(CB311="More than 15%",-10,IF(CB311="Less than 15%",10,0))</f>
        <v/>
      </c>
      <c r="CD311" s="30" t="inlineStr">
        <is>
          <t>No</t>
        </is>
      </c>
      <c r="CE311" s="30">
        <f>IF(CD311="Yes, more than 10%",-10,IF(CD311="No",10,0))</f>
        <v/>
      </c>
    </row>
    <row r="312">
      <c r="A312" s="30">
        <f>IF(B312=0,"",RANK(B312,$B$2:$B$427,0))</f>
        <v/>
      </c>
      <c r="B312" s="31">
        <f>SUM(N312,Y312,AA312,AC312,AE312,AG312,AI312,AK312,AM312,AO312,AQ312,AS312,AU312,AW312,AY312,BA312,BC312,BE312,BG312,BI312,BK312,BM312,BO312,BQ312,BS312,BU312,BW312,BY312,CA312,CC312,CE312)</f>
        <v/>
      </c>
      <c r="C312" s="32" t="inlineStr">
        <is>
          <t>TIINDIA</t>
        </is>
      </c>
      <c r="D312" s="32" t="inlineStr">
        <is>
          <t>Tube Investments of India Ltd</t>
        </is>
      </c>
      <c r="E312" s="30" t="inlineStr">
        <is>
          <t>industrials</t>
        </is>
      </c>
      <c r="F312" s="30" t="inlineStr">
        <is>
          <t>steel - large</t>
        </is>
      </c>
      <c r="G312" s="30" t="inlineStr">
        <is>
          <t>largecap</t>
        </is>
      </c>
      <c r="H312" s="31" t="n">
        <v>63030.49</v>
      </c>
      <c r="I312" s="31" t="n">
        <v>3285.6</v>
      </c>
      <c r="J312" s="31" t="n">
        <v>0.89</v>
      </c>
      <c r="K312" s="31" t="n">
        <v>265126</v>
      </c>
      <c r="L312" s="30" t="n">
        <v>37</v>
      </c>
      <c r="M312" s="30" t="inlineStr">
        <is>
          <t>Underperforming</t>
        </is>
      </c>
      <c r="N312" s="31">
        <f>IF(M312="Underperforming",-5,IF(L312&gt;=95,15,IF(L312&gt;=90,10,IF(L312&gt;=80,5,0))))</f>
        <v/>
      </c>
      <c r="O312" s="31" t="n">
        <v>66.34999999999999</v>
      </c>
      <c r="P312" s="31" t="n">
        <v>19.57</v>
      </c>
      <c r="Q312" s="31" t="n">
        <v>2608.51</v>
      </c>
      <c r="R312" s="30" t="inlineStr">
        <is>
          <t>Near 52W High Breakout</t>
        </is>
      </c>
      <c r="S312" s="30" t="inlineStr">
        <is>
          <t>Nifty Metal</t>
        </is>
      </c>
      <c r="T312" s="31" t="n">
        <v>42.48</v>
      </c>
      <c r="U312" s="31" t="n">
        <v>12.43</v>
      </c>
      <c r="V312" s="31" t="n">
        <v>-21.09</v>
      </c>
      <c r="W312" s="31" t="n">
        <v>9.67</v>
      </c>
      <c r="X312" s="30" t="inlineStr">
        <is>
          <t>Cyclical in an Upturn</t>
        </is>
      </c>
      <c r="Y312" s="30">
        <f>IF(X312="Growing Industry",10,IF(X312="Cyclical in an Upturn",5,0))</f>
        <v/>
      </c>
      <c r="Z312" s="30" t="inlineStr">
        <is>
          <t>Too Many Players with High ROCE</t>
        </is>
      </c>
      <c r="AA312" s="30">
        <f>IF(Z312="Monopoly",10,IF(Z312="Oligopoly",5,IF(Z312="Duopoly that cooperate",10,IF(Z312="Duopoly that compete",5,IF(Z312="Too many players with High ROCE",5,0)))))</f>
        <v/>
      </c>
      <c r="AB312" s="30" t="inlineStr">
        <is>
          <t>No</t>
        </is>
      </c>
      <c r="AC312" s="30">
        <f>IF(AB312="No",5,0)</f>
        <v/>
      </c>
      <c r="AD312" s="30" t="inlineStr">
        <is>
          <t>Tailwind</t>
        </is>
      </c>
      <c r="AE312" s="30">
        <f>IF(AD312="Tailwind",10,0)</f>
        <v/>
      </c>
      <c r="AF312" s="30" t="inlineStr">
        <is>
          <t>Structural (10 Years Consistency)</t>
        </is>
      </c>
      <c r="AG312" s="30">
        <f>IF(AF312="Structural (10 Years Consistency)",10,IF(AF312="Shallow Cyclical (2 to 3 years growth)",5,0))</f>
        <v/>
      </c>
      <c r="AH312" s="30" t="inlineStr">
        <is>
          <t>No</t>
        </is>
      </c>
      <c r="AI312" s="30">
        <f>IF(AH312="Yes due to Product Mix change or Operating Leverage",10,IF(AH312="Yes, these are peak margins",-5,IF(AH312="No",5,0)))</f>
        <v/>
      </c>
      <c r="AJ312" s="30" t="inlineStr">
        <is>
          <t>Stable</t>
        </is>
      </c>
      <c r="AK312" s="30">
        <f>IF(AJ312="Stable",10,0)</f>
        <v/>
      </c>
      <c r="AL312" s="30" t="inlineStr">
        <is>
          <t>Yes</t>
        </is>
      </c>
      <c r="AM312" s="30">
        <f>IF(AL312="Yes",10,0)</f>
        <v/>
      </c>
      <c r="AN312" s="30" t="inlineStr">
        <is>
          <t>B2B</t>
        </is>
      </c>
      <c r="AO312" s="30">
        <f>IF(AN312="B2C",10,IF(AN312="B2B",5,0))</f>
        <v/>
      </c>
      <c r="AP312" s="30" t="inlineStr">
        <is>
          <t>Yes</t>
        </is>
      </c>
      <c r="AQ312" s="30">
        <f>IF(AP312="Yes",10,0)</f>
        <v/>
      </c>
      <c r="AR312" s="30" t="inlineStr">
        <is>
          <t>Higher One Time, Lower Annuity</t>
        </is>
      </c>
      <c r="AS312" s="30">
        <f>IF(AR312="Fully Annuity",10,IF(AR312="Higher Annuity, Lower One Time",5,IF(AR312="Higher One Time, Lower Annuity",3,0)))</f>
        <v/>
      </c>
      <c r="AT312" s="30" t="inlineStr">
        <is>
          <t>Good</t>
        </is>
      </c>
      <c r="AU312" s="30">
        <f>IF(AT312="Good",10,0)</f>
        <v/>
      </c>
      <c r="AV312" s="30" t="inlineStr">
        <is>
          <t>Yes for more than 2 years</t>
        </is>
      </c>
      <c r="AW312" s="30">
        <f>IF(AV312="Yes for more than 2 years",10,IF(AV312="Yes only for next 1 to 2 years",5,0))</f>
        <v/>
      </c>
      <c r="AX312" s="30" t="inlineStr">
        <is>
          <t>0 to 20</t>
        </is>
      </c>
      <c r="AY312" s="30">
        <f>IF(AX312="Above 40",20,IF(AX312="20 to 40",10,IF(AX312="0 to 20",-5,0)))</f>
        <v/>
      </c>
      <c r="AZ312" s="30" t="inlineStr">
        <is>
          <t>Between 50 to 75</t>
        </is>
      </c>
      <c r="BA312" s="30">
        <f>IF(AZ312="Between 50 to 75",10,IF(AZ312="Above 75",0,0))</f>
        <v/>
      </c>
      <c r="BB312" s="30" t="inlineStr">
        <is>
          <t>Stage 2</t>
        </is>
      </c>
      <c r="BC312" s="30">
        <f>IF(BB312="Stage 2",20,IF(BB312="Stage 1",0,IF(BB312="Stage 3",5,IF(BB312="Stage 4",-5,0))))</f>
        <v/>
      </c>
      <c r="BD312" s="30" t="inlineStr">
        <is>
          <t>Positive Trend</t>
        </is>
      </c>
      <c r="BE312" s="30">
        <f>IF(BD312="Positive Trend",20,IF(BD312="Negative Trend",-10,0))</f>
        <v/>
      </c>
      <c r="BF312" s="30" t="inlineStr">
        <is>
          <t>Uptrend</t>
        </is>
      </c>
      <c r="BG312" s="30">
        <f>IF(BF312="Uptrend",10,IF(BF312="Sideways",5,0))</f>
        <v/>
      </c>
      <c r="BH312" s="30" t="inlineStr">
        <is>
          <t>Uptrend</t>
        </is>
      </c>
      <c r="BI312" s="30">
        <f>IF(BH312="Uptrend",10,IF(BH312="Sideways",5,0))</f>
        <v/>
      </c>
      <c r="BJ312" s="30" t="inlineStr">
        <is>
          <t>Close to 52 week high or retracement</t>
        </is>
      </c>
      <c r="BK312" s="30">
        <f>IF(BJ312="Overhead supply in last 2 years in last 2 years",-5,IF(BJ312="Close to 52 week high or retracement",5,IF(BJ312="Blue sky scenario",10,IF(BJ312="Long term Downtrend",-10,0))))</f>
        <v/>
      </c>
      <c r="BL312" s="30" t="inlineStr">
        <is>
          <t>Yes</t>
        </is>
      </c>
      <c r="BM312" s="30">
        <f>IF(BL312="Yes",10,0)</f>
        <v/>
      </c>
      <c r="BN312" s="30" t="inlineStr">
        <is>
          <t>Less than 12%</t>
        </is>
      </c>
      <c r="BO312" s="30">
        <f>IF(BN312="More than 20%",10,IF(BN312="Between 12 to 20%",5,IF(BN312="Less than 12%",0,0)))</f>
        <v/>
      </c>
      <c r="BP312" s="30" t="inlineStr">
        <is>
          <t>No</t>
        </is>
      </c>
      <c r="BQ312" s="30">
        <f>IF(BP312="No",10,0)</f>
        <v/>
      </c>
      <c r="BR312" s="30" t="inlineStr">
        <is>
          <t>Yes</t>
        </is>
      </c>
      <c r="BS312" s="30">
        <f>IF(BR312="NO",5,0)</f>
        <v/>
      </c>
      <c r="BT312" s="30" t="inlineStr">
        <is>
          <t>Above 2</t>
        </is>
      </c>
      <c r="BU312" s="30">
        <f>IF(BT312="Above 2",0,IF(BT312="Between 1.5 to 2",5,IF(BT312="Less than 1.5",10,0)))</f>
        <v/>
      </c>
      <c r="BV312" s="30" t="inlineStr">
        <is>
          <t>Above 70%</t>
        </is>
      </c>
      <c r="BW312" s="30">
        <f>IF(BV312="Above 70%",10,IF(BV312="Between 50% to 70%",5,IF(BV312="Less than 50%",0,IF(BV312="Negative",-10,IF(BV312="Less than 50% and Borrowings are increasing",-5,0)))))</f>
        <v/>
      </c>
      <c r="BX312" s="30" t="inlineStr">
        <is>
          <t>Less than 0.7</t>
        </is>
      </c>
      <c r="BY312" s="30">
        <f>IF(BX312="More than 1.2",-10,IF(BX312="Between 0.7 to 1.2",0,IF(BX312="Less than 0.7",10,0)))</f>
        <v/>
      </c>
      <c r="BZ312" s="30" t="inlineStr">
        <is>
          <t>No</t>
        </is>
      </c>
      <c r="CA312" s="30">
        <f>IF(BZ312="Yes",-10,0)</f>
        <v/>
      </c>
      <c r="CB312" s="30" t="inlineStr">
        <is>
          <t>Less than 15%</t>
        </is>
      </c>
      <c r="CC312" s="30">
        <f>IF(CB312="More than 15%",-10,IF(CB312="Less than 15%",10,0))</f>
        <v/>
      </c>
      <c r="CD312" s="30" t="inlineStr">
        <is>
          <t>No</t>
        </is>
      </c>
      <c r="CE312" s="30">
        <f>IF(CD312="Yes, more than 10%",-10,IF(CD312="No",10,0))</f>
        <v/>
      </c>
    </row>
    <row r="313">
      <c r="A313" s="30">
        <f>IF(B313=0,"",RANK(B313,$B$2:$B$427,0))</f>
        <v/>
      </c>
      <c r="B313" s="31">
        <f>SUM(N313,Y313,AA313,AC313,AE313,AG313,AI313,AK313,AM313,AO313,AQ313,AS313,AU313,AW313,AY313,BA313,BC313,BE313,BG313,BI313,BK313,BM313,BO313,BQ313,BS313,BU313,BW313,BY313,CA313,CC313,CE313)</f>
        <v/>
      </c>
      <c r="C313" s="30" t="inlineStr">
        <is>
          <t>MSTCLTD</t>
        </is>
      </c>
      <c r="D313" s="30" t="inlineStr">
        <is>
          <t>MSTC Ltd</t>
        </is>
      </c>
      <c r="E313" s="30" t="inlineStr">
        <is>
          <t>i.t</t>
        </is>
      </c>
      <c r="F313" s="30" t="inlineStr">
        <is>
          <t>trading</t>
        </is>
      </c>
      <c r="G313" s="30" t="inlineStr">
        <is>
          <t>smallcap</t>
        </is>
      </c>
      <c r="H313" s="31" t="n">
        <v>4840.7</v>
      </c>
      <c r="I313" s="31" t="n">
        <v>692.75</v>
      </c>
      <c r="J313" s="31" t="n">
        <v>0.75</v>
      </c>
      <c r="K313" s="31" t="n">
        <v>750201</v>
      </c>
      <c r="L313" s="30" t="n">
        <v>77</v>
      </c>
      <c r="M313" s="30" t="inlineStr">
        <is>
          <t>Outperforming</t>
        </is>
      </c>
      <c r="N313" s="31">
        <f>IF(M313="Underperforming",-5,IF(L313&gt;=95,15,IF(L313&gt;=90,10,IF(L313&gt;=80,5,0))))</f>
        <v/>
      </c>
      <c r="O313" s="31" t="n">
        <v>75.39</v>
      </c>
      <c r="P313" s="31" t="n">
        <v>20.4</v>
      </c>
      <c r="Q313" s="31" t="n">
        <v>535.87</v>
      </c>
      <c r="R313" s="30" t="inlineStr">
        <is>
          <t>Volume Spike &amp; Near 52W High Breakout</t>
        </is>
      </c>
      <c r="S313" s="30" t="inlineStr">
        <is>
          <t>Nifty IT</t>
        </is>
      </c>
      <c r="T313" s="31" t="n">
        <v>-29.66</v>
      </c>
      <c r="U313" s="31" t="n">
        <v>40.04</v>
      </c>
      <c r="V313" s="31" t="n">
        <v>99.09</v>
      </c>
      <c r="W313" s="31" t="n">
        <v>23.41</v>
      </c>
      <c r="X313" s="30" t="inlineStr">
        <is>
          <t>Growing Industry</t>
        </is>
      </c>
      <c r="Y313" s="30">
        <f>IF(X313="Growing Industry",10,IF(X313="Cyclical in an Upturn",5,0))</f>
        <v/>
      </c>
      <c r="Z313" s="30" t="inlineStr">
        <is>
          <t>Too Many Players with High ROCE</t>
        </is>
      </c>
      <c r="AA313" s="30">
        <f>IF(Z313="Monopoly",10,IF(Z313="Oligopoly",5,IF(Z313="Duopoly that cooperate",10,IF(Z313="Duopoly that compete",5,IF(Z313="Too many players with High ROCE",5,0)))))</f>
        <v/>
      </c>
      <c r="AB313" s="30" t="inlineStr">
        <is>
          <t>No</t>
        </is>
      </c>
      <c r="AC313" s="30">
        <f>IF(AB313="No",5,0)</f>
        <v/>
      </c>
      <c r="AD313" s="30" t="inlineStr">
        <is>
          <t>Tailwind</t>
        </is>
      </c>
      <c r="AE313" s="30">
        <f>IF(AD313="Tailwind",10,0)</f>
        <v/>
      </c>
      <c r="AF313" s="30" t="inlineStr">
        <is>
          <t>Structural (10 Years Consistency)</t>
        </is>
      </c>
      <c r="AG313" s="30">
        <f>IF(AF313="Structural (10 Years Consistency)",10,IF(AF313="Shallow Cyclical (2 to 3 years growth)",5,0))</f>
        <v/>
      </c>
      <c r="AH313" s="30" t="inlineStr">
        <is>
          <t>No</t>
        </is>
      </c>
      <c r="AI313" s="30">
        <f>IF(AH313="Yes due to Product Mix change or Operating Leverage",10,IF(AH313="Yes, these are peak margins",-5,IF(AH313="No",5,0)))</f>
        <v/>
      </c>
      <c r="AJ313" s="30" t="inlineStr">
        <is>
          <t>Stable</t>
        </is>
      </c>
      <c r="AK313" s="30">
        <f>IF(AJ313="Stable",10,0)</f>
        <v/>
      </c>
      <c r="AL313" s="30" t="inlineStr">
        <is>
          <t>Yes</t>
        </is>
      </c>
      <c r="AM313" s="30">
        <f>IF(AL313="Yes",10,0)</f>
        <v/>
      </c>
      <c r="AN313" s="30" t="inlineStr">
        <is>
          <t>B2B</t>
        </is>
      </c>
      <c r="AO313" s="30">
        <f>IF(AN313="B2C",10,IF(AN313="B2B",5,0))</f>
        <v/>
      </c>
      <c r="AP313" s="30" t="inlineStr">
        <is>
          <t>Yes</t>
        </is>
      </c>
      <c r="AQ313" s="30">
        <f>IF(AP313="Yes",10,0)</f>
        <v/>
      </c>
      <c r="AR313" s="30" t="inlineStr">
        <is>
          <t>Higher One Time, Lower Annuity</t>
        </is>
      </c>
      <c r="AS313" s="30">
        <f>IF(AR313="Fully Annuity",10,IF(AR313="Higher Annuity, Lower One Time",5,IF(AR313="Higher One Time, Lower Annuity",3,0)))</f>
        <v/>
      </c>
      <c r="AT313" s="30" t="inlineStr">
        <is>
          <t>Good</t>
        </is>
      </c>
      <c r="AU313" s="30">
        <f>IF(AT313="Good",10,0)</f>
        <v/>
      </c>
      <c r="AV313" s="30" t="inlineStr">
        <is>
          <t>Yes for more than 2 years</t>
        </is>
      </c>
      <c r="AW313" s="30">
        <f>IF(AV313="Yes for more than 2 years",10,IF(AV313="Yes only for next 1 to 2 years",5,0))</f>
        <v/>
      </c>
      <c r="AX313" s="30" t="inlineStr">
        <is>
          <t>20 to 40</t>
        </is>
      </c>
      <c r="AY313" s="30">
        <f>IF(AX313="Above 40",20,IF(AX313="20 to 40",10,IF(AX313="0 to 20",-5,0)))</f>
        <v/>
      </c>
      <c r="AZ313" s="30" t="inlineStr">
        <is>
          <t>Above 75</t>
        </is>
      </c>
      <c r="BA313" s="30">
        <f>IF(AZ313="Between 50 to 75",10,IF(AZ313="Above 75",0,0))</f>
        <v/>
      </c>
      <c r="BB313" s="30" t="inlineStr">
        <is>
          <t>Stage 2</t>
        </is>
      </c>
      <c r="BC313" s="30">
        <f>IF(BB313="Stage 2",20,IF(BB313="Stage 1",0,IF(BB313="Stage 3",5,IF(BB313="Stage 4",-5,0))))</f>
        <v/>
      </c>
      <c r="BD313" s="30" t="inlineStr">
        <is>
          <t>Positive Trend</t>
        </is>
      </c>
      <c r="BE313" s="30">
        <f>IF(BD313="Positive Trend",20,IF(BD313="Negative Trend",-10,0))</f>
        <v/>
      </c>
      <c r="BF313" s="30" t="inlineStr">
        <is>
          <t>Uptrend</t>
        </is>
      </c>
      <c r="BG313" s="30">
        <f>IF(BF313="Uptrend",10,IF(BF313="Sideways",5,0))</f>
        <v/>
      </c>
      <c r="BH313" s="30" t="inlineStr">
        <is>
          <t>Uptrend</t>
        </is>
      </c>
      <c r="BI313" s="30">
        <f>IF(BH313="Uptrend",10,IF(BH313="Sideways",5,0))</f>
        <v/>
      </c>
      <c r="BJ313" s="30" t="inlineStr">
        <is>
          <t>Close to 52 week high or retracement</t>
        </is>
      </c>
      <c r="BK313" s="30">
        <f>IF(BJ313="Overhead supply in last 2 years in last 2 years",-5,IF(BJ313="Close to 52 week high or retracement",5,IF(BJ313="Blue sky scenario",10,IF(BJ313="Long term Downtrend",-10,0))))</f>
        <v/>
      </c>
      <c r="BL313" s="30" t="inlineStr">
        <is>
          <t>Yes</t>
        </is>
      </c>
      <c r="BM313" s="30">
        <f>IF(BL313="Yes",10,0)</f>
        <v/>
      </c>
      <c r="BN313" s="30" t="inlineStr">
        <is>
          <t>Less than 12%</t>
        </is>
      </c>
      <c r="BO313" s="30">
        <f>IF(BN313="More than 20%",10,IF(BN313="Between 12 to 20%",5,IF(BN313="Less than 12%",0,0)))</f>
        <v/>
      </c>
      <c r="BP313" s="30" t="inlineStr">
        <is>
          <t>No</t>
        </is>
      </c>
      <c r="BQ313" s="30">
        <f>IF(BP313="No",10,0)</f>
        <v/>
      </c>
      <c r="BR313" s="30" t="inlineStr">
        <is>
          <t>No</t>
        </is>
      </c>
      <c r="BS313" s="30">
        <f>IF(BR313="NO",5,0)</f>
        <v/>
      </c>
      <c r="BT313" s="30" t="inlineStr">
        <is>
          <t>Above 2</t>
        </is>
      </c>
      <c r="BU313" s="30">
        <f>IF(BT313="Above 2",0,IF(BT313="Between 1.5 to 2",5,IF(BT313="Less than 1.5",10,0)))</f>
        <v/>
      </c>
      <c r="BV313" s="30" t="inlineStr">
        <is>
          <t>Negative</t>
        </is>
      </c>
      <c r="BW313" s="30">
        <f>IF(BV313="Above 70%",10,IF(BV313="Between 50% to 70%",5,IF(BV313="Less than 50%",0,IF(BV313="Negative",-10,IF(BV313="Less than 50% and Borrowings are increasing",-5,0)))))</f>
        <v/>
      </c>
      <c r="BX313" s="30" t="inlineStr">
        <is>
          <t>Less than 0.7</t>
        </is>
      </c>
      <c r="BY313" s="30">
        <f>IF(BX313="More than 1.2",-10,IF(BX313="Between 0.7 to 1.2",0,IF(BX313="Less than 0.7",10,0)))</f>
        <v/>
      </c>
      <c r="BZ313" s="30" t="inlineStr">
        <is>
          <t>No</t>
        </is>
      </c>
      <c r="CA313" s="30">
        <f>IF(BZ313="Yes",-10,0)</f>
        <v/>
      </c>
      <c r="CB313" s="30" t="inlineStr">
        <is>
          <t>Less than 15%</t>
        </is>
      </c>
      <c r="CC313" s="30">
        <f>IF(CB313="More than 15%",-10,IF(CB313="Less than 15%",10,0))</f>
        <v/>
      </c>
      <c r="CD313" s="30" t="inlineStr">
        <is>
          <t>No</t>
        </is>
      </c>
      <c r="CE313" s="30">
        <f>IF(CD313="Yes, more than 10%",-10,IF(CD313="No",10,0))</f>
        <v/>
      </c>
    </row>
    <row r="314">
      <c r="A314" s="30">
        <f>IF(B314=0,"",RANK(B314,$B$2:$B$427,0))</f>
        <v/>
      </c>
      <c r="B314" s="31">
        <f>SUM(N314,Y314,AA314,AC314,AE314,AG314,AI314,AK314,AM314,AO314,AQ314,AS314,AU314,AW314,AY314,BA314,BC314,BE314,BG314,BI314,BK314,BM314,BO314,BQ314,BS314,BU314,BW314,BY314,CA314,CC314,CE314)</f>
        <v/>
      </c>
      <c r="C314" s="30" t="inlineStr">
        <is>
          <t>TITAN</t>
        </is>
      </c>
      <c r="D314" s="30" t="inlineStr">
        <is>
          <t>Titan Company Limited</t>
        </is>
      </c>
      <c r="E314" s="30" t="inlineStr">
        <is>
          <t>consumer discretionary</t>
        </is>
      </c>
      <c r="F314" s="30" t="inlineStr">
        <is>
          <t>diamond cutting / jewellery</t>
        </is>
      </c>
      <c r="G314" s="30" t="inlineStr">
        <is>
          <t>largecap</t>
        </is>
      </c>
      <c r="H314" s="31" t="n">
        <v>389551.69</v>
      </c>
      <c r="I314" s="31" t="n">
        <v>4419.9</v>
      </c>
      <c r="J314" s="31" t="n">
        <v>0.73</v>
      </c>
      <c r="K314" s="31" t="n">
        <v>941346</v>
      </c>
      <c r="L314" s="30" t="n">
        <v>23</v>
      </c>
      <c r="M314" s="30" t="inlineStr">
        <is>
          <t>Outperforming</t>
        </is>
      </c>
      <c r="N314" s="31">
        <f>IF(M314="Underperforming",-5,IF(L314&gt;=95,15,IF(L314&gt;=90,10,IF(L314&gt;=80,5,0))))</f>
        <v/>
      </c>
      <c r="O314" s="31" t="n">
        <v>58.53</v>
      </c>
      <c r="P314" s="31" t="n">
        <v>12.23</v>
      </c>
      <c r="Q314" s="31" t="n">
        <v>3832.95</v>
      </c>
      <c r="R314" s="30" t="inlineStr">
        <is>
          <t>Near 52W High Breakout</t>
        </is>
      </c>
      <c r="S314" s="30" t="inlineStr">
        <is>
          <t>Nifty 50</t>
        </is>
      </c>
      <c r="T314" s="31" t="n">
        <v>-4.38</v>
      </c>
      <c r="U314" s="31" t="n">
        <v>25.98</v>
      </c>
      <c r="V314" s="31" t="n">
        <v>31.75</v>
      </c>
      <c r="W314" s="31" t="n">
        <v>6.38</v>
      </c>
      <c r="X314" s="30" t="inlineStr">
        <is>
          <t>Growing Industry</t>
        </is>
      </c>
      <c r="Y314" s="30">
        <f>IF(X314="Growing Industry",10,IF(X314="Cyclical in an Upturn",5,0))</f>
        <v/>
      </c>
      <c r="Z314" s="30" t="inlineStr">
        <is>
          <t>Too Many Players with High ROCE</t>
        </is>
      </c>
      <c r="AA314" s="30">
        <f>IF(Z314="Monopoly",10,IF(Z314="Oligopoly",5,IF(Z314="Duopoly that cooperate",10,IF(Z314="Duopoly that compete",5,IF(Z314="Too many players with High ROCE",5,0)))))</f>
        <v/>
      </c>
      <c r="AB314" s="30" t="inlineStr">
        <is>
          <t>No</t>
        </is>
      </c>
      <c r="AC314" s="30">
        <f>IF(AB314="No",5,0)</f>
        <v/>
      </c>
      <c r="AD314" s="30" t="inlineStr">
        <is>
          <t>Tailwind</t>
        </is>
      </c>
      <c r="AE314" s="30">
        <f>IF(AD314="Tailwind",10,0)</f>
        <v/>
      </c>
      <c r="AF314" s="30" t="inlineStr">
        <is>
          <t>Structural (10 Years Consistency)</t>
        </is>
      </c>
      <c r="AG314" s="30">
        <f>IF(AF314="Structural (10 Years Consistency)",10,IF(AF314="Shallow Cyclical (2 to 3 years growth)",5,0))</f>
        <v/>
      </c>
      <c r="AH314" s="30" t="inlineStr">
        <is>
          <t>No</t>
        </is>
      </c>
      <c r="AI314" s="30">
        <f>IF(AH314="Yes due to Product Mix change or Operating Leverage",10,IF(AH314="Yes, these are peak margins",-5,IF(AH314="No",5,0)))</f>
        <v/>
      </c>
      <c r="AJ314" s="30" t="inlineStr">
        <is>
          <t>Stable</t>
        </is>
      </c>
      <c r="AK314" s="30">
        <f>IF(AJ314="Stable",10,0)</f>
        <v/>
      </c>
      <c r="AL314" s="30" t="inlineStr">
        <is>
          <t>Yes</t>
        </is>
      </c>
      <c r="AM314" s="30">
        <f>IF(AL314="Yes",10,0)</f>
        <v/>
      </c>
      <c r="AN314" s="30" t="inlineStr">
        <is>
          <t>B2B</t>
        </is>
      </c>
      <c r="AO314" s="30">
        <f>IF(AN314="B2C",10,IF(AN314="B2B",5,0))</f>
        <v/>
      </c>
      <c r="AP314" s="30" t="inlineStr">
        <is>
          <t>Yes</t>
        </is>
      </c>
      <c r="AQ314" s="30">
        <f>IF(AP314="Yes",10,0)</f>
        <v/>
      </c>
      <c r="AR314" s="30" t="inlineStr">
        <is>
          <t>Higher One Time, Lower Annuity</t>
        </is>
      </c>
      <c r="AS314" s="30">
        <f>IF(AR314="Fully Annuity",10,IF(AR314="Higher Annuity, Lower One Time",5,IF(AR314="Higher One Time, Lower Annuity",3,0)))</f>
        <v/>
      </c>
      <c r="AT314" s="30" t="inlineStr">
        <is>
          <t>Good</t>
        </is>
      </c>
      <c r="AU314" s="30">
        <f>IF(AT314="Good",10,0)</f>
        <v/>
      </c>
      <c r="AV314" s="30" t="inlineStr">
        <is>
          <t>Yes for more than 2 years</t>
        </is>
      </c>
      <c r="AW314" s="30">
        <f>IF(AV314="Yes for more than 2 years",10,IF(AV314="Yes only for next 1 to 2 years",5,0))</f>
        <v/>
      </c>
      <c r="AX314" s="30" t="inlineStr">
        <is>
          <t>0 to 20</t>
        </is>
      </c>
      <c r="AY314" s="30">
        <f>IF(AX314="Above 40",20,IF(AX314="20 to 40",10,IF(AX314="0 to 20",-5,0)))</f>
        <v/>
      </c>
      <c r="AZ314" s="30" t="inlineStr">
        <is>
          <t>Between 50 to 75</t>
        </is>
      </c>
      <c r="BA314" s="30">
        <f>IF(AZ314="Between 50 to 75",10,IF(AZ314="Above 75",0,0))</f>
        <v/>
      </c>
      <c r="BB314" s="30" t="inlineStr">
        <is>
          <t>Stage 2</t>
        </is>
      </c>
      <c r="BC314" s="30">
        <f>IF(BB314="Stage 2",20,IF(BB314="Stage 1",0,IF(BB314="Stage 3",5,IF(BB314="Stage 4",-5,0))))</f>
        <v/>
      </c>
      <c r="BD314" s="30" t="inlineStr">
        <is>
          <t>Positive Trend</t>
        </is>
      </c>
      <c r="BE314" s="30">
        <f>IF(BD314="Positive Trend",20,IF(BD314="Negative Trend",-10,0))</f>
        <v/>
      </c>
      <c r="BF314" s="30" t="inlineStr">
        <is>
          <t>Uptrend</t>
        </is>
      </c>
      <c r="BG314" s="30">
        <f>IF(BF314="Uptrend",10,IF(BF314="Sideways",5,0))</f>
        <v/>
      </c>
      <c r="BH314" s="30" t="inlineStr">
        <is>
          <t>Uptrend</t>
        </is>
      </c>
      <c r="BI314" s="30">
        <f>IF(BH314="Uptrend",10,IF(BH314="Sideways",5,0))</f>
        <v/>
      </c>
      <c r="BJ314" s="30" t="inlineStr">
        <is>
          <t>Blue sky scenario</t>
        </is>
      </c>
      <c r="BK314" s="30">
        <f>IF(BJ314="Overhead supply in last 2 years in last 2 years",-5,IF(BJ314="Close to 52 week high or retracement",5,IF(BJ314="Blue sky scenario",10,IF(BJ314="Long term Downtrend",-10,0))))</f>
        <v/>
      </c>
      <c r="BL314" s="30" t="inlineStr">
        <is>
          <t>Yes</t>
        </is>
      </c>
      <c r="BM314" s="30">
        <f>IF(BL314="Yes",10,0)</f>
        <v/>
      </c>
      <c r="BN314" s="30" t="inlineStr">
        <is>
          <t>More than 20%</t>
        </is>
      </c>
      <c r="BO314" s="30">
        <f>IF(BN314="More than 20%",10,IF(BN314="Between 12 to 20%",5,IF(BN314="Less than 12%",0,0)))</f>
        <v/>
      </c>
      <c r="BP314" s="30" t="inlineStr">
        <is>
          <t>No</t>
        </is>
      </c>
      <c r="BQ314" s="30">
        <f>IF(BP314="No",10,0)</f>
        <v/>
      </c>
      <c r="BR314" s="30" t="inlineStr">
        <is>
          <t>Yes</t>
        </is>
      </c>
      <c r="BS314" s="30">
        <f>IF(BR314="NO",5,0)</f>
        <v/>
      </c>
      <c r="BT314" s="30" t="inlineStr">
        <is>
          <t>Above 2</t>
        </is>
      </c>
      <c r="BU314" s="30">
        <f>IF(BT314="Above 2",0,IF(BT314="Between 1.5 to 2",5,IF(BT314="Less than 1.5",10,0)))</f>
        <v/>
      </c>
      <c r="BV314" s="30" t="inlineStr">
        <is>
          <t>Between 50% to 70%</t>
        </is>
      </c>
      <c r="BW314" s="30">
        <f>IF(BV314="Above 70%",10,IF(BV314="Between 50% to 70%",5,IF(BV314="Less than 50%",0,IF(BV314="Negative",-10,IF(BV314="Less than 50% and Borrowings are increasing",-5,0)))))</f>
        <v/>
      </c>
      <c r="BX314" s="30" t="inlineStr">
        <is>
          <t>More than 1.2</t>
        </is>
      </c>
      <c r="BY314" s="30">
        <f>IF(BX314="More than 1.2",-10,IF(BX314="Between 0.7 to 1.2",0,IF(BX314="Less than 0.7",10,0)))</f>
        <v/>
      </c>
      <c r="BZ314" s="30" t="inlineStr">
        <is>
          <t>No</t>
        </is>
      </c>
      <c r="CA314" s="30">
        <f>IF(BZ314="Yes",-10,0)</f>
        <v/>
      </c>
      <c r="CB314" s="30" t="inlineStr">
        <is>
          <t>Less than 15%</t>
        </is>
      </c>
      <c r="CC314" s="30">
        <f>IF(CB314="More than 15%",-10,IF(CB314="Less than 15%",10,0))</f>
        <v/>
      </c>
      <c r="CD314" s="30" t="inlineStr">
        <is>
          <t>No</t>
        </is>
      </c>
      <c r="CE314" s="30">
        <f>IF(CD314="Yes, more than 10%",-10,IF(CD314="No",10,0))</f>
        <v/>
      </c>
    </row>
    <row r="315">
      <c r="A315" s="30">
        <f>IF(B315=0,"",RANK(B315,$B$2:$B$427,0))</f>
        <v/>
      </c>
      <c r="B315" s="31">
        <f>SUM(N315,Y315,AA315,AC315,AE315,AG315,AI315,AK315,AM315,AO315,AQ315,AS315,AU315,AW315,AY315,BA315,BC315,BE315,BG315,BI315,BK315,BM315,BO315,BQ315,BS315,BU315,BW315,BY315,CA315,CC315,CE315)</f>
        <v/>
      </c>
      <c r="C315" s="32" t="inlineStr">
        <is>
          <t>ELECTHERM</t>
        </is>
      </c>
      <c r="D315" s="32" t="inlineStr">
        <is>
          <t>Electrotherm (india) Limited</t>
        </is>
      </c>
      <c r="E315" s="30" t="inlineStr">
        <is>
          <t>metals &amp; mining</t>
        </is>
      </c>
      <c r="F315" s="30" t="inlineStr">
        <is>
          <t>steel - medium / small</t>
        </is>
      </c>
      <c r="G315" s="30" t="inlineStr">
        <is>
          <t>smallcap</t>
        </is>
      </c>
      <c r="H315" s="31" t="n">
        <v>1378.14</v>
      </c>
      <c r="I315" s="31" t="n">
        <v>1073.7</v>
      </c>
      <c r="J315" s="31" t="n">
        <v>-0.72</v>
      </c>
      <c r="K315" s="31" t="n">
        <v>26332</v>
      </c>
      <c r="L315" s="30" t="n">
        <v>56</v>
      </c>
      <c r="M315" s="30" t="inlineStr">
        <is>
          <t>Underperforming</t>
        </is>
      </c>
      <c r="N315" s="31">
        <f>IF(M315="Underperforming",-5,IF(L315&gt;=95,15,IF(L315&gt;=90,10,IF(L315&gt;=80,5,0))))</f>
        <v/>
      </c>
      <c r="O315" s="31" t="n">
        <v>62.14</v>
      </c>
      <c r="P315" s="31" t="n">
        <v>28.46</v>
      </c>
      <c r="Q315" s="31" t="n">
        <v>761.76</v>
      </c>
      <c r="R315" s="30" t="inlineStr">
        <is>
          <t>Earnings / Momentum Support</t>
        </is>
      </c>
      <c r="S315" s="30" t="inlineStr">
        <is>
          <t>Nifty Metal</t>
        </is>
      </c>
      <c r="T315" s="31" t="n">
        <v>42.48</v>
      </c>
      <c r="U315" s="31" t="n">
        <v>-10.95</v>
      </c>
      <c r="V315" s="31" t="n">
        <v>-37.5</v>
      </c>
      <c r="W315" s="31" t="n">
        <v>14.51</v>
      </c>
      <c r="X315" s="30" t="inlineStr">
        <is>
          <t>Cyclical in an Upturn</t>
        </is>
      </c>
      <c r="Y315" s="30">
        <f>IF(X315="Growing Industry",10,IF(X315="Cyclical in an Upturn",5,0))</f>
        <v/>
      </c>
      <c r="Z315" s="30" t="inlineStr">
        <is>
          <t>Too Many Players with High ROCE</t>
        </is>
      </c>
      <c r="AA315" s="30">
        <f>IF(Z315="Monopoly",10,IF(Z315="Oligopoly",5,IF(Z315="Duopoly that cooperate",10,IF(Z315="Duopoly that compete",5,IF(Z315="Too many players with High ROCE",5,0)))))</f>
        <v/>
      </c>
      <c r="AB315" s="30" t="inlineStr">
        <is>
          <t>No</t>
        </is>
      </c>
      <c r="AC315" s="30">
        <f>IF(AB315="No",5,0)</f>
        <v/>
      </c>
      <c r="AD315" s="30" t="inlineStr">
        <is>
          <t>Tailwind</t>
        </is>
      </c>
      <c r="AE315" s="30">
        <f>IF(AD315="Tailwind",10,0)</f>
        <v/>
      </c>
      <c r="AF315" s="30" t="inlineStr">
        <is>
          <t>Cyclical</t>
        </is>
      </c>
      <c r="AG315" s="30">
        <f>IF(AF315="Structural (10 Years Consistency)",10,IF(AF315="Shallow Cyclical (2 to 3 years growth)",5,0))</f>
        <v/>
      </c>
      <c r="AH315" s="30" t="inlineStr">
        <is>
          <t>No</t>
        </is>
      </c>
      <c r="AI315" s="30">
        <f>IF(AH315="Yes due to Product Mix change or Operating Leverage",10,IF(AH315="Yes, these are peak margins",-5,IF(AH315="No",5,0)))</f>
        <v/>
      </c>
      <c r="AJ315" s="30" t="inlineStr">
        <is>
          <t>Volatile</t>
        </is>
      </c>
      <c r="AK315" s="30">
        <f>IF(AJ315="Stable",10,0)</f>
        <v/>
      </c>
      <c r="AL315" s="30" t="inlineStr">
        <is>
          <t>Yes</t>
        </is>
      </c>
      <c r="AM315" s="30">
        <f>IF(AL315="Yes",10,0)</f>
        <v/>
      </c>
      <c r="AN315" s="30" t="inlineStr">
        <is>
          <t>B2B</t>
        </is>
      </c>
      <c r="AO315" s="30">
        <f>IF(AN315="B2C",10,IF(AN315="B2B",5,0))</f>
        <v/>
      </c>
      <c r="AP315" s="30" t="inlineStr">
        <is>
          <t>No</t>
        </is>
      </c>
      <c r="AQ315" s="30">
        <f>IF(AP315="Yes",10,0)</f>
        <v/>
      </c>
      <c r="AR315" s="30" t="inlineStr">
        <is>
          <t>Higher One Time, Lower Annuity</t>
        </is>
      </c>
      <c r="AS315" s="30">
        <f>IF(AR315="Fully Annuity",10,IF(AR315="Higher Annuity, Lower One Time",5,IF(AR315="Higher One Time, Lower Annuity",3,0)))</f>
        <v/>
      </c>
      <c r="AT315" s="30" t="inlineStr">
        <is>
          <t>Good</t>
        </is>
      </c>
      <c r="AU315" s="30">
        <f>IF(AT315="Good",10,0)</f>
        <v/>
      </c>
      <c r="AV315" s="30" t="inlineStr">
        <is>
          <t>Yes for more than 2 years</t>
        </is>
      </c>
      <c r="AW315" s="30">
        <f>IF(AV315="Yes for more than 2 years",10,IF(AV315="Yes only for next 1 to 2 years",5,0))</f>
        <v/>
      </c>
      <c r="AX315" s="30" t="inlineStr">
        <is>
          <t>20 to 40</t>
        </is>
      </c>
      <c r="AY315" s="30">
        <f>IF(AX315="Above 40",20,IF(AX315="20 to 40",10,IF(AX315="0 to 20",-5,0)))</f>
        <v/>
      </c>
      <c r="AZ315" s="30" t="inlineStr">
        <is>
          <t>Between 50 to 75</t>
        </is>
      </c>
      <c r="BA315" s="30">
        <f>IF(AZ315="Between 50 to 75",10,IF(AZ315="Above 75",0,0))</f>
        <v/>
      </c>
      <c r="BB315" s="30" t="inlineStr">
        <is>
          <t>Stage 2</t>
        </is>
      </c>
      <c r="BC315" s="30">
        <f>IF(BB315="Stage 2",20,IF(BB315="Stage 1",0,IF(BB315="Stage 3",5,IF(BB315="Stage 4",-5,0))))</f>
        <v/>
      </c>
      <c r="BD315" s="30" t="inlineStr">
        <is>
          <t>Positive Trend</t>
        </is>
      </c>
      <c r="BE315" s="30">
        <f>IF(BD315="Positive Trend",20,IF(BD315="Negative Trend",-10,0))</f>
        <v/>
      </c>
      <c r="BF315" s="30" t="inlineStr">
        <is>
          <t>Uptrend</t>
        </is>
      </c>
      <c r="BG315" s="30">
        <f>IF(BF315="Uptrend",10,IF(BF315="Sideways",5,0))</f>
        <v/>
      </c>
      <c r="BH315" s="30" t="inlineStr">
        <is>
          <t>Uptrend</t>
        </is>
      </c>
      <c r="BI315" s="30">
        <f>IF(BH315="Uptrend",10,IF(BH315="Sideways",5,0))</f>
        <v/>
      </c>
      <c r="BJ315" s="30" t="inlineStr">
        <is>
          <t>Close to 52 week high or retracement</t>
        </is>
      </c>
      <c r="BK315" s="30">
        <f>IF(BJ315="Overhead supply in last 2 years in last 2 years",-5,IF(BJ315="Close to 52 week high or retracement",5,IF(BJ315="Blue sky scenario",10,IF(BJ315="Long term Downtrend",-10,0))))</f>
        <v/>
      </c>
      <c r="BL315" s="30" t="inlineStr">
        <is>
          <t>Yes</t>
        </is>
      </c>
      <c r="BM315" s="30">
        <f>IF(BL315="Yes",10,0)</f>
        <v/>
      </c>
      <c r="BN315" s="30" t="inlineStr">
        <is>
          <t>Less than 12%</t>
        </is>
      </c>
      <c r="BO315" s="30">
        <f>IF(BN315="More than 20%",10,IF(BN315="Between 12 to 20%",5,IF(BN315="Less than 12%",0,0)))</f>
        <v/>
      </c>
      <c r="BP315" s="30" t="inlineStr">
        <is>
          <t>No</t>
        </is>
      </c>
      <c r="BQ315" s="30">
        <f>IF(BP315="No",10,0)</f>
        <v/>
      </c>
      <c r="BR315" s="30" t="inlineStr">
        <is>
          <t>No</t>
        </is>
      </c>
      <c r="BS315" s="30">
        <f>IF(BR315="NO",5,0)</f>
        <v/>
      </c>
      <c r="BT315" s="30" t="inlineStr">
        <is>
          <t>Less than 1.5</t>
        </is>
      </c>
      <c r="BU315" s="30">
        <f>IF(BT315="Above 2",0,IF(BT315="Between 1.5 to 2",5,IF(BT315="Less than 1.5",10,0)))</f>
        <v/>
      </c>
      <c r="BV315" s="30" t="inlineStr">
        <is>
          <t>Above 70%</t>
        </is>
      </c>
      <c r="BW315" s="30">
        <f>IF(BV315="Above 70%",10,IF(BV315="Between 50% to 70%",5,IF(BV315="Less than 50%",0,IF(BV315="Negative",-10,IF(BV315="Less than 50% and Borrowings are increasing",-5,0)))))</f>
        <v/>
      </c>
      <c r="BX315" s="30" t="inlineStr">
        <is>
          <t>Less than 0.7</t>
        </is>
      </c>
      <c r="BY315" s="30">
        <f>IF(BX315="More than 1.2",-10,IF(BX315="Between 0.7 to 1.2",0,IF(BX315="Less than 0.7",10,0)))</f>
        <v/>
      </c>
      <c r="BZ315" s="30" t="inlineStr">
        <is>
          <t>No</t>
        </is>
      </c>
      <c r="CA315" s="30">
        <f>IF(BZ315="Yes",-10,0)</f>
        <v/>
      </c>
      <c r="CB315" s="30" t="inlineStr">
        <is>
          <t>Less than 15%</t>
        </is>
      </c>
      <c r="CC315" s="30">
        <f>IF(CB315="More than 15%",-10,IF(CB315="Less than 15%",10,0))</f>
        <v/>
      </c>
      <c r="CD315" s="30" t="inlineStr">
        <is>
          <t>No</t>
        </is>
      </c>
      <c r="CE315" s="30">
        <f>IF(CD315="Yes, more than 10%",-10,IF(CD315="No",10,0))</f>
        <v/>
      </c>
    </row>
    <row r="316">
      <c r="A316" s="30">
        <f>IF(B316=0,"",RANK(B316,$B$2:$B$427,0))</f>
        <v/>
      </c>
      <c r="B316" s="31">
        <f>SUM(N316,Y316,AA316,AC316,AE316,AG316,AI316,AK316,AM316,AO316,AQ316,AS316,AU316,AW316,AY316,BA316,BC316,BE316,BG316,BI316,BK316,BM316,BO316,BQ316,BS316,BU316,BW316,BY316,CA316,CC316,CE316)</f>
        <v/>
      </c>
      <c r="C316" s="30" t="inlineStr">
        <is>
          <t>LOKESHMACH</t>
        </is>
      </c>
      <c r="D316" s="30" t="inlineStr">
        <is>
          <t>Lokesh Machines Limited</t>
        </is>
      </c>
      <c r="E316" s="30" t="inlineStr">
        <is>
          <t>industrials</t>
        </is>
      </c>
      <c r="F316" s="30" t="inlineStr">
        <is>
          <t>engineering</t>
        </is>
      </c>
      <c r="G316" s="30" t="inlineStr">
        <is>
          <t>smallcap</t>
        </is>
      </c>
      <c r="H316" s="31" t="n">
        <v>585.66</v>
      </c>
      <c r="I316" s="31" t="n">
        <v>270.25</v>
      </c>
      <c r="J316" s="31" t="n">
        <v>-1.73</v>
      </c>
      <c r="K316" s="31" t="n">
        <v>20309</v>
      </c>
      <c r="L316" s="30" t="n">
        <v>66</v>
      </c>
      <c r="M316" s="30" t="inlineStr">
        <is>
          <t>Outperforming</t>
        </is>
      </c>
      <c r="N316" s="31">
        <f>IF(M316="Underperforming",-5,IF(L316&gt;=95,15,IF(L316&gt;=90,10,IF(L316&gt;=80,5,0))))</f>
        <v/>
      </c>
      <c r="O316" s="31" t="n">
        <v>63.53</v>
      </c>
      <c r="P316" s="31" t="n">
        <v>38.39</v>
      </c>
      <c r="Q316" s="31" t="n">
        <v>195.41</v>
      </c>
      <c r="R316" s="30" t="inlineStr">
        <is>
          <t>Near 52W High Breakout</t>
        </is>
      </c>
      <c r="S316" s="30" t="inlineStr">
        <is>
          <t>Nifty 50</t>
        </is>
      </c>
      <c r="T316" s="31" t="n">
        <v>-4.38</v>
      </c>
      <c r="U316" s="31" t="n">
        <v>62.51</v>
      </c>
      <c r="V316" s="31" t="n">
        <v>69.95</v>
      </c>
      <c r="W316" s="31" t="n">
        <v>18.44</v>
      </c>
      <c r="X316" s="30" t="inlineStr">
        <is>
          <t>Cyclical in an Upturn</t>
        </is>
      </c>
      <c r="Y316" s="30">
        <f>IF(X316="Growing Industry",10,IF(X316="Cyclical in an Upturn",5,0))</f>
        <v/>
      </c>
      <c r="Z316" s="30" t="inlineStr">
        <is>
          <t>Too Many Players with High ROCE</t>
        </is>
      </c>
      <c r="AA316" s="30">
        <f>IF(Z316="Monopoly",10,IF(Z316="Oligopoly",5,IF(Z316="Duopoly that cooperate",10,IF(Z316="Duopoly that compete",5,IF(Z316="Too many players with High ROCE",5,0)))))</f>
        <v/>
      </c>
      <c r="AB316" s="30" t="inlineStr">
        <is>
          <t>No</t>
        </is>
      </c>
      <c r="AC316" s="30">
        <f>IF(AB316="No",5,0)</f>
        <v/>
      </c>
      <c r="AD316" s="30" t="inlineStr">
        <is>
          <t>Tailwind</t>
        </is>
      </c>
      <c r="AE316" s="30">
        <f>IF(AD316="Tailwind",10,0)</f>
        <v/>
      </c>
      <c r="AF316" s="30" t="inlineStr">
        <is>
          <t>Structural (10 Years Consistency)</t>
        </is>
      </c>
      <c r="AG316" s="30">
        <f>IF(AF316="Structural (10 Years Consistency)",10,IF(AF316="Shallow Cyclical (2 to 3 years growth)",5,0))</f>
        <v/>
      </c>
      <c r="AH316" s="30" t="inlineStr">
        <is>
          <t>No</t>
        </is>
      </c>
      <c r="AI316" s="30">
        <f>IF(AH316="Yes due to Product Mix change or Operating Leverage",10,IF(AH316="Yes, these are peak margins",-5,IF(AH316="No",5,0)))</f>
        <v/>
      </c>
      <c r="AJ316" s="30" t="inlineStr">
        <is>
          <t>Stable</t>
        </is>
      </c>
      <c r="AK316" s="30">
        <f>IF(AJ316="Stable",10,0)</f>
        <v/>
      </c>
      <c r="AL316" s="30" t="inlineStr">
        <is>
          <t>Yes</t>
        </is>
      </c>
      <c r="AM316" s="30">
        <f>IF(AL316="Yes",10,0)</f>
        <v/>
      </c>
      <c r="AN316" s="30" t="inlineStr">
        <is>
          <t>B2B</t>
        </is>
      </c>
      <c r="AO316" s="30">
        <f>IF(AN316="B2C",10,IF(AN316="B2B",5,0))</f>
        <v/>
      </c>
      <c r="AP316" s="30" t="inlineStr">
        <is>
          <t>Yes</t>
        </is>
      </c>
      <c r="AQ316" s="30">
        <f>IF(AP316="Yes",10,0)</f>
        <v/>
      </c>
      <c r="AR316" s="30" t="inlineStr">
        <is>
          <t>Higher One Time, Lower Annuity</t>
        </is>
      </c>
      <c r="AS316" s="30">
        <f>IF(AR316="Fully Annuity",10,IF(AR316="Higher Annuity, Lower One Time",5,IF(AR316="Higher One Time, Lower Annuity",3,0)))</f>
        <v/>
      </c>
      <c r="AT316" s="30" t="inlineStr">
        <is>
          <t>Good</t>
        </is>
      </c>
      <c r="AU316" s="30">
        <f>IF(AT316="Good",10,0)</f>
        <v/>
      </c>
      <c r="AV316" s="30" t="inlineStr">
        <is>
          <t>Yes for more than 2 years</t>
        </is>
      </c>
      <c r="AW316" s="30">
        <f>IF(AV316="Yes for more than 2 years",10,IF(AV316="Yes only for next 1 to 2 years",5,0))</f>
        <v/>
      </c>
      <c r="AX316" s="30" t="inlineStr">
        <is>
          <t>20 to 40</t>
        </is>
      </c>
      <c r="AY316" s="30">
        <f>IF(AX316="Above 40",20,IF(AX316="20 to 40",10,IF(AX316="0 to 20",-5,0)))</f>
        <v/>
      </c>
      <c r="AZ316" s="30" t="inlineStr">
        <is>
          <t>Between 50 to 75</t>
        </is>
      </c>
      <c r="BA316" s="30">
        <f>IF(AZ316="Between 50 to 75",10,IF(AZ316="Above 75",0,0))</f>
        <v/>
      </c>
      <c r="BB316" s="30" t="inlineStr">
        <is>
          <t>Stage 2</t>
        </is>
      </c>
      <c r="BC316" s="30">
        <f>IF(BB316="Stage 2",20,IF(BB316="Stage 1",0,IF(BB316="Stage 3",5,IF(BB316="Stage 4",-5,0))))</f>
        <v/>
      </c>
      <c r="BD316" s="30" t="inlineStr">
        <is>
          <t>Positive Trend</t>
        </is>
      </c>
      <c r="BE316" s="30">
        <f>IF(BD316="Positive Trend",20,IF(BD316="Negative Trend",-10,0))</f>
        <v/>
      </c>
      <c r="BF316" s="30" t="inlineStr">
        <is>
          <t>Uptrend</t>
        </is>
      </c>
      <c r="BG316" s="30">
        <f>IF(BF316="Uptrend",10,IF(BF316="Sideways",5,0))</f>
        <v/>
      </c>
      <c r="BH316" s="30" t="inlineStr">
        <is>
          <t>Uptrend</t>
        </is>
      </c>
      <c r="BI316" s="30">
        <f>IF(BH316="Uptrend",10,IF(BH316="Sideways",5,0))</f>
        <v/>
      </c>
      <c r="BJ316" s="30" t="inlineStr">
        <is>
          <t>Close to 52 week high or retracement</t>
        </is>
      </c>
      <c r="BK316" s="30">
        <f>IF(BJ316="Overhead supply in last 2 years in last 2 years",-5,IF(BJ316="Close to 52 week high or retracement",5,IF(BJ316="Blue sky scenario",10,IF(BJ316="Long term Downtrend",-10,0))))</f>
        <v/>
      </c>
      <c r="BL316" s="30" t="inlineStr">
        <is>
          <t>Yes</t>
        </is>
      </c>
      <c r="BM316" s="30">
        <f>IF(BL316="Yes",10,0)</f>
        <v/>
      </c>
      <c r="BN316" s="30" t="inlineStr">
        <is>
          <t>More than 20%</t>
        </is>
      </c>
      <c r="BO316" s="30">
        <f>IF(BN316="More than 20%",10,IF(BN316="Between 12 to 20%",5,IF(BN316="Less than 12%",0,0)))</f>
        <v/>
      </c>
      <c r="BP316" s="30" t="inlineStr">
        <is>
          <t>No</t>
        </is>
      </c>
      <c r="BQ316" s="30">
        <f>IF(BP316="No",10,0)</f>
        <v/>
      </c>
      <c r="BR316" s="30" t="inlineStr">
        <is>
          <t>Yes</t>
        </is>
      </c>
      <c r="BS316" s="30">
        <f>IF(BR316="NO",5,0)</f>
        <v/>
      </c>
      <c r="BT316" s="30" t="inlineStr">
        <is>
          <t>Above 2</t>
        </is>
      </c>
      <c r="BU316" s="30">
        <f>IF(BT316="Above 2",0,IF(BT316="Between 1.5 to 2",5,IF(BT316="Less than 1.5",10,0)))</f>
        <v/>
      </c>
      <c r="BV316" s="30" t="inlineStr">
        <is>
          <t>Negative</t>
        </is>
      </c>
      <c r="BW316" s="30">
        <f>IF(BV316="Above 70%",10,IF(BV316="Between 50% to 70%",5,IF(BV316="Less than 50%",0,IF(BV316="Negative",-10,IF(BV316="Less than 50% and Borrowings are increasing",-5,0)))))</f>
        <v/>
      </c>
      <c r="BX316" s="30" t="inlineStr">
        <is>
          <t>Between 0.7 to 1.2</t>
        </is>
      </c>
      <c r="BY316" s="30">
        <f>IF(BX316="More than 1.2",-10,IF(BX316="Between 0.7 to 1.2",0,IF(BX316="Less than 0.7",10,0)))</f>
        <v/>
      </c>
      <c r="BZ316" s="30" t="inlineStr">
        <is>
          <t>No</t>
        </is>
      </c>
      <c r="CA316" s="30">
        <f>IF(BZ316="Yes",-10,0)</f>
        <v/>
      </c>
      <c r="CB316" s="30" t="inlineStr">
        <is>
          <t>Less than 15%</t>
        </is>
      </c>
      <c r="CC316" s="30">
        <f>IF(CB316="More than 15%",-10,IF(CB316="Less than 15%",10,0))</f>
        <v/>
      </c>
      <c r="CD316" s="30" t="inlineStr">
        <is>
          <t>No</t>
        </is>
      </c>
      <c r="CE316" s="30">
        <f>IF(CD316="Yes, more than 10%",-10,IF(CD316="No",10,0))</f>
        <v/>
      </c>
    </row>
    <row r="317">
      <c r="A317" s="30">
        <f>IF(B317=0,"",RANK(B317,$B$2:$B$427,0))</f>
        <v/>
      </c>
      <c r="B317" s="31">
        <f>SUM(N317,Y317,AA317,AC317,AE317,AG317,AI317,AK317,AM317,AO317,AQ317,AS317,AU317,AW317,AY317,BA317,BC317,BE317,BG317,BI317,BK317,BM317,BO317,BQ317,BS317,BU317,BW317,BY317,CA317,CC317,CE317)</f>
        <v/>
      </c>
      <c r="C317" s="32" t="inlineStr">
        <is>
          <t>SUNPHARMA</t>
        </is>
      </c>
      <c r="D317" s="32" t="inlineStr">
        <is>
          <t>Sun Pharmaceuticals Industries Limited</t>
        </is>
      </c>
      <c r="E317" s="30" t="inlineStr">
        <is>
          <t>healthcare</t>
        </is>
      </c>
      <c r="F317" s="30" t="inlineStr">
        <is>
          <t>pharmaceuticals - indian - bulk drugs &amp; formln</t>
        </is>
      </c>
      <c r="G317" s="30" t="inlineStr">
        <is>
          <t>largecap</t>
        </is>
      </c>
      <c r="H317" s="31" t="n">
        <v>437830.65</v>
      </c>
      <c r="I317" s="31" t="n">
        <v>1838.3</v>
      </c>
      <c r="J317" s="31" t="n">
        <v>0.74</v>
      </c>
      <c r="K317" s="31" t="n">
        <v>2126703</v>
      </c>
      <c r="L317" s="30" t="n">
        <v>5</v>
      </c>
      <c r="M317" s="30" t="inlineStr">
        <is>
          <t>Underperforming</t>
        </is>
      </c>
      <c r="N317" s="31">
        <f>IF(M317="Underperforming",-5,IF(L317&gt;=95,15,IF(L317&gt;=90,10,IF(L317&gt;=80,5,0))))</f>
        <v/>
      </c>
      <c r="O317" s="31" t="n">
        <v>57.82</v>
      </c>
      <c r="P317" s="31" t="n">
        <v>14.02</v>
      </c>
      <c r="Q317" s="31" t="n">
        <v>1639.81</v>
      </c>
      <c r="R317" s="30" t="inlineStr">
        <is>
          <t>Near 52W High Breakout</t>
        </is>
      </c>
      <c r="S317" s="30" t="inlineStr">
        <is>
          <t>Nifty Pharma</t>
        </is>
      </c>
      <c r="T317" s="31" t="n">
        <v>13.17</v>
      </c>
      <c r="U317" s="31" t="n">
        <v>11.48</v>
      </c>
      <c r="V317" s="31" t="n">
        <v>-1.49</v>
      </c>
      <c r="W317" s="31" t="n">
        <v>2.91</v>
      </c>
      <c r="X317" s="30" t="inlineStr">
        <is>
          <t>Growing Industry</t>
        </is>
      </c>
      <c r="Y317" s="30">
        <f>IF(X317="Growing Industry",10,IF(X317="Cyclical in an Upturn",5,0))</f>
        <v/>
      </c>
      <c r="Z317" s="30" t="inlineStr">
        <is>
          <t>Too Many Players with High ROCE</t>
        </is>
      </c>
      <c r="AA317" s="30">
        <f>IF(Z317="Monopoly",10,IF(Z317="Oligopoly",5,IF(Z317="Duopoly that cooperate",10,IF(Z317="Duopoly that compete",5,IF(Z317="Too many players with High ROCE",5,0)))))</f>
        <v/>
      </c>
      <c r="AB317" s="30" t="inlineStr">
        <is>
          <t>Yes</t>
        </is>
      </c>
      <c r="AC317" s="30">
        <f>IF(AB317="No",5,0)</f>
        <v/>
      </c>
      <c r="AD317" s="30" t="inlineStr">
        <is>
          <t>Tailwind</t>
        </is>
      </c>
      <c r="AE317" s="30">
        <f>IF(AD317="Tailwind",10,0)</f>
        <v/>
      </c>
      <c r="AF317" s="30" t="inlineStr">
        <is>
          <t>Structural (10 Years Consistency)</t>
        </is>
      </c>
      <c r="AG317" s="30">
        <f>IF(AF317="Structural (10 Years Consistency)",10,IF(AF317="Shallow Cyclical (2 to 3 years growth)",5,0))</f>
        <v/>
      </c>
      <c r="AH317" s="30" t="inlineStr">
        <is>
          <t>No</t>
        </is>
      </c>
      <c r="AI317" s="30">
        <f>IF(AH317="Yes due to Product Mix change or Operating Leverage",10,IF(AH317="Yes, these are peak margins",-5,IF(AH317="No",5,0)))</f>
        <v/>
      </c>
      <c r="AJ317" s="30" t="inlineStr">
        <is>
          <t>Stable</t>
        </is>
      </c>
      <c r="AK317" s="30">
        <f>IF(AJ317="Stable",10,0)</f>
        <v/>
      </c>
      <c r="AL317" s="30" t="inlineStr">
        <is>
          <t>Yes</t>
        </is>
      </c>
      <c r="AM317" s="30">
        <f>IF(AL317="Yes",10,0)</f>
        <v/>
      </c>
      <c r="AN317" s="30" t="inlineStr">
        <is>
          <t>B2B</t>
        </is>
      </c>
      <c r="AO317" s="30">
        <f>IF(AN317="B2C",10,IF(AN317="B2B",5,0))</f>
        <v/>
      </c>
      <c r="AP317" s="30" t="inlineStr">
        <is>
          <t>Yes</t>
        </is>
      </c>
      <c r="AQ317" s="30">
        <f>IF(AP317="Yes",10,0)</f>
        <v/>
      </c>
      <c r="AR317" s="30" t="inlineStr">
        <is>
          <t>Higher Annuity, Lower One Time</t>
        </is>
      </c>
      <c r="AS317" s="30">
        <f>IF(AR317="Fully Annuity",10,IF(AR317="Higher Annuity, Lower One Time",5,IF(AR317="Higher One Time, Lower Annuity",3,0)))</f>
        <v/>
      </c>
      <c r="AT317" s="30" t="inlineStr">
        <is>
          <t>Good</t>
        </is>
      </c>
      <c r="AU317" s="30">
        <f>IF(AT317="Good",10,0)</f>
        <v/>
      </c>
      <c r="AV317" s="30" t="inlineStr">
        <is>
          <t>Yes for more than 2 years</t>
        </is>
      </c>
      <c r="AW317" s="30">
        <f>IF(AV317="Yes for more than 2 years",10,IF(AV317="Yes only for next 1 to 2 years",5,0))</f>
        <v/>
      </c>
      <c r="AX317" s="30" t="inlineStr">
        <is>
          <t>0 to 20</t>
        </is>
      </c>
      <c r="AY317" s="30">
        <f>IF(AX317="Above 40",20,IF(AX317="20 to 40",10,IF(AX317="0 to 20",-5,0)))</f>
        <v/>
      </c>
      <c r="AZ317" s="30" t="inlineStr">
        <is>
          <t>Between 50 to 75</t>
        </is>
      </c>
      <c r="BA317" s="30">
        <f>IF(AZ317="Between 50 to 75",10,IF(AZ317="Above 75",0,0))</f>
        <v/>
      </c>
      <c r="BB317" s="30" t="inlineStr">
        <is>
          <t>Stage 2</t>
        </is>
      </c>
      <c r="BC317" s="30">
        <f>IF(BB317="Stage 2",20,IF(BB317="Stage 1",0,IF(BB317="Stage 3",5,IF(BB317="Stage 4",-5,0))))</f>
        <v/>
      </c>
      <c r="BD317" s="30" t="inlineStr">
        <is>
          <t>Negative Trend</t>
        </is>
      </c>
      <c r="BE317" s="30">
        <f>IF(BD317="Positive Trend",20,IF(BD317="Negative Trend",-10,0))</f>
        <v/>
      </c>
      <c r="BF317" s="30" t="inlineStr">
        <is>
          <t>Uptrend</t>
        </is>
      </c>
      <c r="BG317" s="30">
        <f>IF(BF317="Uptrend",10,IF(BF317="Sideways",5,0))</f>
        <v/>
      </c>
      <c r="BH317" s="30" t="inlineStr">
        <is>
          <t>Uptrend</t>
        </is>
      </c>
      <c r="BI317" s="30">
        <f>IF(BH317="Uptrend",10,IF(BH317="Sideways",5,0))</f>
        <v/>
      </c>
      <c r="BJ317" s="30" t="inlineStr">
        <is>
          <t>Blue sky scenario</t>
        </is>
      </c>
      <c r="BK317" s="30">
        <f>IF(BJ317="Overhead supply in last 2 years in last 2 years",-5,IF(BJ317="Close to 52 week high or retracement",5,IF(BJ317="Blue sky scenario",10,IF(BJ317="Long term Downtrend",-10,0))))</f>
        <v/>
      </c>
      <c r="BL317" s="30" t="inlineStr">
        <is>
          <t>Yes</t>
        </is>
      </c>
      <c r="BM317" s="30">
        <f>IF(BL317="Yes",10,0)</f>
        <v/>
      </c>
      <c r="BN317" s="30" t="inlineStr">
        <is>
          <t>More than 20%</t>
        </is>
      </c>
      <c r="BO317" s="30">
        <f>IF(BN317="More than 20%",10,IF(BN317="Between 12 to 20%",5,IF(BN317="Less than 12%",0,0)))</f>
        <v/>
      </c>
      <c r="BP317" s="30" t="inlineStr">
        <is>
          <t>No</t>
        </is>
      </c>
      <c r="BQ317" s="30">
        <f>IF(BP317="No",10,0)</f>
        <v/>
      </c>
      <c r="BR317" s="30" t="inlineStr">
        <is>
          <t>No</t>
        </is>
      </c>
      <c r="BS317" s="30">
        <f>IF(BR317="NO",5,0)</f>
        <v/>
      </c>
      <c r="BT317" s="30" t="inlineStr">
        <is>
          <t>Between 1.5 to 2</t>
        </is>
      </c>
      <c r="BU317" s="30">
        <f>IF(BT317="Above 2",0,IF(BT317="Between 1.5 to 2",5,IF(BT317="Less than 1.5",10,0)))</f>
        <v/>
      </c>
      <c r="BV317" s="30" t="inlineStr">
        <is>
          <t>Above 70%</t>
        </is>
      </c>
      <c r="BW317" s="30">
        <f>IF(BV317="Above 70%",10,IF(BV317="Between 50% to 70%",5,IF(BV317="Less than 50%",0,IF(BV317="Negative",-10,IF(BV317="Less than 50% and Borrowings are increasing",-5,0)))))</f>
        <v/>
      </c>
      <c r="BX317" s="30" t="inlineStr">
        <is>
          <t>Less than 0.7</t>
        </is>
      </c>
      <c r="BY317" s="30">
        <f>IF(BX317="More than 1.2",-10,IF(BX317="Between 0.7 to 1.2",0,IF(BX317="Less than 0.7",10,0)))</f>
        <v/>
      </c>
      <c r="BZ317" s="30" t="inlineStr">
        <is>
          <t>No</t>
        </is>
      </c>
      <c r="CA317" s="30">
        <f>IF(BZ317="Yes",-10,0)</f>
        <v/>
      </c>
      <c r="CB317" s="30" t="inlineStr">
        <is>
          <t>Less than 15%</t>
        </is>
      </c>
      <c r="CC317" s="30">
        <f>IF(CB317="More than 15%",-10,IF(CB317="Less than 15%",10,0))</f>
        <v/>
      </c>
      <c r="CD317" s="30" t="inlineStr">
        <is>
          <t>No</t>
        </is>
      </c>
      <c r="CE317" s="30">
        <f>IF(CD317="Yes, more than 10%",-10,IF(CD317="No",10,0))</f>
        <v/>
      </c>
    </row>
    <row r="318">
      <c r="A318" s="30">
        <f>IF(B318=0,"",RANK(B318,$B$2:$B$427,0))</f>
        <v/>
      </c>
      <c r="B318" s="31">
        <f>SUM(N318,Y318,AA318,AC318,AE318,AG318,AI318,AK318,AM318,AO318,AQ318,AS318,AU318,AW318,AY318,BA318,BC318,BE318,BG318,BI318,BK318,BM318,BO318,BQ318,BS318,BU318,BW318,BY318,CA318,CC318,CE318)</f>
        <v/>
      </c>
      <c r="C318" s="30" t="inlineStr">
        <is>
          <t>YATHARTH</t>
        </is>
      </c>
      <c r="D318" s="30" t="inlineStr">
        <is>
          <t>Yatharth Hospital &amp; Trauma Care Services Ltd</t>
        </is>
      </c>
      <c r="E318" s="30" t="inlineStr">
        <is>
          <t>healthcare</t>
        </is>
      </c>
      <c r="F318" s="30" t="inlineStr">
        <is>
          <t>healthcare</t>
        </is>
      </c>
      <c r="G318" s="30" t="inlineStr">
        <is>
          <t>midcap</t>
        </is>
      </c>
      <c r="H318" s="31" t="n">
        <v>8143.39</v>
      </c>
      <c r="I318" s="31" t="n">
        <v>839.75</v>
      </c>
      <c r="J318" s="31" t="n">
        <v>-0.64</v>
      </c>
      <c r="K318" s="31" t="n">
        <v>291652</v>
      </c>
      <c r="L318" s="30" t="n">
        <v>68</v>
      </c>
      <c r="M318" s="30" t="inlineStr">
        <is>
          <t>Outperforming</t>
        </is>
      </c>
      <c r="N318" s="31">
        <f>IF(M318="Underperforming",-5,IF(L318&gt;=95,15,IF(L318&gt;=90,10,IF(L318&gt;=80,5,0))))</f>
        <v/>
      </c>
      <c r="O318" s="31" t="n">
        <v>60.12</v>
      </c>
      <c r="P318" s="31" t="n">
        <v>26.76</v>
      </c>
      <c r="Q318" s="31" t="n">
        <v>670.84</v>
      </c>
      <c r="R318" s="30" t="inlineStr">
        <is>
          <t>Near 52W High Breakout</t>
        </is>
      </c>
      <c r="S318" s="30" t="inlineStr">
        <is>
          <t>Nifty Pharma</t>
        </is>
      </c>
      <c r="T318" s="31" t="n">
        <v>13.17</v>
      </c>
      <c r="U318" s="31" t="n">
        <v>63.34</v>
      </c>
      <c r="V318" s="31" t="n">
        <v>44.33</v>
      </c>
      <c r="W318" s="31" t="n">
        <v>19.03</v>
      </c>
      <c r="X318" s="30" t="inlineStr">
        <is>
          <t>Growing Industry</t>
        </is>
      </c>
      <c r="Y318" s="30">
        <f>IF(X318="Growing Industry",10,IF(X318="Cyclical in an Upturn",5,0))</f>
        <v/>
      </c>
      <c r="Z318" s="30" t="inlineStr">
        <is>
          <t>Too Many Players with High ROCE</t>
        </is>
      </c>
      <c r="AA318" s="30">
        <f>IF(Z318="Monopoly",10,IF(Z318="Oligopoly",5,IF(Z318="Duopoly that cooperate",10,IF(Z318="Duopoly that compete",5,IF(Z318="Too many players with High ROCE",5,0)))))</f>
        <v/>
      </c>
      <c r="AB318" s="30" t="inlineStr">
        <is>
          <t>Yes</t>
        </is>
      </c>
      <c r="AC318" s="30">
        <f>IF(AB318="No",5,0)</f>
        <v/>
      </c>
      <c r="AD318" s="30" t="inlineStr">
        <is>
          <t>Tailwind</t>
        </is>
      </c>
      <c r="AE318" s="30">
        <f>IF(AD318="Tailwind",10,0)</f>
        <v/>
      </c>
      <c r="AF318" s="30" t="inlineStr">
        <is>
          <t>Structural (10 Years Consistency)</t>
        </is>
      </c>
      <c r="AG318" s="30">
        <f>IF(AF318="Structural (10 Years Consistency)",10,IF(AF318="Shallow Cyclical (2 to 3 years growth)",5,0))</f>
        <v/>
      </c>
      <c r="AH318" s="30" t="inlineStr">
        <is>
          <t>No</t>
        </is>
      </c>
      <c r="AI318" s="30">
        <f>IF(AH318="Yes due to Product Mix change or Operating Leverage",10,IF(AH318="Yes, these are peak margins",-5,IF(AH318="No",5,0)))</f>
        <v/>
      </c>
      <c r="AJ318" s="30" t="inlineStr">
        <is>
          <t>Stable</t>
        </is>
      </c>
      <c r="AK318" s="30">
        <f>IF(AJ318="Stable",10,0)</f>
        <v/>
      </c>
      <c r="AL318" s="30" t="inlineStr">
        <is>
          <t>Yes</t>
        </is>
      </c>
      <c r="AM318" s="30">
        <f>IF(AL318="Yes",10,0)</f>
        <v/>
      </c>
      <c r="AN318" s="30" t="inlineStr">
        <is>
          <t>B2B</t>
        </is>
      </c>
      <c r="AO318" s="30">
        <f>IF(AN318="B2C",10,IF(AN318="B2B",5,0))</f>
        <v/>
      </c>
      <c r="AP318" s="30" t="inlineStr">
        <is>
          <t>Yes</t>
        </is>
      </c>
      <c r="AQ318" s="30">
        <f>IF(AP318="Yes",10,0)</f>
        <v/>
      </c>
      <c r="AR318" s="30" t="inlineStr">
        <is>
          <t>Higher Annuity, Lower One Time</t>
        </is>
      </c>
      <c r="AS318" s="30">
        <f>IF(AR318="Fully Annuity",10,IF(AR318="Higher Annuity, Lower One Time",5,IF(AR318="Higher One Time, Lower Annuity",3,0)))</f>
        <v/>
      </c>
      <c r="AT318" s="30" t="inlineStr">
        <is>
          <t>Good</t>
        </is>
      </c>
      <c r="AU318" s="30">
        <f>IF(AT318="Good",10,0)</f>
        <v/>
      </c>
      <c r="AV318" s="30" t="inlineStr">
        <is>
          <t>Yes for more than 2 years</t>
        </is>
      </c>
      <c r="AW318" s="30">
        <f>IF(AV318="Yes for more than 2 years",10,IF(AV318="Yes only for next 1 to 2 years",5,0))</f>
        <v/>
      </c>
      <c r="AX318" s="30" t="inlineStr">
        <is>
          <t>20 to 40</t>
        </is>
      </c>
      <c r="AY318" s="30">
        <f>IF(AX318="Above 40",20,IF(AX318="20 to 40",10,IF(AX318="0 to 20",-5,0)))</f>
        <v/>
      </c>
      <c r="AZ318" s="30" t="inlineStr">
        <is>
          <t>Between 50 to 75</t>
        </is>
      </c>
      <c r="BA318" s="30">
        <f>IF(AZ318="Between 50 to 75",10,IF(AZ318="Above 75",0,0))</f>
        <v/>
      </c>
      <c r="BB318" s="30" t="inlineStr">
        <is>
          <t>Stage 2</t>
        </is>
      </c>
      <c r="BC318" s="30">
        <f>IF(BB318="Stage 2",20,IF(BB318="Stage 1",0,IF(BB318="Stage 3",5,IF(BB318="Stage 4",-5,0))))</f>
        <v/>
      </c>
      <c r="BD318" s="30" t="inlineStr">
        <is>
          <t>Negative Trend</t>
        </is>
      </c>
      <c r="BE318" s="30">
        <f>IF(BD318="Positive Trend",20,IF(BD318="Negative Trend",-10,0))</f>
        <v/>
      </c>
      <c r="BF318" s="30" t="inlineStr">
        <is>
          <t>Uptrend</t>
        </is>
      </c>
      <c r="BG318" s="30">
        <f>IF(BF318="Uptrend",10,IF(BF318="Sideways",5,0))</f>
        <v/>
      </c>
      <c r="BH318" s="30" t="inlineStr">
        <is>
          <t>Uptrend</t>
        </is>
      </c>
      <c r="BI318" s="30">
        <f>IF(BH318="Uptrend",10,IF(BH318="Sideways",5,0))</f>
        <v/>
      </c>
      <c r="BJ318" s="30" t="inlineStr">
        <is>
          <t>Blue sky scenario</t>
        </is>
      </c>
      <c r="BK318" s="30">
        <f>IF(BJ318="Overhead supply in last 2 years in last 2 years",-5,IF(BJ318="Close to 52 week high or retracement",5,IF(BJ318="Blue sky scenario",10,IF(BJ318="Long term Downtrend",-10,0))))</f>
        <v/>
      </c>
      <c r="BL318" s="30" t="inlineStr">
        <is>
          <t>Yes</t>
        </is>
      </c>
      <c r="BM318" s="30">
        <f>IF(BL318="Yes",10,0)</f>
        <v/>
      </c>
      <c r="BN318" s="30" t="inlineStr">
        <is>
          <t>Between 12 to 20%</t>
        </is>
      </c>
      <c r="BO318" s="30">
        <f>IF(BN318="More than 20%",10,IF(BN318="Between 12 to 20%",5,IF(BN318="Less than 12%",0,0)))</f>
        <v/>
      </c>
      <c r="BP318" s="30" t="inlineStr">
        <is>
          <t>No</t>
        </is>
      </c>
      <c r="BQ318" s="30">
        <f>IF(BP318="No",10,0)</f>
        <v/>
      </c>
      <c r="BR318" s="30" t="inlineStr">
        <is>
          <t>Yes</t>
        </is>
      </c>
      <c r="BS318" s="30">
        <f>IF(BR318="NO",5,0)</f>
        <v/>
      </c>
      <c r="BT318" s="30" t="inlineStr">
        <is>
          <t>Above 2</t>
        </is>
      </c>
      <c r="BU318" s="30">
        <f>IF(BT318="Above 2",0,IF(BT318="Between 1.5 to 2",5,IF(BT318="Less than 1.5",10,0)))</f>
        <v/>
      </c>
      <c r="BV318" s="30" t="inlineStr">
        <is>
          <t>Between 50% to 70%</t>
        </is>
      </c>
      <c r="BW318" s="30">
        <f>IF(BV318="Above 70%",10,IF(BV318="Between 50% to 70%",5,IF(BV318="Less than 50%",0,IF(BV318="Negative",-10,IF(BV318="Less than 50% and Borrowings are increasing",-5,0)))))</f>
        <v/>
      </c>
      <c r="BX318" s="30" t="inlineStr">
        <is>
          <t>Less than 0.7</t>
        </is>
      </c>
      <c r="BY318" s="30">
        <f>IF(BX318="More than 1.2",-10,IF(BX318="Between 0.7 to 1.2",0,IF(BX318="Less than 0.7",10,0)))</f>
        <v/>
      </c>
      <c r="BZ318" s="30" t="inlineStr">
        <is>
          <t>No</t>
        </is>
      </c>
      <c r="CA318" s="30">
        <f>IF(BZ318="Yes",-10,0)</f>
        <v/>
      </c>
      <c r="CB318" s="30" t="inlineStr">
        <is>
          <t>Less than 15%</t>
        </is>
      </c>
      <c r="CC318" s="30">
        <f>IF(CB318="More than 15%",-10,IF(CB318="Less than 15%",10,0))</f>
        <v/>
      </c>
      <c r="CD318" s="30" t="inlineStr">
        <is>
          <t>No</t>
        </is>
      </c>
      <c r="CE318" s="30">
        <f>IF(CD318="Yes, more than 10%",-10,IF(CD318="No",10,0))</f>
        <v/>
      </c>
    </row>
    <row r="319">
      <c r="A319" s="30">
        <f>IF(B319=0,"",RANK(B319,$B$2:$B$427,0))</f>
        <v/>
      </c>
      <c r="B319" s="31">
        <f>SUM(N319,Y319,AA319,AC319,AE319,AG319,AI319,AK319,AM319,AO319,AQ319,AS319,AU319,AW319,AY319,BA319,BC319,BE319,BG319,BI319,BK319,BM319,BO319,BQ319,BS319,BU319,BW319,BY319,CA319,CC319,CE319)</f>
        <v/>
      </c>
      <c r="C319" s="30" t="inlineStr">
        <is>
          <t>STEELXIND</t>
        </is>
      </c>
      <c r="D319" s="30" t="inlineStr">
        <is>
          <t>Steel Exchange India Ltd</t>
        </is>
      </c>
      <c r="E319" s="30" t="inlineStr">
        <is>
          <t>metals &amp; mining</t>
        </is>
      </c>
      <c r="F319" s="30" t="inlineStr">
        <is>
          <t>steel - medium / small</t>
        </is>
      </c>
      <c r="G319" s="30" t="inlineStr">
        <is>
          <t>smallcap</t>
        </is>
      </c>
      <c r="H319" s="31" t="n">
        <v>1664.55</v>
      </c>
      <c r="I319" s="31" t="n">
        <v>13.39</v>
      </c>
      <c r="J319" s="31" t="n">
        <v>2.61</v>
      </c>
      <c r="K319" s="31" t="n">
        <v>9542689</v>
      </c>
      <c r="L319" s="30" t="n">
        <v>88</v>
      </c>
      <c r="M319" s="30" t="inlineStr">
        <is>
          <t>Outperforming</t>
        </is>
      </c>
      <c r="N319" s="31">
        <f>IF(M319="Underperforming",-5,IF(L319&gt;=95,15,IF(L319&gt;=90,10,IF(L319&gt;=80,5,0))))</f>
        <v/>
      </c>
      <c r="O319" s="31" t="n">
        <v>70.15000000000001</v>
      </c>
      <c r="P319" s="31" t="n">
        <v>24.29</v>
      </c>
      <c r="Q319" s="31" t="n">
        <v>9.279999999999999</v>
      </c>
      <c r="R319" s="30" t="inlineStr">
        <is>
          <t>Volume Spike &amp; Near 52W High Breakout</t>
        </is>
      </c>
      <c r="S319" s="30" t="inlineStr">
        <is>
          <t>Nifty Metal</t>
        </is>
      </c>
      <c r="T319" s="31" t="n">
        <v>42.48</v>
      </c>
      <c r="U319" s="31" t="n">
        <v>65.09999999999999</v>
      </c>
      <c r="V319" s="31" t="n">
        <v>15.88</v>
      </c>
      <c r="W319" s="31" t="n">
        <v>32.09</v>
      </c>
      <c r="X319" s="30" t="inlineStr">
        <is>
          <t>Cyclical in an Upturn</t>
        </is>
      </c>
      <c r="Y319" s="30">
        <f>IF(X319="Growing Industry",10,IF(X319="Cyclical in an Upturn",5,0))</f>
        <v/>
      </c>
      <c r="Z319" s="30" t="inlineStr">
        <is>
          <t>Too Many Players with High ROCE</t>
        </is>
      </c>
      <c r="AA319" s="30">
        <f>IF(Z319="Monopoly",10,IF(Z319="Oligopoly",5,IF(Z319="Duopoly that cooperate",10,IF(Z319="Duopoly that compete",5,IF(Z319="Too many players with High ROCE",5,0)))))</f>
        <v/>
      </c>
      <c r="AB319" s="30" t="inlineStr">
        <is>
          <t>No</t>
        </is>
      </c>
      <c r="AC319" s="30">
        <f>IF(AB319="No",5,0)</f>
        <v/>
      </c>
      <c r="AD319" s="30" t="inlineStr">
        <is>
          <t>Tailwind</t>
        </is>
      </c>
      <c r="AE319" s="30">
        <f>IF(AD319="Tailwind",10,0)</f>
        <v/>
      </c>
      <c r="AF319" s="30" t="inlineStr">
        <is>
          <t>Cyclical</t>
        </is>
      </c>
      <c r="AG319" s="30">
        <f>IF(AF319="Structural (10 Years Consistency)",10,IF(AF319="Shallow Cyclical (2 to 3 years growth)",5,0))</f>
        <v/>
      </c>
      <c r="AH319" s="30" t="inlineStr">
        <is>
          <t>No</t>
        </is>
      </c>
      <c r="AI319" s="30">
        <f>IF(AH319="Yes due to Product Mix change or Operating Leverage",10,IF(AH319="Yes, these are peak margins",-5,IF(AH319="No",5,0)))</f>
        <v/>
      </c>
      <c r="AJ319" s="30" t="inlineStr">
        <is>
          <t>Volatile</t>
        </is>
      </c>
      <c r="AK319" s="30">
        <f>IF(AJ319="Stable",10,0)</f>
        <v/>
      </c>
      <c r="AL319" s="30" t="inlineStr">
        <is>
          <t>Yes</t>
        </is>
      </c>
      <c r="AM319" s="30">
        <f>IF(AL319="Yes",10,0)</f>
        <v/>
      </c>
      <c r="AN319" s="30" t="inlineStr">
        <is>
          <t>B2B</t>
        </is>
      </c>
      <c r="AO319" s="30">
        <f>IF(AN319="B2C",10,IF(AN319="B2B",5,0))</f>
        <v/>
      </c>
      <c r="AP319" s="30" t="inlineStr">
        <is>
          <t>Yes</t>
        </is>
      </c>
      <c r="AQ319" s="30">
        <f>IF(AP319="Yes",10,0)</f>
        <v/>
      </c>
      <c r="AR319" s="30" t="inlineStr">
        <is>
          <t>Higher One Time, Lower Annuity</t>
        </is>
      </c>
      <c r="AS319" s="30">
        <f>IF(AR319="Fully Annuity",10,IF(AR319="Higher Annuity, Lower One Time",5,IF(AR319="Higher One Time, Lower Annuity",3,0)))</f>
        <v/>
      </c>
      <c r="AT319" s="30" t="inlineStr">
        <is>
          <t>Good</t>
        </is>
      </c>
      <c r="AU319" s="30">
        <f>IF(AT319="Good",10,0)</f>
        <v/>
      </c>
      <c r="AV319" s="30" t="inlineStr">
        <is>
          <t>Yes for more than 2 years</t>
        </is>
      </c>
      <c r="AW319" s="30">
        <f>IF(AV319="Yes for more than 2 years",10,IF(AV319="Yes only for next 1 to 2 years",5,0))</f>
        <v/>
      </c>
      <c r="AX319" s="30" t="inlineStr">
        <is>
          <t>20 to 40</t>
        </is>
      </c>
      <c r="AY319" s="30">
        <f>IF(AX319="Above 40",20,IF(AX319="20 to 40",10,IF(AX319="0 to 20",-5,0)))</f>
        <v/>
      </c>
      <c r="AZ319" s="30" t="inlineStr">
        <is>
          <t>Between 50 to 75</t>
        </is>
      </c>
      <c r="BA319" s="30">
        <f>IF(AZ319="Between 50 to 75",10,IF(AZ319="Above 75",0,0))</f>
        <v/>
      </c>
      <c r="BB319" s="30" t="inlineStr">
        <is>
          <t>Stage 2</t>
        </is>
      </c>
      <c r="BC319" s="30">
        <f>IF(BB319="Stage 2",20,IF(BB319="Stage 1",0,IF(BB319="Stage 3",5,IF(BB319="Stage 4",-5,0))))</f>
        <v/>
      </c>
      <c r="BD319" s="30" t="inlineStr">
        <is>
          <t>Positive Trend</t>
        </is>
      </c>
      <c r="BE319" s="30">
        <f>IF(BD319="Positive Trend",20,IF(BD319="Negative Trend",-10,0))</f>
        <v/>
      </c>
      <c r="BF319" s="30" t="inlineStr">
        <is>
          <t>Uptrend</t>
        </is>
      </c>
      <c r="BG319" s="30">
        <f>IF(BF319="Uptrend",10,IF(BF319="Sideways",5,0))</f>
        <v/>
      </c>
      <c r="BH319" s="30" t="inlineStr">
        <is>
          <t>Uptrend</t>
        </is>
      </c>
      <c r="BI319" s="30">
        <f>IF(BH319="Uptrend",10,IF(BH319="Sideways",5,0))</f>
        <v/>
      </c>
      <c r="BJ319" s="30" t="inlineStr">
        <is>
          <t>Close to 52 week high or retracement</t>
        </is>
      </c>
      <c r="BK319" s="30">
        <f>IF(BJ319="Overhead supply in last 2 years in last 2 years",-5,IF(BJ319="Close to 52 week high or retracement",5,IF(BJ319="Blue sky scenario",10,IF(BJ319="Long term Downtrend",-10,0))))</f>
        <v/>
      </c>
      <c r="BL319" s="30" t="inlineStr">
        <is>
          <t>Yes</t>
        </is>
      </c>
      <c r="BM319" s="30">
        <f>IF(BL319="Yes",10,0)</f>
        <v/>
      </c>
      <c r="BN319" s="30" t="inlineStr">
        <is>
          <t>More than 20%</t>
        </is>
      </c>
      <c r="BO319" s="30">
        <f>IF(BN319="More than 20%",10,IF(BN319="Between 12 to 20%",5,IF(BN319="Less than 12%",0,0)))</f>
        <v/>
      </c>
      <c r="BP319" s="30" t="inlineStr">
        <is>
          <t>No</t>
        </is>
      </c>
      <c r="BQ319" s="30">
        <f>IF(BP319="No",10,0)</f>
        <v/>
      </c>
      <c r="BR319" s="30" t="inlineStr">
        <is>
          <t>Yes</t>
        </is>
      </c>
      <c r="BS319" s="30">
        <f>IF(BR319="NO",5,0)</f>
        <v/>
      </c>
      <c r="BT319" s="30" t="inlineStr">
        <is>
          <t>Above 2</t>
        </is>
      </c>
      <c r="BU319" s="30">
        <f>IF(BT319="Above 2",0,IF(BT319="Between 1.5 to 2",5,IF(BT319="Less than 1.5",10,0)))</f>
        <v/>
      </c>
      <c r="BV319" s="30" t="inlineStr">
        <is>
          <t>Negative</t>
        </is>
      </c>
      <c r="BW319" s="30">
        <f>IF(BV319="Above 70%",10,IF(BV319="Between 50% to 70%",5,IF(BV319="Less than 50%",0,IF(BV319="Negative",-10,IF(BV319="Less than 50% and Borrowings are increasing",-5,0)))))</f>
        <v/>
      </c>
      <c r="BX319" s="30" t="inlineStr">
        <is>
          <t>Less than 0.7</t>
        </is>
      </c>
      <c r="BY319" s="30">
        <f>IF(BX319="More than 1.2",-10,IF(BX319="Between 0.7 to 1.2",0,IF(BX319="Less than 0.7",10,0)))</f>
        <v/>
      </c>
      <c r="BZ319" s="30" t="inlineStr">
        <is>
          <t>No</t>
        </is>
      </c>
      <c r="CA319" s="30">
        <f>IF(BZ319="Yes",-10,0)</f>
        <v/>
      </c>
      <c r="CB319" s="30" t="inlineStr">
        <is>
          <t>Less than 15%</t>
        </is>
      </c>
      <c r="CC319" s="30">
        <f>IF(CB319="More than 15%",-10,IF(CB319="Less than 15%",10,0))</f>
        <v/>
      </c>
      <c r="CD319" s="30" t="inlineStr">
        <is>
          <t>No</t>
        </is>
      </c>
      <c r="CE319" s="30">
        <f>IF(CD319="Yes, more than 10%",-10,IF(CD319="No",10,0))</f>
        <v/>
      </c>
    </row>
    <row r="320">
      <c r="A320" s="30">
        <f>IF(B320=0,"",RANK(B320,$B$2:$B$427,0))</f>
        <v/>
      </c>
      <c r="B320" s="31">
        <f>SUM(N320,Y320,AA320,AC320,AE320,AG320,AI320,AK320,AM320,AO320,AQ320,AS320,AU320,AW320,AY320,BA320,BC320,BE320,BG320,BI320,BK320,BM320,BO320,BQ320,BS320,BU320,BW320,BY320,CA320,CC320,CE320)</f>
        <v/>
      </c>
      <c r="C320" s="30" t="inlineStr">
        <is>
          <t>PITTIENG</t>
        </is>
      </c>
      <c r="D320" s="30" t="inlineStr">
        <is>
          <t>Pitti Engineering Ltd</t>
        </is>
      </c>
      <c r="E320" s="30" t="inlineStr">
        <is>
          <t>industrials</t>
        </is>
      </c>
      <c r="F320" s="30" t="inlineStr">
        <is>
          <t>engineering</t>
        </is>
      </c>
      <c r="G320" s="30" t="inlineStr">
        <is>
          <t>smallcap</t>
        </is>
      </c>
      <c r="H320" s="31" t="n">
        <v>3733.92</v>
      </c>
      <c r="I320" s="31" t="n">
        <v>1009.45</v>
      </c>
      <c r="J320" s="31" t="n">
        <v>1.8</v>
      </c>
      <c r="K320" s="31" t="n">
        <v>73926</v>
      </c>
      <c r="L320" s="30" t="n">
        <v>31</v>
      </c>
      <c r="M320" s="30" t="inlineStr">
        <is>
          <t>Outperforming</t>
        </is>
      </c>
      <c r="N320" s="31">
        <f>IF(M320="Underperforming",-5,IF(L320&gt;=95,15,IF(L320&gt;=90,10,IF(L320&gt;=80,5,0))))</f>
        <v/>
      </c>
      <c r="O320" s="31" t="n">
        <v>60.92</v>
      </c>
      <c r="P320" s="31" t="n">
        <v>12</v>
      </c>
      <c r="Q320" s="31" t="n">
        <v>765.3200000000001</v>
      </c>
      <c r="R320" s="30" t="inlineStr">
        <is>
          <t>Near 52W High Breakout</t>
        </is>
      </c>
      <c r="S320" s="30" t="inlineStr">
        <is>
          <t>Nifty Infra</t>
        </is>
      </c>
      <c r="T320" s="31" t="n">
        <v>4.18</v>
      </c>
      <c r="U320" s="31" t="n">
        <v>5.01</v>
      </c>
      <c r="V320" s="31" t="n">
        <v>0.8</v>
      </c>
      <c r="W320" s="31" t="n">
        <v>8.300000000000001</v>
      </c>
      <c r="X320" s="30" t="inlineStr">
        <is>
          <t>Cyclical in an Upturn</t>
        </is>
      </c>
      <c r="Y320" s="30">
        <f>IF(X320="Growing Industry",10,IF(X320="Cyclical in an Upturn",5,0))</f>
        <v/>
      </c>
      <c r="Z320" s="30" t="inlineStr">
        <is>
          <t>Too Many Players with High ROCE</t>
        </is>
      </c>
      <c r="AA320" s="30">
        <f>IF(Z320="Monopoly",10,IF(Z320="Oligopoly",5,IF(Z320="Duopoly that cooperate",10,IF(Z320="Duopoly that compete",5,IF(Z320="Too many players with High ROCE",5,0)))))</f>
        <v/>
      </c>
      <c r="AB320" s="30" t="inlineStr">
        <is>
          <t>No</t>
        </is>
      </c>
      <c r="AC320" s="30">
        <f>IF(AB320="No",5,0)</f>
        <v/>
      </c>
      <c r="AD320" s="30" t="inlineStr">
        <is>
          <t>Tailwind</t>
        </is>
      </c>
      <c r="AE320" s="30">
        <f>IF(AD320="Tailwind",10,0)</f>
        <v/>
      </c>
      <c r="AF320" s="30" t="inlineStr">
        <is>
          <t>Structural (10 Years Consistency)</t>
        </is>
      </c>
      <c r="AG320" s="30">
        <f>IF(AF320="Structural (10 Years Consistency)",10,IF(AF320="Shallow Cyclical (2 to 3 years growth)",5,0))</f>
        <v/>
      </c>
      <c r="AH320" s="30" t="inlineStr">
        <is>
          <t>No</t>
        </is>
      </c>
      <c r="AI320" s="30">
        <f>IF(AH320="Yes due to Product Mix change or Operating Leverage",10,IF(AH320="Yes, these are peak margins",-5,IF(AH320="No",5,0)))</f>
        <v/>
      </c>
      <c r="AJ320" s="30" t="inlineStr">
        <is>
          <t>Stable</t>
        </is>
      </c>
      <c r="AK320" s="30">
        <f>IF(AJ320="Stable",10,0)</f>
        <v/>
      </c>
      <c r="AL320" s="30" t="inlineStr">
        <is>
          <t>Yes</t>
        </is>
      </c>
      <c r="AM320" s="30">
        <f>IF(AL320="Yes",10,0)</f>
        <v/>
      </c>
      <c r="AN320" s="30" t="inlineStr">
        <is>
          <t>B2B</t>
        </is>
      </c>
      <c r="AO320" s="30">
        <f>IF(AN320="B2C",10,IF(AN320="B2B",5,0))</f>
        <v/>
      </c>
      <c r="AP320" s="30" t="inlineStr">
        <is>
          <t>Yes</t>
        </is>
      </c>
      <c r="AQ320" s="30">
        <f>IF(AP320="Yes",10,0)</f>
        <v/>
      </c>
      <c r="AR320" s="30" t="inlineStr">
        <is>
          <t>Higher One Time, Lower Annuity</t>
        </is>
      </c>
      <c r="AS320" s="30">
        <f>IF(AR320="Fully Annuity",10,IF(AR320="Higher Annuity, Lower One Time",5,IF(AR320="Higher One Time, Lower Annuity",3,0)))</f>
        <v/>
      </c>
      <c r="AT320" s="30" t="inlineStr">
        <is>
          <t>Good</t>
        </is>
      </c>
      <c r="AU320" s="30">
        <f>IF(AT320="Good",10,0)</f>
        <v/>
      </c>
      <c r="AV320" s="30" t="inlineStr">
        <is>
          <t>Yes for more than 2 years</t>
        </is>
      </c>
      <c r="AW320" s="30">
        <f>IF(AV320="Yes for more than 2 years",10,IF(AV320="Yes only for next 1 to 2 years",5,0))</f>
        <v/>
      </c>
      <c r="AX320" s="30" t="inlineStr">
        <is>
          <t>0 to 20</t>
        </is>
      </c>
      <c r="AY320" s="30">
        <f>IF(AX320="Above 40",20,IF(AX320="20 to 40",10,IF(AX320="0 to 20",-5,0)))</f>
        <v/>
      </c>
      <c r="AZ320" s="30" t="inlineStr">
        <is>
          <t>Between 50 to 75</t>
        </is>
      </c>
      <c r="BA320" s="30">
        <f>IF(AZ320="Between 50 to 75",10,IF(AZ320="Above 75",0,0))</f>
        <v/>
      </c>
      <c r="BB320" s="30" t="inlineStr">
        <is>
          <t>Stage 2</t>
        </is>
      </c>
      <c r="BC320" s="30">
        <f>IF(BB320="Stage 2",20,IF(BB320="Stage 1",0,IF(BB320="Stage 3",5,IF(BB320="Stage 4",-5,0))))</f>
        <v/>
      </c>
      <c r="BD320" s="30" t="inlineStr">
        <is>
          <t>Positive Trend</t>
        </is>
      </c>
      <c r="BE320" s="30">
        <f>IF(BD320="Positive Trend",20,IF(BD320="Negative Trend",-10,0))</f>
        <v/>
      </c>
      <c r="BF320" s="30" t="inlineStr">
        <is>
          <t>Uptrend</t>
        </is>
      </c>
      <c r="BG320" s="30">
        <f>IF(BF320="Uptrend",10,IF(BF320="Sideways",5,0))</f>
        <v/>
      </c>
      <c r="BH320" s="30" t="inlineStr">
        <is>
          <t>Uptrend</t>
        </is>
      </c>
      <c r="BI320" s="30">
        <f>IF(BH320="Uptrend",10,IF(BH320="Sideways",5,0))</f>
        <v/>
      </c>
      <c r="BJ320" s="30" t="inlineStr">
        <is>
          <t>Close to 52 week high or retracement</t>
        </is>
      </c>
      <c r="BK320" s="30">
        <f>IF(BJ320="Overhead supply in last 2 years in last 2 years",-5,IF(BJ320="Close to 52 week high or retracement",5,IF(BJ320="Blue sky scenario",10,IF(BJ320="Long term Downtrend",-10,0))))</f>
        <v/>
      </c>
      <c r="BL320" s="30" t="inlineStr">
        <is>
          <t>Yes</t>
        </is>
      </c>
      <c r="BM320" s="30">
        <f>IF(BL320="Yes",10,0)</f>
        <v/>
      </c>
      <c r="BN320" s="30" t="inlineStr">
        <is>
          <t>Less than 12%</t>
        </is>
      </c>
      <c r="BO320" s="30">
        <f>IF(BN320="More than 20%",10,IF(BN320="Between 12 to 20%",5,IF(BN320="Less than 12%",0,0)))</f>
        <v/>
      </c>
      <c r="BP320" s="30" t="inlineStr">
        <is>
          <t>No</t>
        </is>
      </c>
      <c r="BQ320" s="30">
        <f>IF(BP320="No",10,0)</f>
        <v/>
      </c>
      <c r="BR320" s="30" t="inlineStr">
        <is>
          <t>No</t>
        </is>
      </c>
      <c r="BS320" s="30">
        <f>IF(BR320="NO",5,0)</f>
        <v/>
      </c>
      <c r="BT320" s="30" t="inlineStr">
        <is>
          <t>Above 2</t>
        </is>
      </c>
      <c r="BU320" s="30">
        <f>IF(BT320="Above 2",0,IF(BT320="Between 1.5 to 2",5,IF(BT320="Less than 1.5",10,0)))</f>
        <v/>
      </c>
      <c r="BV320" s="30" t="inlineStr">
        <is>
          <t>Between 50% to 70%</t>
        </is>
      </c>
      <c r="BW320" s="30">
        <f>IF(BV320="Above 70%",10,IF(BV320="Between 50% to 70%",5,IF(BV320="Less than 50%",0,IF(BV320="Negative",-10,IF(BV320="Less than 50% and Borrowings are increasing",-5,0)))))</f>
        <v/>
      </c>
      <c r="BX320" s="30" t="inlineStr">
        <is>
          <t>Between 0.7 to 1.2</t>
        </is>
      </c>
      <c r="BY320" s="30">
        <f>IF(BX320="More than 1.2",-10,IF(BX320="Between 0.7 to 1.2",0,IF(BX320="Less than 0.7",10,0)))</f>
        <v/>
      </c>
      <c r="BZ320" s="30" t="inlineStr">
        <is>
          <t>No</t>
        </is>
      </c>
      <c r="CA320" s="30">
        <f>IF(BZ320="Yes",-10,0)</f>
        <v/>
      </c>
      <c r="CB320" s="30" t="inlineStr">
        <is>
          <t>Less than 15%</t>
        </is>
      </c>
      <c r="CC320" s="30">
        <f>IF(CB320="More than 15%",-10,IF(CB320="Less than 15%",10,0))</f>
        <v/>
      </c>
      <c r="CD320" s="30" t="inlineStr">
        <is>
          <t>No</t>
        </is>
      </c>
      <c r="CE320" s="30">
        <f>IF(CD320="Yes, more than 10%",-10,IF(CD320="No",10,0))</f>
        <v/>
      </c>
    </row>
    <row r="321">
      <c r="A321" s="30">
        <f>IF(B321=0,"",RANK(B321,$B$2:$B$427,0))</f>
        <v/>
      </c>
      <c r="B321" s="31">
        <f>SUM(N321,Y321,AA321,AC321,AE321,AG321,AI321,AK321,AM321,AO321,AQ321,AS321,AU321,AW321,AY321,BA321,BC321,BE321,BG321,BI321,BK321,BM321,BO321,BQ321,BS321,BU321,BW321,BY321,CA321,CC321,CE321)</f>
        <v/>
      </c>
      <c r="C321" s="30" t="inlineStr">
        <is>
          <t>VINCOFE</t>
        </is>
      </c>
      <c r="D321" s="30" t="inlineStr">
        <is>
          <t>Vintage Coffee &amp; Beverages Ltd</t>
        </is>
      </c>
      <c r="E321" s="30" t="inlineStr">
        <is>
          <t>consumer discretionary</t>
        </is>
      </c>
      <c r="F321" s="30" t="inlineStr">
        <is>
          <t>trading</t>
        </is>
      </c>
      <c r="G321" s="30" t="inlineStr">
        <is>
          <t>smallcap</t>
        </is>
      </c>
      <c r="H321" s="31" t="n">
        <v>2203.83</v>
      </c>
      <c r="I321" s="31" t="n">
        <v>152.16</v>
      </c>
      <c r="J321" s="31" t="n">
        <v>0.59</v>
      </c>
      <c r="K321" s="31" t="n">
        <v>1259524</v>
      </c>
      <c r="L321" s="30" t="n">
        <v>34</v>
      </c>
      <c r="M321" s="30" t="inlineStr">
        <is>
          <t>Outperforming</t>
        </is>
      </c>
      <c r="N321" s="31">
        <f>IF(M321="Underperforming",-5,IF(L321&gt;=95,15,IF(L321&gt;=90,10,IF(L321&gt;=80,5,0))))</f>
        <v/>
      </c>
      <c r="O321" s="31" t="n">
        <v>55.66</v>
      </c>
      <c r="P321" s="31" t="n">
        <v>13.94</v>
      </c>
      <c r="Q321" s="31" t="n">
        <v>118.63</v>
      </c>
      <c r="R321" s="30" t="inlineStr">
        <is>
          <t>Earnings / Momentum Support</t>
        </is>
      </c>
      <c r="S321" s="30" t="inlineStr">
        <is>
          <t>Nifty 50</t>
        </is>
      </c>
      <c r="T321" s="31" t="n">
        <v>-4.38</v>
      </c>
      <c r="U321" s="31" t="n">
        <v>27.15</v>
      </c>
      <c r="V321" s="31" t="n">
        <v>32.97</v>
      </c>
      <c r="W321" s="31" t="n">
        <v>8.960000000000001</v>
      </c>
      <c r="X321" s="30" t="inlineStr">
        <is>
          <t>Growing Industry</t>
        </is>
      </c>
      <c r="Y321" s="30">
        <f>IF(X321="Growing Industry",10,IF(X321="Cyclical in an Upturn",5,0))</f>
        <v/>
      </c>
      <c r="Z321" s="30" t="inlineStr">
        <is>
          <t>Too Many Players with High ROCE</t>
        </is>
      </c>
      <c r="AA321" s="30">
        <f>IF(Z321="Monopoly",10,IF(Z321="Oligopoly",5,IF(Z321="Duopoly that cooperate",10,IF(Z321="Duopoly that compete",5,IF(Z321="Too many players with High ROCE",5,0)))))</f>
        <v/>
      </c>
      <c r="AB321" s="30" t="inlineStr">
        <is>
          <t>No</t>
        </is>
      </c>
      <c r="AC321" s="30">
        <f>IF(AB321="No",5,0)</f>
        <v/>
      </c>
      <c r="AD321" s="30" t="inlineStr">
        <is>
          <t>Headwind</t>
        </is>
      </c>
      <c r="AE321" s="30">
        <f>IF(AD321="Tailwind",10,0)</f>
        <v/>
      </c>
      <c r="AF321" s="30" t="inlineStr">
        <is>
          <t>Structural (10 Years Consistency)</t>
        </is>
      </c>
      <c r="AG321" s="30">
        <f>IF(AF321="Structural (10 Years Consistency)",10,IF(AF321="Shallow Cyclical (2 to 3 years growth)",5,0))</f>
        <v/>
      </c>
      <c r="AH321" s="30" t="inlineStr">
        <is>
          <t>No</t>
        </is>
      </c>
      <c r="AI321" s="30">
        <f>IF(AH321="Yes due to Product Mix change or Operating Leverage",10,IF(AH321="Yes, these are peak margins",-5,IF(AH321="No",5,0)))</f>
        <v/>
      </c>
      <c r="AJ321" s="30" t="inlineStr">
        <is>
          <t>Stable</t>
        </is>
      </c>
      <c r="AK321" s="30">
        <f>IF(AJ321="Stable",10,0)</f>
        <v/>
      </c>
      <c r="AL321" s="30" t="inlineStr">
        <is>
          <t>Yes</t>
        </is>
      </c>
      <c r="AM321" s="30">
        <f>IF(AL321="Yes",10,0)</f>
        <v/>
      </c>
      <c r="AN321" s="30" t="inlineStr">
        <is>
          <t>B2B</t>
        </is>
      </c>
      <c r="AO321" s="30">
        <f>IF(AN321="B2C",10,IF(AN321="B2B",5,0))</f>
        <v/>
      </c>
      <c r="AP321" s="30" t="inlineStr">
        <is>
          <t>No</t>
        </is>
      </c>
      <c r="AQ321" s="30">
        <f>IF(AP321="Yes",10,0)</f>
        <v/>
      </c>
      <c r="AR321" s="30" t="inlineStr">
        <is>
          <t>Higher One Time, Lower Annuity</t>
        </is>
      </c>
      <c r="AS321" s="30">
        <f>IF(AR321="Fully Annuity",10,IF(AR321="Higher Annuity, Lower One Time",5,IF(AR321="Higher One Time, Lower Annuity",3,0)))</f>
        <v/>
      </c>
      <c r="AT321" s="30" t="inlineStr">
        <is>
          <t>Good</t>
        </is>
      </c>
      <c r="AU321" s="30">
        <f>IF(AT321="Good",10,0)</f>
        <v/>
      </c>
      <c r="AV321" s="30" t="inlineStr">
        <is>
          <t>Yes for more than 2 years</t>
        </is>
      </c>
      <c r="AW321" s="30">
        <f>IF(AV321="Yes for more than 2 years",10,IF(AV321="Yes only for next 1 to 2 years",5,0))</f>
        <v/>
      </c>
      <c r="AX321" s="30" t="inlineStr">
        <is>
          <t>0 to 20</t>
        </is>
      </c>
      <c r="AY321" s="30">
        <f>IF(AX321="Above 40",20,IF(AX321="20 to 40",10,IF(AX321="0 to 20",-5,0)))</f>
        <v/>
      </c>
      <c r="AZ321" s="30" t="inlineStr">
        <is>
          <t>Between 50 to 75</t>
        </is>
      </c>
      <c r="BA321" s="30">
        <f>IF(AZ321="Between 50 to 75",10,IF(AZ321="Above 75",0,0))</f>
        <v/>
      </c>
      <c r="BB321" s="30" t="inlineStr">
        <is>
          <t>Stage 2</t>
        </is>
      </c>
      <c r="BC321" s="30">
        <f>IF(BB321="Stage 2",20,IF(BB321="Stage 1",0,IF(BB321="Stage 3",5,IF(BB321="Stage 4",-5,0))))</f>
        <v/>
      </c>
      <c r="BD321" s="30" t="inlineStr">
        <is>
          <t>Positive Trend</t>
        </is>
      </c>
      <c r="BE321" s="30">
        <f>IF(BD321="Positive Trend",20,IF(BD321="Negative Trend",-10,0))</f>
        <v/>
      </c>
      <c r="BF321" s="30" t="inlineStr">
        <is>
          <t>Uptrend</t>
        </is>
      </c>
      <c r="BG321" s="30">
        <f>IF(BF321="Uptrend",10,IF(BF321="Sideways",5,0))</f>
        <v/>
      </c>
      <c r="BH321" s="30" t="inlineStr">
        <is>
          <t>Uptrend</t>
        </is>
      </c>
      <c r="BI321" s="30">
        <f>IF(BH321="Uptrend",10,IF(BH321="Sideways",5,0))</f>
        <v/>
      </c>
      <c r="BJ321" s="30" t="inlineStr">
        <is>
          <t>Close to 52 week high or retracement</t>
        </is>
      </c>
      <c r="BK321" s="30">
        <f>IF(BJ321="Overhead supply in last 2 years in last 2 years",-5,IF(BJ321="Close to 52 week high or retracement",5,IF(BJ321="Blue sky scenario",10,IF(BJ321="Long term Downtrend",-10,0))))</f>
        <v/>
      </c>
      <c r="BL321" s="30" t="inlineStr">
        <is>
          <t>Yes</t>
        </is>
      </c>
      <c r="BM321" s="30">
        <f>IF(BL321="Yes",10,0)</f>
        <v/>
      </c>
      <c r="BN321" s="30" t="inlineStr">
        <is>
          <t>Between 12 to 20%</t>
        </is>
      </c>
      <c r="BO321" s="30">
        <f>IF(BN321="More than 20%",10,IF(BN321="Between 12 to 20%",5,IF(BN321="Less than 12%",0,0)))</f>
        <v/>
      </c>
      <c r="BP321" s="30" t="inlineStr">
        <is>
          <t>No</t>
        </is>
      </c>
      <c r="BQ321" s="30">
        <f>IF(BP321="No",10,0)</f>
        <v/>
      </c>
      <c r="BR321" s="30" t="inlineStr">
        <is>
          <t>No</t>
        </is>
      </c>
      <c r="BS321" s="30">
        <f>IF(BR321="NO",5,0)</f>
        <v/>
      </c>
      <c r="BT321" s="30" t="inlineStr">
        <is>
          <t>Between 1.5 to 2</t>
        </is>
      </c>
      <c r="BU321" s="30">
        <f>IF(BT321="Above 2",0,IF(BT321="Between 1.5 to 2",5,IF(BT321="Less than 1.5",10,0)))</f>
        <v/>
      </c>
      <c r="BV321" s="30" t="inlineStr">
        <is>
          <t>Less than 50%</t>
        </is>
      </c>
      <c r="BW321" s="30">
        <f>IF(BV321="Above 70%",10,IF(BV321="Between 50% to 70%",5,IF(BV321="Less than 50%",0,IF(BV321="Negative",-10,IF(BV321="Less than 50% and Borrowings are increasing",-5,0)))))</f>
        <v/>
      </c>
      <c r="BX321" s="30" t="inlineStr">
        <is>
          <t>Less than 0.7</t>
        </is>
      </c>
      <c r="BY321" s="30">
        <f>IF(BX321="More than 1.2",-10,IF(BX321="Between 0.7 to 1.2",0,IF(BX321="Less than 0.7",10,0)))</f>
        <v/>
      </c>
      <c r="BZ321" s="30" t="inlineStr">
        <is>
          <t>No</t>
        </is>
      </c>
      <c r="CA321" s="30">
        <f>IF(BZ321="Yes",-10,0)</f>
        <v/>
      </c>
      <c r="CB321" s="30" t="inlineStr">
        <is>
          <t>Less than 15%</t>
        </is>
      </c>
      <c r="CC321" s="30">
        <f>IF(CB321="More than 15%",-10,IF(CB321="Less than 15%",10,0))</f>
        <v/>
      </c>
      <c r="CD321" s="30" t="inlineStr">
        <is>
          <t>No</t>
        </is>
      </c>
      <c r="CE321" s="30">
        <f>IF(CD321="Yes, more than 10%",-10,IF(CD321="No",10,0))</f>
        <v/>
      </c>
    </row>
    <row r="322">
      <c r="A322" s="30">
        <f>IF(B322=0,"",RANK(B322,$B$2:$B$427,0))</f>
        <v/>
      </c>
      <c r="B322" s="31">
        <f>SUM(N322,Y322,AA322,AC322,AE322,AG322,AI322,AK322,AM322,AO322,AQ322,AS322,AU322,AW322,AY322,BA322,BC322,BE322,BG322,BI322,BK322,BM322,BO322,BQ322,BS322,BU322,BW322,BY322,CA322,CC322,CE322)</f>
        <v/>
      </c>
      <c r="C322" s="30" t="inlineStr">
        <is>
          <t>ATGL</t>
        </is>
      </c>
      <c r="D322" s="30" t="inlineStr">
        <is>
          <t>Adani Total Gas Ltd</t>
        </is>
      </c>
      <c r="E322" s="30" t="inlineStr">
        <is>
          <t>energy</t>
        </is>
      </c>
      <c r="F322" s="30" t="inlineStr">
        <is>
          <t>miscellaneous</t>
        </is>
      </c>
      <c r="G322" s="30" t="inlineStr">
        <is>
          <t>largecap</t>
        </is>
      </c>
      <c r="H322" s="31" t="n">
        <v>79664.74000000001</v>
      </c>
      <c r="I322" s="31" t="n">
        <v>727.3</v>
      </c>
      <c r="J322" s="31" t="n">
        <v>0.41</v>
      </c>
      <c r="K322" s="31" t="n">
        <v>3480575</v>
      </c>
      <c r="L322" s="30" t="n">
        <v>42</v>
      </c>
      <c r="M322" s="30" t="inlineStr">
        <is>
          <t>Outperforming</t>
        </is>
      </c>
      <c r="N322" s="31">
        <f>IF(M322="Underperforming",-5,IF(L322&gt;=95,15,IF(L322&gt;=90,10,IF(L322&gt;=80,5,0))))</f>
        <v/>
      </c>
      <c r="O322" s="31" t="n">
        <v>64.65000000000001</v>
      </c>
      <c r="P322" s="31" t="n">
        <v>50.06</v>
      </c>
      <c r="Q322" s="31" t="n">
        <v>574.71</v>
      </c>
      <c r="R322" s="30" t="inlineStr">
        <is>
          <t>Earnings / Momentum Support</t>
        </is>
      </c>
      <c r="S322" s="30" t="inlineStr">
        <is>
          <t>Nifty Energy</t>
        </is>
      </c>
      <c r="T322" s="31" t="n">
        <v>13.9</v>
      </c>
      <c r="U322" s="31" t="n">
        <v>17.9</v>
      </c>
      <c r="V322" s="31" t="n">
        <v>3.51</v>
      </c>
      <c r="W322" s="31" t="n">
        <v>10.71</v>
      </c>
      <c r="X322" s="30" t="inlineStr">
        <is>
          <t>Cyclical in an Upturn</t>
        </is>
      </c>
      <c r="Y322" s="30">
        <f>IF(X322="Growing Industry",10,IF(X322="Cyclical in an Upturn",5,0))</f>
        <v/>
      </c>
      <c r="Z322" s="30" t="inlineStr">
        <is>
          <t>Oligopoly</t>
        </is>
      </c>
      <c r="AA322" s="30">
        <f>IF(Z322="Monopoly",10,IF(Z322="Oligopoly",5,IF(Z322="Duopoly that cooperate",10,IF(Z322="Duopoly that compete",5,IF(Z322="Too many players with High ROCE",5,0)))))</f>
        <v/>
      </c>
      <c r="AB322" s="30" t="inlineStr">
        <is>
          <t>Yes</t>
        </is>
      </c>
      <c r="AC322" s="30">
        <f>IF(AB322="No",5,0)</f>
        <v/>
      </c>
      <c r="AD322" s="30" t="inlineStr">
        <is>
          <t>Tailwind</t>
        </is>
      </c>
      <c r="AE322" s="30">
        <f>IF(AD322="Tailwind",10,0)</f>
        <v/>
      </c>
      <c r="AF322" s="30" t="inlineStr">
        <is>
          <t>Cyclical</t>
        </is>
      </c>
      <c r="AG322" s="30">
        <f>IF(AF322="Structural (10 Years Consistency)",10,IF(AF322="Shallow Cyclical (2 to 3 years growth)",5,0))</f>
        <v/>
      </c>
      <c r="AH322" s="30" t="inlineStr">
        <is>
          <t>No</t>
        </is>
      </c>
      <c r="AI322" s="30">
        <f>IF(AH322="Yes due to Product Mix change or Operating Leverage",10,IF(AH322="Yes, these are peak margins",-5,IF(AH322="No",5,0)))</f>
        <v/>
      </c>
      <c r="AJ322" s="30" t="inlineStr">
        <is>
          <t>Volatile</t>
        </is>
      </c>
      <c r="AK322" s="30">
        <f>IF(AJ322="Stable",10,0)</f>
        <v/>
      </c>
      <c r="AL322" s="30" t="inlineStr">
        <is>
          <t>Yes</t>
        </is>
      </c>
      <c r="AM322" s="30">
        <f>IF(AL322="Yes",10,0)</f>
        <v/>
      </c>
      <c r="AN322" s="30" t="inlineStr">
        <is>
          <t>B2B</t>
        </is>
      </c>
      <c r="AO322" s="30">
        <f>IF(AN322="B2C",10,IF(AN322="B2B",5,0))</f>
        <v/>
      </c>
      <c r="AP322" s="30" t="inlineStr">
        <is>
          <t>No</t>
        </is>
      </c>
      <c r="AQ322" s="30">
        <f>IF(AP322="Yes",10,0)</f>
        <v/>
      </c>
      <c r="AR322" s="30" t="inlineStr">
        <is>
          <t>Higher One Time, Lower Annuity</t>
        </is>
      </c>
      <c r="AS322" s="30">
        <f>IF(AR322="Fully Annuity",10,IF(AR322="Higher Annuity, Lower One Time",5,IF(AR322="Higher One Time, Lower Annuity",3,0)))</f>
        <v/>
      </c>
      <c r="AT322" s="30" t="inlineStr">
        <is>
          <t>Good</t>
        </is>
      </c>
      <c r="AU322" s="30">
        <f>IF(AT322="Good",10,0)</f>
        <v/>
      </c>
      <c r="AV322" s="30" t="inlineStr">
        <is>
          <t>Yes for more than 2 years</t>
        </is>
      </c>
      <c r="AW322" s="30">
        <f>IF(AV322="Yes for more than 2 years",10,IF(AV322="Yes only for next 1 to 2 years",5,0))</f>
        <v/>
      </c>
      <c r="AX322" s="30" t="inlineStr">
        <is>
          <t>Above 40</t>
        </is>
      </c>
      <c r="AY322" s="30">
        <f>IF(AX322="Above 40",20,IF(AX322="20 to 40",10,IF(AX322="0 to 20",-5,0)))</f>
        <v/>
      </c>
      <c r="AZ322" s="30" t="inlineStr">
        <is>
          <t>Between 50 to 75</t>
        </is>
      </c>
      <c r="BA322" s="30">
        <f>IF(AZ322="Between 50 to 75",10,IF(AZ322="Above 75",0,0))</f>
        <v/>
      </c>
      <c r="BB322" s="30" t="inlineStr">
        <is>
          <t>Stage 2</t>
        </is>
      </c>
      <c r="BC322" s="30">
        <f>IF(BB322="Stage 2",20,IF(BB322="Stage 1",0,IF(BB322="Stage 3",5,IF(BB322="Stage 4",-5,0))))</f>
        <v/>
      </c>
      <c r="BD322" s="30" t="inlineStr">
        <is>
          <t>Positive Trend</t>
        </is>
      </c>
      <c r="BE322" s="30">
        <f>IF(BD322="Positive Trend",20,IF(BD322="Negative Trend",-10,0))</f>
        <v/>
      </c>
      <c r="BF322" s="30" t="inlineStr">
        <is>
          <t>Uptrend</t>
        </is>
      </c>
      <c r="BG322" s="30">
        <f>IF(BF322="Uptrend",10,IF(BF322="Sideways",5,0))</f>
        <v/>
      </c>
      <c r="BH322" s="30" t="inlineStr">
        <is>
          <t>Uptrend</t>
        </is>
      </c>
      <c r="BI322" s="30">
        <f>IF(BH322="Uptrend",10,IF(BH322="Sideways",5,0))</f>
        <v/>
      </c>
      <c r="BJ322" s="30" t="inlineStr">
        <is>
          <t>Close to 52 week high or retracement</t>
        </is>
      </c>
      <c r="BK322" s="30">
        <f>IF(BJ322="Overhead supply in last 2 years in last 2 years",-5,IF(BJ322="Close to 52 week high or retracement",5,IF(BJ322="Blue sky scenario",10,IF(BJ322="Long term Downtrend",-10,0))))</f>
        <v/>
      </c>
      <c r="BL322" s="30" t="inlineStr">
        <is>
          <t>Yes</t>
        </is>
      </c>
      <c r="BM322" s="30">
        <f>IF(BL322="Yes",10,0)</f>
        <v/>
      </c>
      <c r="BN322" s="30" t="inlineStr">
        <is>
          <t>Less than 12%</t>
        </is>
      </c>
      <c r="BO322" s="30">
        <f>IF(BN322="More than 20%",10,IF(BN322="Between 12 to 20%",5,IF(BN322="Less than 12%",0,0)))</f>
        <v/>
      </c>
      <c r="BP322" s="30" t="inlineStr">
        <is>
          <t>No</t>
        </is>
      </c>
      <c r="BQ322" s="30">
        <f>IF(BP322="No",10,0)</f>
        <v/>
      </c>
      <c r="BR322" s="30" t="inlineStr">
        <is>
          <t>Yes</t>
        </is>
      </c>
      <c r="BS322" s="30">
        <f>IF(BR322="NO",5,0)</f>
        <v/>
      </c>
      <c r="BT322" s="30" t="inlineStr">
        <is>
          <t>Above 2</t>
        </is>
      </c>
      <c r="BU322" s="30">
        <f>IF(BT322="Above 2",0,IF(BT322="Between 1.5 to 2",5,IF(BT322="Less than 1.5",10,0)))</f>
        <v/>
      </c>
      <c r="BV322" s="30" t="inlineStr">
        <is>
          <t>Above 70%</t>
        </is>
      </c>
      <c r="BW322" s="30">
        <f>IF(BV322="Above 70%",10,IF(BV322="Between 50% to 70%",5,IF(BV322="Less than 50%",0,IF(BV322="Negative",-10,IF(BV322="Less than 50% and Borrowings are increasing",-5,0)))))</f>
        <v/>
      </c>
      <c r="BX322" s="30" t="inlineStr">
        <is>
          <t>Less than 0.7</t>
        </is>
      </c>
      <c r="BY322" s="30">
        <f>IF(BX322="More than 1.2",-10,IF(BX322="Between 0.7 to 1.2",0,IF(BX322="Less than 0.7",10,0)))</f>
        <v/>
      </c>
      <c r="BZ322" s="30" t="inlineStr">
        <is>
          <t>No</t>
        </is>
      </c>
      <c r="CA322" s="30">
        <f>IF(BZ322="Yes",-10,0)</f>
        <v/>
      </c>
      <c r="CB322" s="30" t="inlineStr">
        <is>
          <t>Less than 15%</t>
        </is>
      </c>
      <c r="CC322" s="30">
        <f>IF(CB322="More than 15%",-10,IF(CB322="Less than 15%",10,0))</f>
        <v/>
      </c>
      <c r="CD322" s="30" t="inlineStr">
        <is>
          <t>No</t>
        </is>
      </c>
      <c r="CE322" s="30">
        <f>IF(CD322="Yes, more than 10%",-10,IF(CD322="No",10,0))</f>
        <v/>
      </c>
    </row>
    <row r="323">
      <c r="A323" s="30">
        <f>IF(B323=0,"",RANK(B323,$B$2:$B$427,0))</f>
        <v/>
      </c>
      <c r="B323" s="31">
        <f>SUM(N323,Y323,AA323,AC323,AE323,AG323,AI323,AK323,AM323,AO323,AQ323,AS323,AU323,AW323,AY323,BA323,BC323,BE323,BG323,BI323,BK323,BM323,BO323,BQ323,BS323,BU323,BW323,BY323,CA323,CC323,CE323)</f>
        <v/>
      </c>
      <c r="C323" s="32" t="inlineStr">
        <is>
          <t>NCLIND</t>
        </is>
      </c>
      <c r="D323" s="32" t="inlineStr">
        <is>
          <t>Ncl Industries Limited</t>
        </is>
      </c>
      <c r="E323" s="30" t="inlineStr">
        <is>
          <t>building materials</t>
        </is>
      </c>
      <c r="F323" s="30" t="inlineStr">
        <is>
          <t>cement - south india</t>
        </is>
      </c>
      <c r="G323" s="30" t="inlineStr">
        <is>
          <t>smallcap</t>
        </is>
      </c>
      <c r="H323" s="31" t="n">
        <v>870.1</v>
      </c>
      <c r="I323" s="31" t="n">
        <v>191.88</v>
      </c>
      <c r="J323" s="31" t="n">
        <v>-0.25</v>
      </c>
      <c r="K323" s="31" t="n">
        <v>31484</v>
      </c>
      <c r="L323" s="30" t="n">
        <v>1</v>
      </c>
      <c r="M323" s="30" t="inlineStr">
        <is>
          <t>Underperforming</t>
        </is>
      </c>
      <c r="N323" s="31">
        <f>IF(M323="Underperforming",-5,IF(L323&gt;=95,15,IF(L323&gt;=90,10,IF(L323&gt;=80,5,0))))</f>
        <v/>
      </c>
      <c r="O323" s="31" t="n">
        <v>55.67</v>
      </c>
      <c r="P323" s="31" t="n">
        <v>18.52</v>
      </c>
      <c r="Q323" s="31" t="n">
        <v>151.32</v>
      </c>
      <c r="R323" s="30" t="inlineStr">
        <is>
          <t>Volume Spike / Accumulation</t>
        </is>
      </c>
      <c r="S323" s="30" t="inlineStr">
        <is>
          <t>Nifty Infra</t>
        </is>
      </c>
      <c r="T323" s="31" t="n">
        <v>4.18</v>
      </c>
      <c r="U323" s="31" t="n">
        <v>-10.33</v>
      </c>
      <c r="V323" s="31" t="n">
        <v>-13.93</v>
      </c>
      <c r="W323" s="31" t="n">
        <v>0.82</v>
      </c>
      <c r="X323" s="30" t="inlineStr">
        <is>
          <t>Growing Industry</t>
        </is>
      </c>
      <c r="Y323" s="30">
        <f>IF(X323="Growing Industry",10,IF(X323="Cyclical in an Upturn",5,0))</f>
        <v/>
      </c>
      <c r="Z323" s="30" t="inlineStr">
        <is>
          <t>Too Many Players with High ROCE</t>
        </is>
      </c>
      <c r="AA323" s="30">
        <f>IF(Z323="Monopoly",10,IF(Z323="Oligopoly",5,IF(Z323="Duopoly that cooperate",10,IF(Z323="Duopoly that compete",5,IF(Z323="Too many players with High ROCE",5,0)))))</f>
        <v/>
      </c>
      <c r="AB323" s="30" t="inlineStr">
        <is>
          <t>No</t>
        </is>
      </c>
      <c r="AC323" s="30">
        <f>IF(AB323="No",5,0)</f>
        <v/>
      </c>
      <c r="AD323" s="30" t="inlineStr">
        <is>
          <t>Headwind</t>
        </is>
      </c>
      <c r="AE323" s="30">
        <f>IF(AD323="Tailwind",10,0)</f>
        <v/>
      </c>
      <c r="AF323" s="30" t="inlineStr">
        <is>
          <t>Structural (10 Years Consistency)</t>
        </is>
      </c>
      <c r="AG323" s="30">
        <f>IF(AF323="Structural (10 Years Consistency)",10,IF(AF323="Shallow Cyclical (2 to 3 years growth)",5,0))</f>
        <v/>
      </c>
      <c r="AH323" s="30" t="inlineStr">
        <is>
          <t>No</t>
        </is>
      </c>
      <c r="AI323" s="30">
        <f>IF(AH323="Yes due to Product Mix change or Operating Leverage",10,IF(AH323="Yes, these are peak margins",-5,IF(AH323="No",5,0)))</f>
        <v/>
      </c>
      <c r="AJ323" s="30" t="inlineStr">
        <is>
          <t>Stable</t>
        </is>
      </c>
      <c r="AK323" s="30">
        <f>IF(AJ323="Stable",10,0)</f>
        <v/>
      </c>
      <c r="AL323" s="30" t="inlineStr">
        <is>
          <t>Yes</t>
        </is>
      </c>
      <c r="AM323" s="30">
        <f>IF(AL323="Yes",10,0)</f>
        <v/>
      </c>
      <c r="AN323" s="30" t="inlineStr">
        <is>
          <t>B2B</t>
        </is>
      </c>
      <c r="AO323" s="30">
        <f>IF(AN323="B2C",10,IF(AN323="B2B",5,0))</f>
        <v/>
      </c>
      <c r="AP323" s="30" t="inlineStr">
        <is>
          <t>Yes</t>
        </is>
      </c>
      <c r="AQ323" s="30">
        <f>IF(AP323="Yes",10,0)</f>
        <v/>
      </c>
      <c r="AR323" s="30" t="inlineStr">
        <is>
          <t>Higher One Time, Lower Annuity</t>
        </is>
      </c>
      <c r="AS323" s="30">
        <f>IF(AR323="Fully Annuity",10,IF(AR323="Higher Annuity, Lower One Time",5,IF(AR323="Higher One Time, Lower Annuity",3,0)))</f>
        <v/>
      </c>
      <c r="AT323" s="30" t="inlineStr">
        <is>
          <t>Good</t>
        </is>
      </c>
      <c r="AU323" s="30">
        <f>IF(AT323="Good",10,0)</f>
        <v/>
      </c>
      <c r="AV323" s="30" t="inlineStr">
        <is>
          <t>Yes for more than 2 years</t>
        </is>
      </c>
      <c r="AW323" s="30">
        <f>IF(AV323="Yes for more than 2 years",10,IF(AV323="Yes only for next 1 to 2 years",5,0))</f>
        <v/>
      </c>
      <c r="AX323" s="30" t="inlineStr">
        <is>
          <t>0 to 20</t>
        </is>
      </c>
      <c r="AY323" s="30">
        <f>IF(AX323="Above 40",20,IF(AX323="20 to 40",10,IF(AX323="0 to 20",-5,0)))</f>
        <v/>
      </c>
      <c r="AZ323" s="30" t="inlineStr">
        <is>
          <t>Between 50 to 75</t>
        </is>
      </c>
      <c r="BA323" s="30">
        <f>IF(AZ323="Between 50 to 75",10,IF(AZ323="Above 75",0,0))</f>
        <v/>
      </c>
      <c r="BB323" s="30" t="inlineStr">
        <is>
          <t>Stage 1</t>
        </is>
      </c>
      <c r="BC323" s="30">
        <f>IF(BB323="Stage 2",20,IF(BB323="Stage 1",0,IF(BB323="Stage 3",5,IF(BB323="Stage 4",-5,0))))</f>
        <v/>
      </c>
      <c r="BD323" s="30" t="inlineStr">
        <is>
          <t>Positive Trend</t>
        </is>
      </c>
      <c r="BE323" s="30">
        <f>IF(BD323="Positive Trend",20,IF(BD323="Negative Trend",-10,0))</f>
        <v/>
      </c>
      <c r="BF323" s="30" t="inlineStr">
        <is>
          <t>Uptrend</t>
        </is>
      </c>
      <c r="BG323" s="30">
        <f>IF(BF323="Uptrend",10,IF(BF323="Sideways",5,0))</f>
        <v/>
      </c>
      <c r="BH323" s="30" t="inlineStr">
        <is>
          <t>Uptrend</t>
        </is>
      </c>
      <c r="BI323" s="30">
        <f>IF(BH323="Uptrend",10,IF(BH323="Sideways",5,0))</f>
        <v/>
      </c>
      <c r="BJ323" s="30" t="inlineStr">
        <is>
          <t>Close to 52 week high or retracement</t>
        </is>
      </c>
      <c r="BK323" s="30">
        <f>IF(BJ323="Overhead supply in last 2 years in last 2 years",-5,IF(BJ323="Close to 52 week high or retracement",5,IF(BJ323="Blue sky scenario",10,IF(BJ323="Long term Downtrend",-10,0))))</f>
        <v/>
      </c>
      <c r="BL323" s="30" t="inlineStr">
        <is>
          <t>Yes</t>
        </is>
      </c>
      <c r="BM323" s="30">
        <f>IF(BL323="Yes",10,0)</f>
        <v/>
      </c>
      <c r="BN323" s="30" t="inlineStr">
        <is>
          <t>More than 20%</t>
        </is>
      </c>
      <c r="BO323" s="30">
        <f>IF(BN323="More than 20%",10,IF(BN323="Between 12 to 20%",5,IF(BN323="Less than 12%",0,0)))</f>
        <v/>
      </c>
      <c r="BP323" s="30" t="inlineStr">
        <is>
          <t>No</t>
        </is>
      </c>
      <c r="BQ323" s="30">
        <f>IF(BP323="No",10,0)</f>
        <v/>
      </c>
      <c r="BR323" s="30" t="inlineStr">
        <is>
          <t>No</t>
        </is>
      </c>
      <c r="BS323" s="30">
        <f>IF(BR323="NO",5,0)</f>
        <v/>
      </c>
      <c r="BT323" s="30" t="inlineStr">
        <is>
          <t>Less than 1.5</t>
        </is>
      </c>
      <c r="BU323" s="30">
        <f>IF(BT323="Above 2",0,IF(BT323="Between 1.5 to 2",5,IF(BT323="Less than 1.5",10,0)))</f>
        <v/>
      </c>
      <c r="BV323" s="30" t="inlineStr">
        <is>
          <t>Between 50% to 70%</t>
        </is>
      </c>
      <c r="BW323" s="30">
        <f>IF(BV323="Above 70%",10,IF(BV323="Between 50% to 70%",5,IF(BV323="Less than 50%",0,IF(BV323="Negative",-10,IF(BV323="Less than 50% and Borrowings are increasing",-5,0)))))</f>
        <v/>
      </c>
      <c r="BX323" s="30" t="inlineStr">
        <is>
          <t>Less than 0.7</t>
        </is>
      </c>
      <c r="BY323" s="30">
        <f>IF(BX323="More than 1.2",-10,IF(BX323="Between 0.7 to 1.2",0,IF(BX323="Less than 0.7",10,0)))</f>
        <v/>
      </c>
      <c r="BZ323" s="30" t="inlineStr">
        <is>
          <t>No</t>
        </is>
      </c>
      <c r="CA323" s="30">
        <f>IF(BZ323="Yes",-10,0)</f>
        <v/>
      </c>
      <c r="CB323" s="30" t="inlineStr">
        <is>
          <t>Less than 15%</t>
        </is>
      </c>
      <c r="CC323" s="30">
        <f>IF(CB323="More than 15%",-10,IF(CB323="Less than 15%",10,0))</f>
        <v/>
      </c>
      <c r="CD323" s="30" t="inlineStr">
        <is>
          <t>No</t>
        </is>
      </c>
      <c r="CE323" s="30">
        <f>IF(CD323="Yes, more than 10%",-10,IF(CD323="No",10,0))</f>
        <v/>
      </c>
    </row>
    <row r="324">
      <c r="A324" s="30">
        <f>IF(B324=0,"",RANK(B324,$B$2:$B$427,0))</f>
        <v/>
      </c>
      <c r="B324" s="31">
        <f>SUM(N324,Y324,AA324,AC324,AE324,AG324,AI324,AK324,AM324,AO324,AQ324,AS324,AU324,AW324,AY324,BA324,BC324,BE324,BG324,BI324,BK324,BM324,BO324,BQ324,BS324,BU324,BW324,BY324,CA324,CC324,CE324)</f>
        <v/>
      </c>
      <c r="C324" s="32" t="inlineStr">
        <is>
          <t>MANALIPETC</t>
        </is>
      </c>
      <c r="D324" s="32" t="inlineStr">
        <is>
          <t>Manali Petrochemicals Limited</t>
        </is>
      </c>
      <c r="E324" s="30" t="inlineStr">
        <is>
          <t>energy</t>
        </is>
      </c>
      <c r="F324" s="30" t="inlineStr">
        <is>
          <t>petrochemicals</t>
        </is>
      </c>
      <c r="G324" s="30" t="inlineStr">
        <is>
          <t>smallcap</t>
        </is>
      </c>
      <c r="H324" s="31" t="n">
        <v>1144.65</v>
      </c>
      <c r="I324" s="31" t="n">
        <v>65.5</v>
      </c>
      <c r="J324" s="31" t="n">
        <v>-1.58</v>
      </c>
      <c r="K324" s="31" t="n">
        <v>347843</v>
      </c>
      <c r="L324" s="30" t="n">
        <v>44</v>
      </c>
      <c r="M324" s="30" t="inlineStr">
        <is>
          <t>Underperforming</t>
        </is>
      </c>
      <c r="N324" s="31">
        <f>IF(M324="Underperforming",-5,IF(L324&gt;=95,15,IF(L324&gt;=90,10,IF(L324&gt;=80,5,0))))</f>
        <v/>
      </c>
      <c r="O324" s="31" t="n">
        <v>60.02</v>
      </c>
      <c r="P324" s="31" t="n">
        <v>22.12</v>
      </c>
      <c r="Q324" s="31" t="n">
        <v>46.85</v>
      </c>
      <c r="R324" s="30" t="inlineStr">
        <is>
          <t>Earnings / Momentum Support</t>
        </is>
      </c>
      <c r="S324" s="30" t="inlineStr">
        <is>
          <t>Nifty Energy</t>
        </is>
      </c>
      <c r="T324" s="31" t="n">
        <v>13.9</v>
      </c>
      <c r="U324" s="31" t="n">
        <v>-0.35</v>
      </c>
      <c r="V324" s="31" t="n">
        <v>-12.51</v>
      </c>
      <c r="W324" s="31" t="n">
        <v>11.15</v>
      </c>
      <c r="X324" s="30" t="inlineStr">
        <is>
          <t>Cyclical in an Upturn</t>
        </is>
      </c>
      <c r="Y324" s="30">
        <f>IF(X324="Growing Industry",10,IF(X324="Cyclical in an Upturn",5,0))</f>
        <v/>
      </c>
      <c r="Z324" s="30" t="inlineStr">
        <is>
          <t>Oligopoly</t>
        </is>
      </c>
      <c r="AA324" s="30">
        <f>IF(Z324="Monopoly",10,IF(Z324="Oligopoly",5,IF(Z324="Duopoly that cooperate",10,IF(Z324="Duopoly that compete",5,IF(Z324="Too many players with High ROCE",5,0)))))</f>
        <v/>
      </c>
      <c r="AB324" s="30" t="inlineStr">
        <is>
          <t>Yes</t>
        </is>
      </c>
      <c r="AC324" s="30">
        <f>IF(AB324="No",5,0)</f>
        <v/>
      </c>
      <c r="AD324" s="30" t="inlineStr">
        <is>
          <t>Tailwind</t>
        </is>
      </c>
      <c r="AE324" s="30">
        <f>IF(AD324="Tailwind",10,0)</f>
        <v/>
      </c>
      <c r="AF324" s="30" t="inlineStr">
        <is>
          <t>Cyclical</t>
        </is>
      </c>
      <c r="AG324" s="30">
        <f>IF(AF324="Structural (10 Years Consistency)",10,IF(AF324="Shallow Cyclical (2 to 3 years growth)",5,0))</f>
        <v/>
      </c>
      <c r="AH324" s="30" t="inlineStr">
        <is>
          <t>No</t>
        </is>
      </c>
      <c r="AI324" s="30">
        <f>IF(AH324="Yes due to Product Mix change or Operating Leverage",10,IF(AH324="Yes, these are peak margins",-5,IF(AH324="No",5,0)))</f>
        <v/>
      </c>
      <c r="AJ324" s="30" t="inlineStr">
        <is>
          <t>Volatile</t>
        </is>
      </c>
      <c r="AK324" s="30">
        <f>IF(AJ324="Stable",10,0)</f>
        <v/>
      </c>
      <c r="AL324" s="30" t="inlineStr">
        <is>
          <t>Yes</t>
        </is>
      </c>
      <c r="AM324" s="30">
        <f>IF(AL324="Yes",10,0)</f>
        <v/>
      </c>
      <c r="AN324" s="30" t="inlineStr">
        <is>
          <t>B2B</t>
        </is>
      </c>
      <c r="AO324" s="30">
        <f>IF(AN324="B2C",10,IF(AN324="B2B",5,0))</f>
        <v/>
      </c>
      <c r="AP324" s="30" t="inlineStr">
        <is>
          <t>No</t>
        </is>
      </c>
      <c r="AQ324" s="30">
        <f>IF(AP324="Yes",10,0)</f>
        <v/>
      </c>
      <c r="AR324" s="30" t="inlineStr">
        <is>
          <t>Higher One Time, Lower Annuity</t>
        </is>
      </c>
      <c r="AS324" s="30">
        <f>IF(AR324="Fully Annuity",10,IF(AR324="Higher Annuity, Lower One Time",5,IF(AR324="Higher One Time, Lower Annuity",3,0)))</f>
        <v/>
      </c>
      <c r="AT324" s="30" t="inlineStr">
        <is>
          <t>Good</t>
        </is>
      </c>
      <c r="AU324" s="30">
        <f>IF(AT324="Good",10,0)</f>
        <v/>
      </c>
      <c r="AV324" s="30" t="inlineStr">
        <is>
          <t>Yes for more than 2 years</t>
        </is>
      </c>
      <c r="AW324" s="30">
        <f>IF(AV324="Yes for more than 2 years",10,IF(AV324="Yes only for next 1 to 2 years",5,0))</f>
        <v/>
      </c>
      <c r="AX324" s="30" t="inlineStr">
        <is>
          <t>20 to 40</t>
        </is>
      </c>
      <c r="AY324" s="30">
        <f>IF(AX324="Above 40",20,IF(AX324="20 to 40",10,IF(AX324="0 to 20",-5,0)))</f>
        <v/>
      </c>
      <c r="AZ324" s="30" t="inlineStr">
        <is>
          <t>Between 50 to 75</t>
        </is>
      </c>
      <c r="BA324" s="30">
        <f>IF(AZ324="Between 50 to 75",10,IF(AZ324="Above 75",0,0))</f>
        <v/>
      </c>
      <c r="BB324" s="30" t="inlineStr">
        <is>
          <t>Stage 2</t>
        </is>
      </c>
      <c r="BC324" s="30">
        <f>IF(BB324="Stage 2",20,IF(BB324="Stage 1",0,IF(BB324="Stage 3",5,IF(BB324="Stage 4",-5,0))))</f>
        <v/>
      </c>
      <c r="BD324" s="30" t="inlineStr">
        <is>
          <t>Positive Trend</t>
        </is>
      </c>
      <c r="BE324" s="30">
        <f>IF(BD324="Positive Trend",20,IF(BD324="Negative Trend",-10,0))</f>
        <v/>
      </c>
      <c r="BF324" s="30" t="inlineStr">
        <is>
          <t>Uptrend</t>
        </is>
      </c>
      <c r="BG324" s="30">
        <f>IF(BF324="Uptrend",10,IF(BF324="Sideways",5,0))</f>
        <v/>
      </c>
      <c r="BH324" s="30" t="inlineStr">
        <is>
          <t>Uptrend</t>
        </is>
      </c>
      <c r="BI324" s="30">
        <f>IF(BH324="Uptrend",10,IF(BH324="Sideways",5,0))</f>
        <v/>
      </c>
      <c r="BJ324" s="30" t="inlineStr">
        <is>
          <t>Close to 52 week high or retracement</t>
        </is>
      </c>
      <c r="BK324" s="30">
        <f>IF(BJ324="Overhead supply in last 2 years in last 2 years",-5,IF(BJ324="Close to 52 week high or retracement",5,IF(BJ324="Blue sky scenario",10,IF(BJ324="Long term Downtrend",-10,0))))</f>
        <v/>
      </c>
      <c r="BL324" s="30" t="inlineStr">
        <is>
          <t>Yes</t>
        </is>
      </c>
      <c r="BM324" s="30">
        <f>IF(BL324="Yes",10,0)</f>
        <v/>
      </c>
      <c r="BN324" s="30" t="inlineStr">
        <is>
          <t>More than 20%</t>
        </is>
      </c>
      <c r="BO324" s="30">
        <f>IF(BN324="More than 20%",10,IF(BN324="Between 12 to 20%",5,IF(BN324="Less than 12%",0,0)))</f>
        <v/>
      </c>
      <c r="BP324" s="30" t="inlineStr">
        <is>
          <t>No</t>
        </is>
      </c>
      <c r="BQ324" s="30">
        <f>IF(BP324="No",10,0)</f>
        <v/>
      </c>
      <c r="BR324" s="30" t="inlineStr">
        <is>
          <t>No</t>
        </is>
      </c>
      <c r="BS324" s="30">
        <f>IF(BR324="NO",5,0)</f>
        <v/>
      </c>
      <c r="BT324" s="30" t="inlineStr">
        <is>
          <t>Above 2</t>
        </is>
      </c>
      <c r="BU324" s="30">
        <f>IF(BT324="Above 2",0,IF(BT324="Between 1.5 to 2",5,IF(BT324="Less than 1.5",10,0)))</f>
        <v/>
      </c>
      <c r="BV324" s="30" t="inlineStr">
        <is>
          <t>Above 70%</t>
        </is>
      </c>
      <c r="BW324" s="30">
        <f>IF(BV324="Above 70%",10,IF(BV324="Between 50% to 70%",5,IF(BV324="Less than 50%",0,IF(BV324="Negative",-10,IF(BV324="Less than 50% and Borrowings are increasing",-5,0)))))</f>
        <v/>
      </c>
      <c r="BX324" s="30" t="inlineStr">
        <is>
          <t>Less than 0.7</t>
        </is>
      </c>
      <c r="BY324" s="30">
        <f>IF(BX324="More than 1.2",-10,IF(BX324="Between 0.7 to 1.2",0,IF(BX324="Less than 0.7",10,0)))</f>
        <v/>
      </c>
      <c r="BZ324" s="30" t="inlineStr">
        <is>
          <t>No</t>
        </is>
      </c>
      <c r="CA324" s="30">
        <f>IF(BZ324="Yes",-10,0)</f>
        <v/>
      </c>
      <c r="CB324" s="30" t="inlineStr">
        <is>
          <t>Less than 15%</t>
        </is>
      </c>
      <c r="CC324" s="30">
        <f>IF(CB324="More than 15%",-10,IF(CB324="Less than 15%",10,0))</f>
        <v/>
      </c>
      <c r="CD324" s="30" t="inlineStr">
        <is>
          <t>No</t>
        </is>
      </c>
      <c r="CE324" s="30">
        <f>IF(CD324="Yes, more than 10%",-10,IF(CD324="No",10,0))</f>
        <v/>
      </c>
    </row>
    <row r="325">
      <c r="A325" s="30">
        <f>IF(B325=0,"",RANK(B325,$B$2:$B$427,0))</f>
        <v/>
      </c>
      <c r="B325" s="31">
        <f>SUM(N325,Y325,AA325,AC325,AE325,AG325,AI325,AK325,AM325,AO325,AQ325,AS325,AU325,AW325,AY325,BA325,BC325,BE325,BG325,BI325,BK325,BM325,BO325,BQ325,BS325,BU325,BW325,BY325,CA325,CC325,CE325)</f>
        <v/>
      </c>
      <c r="C325" s="32" t="inlineStr">
        <is>
          <t>MANKIND</t>
        </is>
      </c>
      <c r="D325" s="32" t="inlineStr">
        <is>
          <t>Mankind Pharma Ltd</t>
        </is>
      </c>
      <c r="E325" s="30" t="inlineStr">
        <is>
          <t>healthcare</t>
        </is>
      </c>
      <c r="F325" s="30" t="inlineStr">
        <is>
          <t>pharmaceuticals - indian - bulk drugs &amp; formln</t>
        </is>
      </c>
      <c r="G325" s="30" t="inlineStr">
        <is>
          <t>largecap</t>
        </is>
      </c>
      <c r="H325" s="31" t="n">
        <v>99326.5</v>
      </c>
      <c r="I325" s="31" t="n">
        <v>2414.2</v>
      </c>
      <c r="J325" s="31" t="n">
        <v>0.34</v>
      </c>
      <c r="K325" s="31" t="n">
        <v>484809</v>
      </c>
      <c r="L325" s="30" t="n">
        <v>22</v>
      </c>
      <c r="M325" s="30" t="inlineStr">
        <is>
          <t>Underperforming</t>
        </is>
      </c>
      <c r="N325" s="31">
        <f>IF(M325="Underperforming",-5,IF(L325&gt;=95,15,IF(L325&gt;=90,10,IF(L325&gt;=80,5,0))))</f>
        <v/>
      </c>
      <c r="O325" s="31" t="n">
        <v>58.18</v>
      </c>
      <c r="P325" s="31" t="n">
        <v>20.94</v>
      </c>
      <c r="Q325" s="31" t="n">
        <v>2092.18</v>
      </c>
      <c r="R325" s="30" t="inlineStr">
        <is>
          <t>Earnings / Momentum Support</t>
        </is>
      </c>
      <c r="S325" s="30" t="inlineStr">
        <is>
          <t>Nifty Pharma</t>
        </is>
      </c>
      <c r="T325" s="31" t="n">
        <v>13.17</v>
      </c>
      <c r="U325" s="31" t="n">
        <v>5.52</v>
      </c>
      <c r="V325" s="31" t="n">
        <v>-6.76</v>
      </c>
      <c r="W325" s="31" t="n">
        <v>6.29</v>
      </c>
      <c r="X325" s="30" t="inlineStr">
        <is>
          <t>Growing Industry</t>
        </is>
      </c>
      <c r="Y325" s="30">
        <f>IF(X325="Growing Industry",10,IF(X325="Cyclical in an Upturn",5,0))</f>
        <v/>
      </c>
      <c r="Z325" s="30" t="inlineStr">
        <is>
          <t>Too Many Players with High ROCE</t>
        </is>
      </c>
      <c r="AA325" s="30">
        <f>IF(Z325="Monopoly",10,IF(Z325="Oligopoly",5,IF(Z325="Duopoly that cooperate",10,IF(Z325="Duopoly that compete",5,IF(Z325="Too many players with High ROCE",5,0)))))</f>
        <v/>
      </c>
      <c r="AB325" s="30" t="inlineStr">
        <is>
          <t>Yes</t>
        </is>
      </c>
      <c r="AC325" s="30">
        <f>IF(AB325="No",5,0)</f>
        <v/>
      </c>
      <c r="AD325" s="30" t="inlineStr">
        <is>
          <t>Tailwind</t>
        </is>
      </c>
      <c r="AE325" s="30">
        <f>IF(AD325="Tailwind",10,0)</f>
        <v/>
      </c>
      <c r="AF325" s="30" t="inlineStr">
        <is>
          <t>Structural (10 Years Consistency)</t>
        </is>
      </c>
      <c r="AG325" s="30">
        <f>IF(AF325="Structural (10 Years Consistency)",10,IF(AF325="Shallow Cyclical (2 to 3 years growth)",5,0))</f>
        <v/>
      </c>
      <c r="AH325" s="30" t="inlineStr">
        <is>
          <t>No</t>
        </is>
      </c>
      <c r="AI325" s="30">
        <f>IF(AH325="Yes due to Product Mix change or Operating Leverage",10,IF(AH325="Yes, these are peak margins",-5,IF(AH325="No",5,0)))</f>
        <v/>
      </c>
      <c r="AJ325" s="30" t="inlineStr">
        <is>
          <t>Stable</t>
        </is>
      </c>
      <c r="AK325" s="30">
        <f>IF(AJ325="Stable",10,0)</f>
        <v/>
      </c>
      <c r="AL325" s="30" t="inlineStr">
        <is>
          <t>Yes</t>
        </is>
      </c>
      <c r="AM325" s="30">
        <f>IF(AL325="Yes",10,0)</f>
        <v/>
      </c>
      <c r="AN325" s="30" t="inlineStr">
        <is>
          <t>B2B</t>
        </is>
      </c>
      <c r="AO325" s="30">
        <f>IF(AN325="B2C",10,IF(AN325="B2B",5,0))</f>
        <v/>
      </c>
      <c r="AP325" s="30" t="inlineStr">
        <is>
          <t>No</t>
        </is>
      </c>
      <c r="AQ325" s="30">
        <f>IF(AP325="Yes",10,0)</f>
        <v/>
      </c>
      <c r="AR325" s="30" t="inlineStr">
        <is>
          <t>Higher Annuity, Lower One Time</t>
        </is>
      </c>
      <c r="AS325" s="30">
        <f>IF(AR325="Fully Annuity",10,IF(AR325="Higher Annuity, Lower One Time",5,IF(AR325="Higher One Time, Lower Annuity",3,0)))</f>
        <v/>
      </c>
      <c r="AT325" s="30" t="inlineStr">
        <is>
          <t>Good</t>
        </is>
      </c>
      <c r="AU325" s="30">
        <f>IF(AT325="Good",10,0)</f>
        <v/>
      </c>
      <c r="AV325" s="30" t="inlineStr">
        <is>
          <t>Yes for more than 2 years</t>
        </is>
      </c>
      <c r="AW325" s="30">
        <f>IF(AV325="Yes for more than 2 years",10,IF(AV325="Yes only for next 1 to 2 years",5,0))</f>
        <v/>
      </c>
      <c r="AX325" s="30" t="inlineStr">
        <is>
          <t>20 to 40</t>
        </is>
      </c>
      <c r="AY325" s="30">
        <f>IF(AX325="Above 40",20,IF(AX325="20 to 40",10,IF(AX325="0 to 20",-5,0)))</f>
        <v/>
      </c>
      <c r="AZ325" s="30" t="inlineStr">
        <is>
          <t>Between 50 to 75</t>
        </is>
      </c>
      <c r="BA325" s="30">
        <f>IF(AZ325="Between 50 to 75",10,IF(AZ325="Above 75",0,0))</f>
        <v/>
      </c>
      <c r="BB325" s="30" t="inlineStr">
        <is>
          <t>Stage 2</t>
        </is>
      </c>
      <c r="BC325" s="30">
        <f>IF(BB325="Stage 2",20,IF(BB325="Stage 1",0,IF(BB325="Stage 3",5,IF(BB325="Stage 4",-5,0))))</f>
        <v/>
      </c>
      <c r="BD325" s="30" t="inlineStr">
        <is>
          <t>Negative Trend</t>
        </is>
      </c>
      <c r="BE325" s="30">
        <f>IF(BD325="Positive Trend",20,IF(BD325="Negative Trend",-10,0))</f>
        <v/>
      </c>
      <c r="BF325" s="30" t="inlineStr">
        <is>
          <t>Uptrend</t>
        </is>
      </c>
      <c r="BG325" s="30">
        <f>IF(BF325="Uptrend",10,IF(BF325="Sideways",5,0))</f>
        <v/>
      </c>
      <c r="BH325" s="30" t="inlineStr">
        <is>
          <t>Uptrend</t>
        </is>
      </c>
      <c r="BI325" s="30">
        <f>IF(BH325="Uptrend",10,IF(BH325="Sideways",5,0))</f>
        <v/>
      </c>
      <c r="BJ325" s="30" t="inlineStr">
        <is>
          <t>Close to 52 week high or retracement</t>
        </is>
      </c>
      <c r="BK325" s="30">
        <f>IF(BJ325="Overhead supply in last 2 years in last 2 years",-5,IF(BJ325="Close to 52 week high or retracement",5,IF(BJ325="Blue sky scenario",10,IF(BJ325="Long term Downtrend",-10,0))))</f>
        <v/>
      </c>
      <c r="BL325" s="30" t="inlineStr">
        <is>
          <t>Yes</t>
        </is>
      </c>
      <c r="BM325" s="30">
        <f>IF(BL325="Yes",10,0)</f>
        <v/>
      </c>
      <c r="BN325" s="30" t="inlineStr">
        <is>
          <t>More than 20%</t>
        </is>
      </c>
      <c r="BO325" s="30">
        <f>IF(BN325="More than 20%",10,IF(BN325="Between 12 to 20%",5,IF(BN325="Less than 12%",0,0)))</f>
        <v/>
      </c>
      <c r="BP325" s="30" t="inlineStr">
        <is>
          <t>No</t>
        </is>
      </c>
      <c r="BQ325" s="30">
        <f>IF(BP325="No",10,0)</f>
        <v/>
      </c>
      <c r="BR325" s="30" t="inlineStr">
        <is>
          <t>Yes</t>
        </is>
      </c>
      <c r="BS325" s="30">
        <f>IF(BR325="NO",5,0)</f>
        <v/>
      </c>
      <c r="BT325" s="30" t="inlineStr">
        <is>
          <t>Between 1.5 to 2</t>
        </is>
      </c>
      <c r="BU325" s="30">
        <f>IF(BT325="Above 2",0,IF(BT325="Between 1.5 to 2",5,IF(BT325="Less than 1.5",10,0)))</f>
        <v/>
      </c>
      <c r="BV325" s="30" t="inlineStr">
        <is>
          <t>Above 70%</t>
        </is>
      </c>
      <c r="BW325" s="30">
        <f>IF(BV325="Above 70%",10,IF(BV325="Between 50% to 70%",5,IF(BV325="Less than 50%",0,IF(BV325="Negative",-10,IF(BV325="Less than 50% and Borrowings are increasing",-5,0)))))</f>
        <v/>
      </c>
      <c r="BX325" s="30" t="inlineStr">
        <is>
          <t>Less than 0.7</t>
        </is>
      </c>
      <c r="BY325" s="30">
        <f>IF(BX325="More than 1.2",-10,IF(BX325="Between 0.7 to 1.2",0,IF(BX325="Less than 0.7",10,0)))</f>
        <v/>
      </c>
      <c r="BZ325" s="30" t="inlineStr">
        <is>
          <t>No</t>
        </is>
      </c>
      <c r="CA325" s="30">
        <f>IF(BZ325="Yes",-10,0)</f>
        <v/>
      </c>
      <c r="CB325" s="30" t="inlineStr">
        <is>
          <t>Less than 15%</t>
        </is>
      </c>
      <c r="CC325" s="30">
        <f>IF(CB325="More than 15%",-10,IF(CB325="Less than 15%",10,0))</f>
        <v/>
      </c>
      <c r="CD325" s="30" t="inlineStr">
        <is>
          <t>No</t>
        </is>
      </c>
      <c r="CE325" s="30">
        <f>IF(CD325="Yes, more than 10%",-10,IF(CD325="No",10,0))</f>
        <v/>
      </c>
    </row>
    <row r="326">
      <c r="A326" s="30">
        <f>IF(B326=0,"",RANK(B326,$B$2:$B$427,0))</f>
        <v/>
      </c>
      <c r="B326" s="31">
        <f>SUM(N326,Y326,AA326,AC326,AE326,AG326,AI326,AK326,AM326,AO326,AQ326,AS326,AU326,AW326,AY326,BA326,BC326,BE326,BG326,BI326,BK326,BM326,BO326,BQ326,BS326,BU326,BW326,BY326,CA326,CC326,CE326)</f>
        <v/>
      </c>
      <c r="C326" s="30" t="inlineStr">
        <is>
          <t>TRIVENI</t>
        </is>
      </c>
      <c r="D326" s="30" t="inlineStr">
        <is>
          <t>Triveni Engineering &amp; Industries Limited</t>
        </is>
      </c>
      <c r="E326" s="30" t="inlineStr">
        <is>
          <t>fmcg</t>
        </is>
      </c>
      <c r="F326" s="30" t="inlineStr">
        <is>
          <t>sugar</t>
        </is>
      </c>
      <c r="G326" s="30" t="inlineStr">
        <is>
          <t>midcap</t>
        </is>
      </c>
      <c r="H326" s="31" t="n">
        <v>8877.41</v>
      </c>
      <c r="I326" s="31" t="n">
        <v>403.55</v>
      </c>
      <c r="J326" s="31" t="n">
        <v>-0.49</v>
      </c>
      <c r="K326" s="31" t="n">
        <v>494475</v>
      </c>
      <c r="L326" s="30" t="n">
        <v>9</v>
      </c>
      <c r="M326" s="30" t="inlineStr">
        <is>
          <t>Outperforming</t>
        </is>
      </c>
      <c r="N326" s="31">
        <f>IF(M326="Underperforming",-5,IF(L326&gt;=95,15,IF(L326&gt;=90,10,IF(L326&gt;=80,5,0))))</f>
        <v/>
      </c>
      <c r="O326" s="31" t="n">
        <v>56.9</v>
      </c>
      <c r="P326" s="31" t="n">
        <v>17.74</v>
      </c>
      <c r="Q326" s="31" t="n">
        <v>328.88</v>
      </c>
      <c r="R326" s="30" t="inlineStr">
        <is>
          <t>Near 52W High Breakout</t>
        </is>
      </c>
      <c r="S326" s="30" t="inlineStr">
        <is>
          <t>Nifty FMCG</t>
        </is>
      </c>
      <c r="T326" s="31" t="n">
        <v>-9.279999999999999</v>
      </c>
      <c r="U326" s="31" t="n">
        <v>3.97</v>
      </c>
      <c r="V326" s="31" t="n">
        <v>14.61</v>
      </c>
      <c r="W326" s="31" t="n">
        <v>3.44</v>
      </c>
      <c r="X326" s="30" t="inlineStr">
        <is>
          <t>Growing Industry</t>
        </is>
      </c>
      <c r="Y326" s="30">
        <f>IF(X326="Growing Industry",10,IF(X326="Cyclical in an Upturn",5,0))</f>
        <v/>
      </c>
      <c r="Z326" s="30" t="inlineStr">
        <is>
          <t>Too Many Players with High ROCE</t>
        </is>
      </c>
      <c r="AA326" s="30">
        <f>IF(Z326="Monopoly",10,IF(Z326="Oligopoly",5,IF(Z326="Duopoly that cooperate",10,IF(Z326="Duopoly that compete",5,IF(Z326="Too many players with High ROCE",5,0)))))</f>
        <v/>
      </c>
      <c r="AB326" s="30" t="inlineStr">
        <is>
          <t>No</t>
        </is>
      </c>
      <c r="AC326" s="30">
        <f>IF(AB326="No",5,0)</f>
        <v/>
      </c>
      <c r="AD326" s="30" t="inlineStr">
        <is>
          <t>Tailwind</t>
        </is>
      </c>
      <c r="AE326" s="30">
        <f>IF(AD326="Tailwind",10,0)</f>
        <v/>
      </c>
      <c r="AF326" s="30" t="inlineStr">
        <is>
          <t>Structural (10 Years Consistency)</t>
        </is>
      </c>
      <c r="AG326" s="30">
        <f>IF(AF326="Structural (10 Years Consistency)",10,IF(AF326="Shallow Cyclical (2 to 3 years growth)",5,0))</f>
        <v/>
      </c>
      <c r="AH326" s="30" t="inlineStr">
        <is>
          <t>No</t>
        </is>
      </c>
      <c r="AI326" s="30">
        <f>IF(AH326="Yes due to Product Mix change or Operating Leverage",10,IF(AH326="Yes, these are peak margins",-5,IF(AH326="No",5,0)))</f>
        <v/>
      </c>
      <c r="AJ326" s="30" t="inlineStr">
        <is>
          <t>Stable</t>
        </is>
      </c>
      <c r="AK326" s="30">
        <f>IF(AJ326="Stable",10,0)</f>
        <v/>
      </c>
      <c r="AL326" s="30" t="inlineStr">
        <is>
          <t>Yes</t>
        </is>
      </c>
      <c r="AM326" s="30">
        <f>IF(AL326="Yes",10,0)</f>
        <v/>
      </c>
      <c r="AN326" s="30" t="inlineStr">
        <is>
          <t>B2C</t>
        </is>
      </c>
      <c r="AO326" s="30">
        <f>IF(AN326="B2C",10,IF(AN326="B2B",5,0))</f>
        <v/>
      </c>
      <c r="AP326" s="30" t="inlineStr">
        <is>
          <t>Yes</t>
        </is>
      </c>
      <c r="AQ326" s="30">
        <f>IF(AP326="Yes",10,0)</f>
        <v/>
      </c>
      <c r="AR326" s="30" t="inlineStr">
        <is>
          <t>Higher Annuity, Lower One Time</t>
        </is>
      </c>
      <c r="AS326" s="30">
        <f>IF(AR326="Fully Annuity",10,IF(AR326="Higher Annuity, Lower One Time",5,IF(AR326="Higher One Time, Lower Annuity",3,0)))</f>
        <v/>
      </c>
      <c r="AT326" s="30" t="inlineStr">
        <is>
          <t>Good</t>
        </is>
      </c>
      <c r="AU326" s="30">
        <f>IF(AT326="Good",10,0)</f>
        <v/>
      </c>
      <c r="AV326" s="30" t="inlineStr">
        <is>
          <t>Yes for more than 2 years</t>
        </is>
      </c>
      <c r="AW326" s="30">
        <f>IF(AV326="Yes for more than 2 years",10,IF(AV326="Yes only for next 1 to 2 years",5,0))</f>
        <v/>
      </c>
      <c r="AX326" s="30" t="inlineStr">
        <is>
          <t>0 to 20</t>
        </is>
      </c>
      <c r="AY326" s="30">
        <f>IF(AX326="Above 40",20,IF(AX326="20 to 40",10,IF(AX326="0 to 20",-5,0)))</f>
        <v/>
      </c>
      <c r="AZ326" s="30" t="inlineStr">
        <is>
          <t>Between 50 to 75</t>
        </is>
      </c>
      <c r="BA326" s="30">
        <f>IF(AZ326="Between 50 to 75",10,IF(AZ326="Above 75",0,0))</f>
        <v/>
      </c>
      <c r="BB326" s="30" t="inlineStr">
        <is>
          <t>Stage 1</t>
        </is>
      </c>
      <c r="BC326" s="30">
        <f>IF(BB326="Stage 2",20,IF(BB326="Stage 1",0,IF(BB326="Stage 3",5,IF(BB326="Stage 4",-5,0))))</f>
        <v/>
      </c>
      <c r="BD326" s="30" t="inlineStr">
        <is>
          <t>Positive Trend</t>
        </is>
      </c>
      <c r="BE326" s="30">
        <f>IF(BD326="Positive Trend",20,IF(BD326="Negative Trend",-10,0))</f>
        <v/>
      </c>
      <c r="BF326" s="30" t="inlineStr">
        <is>
          <t>Uptrend</t>
        </is>
      </c>
      <c r="BG326" s="30">
        <f>IF(BF326="Uptrend",10,IF(BF326="Sideways",5,0))</f>
        <v/>
      </c>
      <c r="BH326" s="30" t="inlineStr">
        <is>
          <t>Uptrend</t>
        </is>
      </c>
      <c r="BI326" s="30">
        <f>IF(BH326="Uptrend",10,IF(BH326="Sideways",5,0))</f>
        <v/>
      </c>
      <c r="BJ326" s="30" t="inlineStr">
        <is>
          <t>Close to 52 week high or retracement</t>
        </is>
      </c>
      <c r="BK326" s="30">
        <f>IF(BJ326="Overhead supply in last 2 years in last 2 years",-5,IF(BJ326="Close to 52 week high or retracement",5,IF(BJ326="Blue sky scenario",10,IF(BJ326="Long term Downtrend",-10,0))))</f>
        <v/>
      </c>
      <c r="BL326" s="30" t="inlineStr">
        <is>
          <t>Yes</t>
        </is>
      </c>
      <c r="BM326" s="30">
        <f>IF(BL326="Yes",10,0)</f>
        <v/>
      </c>
      <c r="BN326" s="30" t="inlineStr">
        <is>
          <t>Less than 12%</t>
        </is>
      </c>
      <c r="BO326" s="30">
        <f>IF(BN326="More than 20%",10,IF(BN326="Between 12 to 20%",5,IF(BN326="Less than 12%",0,0)))</f>
        <v/>
      </c>
      <c r="BP326" s="30" t="inlineStr">
        <is>
          <t>No</t>
        </is>
      </c>
      <c r="BQ326" s="30">
        <f>IF(BP326="No",10,0)</f>
        <v/>
      </c>
      <c r="BR326" s="30" t="inlineStr">
        <is>
          <t>No</t>
        </is>
      </c>
      <c r="BS326" s="30">
        <f>IF(BR326="NO",5,0)</f>
        <v/>
      </c>
      <c r="BT326" s="30" t="inlineStr">
        <is>
          <t>Above 2</t>
        </is>
      </c>
      <c r="BU326" s="30">
        <f>IF(BT326="Above 2",0,IF(BT326="Between 1.5 to 2",5,IF(BT326="Less than 1.5",10,0)))</f>
        <v/>
      </c>
      <c r="BV326" s="30" t="inlineStr">
        <is>
          <t>Less than 50%</t>
        </is>
      </c>
      <c r="BW326" s="30">
        <f>IF(BV326="Above 70%",10,IF(BV326="Between 50% to 70%",5,IF(BV326="Less than 50%",0,IF(BV326="Negative",-10,IF(BV326="Less than 50% and Borrowings are increasing",-5,0)))))</f>
        <v/>
      </c>
      <c r="BX326" s="30" t="inlineStr">
        <is>
          <t>Less than 0.7</t>
        </is>
      </c>
      <c r="BY326" s="30">
        <f>IF(BX326="More than 1.2",-10,IF(BX326="Between 0.7 to 1.2",0,IF(BX326="Less than 0.7",10,0)))</f>
        <v/>
      </c>
      <c r="BZ326" s="30" t="inlineStr">
        <is>
          <t>No</t>
        </is>
      </c>
      <c r="CA326" s="30">
        <f>IF(BZ326="Yes",-10,0)</f>
        <v/>
      </c>
      <c r="CB326" s="30" t="inlineStr">
        <is>
          <t>Less than 15%</t>
        </is>
      </c>
      <c r="CC326" s="30">
        <f>IF(CB326="More than 15%",-10,IF(CB326="Less than 15%",10,0))</f>
        <v/>
      </c>
      <c r="CD326" s="30" t="inlineStr">
        <is>
          <t>No</t>
        </is>
      </c>
      <c r="CE326" s="30">
        <f>IF(CD326="Yes, more than 10%",-10,IF(CD326="No",10,0))</f>
        <v/>
      </c>
    </row>
    <row r="327">
      <c r="A327" s="30">
        <f>IF(B327=0,"",RANK(B327,$B$2:$B$427,0))</f>
        <v/>
      </c>
      <c r="B327" s="31">
        <f>SUM(N327,Y327,AA327,AC327,AE327,AG327,AI327,AK327,AM327,AO327,AQ327,AS327,AU327,AW327,AY327,BA327,BC327,BE327,BG327,BI327,BK327,BM327,BO327,BQ327,BS327,BU327,BW327,BY327,CA327,CC327,CE327)</f>
        <v/>
      </c>
      <c r="C327" s="30" t="inlineStr">
        <is>
          <t>RITCO</t>
        </is>
      </c>
      <c r="D327" s="30" t="inlineStr">
        <is>
          <t>Ritco Logistics Ltd</t>
        </is>
      </c>
      <c r="E327" s="30" t="inlineStr">
        <is>
          <t>transportation</t>
        </is>
      </c>
      <c r="F327" s="30" t="inlineStr">
        <is>
          <t>miscellaneous</t>
        </is>
      </c>
      <c r="G327" s="30" t="inlineStr">
        <is>
          <t>smallcap</t>
        </is>
      </c>
      <c r="H327" s="31" t="n">
        <v>740.33</v>
      </c>
      <c r="I327" s="31" t="n">
        <v>274.65</v>
      </c>
      <c r="J327" s="31" t="n">
        <v>6.19</v>
      </c>
      <c r="K327" s="31" t="n">
        <v>836330</v>
      </c>
      <c r="L327" s="30" t="n">
        <v>41</v>
      </c>
      <c r="M327" s="30" t="inlineStr">
        <is>
          <t>Outperforming</t>
        </is>
      </c>
      <c r="N327" s="31">
        <f>IF(M327="Underperforming",-5,IF(L327&gt;=95,15,IF(L327&gt;=90,10,IF(L327&gt;=80,5,0))))</f>
        <v/>
      </c>
      <c r="O327" s="31" t="n">
        <v>59.96</v>
      </c>
      <c r="P327" s="31" t="n">
        <v>26.69</v>
      </c>
      <c r="Q327" s="31" t="n">
        <v>194.21</v>
      </c>
      <c r="R327" s="30" t="inlineStr">
        <is>
          <t>Volume Spike / Accumulation</t>
        </is>
      </c>
      <c r="S327" s="30" t="inlineStr">
        <is>
          <t>Nifty 50</t>
        </is>
      </c>
      <c r="T327" s="31" t="n">
        <v>-4.38</v>
      </c>
      <c r="U327" s="31" t="n">
        <v>0.42</v>
      </c>
      <c r="V327" s="31" t="n">
        <v>5.02</v>
      </c>
      <c r="W327" s="31" t="n">
        <v>10.32</v>
      </c>
      <c r="X327" s="30" t="inlineStr">
        <is>
          <t>Growing Industry</t>
        </is>
      </c>
      <c r="Y327" s="30">
        <f>IF(X327="Growing Industry",10,IF(X327="Cyclical in an Upturn",5,0))</f>
        <v/>
      </c>
      <c r="Z327" s="30" t="inlineStr">
        <is>
          <t>Too Many Players with High ROCE</t>
        </is>
      </c>
      <c r="AA327" s="30">
        <f>IF(Z327="Monopoly",10,IF(Z327="Oligopoly",5,IF(Z327="Duopoly that cooperate",10,IF(Z327="Duopoly that compete",5,IF(Z327="Too many players with High ROCE",5,0)))))</f>
        <v/>
      </c>
      <c r="AB327" s="30" t="inlineStr">
        <is>
          <t>No</t>
        </is>
      </c>
      <c r="AC327" s="30">
        <f>IF(AB327="No",5,0)</f>
        <v/>
      </c>
      <c r="AD327" s="30" t="inlineStr">
        <is>
          <t>Tailwind</t>
        </is>
      </c>
      <c r="AE327" s="30">
        <f>IF(AD327="Tailwind",10,0)</f>
        <v/>
      </c>
      <c r="AF327" s="30" t="inlineStr">
        <is>
          <t>Structural (10 Years Consistency)</t>
        </is>
      </c>
      <c r="AG327" s="30">
        <f>IF(AF327="Structural (10 Years Consistency)",10,IF(AF327="Shallow Cyclical (2 to 3 years growth)",5,0))</f>
        <v/>
      </c>
      <c r="AH327" s="30" t="inlineStr">
        <is>
          <t>No</t>
        </is>
      </c>
      <c r="AI327" s="30">
        <f>IF(AH327="Yes due to Product Mix change or Operating Leverage",10,IF(AH327="Yes, these are peak margins",-5,IF(AH327="No",5,0)))</f>
        <v/>
      </c>
      <c r="AJ327" s="30" t="inlineStr">
        <is>
          <t>Stable</t>
        </is>
      </c>
      <c r="AK327" s="30">
        <f>IF(AJ327="Stable",10,0)</f>
        <v/>
      </c>
      <c r="AL327" s="30" t="inlineStr">
        <is>
          <t>Yes</t>
        </is>
      </c>
      <c r="AM327" s="30">
        <f>IF(AL327="Yes",10,0)</f>
        <v/>
      </c>
      <c r="AN327" s="30" t="inlineStr">
        <is>
          <t>B2B</t>
        </is>
      </c>
      <c r="AO327" s="30">
        <f>IF(AN327="B2C",10,IF(AN327="B2B",5,0))</f>
        <v/>
      </c>
      <c r="AP327" s="30" t="inlineStr">
        <is>
          <t>Yes</t>
        </is>
      </c>
      <c r="AQ327" s="30">
        <f>IF(AP327="Yes",10,0)</f>
        <v/>
      </c>
      <c r="AR327" s="30" t="inlineStr">
        <is>
          <t>Higher One Time, Lower Annuity</t>
        </is>
      </c>
      <c r="AS327" s="30">
        <f>IF(AR327="Fully Annuity",10,IF(AR327="Higher Annuity, Lower One Time",5,IF(AR327="Higher One Time, Lower Annuity",3,0)))</f>
        <v/>
      </c>
      <c r="AT327" s="30" t="inlineStr">
        <is>
          <t>Good</t>
        </is>
      </c>
      <c r="AU327" s="30">
        <f>IF(AT327="Good",10,0)</f>
        <v/>
      </c>
      <c r="AV327" s="30" t="inlineStr">
        <is>
          <t>Yes for more than 2 years</t>
        </is>
      </c>
      <c r="AW327" s="30">
        <f>IF(AV327="Yes for more than 2 years",10,IF(AV327="Yes only for next 1 to 2 years",5,0))</f>
        <v/>
      </c>
      <c r="AX327" s="30" t="inlineStr">
        <is>
          <t>20 to 40</t>
        </is>
      </c>
      <c r="AY327" s="30">
        <f>IF(AX327="Above 40",20,IF(AX327="20 to 40",10,IF(AX327="0 to 20",-5,0)))</f>
        <v/>
      </c>
      <c r="AZ327" s="30" t="inlineStr">
        <is>
          <t>Between 50 to 75</t>
        </is>
      </c>
      <c r="BA327" s="30">
        <f>IF(AZ327="Between 50 to 75",10,IF(AZ327="Above 75",0,0))</f>
        <v/>
      </c>
      <c r="BB327" s="30" t="inlineStr">
        <is>
          <t>Stage 2</t>
        </is>
      </c>
      <c r="BC327" s="30">
        <f>IF(BB327="Stage 2",20,IF(BB327="Stage 1",0,IF(BB327="Stage 3",5,IF(BB327="Stage 4",-5,0))))</f>
        <v/>
      </c>
      <c r="BD327" s="30" t="inlineStr">
        <is>
          <t>Positive Trend</t>
        </is>
      </c>
      <c r="BE327" s="30">
        <f>IF(BD327="Positive Trend",20,IF(BD327="Negative Trend",-10,0))</f>
        <v/>
      </c>
      <c r="BF327" s="30" t="inlineStr">
        <is>
          <t>Uptrend</t>
        </is>
      </c>
      <c r="BG327" s="30">
        <f>IF(BF327="Uptrend",10,IF(BF327="Sideways",5,0))</f>
        <v/>
      </c>
      <c r="BH327" s="30" t="inlineStr">
        <is>
          <t>Uptrend</t>
        </is>
      </c>
      <c r="BI327" s="30">
        <f>IF(BH327="Uptrend",10,IF(BH327="Sideways",5,0))</f>
        <v/>
      </c>
      <c r="BJ327" s="30" t="inlineStr">
        <is>
          <t>Close to 52 week high or retracement</t>
        </is>
      </c>
      <c r="BK327" s="30">
        <f>IF(BJ327="Overhead supply in last 2 years in last 2 years",-5,IF(BJ327="Close to 52 week high or retracement",5,IF(BJ327="Blue sky scenario",10,IF(BJ327="Long term Downtrend",-10,0))))</f>
        <v/>
      </c>
      <c r="BL327" s="30" t="inlineStr">
        <is>
          <t>Yes</t>
        </is>
      </c>
      <c r="BM327" s="30">
        <f>IF(BL327="Yes",10,0)</f>
        <v/>
      </c>
      <c r="BN327" s="30" t="inlineStr">
        <is>
          <t>Less than 12%</t>
        </is>
      </c>
      <c r="BO327" s="30">
        <f>IF(BN327="More than 20%",10,IF(BN327="Between 12 to 20%",5,IF(BN327="Less than 12%",0,0)))</f>
        <v/>
      </c>
      <c r="BP327" s="30" t="inlineStr">
        <is>
          <t>No</t>
        </is>
      </c>
      <c r="BQ327" s="30">
        <f>IF(BP327="No",10,0)</f>
        <v/>
      </c>
      <c r="BR327" s="30" t="inlineStr">
        <is>
          <t>No</t>
        </is>
      </c>
      <c r="BS327" s="30">
        <f>IF(BR327="NO",5,0)</f>
        <v/>
      </c>
      <c r="BT327" s="30" t="inlineStr">
        <is>
          <t>Above 2</t>
        </is>
      </c>
      <c r="BU327" s="30">
        <f>IF(BT327="Above 2",0,IF(BT327="Between 1.5 to 2",5,IF(BT327="Less than 1.5",10,0)))</f>
        <v/>
      </c>
      <c r="BV327" s="30" t="inlineStr">
        <is>
          <t>Negative</t>
        </is>
      </c>
      <c r="BW327" s="30">
        <f>IF(BV327="Above 70%",10,IF(BV327="Between 50% to 70%",5,IF(BV327="Less than 50%",0,IF(BV327="Negative",-10,IF(BV327="Less than 50% and Borrowings are increasing",-5,0)))))</f>
        <v/>
      </c>
      <c r="BX327" s="30" t="inlineStr">
        <is>
          <t>More than 1.2</t>
        </is>
      </c>
      <c r="BY327" s="30">
        <f>IF(BX327="More than 1.2",-10,IF(BX327="Between 0.7 to 1.2",0,IF(BX327="Less than 0.7",10,0)))</f>
        <v/>
      </c>
      <c r="BZ327" s="30" t="inlineStr">
        <is>
          <t>No</t>
        </is>
      </c>
      <c r="CA327" s="30">
        <f>IF(BZ327="Yes",-10,0)</f>
        <v/>
      </c>
      <c r="CB327" s="30" t="inlineStr">
        <is>
          <t>Less than 15%</t>
        </is>
      </c>
      <c r="CC327" s="30">
        <f>IF(CB327="More than 15%",-10,IF(CB327="Less than 15%",10,0))</f>
        <v/>
      </c>
      <c r="CD327" s="30" t="inlineStr">
        <is>
          <t>No</t>
        </is>
      </c>
      <c r="CE327" s="30">
        <f>IF(CD327="Yes, more than 10%",-10,IF(CD327="No",10,0))</f>
        <v/>
      </c>
    </row>
    <row r="328">
      <c r="A328" s="30">
        <f>IF(B328=0,"",RANK(B328,$B$2:$B$427,0))</f>
        <v/>
      </c>
      <c r="B328" s="31">
        <f>SUM(N328,Y328,AA328,AC328,AE328,AG328,AI328,AK328,AM328,AO328,AQ328,AS328,AU328,AW328,AY328,BA328,BC328,BE328,BG328,BI328,BK328,BM328,BO328,BQ328,BS328,BU328,BW328,BY328,CA328,CC328,CE328)</f>
        <v/>
      </c>
      <c r="C328" s="32" t="inlineStr">
        <is>
          <t>TEJASNET</t>
        </is>
      </c>
      <c r="D328" s="32" t="inlineStr">
        <is>
          <t>Tejas Networks Ltd</t>
        </is>
      </c>
      <c r="E328" s="30" t="inlineStr">
        <is>
          <t>telecom</t>
        </is>
      </c>
      <c r="F328" s="30" t="inlineStr">
        <is>
          <t>telecommunications - equipment</t>
        </is>
      </c>
      <c r="G328" s="30" t="inlineStr">
        <is>
          <t>midcap</t>
        </is>
      </c>
      <c r="H328" s="31" t="n">
        <v>10667.18</v>
      </c>
      <c r="I328" s="31" t="n">
        <v>632.35</v>
      </c>
      <c r="J328" s="31" t="n">
        <v>5.37</v>
      </c>
      <c r="K328" s="31" t="n">
        <v>17342068</v>
      </c>
      <c r="L328" s="30" t="n">
        <v>37</v>
      </c>
      <c r="M328" s="30" t="inlineStr">
        <is>
          <t>Underperforming</t>
        </is>
      </c>
      <c r="N328" s="31">
        <f>IF(M328="Underperforming",-5,IF(L328&gt;=95,15,IF(L328&gt;=90,10,IF(L328&gt;=80,5,0))))</f>
        <v/>
      </c>
      <c r="O328" s="31" t="n">
        <v>66.75</v>
      </c>
      <c r="P328" s="31" t="n">
        <v>20.54</v>
      </c>
      <c r="Q328" s="31" t="n">
        <v>446.45</v>
      </c>
      <c r="R328" s="30" t="inlineStr">
        <is>
          <t>Earnings / Momentum Support</t>
        </is>
      </c>
      <c r="S328" s="30" t="inlineStr">
        <is>
          <t>Nifty 50</t>
        </is>
      </c>
      <c r="T328" s="31" t="n">
        <v>-4.38</v>
      </c>
      <c r="U328" s="31" t="n">
        <v>-9.529999999999999</v>
      </c>
      <c r="V328" s="31" t="n">
        <v>-5.39</v>
      </c>
      <c r="W328" s="31" t="n">
        <v>9.619999999999999</v>
      </c>
      <c r="X328" s="30" t="inlineStr">
        <is>
          <t>Growing Industry</t>
        </is>
      </c>
      <c r="Y328" s="30">
        <f>IF(X328="Growing Industry",10,IF(X328="Cyclical in an Upturn",5,0))</f>
        <v/>
      </c>
      <c r="Z328" s="30" t="inlineStr">
        <is>
          <t>Oligopoly</t>
        </is>
      </c>
      <c r="AA328" s="30">
        <f>IF(Z328="Monopoly",10,IF(Z328="Oligopoly",5,IF(Z328="Duopoly that cooperate",10,IF(Z328="Duopoly that compete",5,IF(Z328="Too many players with High ROCE",5,0)))))</f>
        <v/>
      </c>
      <c r="AB328" s="30" t="inlineStr">
        <is>
          <t>Yes</t>
        </is>
      </c>
      <c r="AC328" s="30">
        <f>IF(AB328="No",5,0)</f>
        <v/>
      </c>
      <c r="AD328" s="30" t="inlineStr">
        <is>
          <t>Tailwind</t>
        </is>
      </c>
      <c r="AE328" s="30">
        <f>IF(AD328="Tailwind",10,0)</f>
        <v/>
      </c>
      <c r="AF328" s="30" t="inlineStr">
        <is>
          <t>Structural (10 Years Consistency)</t>
        </is>
      </c>
      <c r="AG328" s="30">
        <f>IF(AF328="Structural (10 Years Consistency)",10,IF(AF328="Shallow Cyclical (2 to 3 years growth)",5,0))</f>
        <v/>
      </c>
      <c r="AH328" s="30" t="inlineStr">
        <is>
          <t>No</t>
        </is>
      </c>
      <c r="AI328" s="30">
        <f>IF(AH328="Yes due to Product Mix change or Operating Leverage",10,IF(AH328="Yes, these are peak margins",-5,IF(AH328="No",5,0)))</f>
        <v/>
      </c>
      <c r="AJ328" s="30" t="inlineStr">
        <is>
          <t>Stable</t>
        </is>
      </c>
      <c r="AK328" s="30">
        <f>IF(AJ328="Stable",10,0)</f>
        <v/>
      </c>
      <c r="AL328" s="30" t="inlineStr">
        <is>
          <t>Yes</t>
        </is>
      </c>
      <c r="AM328" s="30">
        <f>IF(AL328="Yes",10,0)</f>
        <v/>
      </c>
      <c r="AN328" s="30" t="inlineStr">
        <is>
          <t>B2B</t>
        </is>
      </c>
      <c r="AO328" s="30">
        <f>IF(AN328="B2C",10,IF(AN328="B2B",5,0))</f>
        <v/>
      </c>
      <c r="AP328" s="30" t="inlineStr">
        <is>
          <t>No</t>
        </is>
      </c>
      <c r="AQ328" s="30">
        <f>IF(AP328="Yes",10,0)</f>
        <v/>
      </c>
      <c r="AR328" s="30" t="inlineStr">
        <is>
          <t>Higher One Time, Lower Annuity</t>
        </is>
      </c>
      <c r="AS328" s="30">
        <f>IF(AR328="Fully Annuity",10,IF(AR328="Higher Annuity, Lower One Time",5,IF(AR328="Higher One Time, Lower Annuity",3,0)))</f>
        <v/>
      </c>
      <c r="AT328" s="30" t="inlineStr">
        <is>
          <t>Good</t>
        </is>
      </c>
      <c r="AU328" s="30">
        <f>IF(AT328="Good",10,0)</f>
        <v/>
      </c>
      <c r="AV328" s="30" t="inlineStr">
        <is>
          <t>Yes for more than 2 years</t>
        </is>
      </c>
      <c r="AW328" s="30">
        <f>IF(AV328="Yes for more than 2 years",10,IF(AV328="Yes only for next 1 to 2 years",5,0))</f>
        <v/>
      </c>
      <c r="AX328" s="30" t="inlineStr">
        <is>
          <t>20 to 40</t>
        </is>
      </c>
      <c r="AY328" s="30">
        <f>IF(AX328="Above 40",20,IF(AX328="20 to 40",10,IF(AX328="0 to 20",-5,0)))</f>
        <v/>
      </c>
      <c r="AZ328" s="30" t="inlineStr">
        <is>
          <t>Between 50 to 75</t>
        </is>
      </c>
      <c r="BA328" s="30">
        <f>IF(AZ328="Between 50 to 75",10,IF(AZ328="Above 75",0,0))</f>
        <v/>
      </c>
      <c r="BB328" s="30" t="inlineStr">
        <is>
          <t>Stage 2</t>
        </is>
      </c>
      <c r="BC328" s="30">
        <f>IF(BB328="Stage 2",20,IF(BB328="Stage 1",0,IF(BB328="Stage 3",5,IF(BB328="Stage 4",-5,0))))</f>
        <v/>
      </c>
      <c r="BD328" s="30" t="inlineStr">
        <is>
          <t>Positive Trend</t>
        </is>
      </c>
      <c r="BE328" s="30">
        <f>IF(BD328="Positive Trend",20,IF(BD328="Negative Trend",-10,0))</f>
        <v/>
      </c>
      <c r="BF328" s="30" t="inlineStr">
        <is>
          <t>Uptrend</t>
        </is>
      </c>
      <c r="BG328" s="30">
        <f>IF(BF328="Uptrend",10,IF(BF328="Sideways",5,0))</f>
        <v/>
      </c>
      <c r="BH328" s="30" t="inlineStr">
        <is>
          <t>Uptrend</t>
        </is>
      </c>
      <c r="BI328" s="30">
        <f>IF(BH328="Uptrend",10,IF(BH328="Sideways",5,0))</f>
        <v/>
      </c>
      <c r="BJ328" s="30" t="inlineStr">
        <is>
          <t>Close to 52 week high or retracement</t>
        </is>
      </c>
      <c r="BK328" s="30">
        <f>IF(BJ328="Overhead supply in last 2 years in last 2 years",-5,IF(BJ328="Close to 52 week high or retracement",5,IF(BJ328="Blue sky scenario",10,IF(BJ328="Long term Downtrend",-10,0))))</f>
        <v/>
      </c>
      <c r="BL328" s="30" t="inlineStr">
        <is>
          <t>Yes</t>
        </is>
      </c>
      <c r="BM328" s="30">
        <f>IF(BL328="Yes",10,0)</f>
        <v/>
      </c>
      <c r="BN328" s="30" t="inlineStr">
        <is>
          <t>More than 20%</t>
        </is>
      </c>
      <c r="BO328" s="30">
        <f>IF(BN328="More than 20%",10,IF(BN328="Between 12 to 20%",5,IF(BN328="Less than 12%",0,0)))</f>
        <v/>
      </c>
      <c r="BP328" s="30" t="inlineStr">
        <is>
          <t>No</t>
        </is>
      </c>
      <c r="BQ328" s="30">
        <f>IF(BP328="No",10,0)</f>
        <v/>
      </c>
      <c r="BR328" s="30" t="inlineStr">
        <is>
          <t>No</t>
        </is>
      </c>
      <c r="BS328" s="30">
        <f>IF(BR328="NO",5,0)</f>
        <v/>
      </c>
      <c r="BT328" s="30" t="inlineStr">
        <is>
          <t>Less than 1.5</t>
        </is>
      </c>
      <c r="BU328" s="30">
        <f>IF(BT328="Above 2",0,IF(BT328="Between 1.5 to 2",5,IF(BT328="Less than 1.5",10,0)))</f>
        <v/>
      </c>
      <c r="BV328" s="30" t="inlineStr">
        <is>
          <t>Negative</t>
        </is>
      </c>
      <c r="BW328" s="30">
        <f>IF(BV328="Above 70%",10,IF(BV328="Between 50% to 70%",5,IF(BV328="Less than 50%",0,IF(BV328="Negative",-10,IF(BV328="Less than 50% and Borrowings are increasing",-5,0)))))</f>
        <v/>
      </c>
      <c r="BX328" s="30" t="inlineStr">
        <is>
          <t>More than 1.2</t>
        </is>
      </c>
      <c r="BY328" s="30">
        <f>IF(BX328="More than 1.2",-10,IF(BX328="Between 0.7 to 1.2",0,IF(BX328="Less than 0.7",10,0)))</f>
        <v/>
      </c>
      <c r="BZ328" s="30" t="inlineStr">
        <is>
          <t>No</t>
        </is>
      </c>
      <c r="CA328" s="30">
        <f>IF(BZ328="Yes",-10,0)</f>
        <v/>
      </c>
      <c r="CB328" s="30" t="inlineStr">
        <is>
          <t>Less than 15%</t>
        </is>
      </c>
      <c r="CC328" s="30">
        <f>IF(CB328="More than 15%",-10,IF(CB328="Less than 15%",10,0))</f>
        <v/>
      </c>
      <c r="CD328" s="30" t="inlineStr">
        <is>
          <t>No</t>
        </is>
      </c>
      <c r="CE328" s="30">
        <f>IF(CD328="Yes, more than 10%",-10,IF(CD328="No",10,0))</f>
        <v/>
      </c>
    </row>
    <row r="329">
      <c r="A329" s="30">
        <f>IF(B329=0,"",RANK(B329,$B$2:$B$427,0))</f>
        <v/>
      </c>
      <c r="B329" s="31">
        <f>SUM(N329,Y329,AA329,AC329,AE329,AG329,AI329,AK329,AM329,AO329,AQ329,AS329,AU329,AW329,AY329,BA329,BC329,BE329,BG329,BI329,BK329,BM329,BO329,BQ329,BS329,BU329,BW329,BY329,CA329,CC329,CE329)</f>
        <v/>
      </c>
      <c r="C329" s="30" t="inlineStr">
        <is>
          <t>PTCIL</t>
        </is>
      </c>
      <c r="D329" s="30" t="inlineStr">
        <is>
          <t>PTC Industries Ltd</t>
        </is>
      </c>
      <c r="E329" s="30" t="inlineStr">
        <is>
          <t>industrials</t>
        </is>
      </c>
      <c r="F329" s="30" t="inlineStr">
        <is>
          <t>castings &amp; forgings</t>
        </is>
      </c>
      <c r="G329" s="30" t="inlineStr">
        <is>
          <t>largecap</t>
        </is>
      </c>
      <c r="H329" s="31" t="n">
        <v>26117.02</v>
      </c>
      <c r="I329" s="31" t="n">
        <v>18333</v>
      </c>
      <c r="J329" s="31" t="n">
        <v>5.24</v>
      </c>
      <c r="K329" s="31" t="n">
        <v>46305</v>
      </c>
      <c r="L329" s="30" t="n">
        <v>23</v>
      </c>
      <c r="M329" s="30" t="inlineStr">
        <is>
          <t>Outperforming</t>
        </is>
      </c>
      <c r="N329" s="31">
        <f>IF(M329="Underperforming",-5,IF(L329&gt;=95,15,IF(L329&gt;=90,10,IF(L329&gt;=80,5,0))))</f>
        <v/>
      </c>
      <c r="O329" s="31" t="n">
        <v>58.83</v>
      </c>
      <c r="P329" s="31" t="n">
        <v>15.36</v>
      </c>
      <c r="Q329" s="31" t="n">
        <v>14415.26</v>
      </c>
      <c r="R329" s="30" t="inlineStr">
        <is>
          <t>Near 52W High Breakout</t>
        </is>
      </c>
      <c r="S329" s="30" t="inlineStr">
        <is>
          <t>Nifty 50</t>
        </is>
      </c>
      <c r="T329" s="31" t="n">
        <v>-4.38</v>
      </c>
      <c r="U329" s="31" t="n">
        <v>30.34</v>
      </c>
      <c r="V329" s="31" t="n">
        <v>36.31</v>
      </c>
      <c r="W329" s="31" t="n">
        <v>6.68</v>
      </c>
      <c r="X329" s="30" t="inlineStr">
        <is>
          <t>Cyclical in an Upturn</t>
        </is>
      </c>
      <c r="Y329" s="30">
        <f>IF(X329="Growing Industry",10,IF(X329="Cyclical in an Upturn",5,0))</f>
        <v/>
      </c>
      <c r="Z329" s="30" t="inlineStr">
        <is>
          <t>Too Many Players with High ROCE</t>
        </is>
      </c>
      <c r="AA329" s="30">
        <f>IF(Z329="Monopoly",10,IF(Z329="Oligopoly",5,IF(Z329="Duopoly that cooperate",10,IF(Z329="Duopoly that compete",5,IF(Z329="Too many players with High ROCE",5,0)))))</f>
        <v/>
      </c>
      <c r="AB329" s="30" t="inlineStr">
        <is>
          <t>No</t>
        </is>
      </c>
      <c r="AC329" s="30">
        <f>IF(AB329="No",5,0)</f>
        <v/>
      </c>
      <c r="AD329" s="30" t="inlineStr">
        <is>
          <t>Headwind</t>
        </is>
      </c>
      <c r="AE329" s="30">
        <f>IF(AD329="Tailwind",10,0)</f>
        <v/>
      </c>
      <c r="AF329" s="30" t="inlineStr">
        <is>
          <t>Structural (10 Years Consistency)</t>
        </is>
      </c>
      <c r="AG329" s="30">
        <f>IF(AF329="Structural (10 Years Consistency)",10,IF(AF329="Shallow Cyclical (2 to 3 years growth)",5,0))</f>
        <v/>
      </c>
      <c r="AH329" s="30" t="inlineStr">
        <is>
          <t>No</t>
        </is>
      </c>
      <c r="AI329" s="30">
        <f>IF(AH329="Yes due to Product Mix change or Operating Leverage",10,IF(AH329="Yes, these are peak margins",-5,IF(AH329="No",5,0)))</f>
        <v/>
      </c>
      <c r="AJ329" s="30" t="inlineStr">
        <is>
          <t>Stable</t>
        </is>
      </c>
      <c r="AK329" s="30">
        <f>IF(AJ329="Stable",10,0)</f>
        <v/>
      </c>
      <c r="AL329" s="30" t="inlineStr">
        <is>
          <t>Yes</t>
        </is>
      </c>
      <c r="AM329" s="30">
        <f>IF(AL329="Yes",10,0)</f>
        <v/>
      </c>
      <c r="AN329" s="30" t="inlineStr">
        <is>
          <t>B2B</t>
        </is>
      </c>
      <c r="AO329" s="30">
        <f>IF(AN329="B2C",10,IF(AN329="B2B",5,0))</f>
        <v/>
      </c>
      <c r="AP329" s="30" t="inlineStr">
        <is>
          <t>Yes</t>
        </is>
      </c>
      <c r="AQ329" s="30">
        <f>IF(AP329="Yes",10,0)</f>
        <v/>
      </c>
      <c r="AR329" s="30" t="inlineStr">
        <is>
          <t>Higher One Time, Lower Annuity</t>
        </is>
      </c>
      <c r="AS329" s="30">
        <f>IF(AR329="Fully Annuity",10,IF(AR329="Higher Annuity, Lower One Time",5,IF(AR329="Higher One Time, Lower Annuity",3,0)))</f>
        <v/>
      </c>
      <c r="AT329" s="30" t="inlineStr">
        <is>
          <t>Good</t>
        </is>
      </c>
      <c r="AU329" s="30">
        <f>IF(AT329="Good",10,0)</f>
        <v/>
      </c>
      <c r="AV329" s="30" t="inlineStr">
        <is>
          <t>Yes for more than 2 years</t>
        </is>
      </c>
      <c r="AW329" s="30">
        <f>IF(AV329="Yes for more than 2 years",10,IF(AV329="Yes only for next 1 to 2 years",5,0))</f>
        <v/>
      </c>
      <c r="AX329" s="30" t="inlineStr">
        <is>
          <t>0 to 20</t>
        </is>
      </c>
      <c r="AY329" s="30">
        <f>IF(AX329="Above 40",20,IF(AX329="20 to 40",10,IF(AX329="0 to 20",-5,0)))</f>
        <v/>
      </c>
      <c r="AZ329" s="30" t="inlineStr">
        <is>
          <t>Between 50 to 75</t>
        </is>
      </c>
      <c r="BA329" s="30">
        <f>IF(AZ329="Between 50 to 75",10,IF(AZ329="Above 75",0,0))</f>
        <v/>
      </c>
      <c r="BB329" s="30" t="inlineStr">
        <is>
          <t>Stage 2</t>
        </is>
      </c>
      <c r="BC329" s="30">
        <f>IF(BB329="Stage 2",20,IF(BB329="Stage 1",0,IF(BB329="Stage 3",5,IF(BB329="Stage 4",-5,0))))</f>
        <v/>
      </c>
      <c r="BD329" s="30" t="inlineStr">
        <is>
          <t>Positive Trend</t>
        </is>
      </c>
      <c r="BE329" s="30">
        <f>IF(BD329="Positive Trend",20,IF(BD329="Negative Trend",-10,0))</f>
        <v/>
      </c>
      <c r="BF329" s="30" t="inlineStr">
        <is>
          <t>Uptrend</t>
        </is>
      </c>
      <c r="BG329" s="30">
        <f>IF(BF329="Uptrend",10,IF(BF329="Sideways",5,0))</f>
        <v/>
      </c>
      <c r="BH329" s="30" t="inlineStr">
        <is>
          <t>Uptrend</t>
        </is>
      </c>
      <c r="BI329" s="30">
        <f>IF(BH329="Uptrend",10,IF(BH329="Sideways",5,0))</f>
        <v/>
      </c>
      <c r="BJ329" s="30" t="inlineStr">
        <is>
          <t>Blue sky scenario</t>
        </is>
      </c>
      <c r="BK329" s="30">
        <f>IF(BJ329="Overhead supply in last 2 years in last 2 years",-5,IF(BJ329="Close to 52 week high or retracement",5,IF(BJ329="Blue sky scenario",10,IF(BJ329="Long term Downtrend",-10,0))))</f>
        <v/>
      </c>
      <c r="BL329" s="30" t="inlineStr">
        <is>
          <t>Yes</t>
        </is>
      </c>
      <c r="BM329" s="30">
        <f>IF(BL329="Yes",10,0)</f>
        <v/>
      </c>
      <c r="BN329" s="30" t="inlineStr">
        <is>
          <t>More than 20%</t>
        </is>
      </c>
      <c r="BO329" s="30">
        <f>IF(BN329="More than 20%",10,IF(BN329="Between 12 to 20%",5,IF(BN329="Less than 12%",0,0)))</f>
        <v/>
      </c>
      <c r="BP329" s="30" t="inlineStr">
        <is>
          <t>No</t>
        </is>
      </c>
      <c r="BQ329" s="30">
        <f>IF(BP329="No",10,0)</f>
        <v/>
      </c>
      <c r="BR329" s="30" t="inlineStr">
        <is>
          <t>Yes</t>
        </is>
      </c>
      <c r="BS329" s="30">
        <f>IF(BR329="NO",5,0)</f>
        <v/>
      </c>
      <c r="BT329" s="30" t="inlineStr">
        <is>
          <t>Above 2</t>
        </is>
      </c>
      <c r="BU329" s="30">
        <f>IF(BT329="Above 2",0,IF(BT329="Between 1.5 to 2",5,IF(BT329="Less than 1.5",10,0)))</f>
        <v/>
      </c>
      <c r="BV329" s="30" t="inlineStr">
        <is>
          <t>Negative</t>
        </is>
      </c>
      <c r="BW329" s="30">
        <f>IF(BV329="Above 70%",10,IF(BV329="Between 50% to 70%",5,IF(BV329="Less than 50%",0,IF(BV329="Negative",-10,IF(BV329="Less than 50% and Borrowings are increasing",-5,0)))))</f>
        <v/>
      </c>
      <c r="BX329" s="30" t="inlineStr">
        <is>
          <t>Less than 0.7</t>
        </is>
      </c>
      <c r="BY329" s="30">
        <f>IF(BX329="More than 1.2",-10,IF(BX329="Between 0.7 to 1.2",0,IF(BX329="Less than 0.7",10,0)))</f>
        <v/>
      </c>
      <c r="BZ329" s="30" t="inlineStr">
        <is>
          <t>No</t>
        </is>
      </c>
      <c r="CA329" s="30">
        <f>IF(BZ329="Yes",-10,0)</f>
        <v/>
      </c>
      <c r="CB329" s="30" t="inlineStr">
        <is>
          <t>Less than 15%</t>
        </is>
      </c>
      <c r="CC329" s="30">
        <f>IF(CB329="More than 15%",-10,IF(CB329="Less than 15%",10,0))</f>
        <v/>
      </c>
      <c r="CD329" s="30" t="inlineStr">
        <is>
          <t>No</t>
        </is>
      </c>
      <c r="CE329" s="30">
        <f>IF(CD329="Yes, more than 10%",-10,IF(CD329="No",10,0))</f>
        <v/>
      </c>
    </row>
    <row r="330">
      <c r="A330" s="30">
        <f>IF(B330=0,"",RANK(B330,$B$2:$B$427,0))</f>
        <v/>
      </c>
      <c r="B330" s="31">
        <f>SUM(N330,Y330,AA330,AC330,AE330,AG330,AI330,AK330,AM330,AO330,AQ330,AS330,AU330,AW330,AY330,BA330,BC330,BE330,BG330,BI330,BK330,BM330,BO330,BQ330,BS330,BU330,BW330,BY330,CA330,CC330,CE330)</f>
        <v/>
      </c>
      <c r="C330" s="30" t="inlineStr">
        <is>
          <t>TIMKEN</t>
        </is>
      </c>
      <c r="D330" s="30" t="inlineStr">
        <is>
          <t>Timken India Limited</t>
        </is>
      </c>
      <c r="E330" s="30" t="inlineStr">
        <is>
          <t>industrials</t>
        </is>
      </c>
      <c r="F330" s="30" t="inlineStr">
        <is>
          <t>bearings</t>
        </is>
      </c>
      <c r="G330" s="30" t="inlineStr">
        <is>
          <t>largecap</t>
        </is>
      </c>
      <c r="H330" s="31" t="n">
        <v>26882.42</v>
      </c>
      <c r="I330" s="31" t="n">
        <v>3689.4</v>
      </c>
      <c r="J330" s="31" t="n">
        <v>3.23</v>
      </c>
      <c r="K330" s="31" t="n">
        <v>162512</v>
      </c>
      <c r="L330" s="30" t="n">
        <v>22</v>
      </c>
      <c r="M330" s="30" t="inlineStr">
        <is>
          <t>Outperforming</t>
        </is>
      </c>
      <c r="N330" s="31">
        <f>IF(M330="Underperforming",-5,IF(L330&gt;=95,15,IF(L330&gt;=90,10,IF(L330&gt;=80,5,0))))</f>
        <v/>
      </c>
      <c r="O330" s="31" t="n">
        <v>60.52</v>
      </c>
      <c r="P330" s="31" t="n">
        <v>31.66</v>
      </c>
      <c r="Q330" s="31" t="n">
        <v>3044.75</v>
      </c>
      <c r="R330" s="30" t="inlineStr">
        <is>
          <t>Near 52W High Breakout</t>
        </is>
      </c>
      <c r="S330" s="30" t="inlineStr">
        <is>
          <t>Nifty 50</t>
        </is>
      </c>
      <c r="T330" s="31" t="n">
        <v>-4.38</v>
      </c>
      <c r="U330" s="31" t="n">
        <v>13.67</v>
      </c>
      <c r="V330" s="31" t="n">
        <v>18.88</v>
      </c>
      <c r="W330" s="31" t="n">
        <v>6.2</v>
      </c>
      <c r="X330" s="30" t="inlineStr">
        <is>
          <t>Cyclical in an Upturn</t>
        </is>
      </c>
      <c r="Y330" s="30">
        <f>IF(X330="Growing Industry",10,IF(X330="Cyclical in an Upturn",5,0))</f>
        <v/>
      </c>
      <c r="Z330" s="30" t="inlineStr">
        <is>
          <t>Too Many Players with High ROCE</t>
        </is>
      </c>
      <c r="AA330" s="30">
        <f>IF(Z330="Monopoly",10,IF(Z330="Oligopoly",5,IF(Z330="Duopoly that cooperate",10,IF(Z330="Duopoly that compete",5,IF(Z330="Too many players with High ROCE",5,0)))))</f>
        <v/>
      </c>
      <c r="AB330" s="30" t="inlineStr">
        <is>
          <t>No</t>
        </is>
      </c>
      <c r="AC330" s="30">
        <f>IF(AB330="No",5,0)</f>
        <v/>
      </c>
      <c r="AD330" s="30" t="inlineStr">
        <is>
          <t>Tailwind</t>
        </is>
      </c>
      <c r="AE330" s="30">
        <f>IF(AD330="Tailwind",10,0)</f>
        <v/>
      </c>
      <c r="AF330" s="30" t="inlineStr">
        <is>
          <t>Structural (10 Years Consistency)</t>
        </is>
      </c>
      <c r="AG330" s="30">
        <f>IF(AF330="Structural (10 Years Consistency)",10,IF(AF330="Shallow Cyclical (2 to 3 years growth)",5,0))</f>
        <v/>
      </c>
      <c r="AH330" s="30" t="inlineStr">
        <is>
          <t>No</t>
        </is>
      </c>
      <c r="AI330" s="30">
        <f>IF(AH330="Yes due to Product Mix change or Operating Leverage",10,IF(AH330="Yes, these are peak margins",-5,IF(AH330="No",5,0)))</f>
        <v/>
      </c>
      <c r="AJ330" s="30" t="inlineStr">
        <is>
          <t>Stable</t>
        </is>
      </c>
      <c r="AK330" s="30">
        <f>IF(AJ330="Stable",10,0)</f>
        <v/>
      </c>
      <c r="AL330" s="30" t="inlineStr">
        <is>
          <t>Yes</t>
        </is>
      </c>
      <c r="AM330" s="30">
        <f>IF(AL330="Yes",10,0)</f>
        <v/>
      </c>
      <c r="AN330" s="30" t="inlineStr">
        <is>
          <t>B2B</t>
        </is>
      </c>
      <c r="AO330" s="30">
        <f>IF(AN330="B2C",10,IF(AN330="B2B",5,0))</f>
        <v/>
      </c>
      <c r="AP330" s="30" t="inlineStr">
        <is>
          <t>Yes</t>
        </is>
      </c>
      <c r="AQ330" s="30">
        <f>IF(AP330="Yes",10,0)</f>
        <v/>
      </c>
      <c r="AR330" s="30" t="inlineStr">
        <is>
          <t>Higher One Time, Lower Annuity</t>
        </is>
      </c>
      <c r="AS330" s="30">
        <f>IF(AR330="Fully Annuity",10,IF(AR330="Higher Annuity, Lower One Time",5,IF(AR330="Higher One Time, Lower Annuity",3,0)))</f>
        <v/>
      </c>
      <c r="AT330" s="30" t="inlineStr">
        <is>
          <t>Good</t>
        </is>
      </c>
      <c r="AU330" s="30">
        <f>IF(AT330="Good",10,0)</f>
        <v/>
      </c>
      <c r="AV330" s="30" t="inlineStr">
        <is>
          <t>Yes for more than 2 years</t>
        </is>
      </c>
      <c r="AW330" s="30">
        <f>IF(AV330="Yes for more than 2 years",10,IF(AV330="Yes only for next 1 to 2 years",5,0))</f>
        <v/>
      </c>
      <c r="AX330" s="30" t="inlineStr">
        <is>
          <t>20 to 40</t>
        </is>
      </c>
      <c r="AY330" s="30">
        <f>IF(AX330="Above 40",20,IF(AX330="20 to 40",10,IF(AX330="0 to 20",-5,0)))</f>
        <v/>
      </c>
      <c r="AZ330" s="30" t="inlineStr">
        <is>
          <t>Between 50 to 75</t>
        </is>
      </c>
      <c r="BA330" s="30">
        <f>IF(AZ330="Between 50 to 75",10,IF(AZ330="Above 75",0,0))</f>
        <v/>
      </c>
      <c r="BB330" s="30" t="inlineStr">
        <is>
          <t>Stage 2</t>
        </is>
      </c>
      <c r="BC330" s="30">
        <f>IF(BB330="Stage 2",20,IF(BB330="Stage 1",0,IF(BB330="Stage 3",5,IF(BB330="Stage 4",-5,0))))</f>
        <v/>
      </c>
      <c r="BD330" s="30" t="inlineStr">
        <is>
          <t>Negative Trend</t>
        </is>
      </c>
      <c r="BE330" s="30">
        <f>IF(BD330="Positive Trend",20,IF(BD330="Negative Trend",-10,0))</f>
        <v/>
      </c>
      <c r="BF330" s="30" t="inlineStr">
        <is>
          <t>Uptrend</t>
        </is>
      </c>
      <c r="BG330" s="30">
        <f>IF(BF330="Uptrend",10,IF(BF330="Sideways",5,0))</f>
        <v/>
      </c>
      <c r="BH330" s="30" t="inlineStr">
        <is>
          <t>Uptrend</t>
        </is>
      </c>
      <c r="BI330" s="30">
        <f>IF(BH330="Uptrend",10,IF(BH330="Sideways",5,0))</f>
        <v/>
      </c>
      <c r="BJ330" s="30" t="inlineStr">
        <is>
          <t>Close to 52 week high or retracement</t>
        </is>
      </c>
      <c r="BK330" s="30">
        <f>IF(BJ330="Overhead supply in last 2 years in last 2 years",-5,IF(BJ330="Close to 52 week high or retracement",5,IF(BJ330="Blue sky scenario",10,IF(BJ330="Long term Downtrend",-10,0))))</f>
        <v/>
      </c>
      <c r="BL330" s="30" t="inlineStr">
        <is>
          <t>Yes</t>
        </is>
      </c>
      <c r="BM330" s="30">
        <f>IF(BL330="Yes",10,0)</f>
        <v/>
      </c>
      <c r="BN330" s="30" t="inlineStr">
        <is>
          <t>Less than 12%</t>
        </is>
      </c>
      <c r="BO330" s="30">
        <f>IF(BN330="More than 20%",10,IF(BN330="Between 12 to 20%",5,IF(BN330="Less than 12%",0,0)))</f>
        <v/>
      </c>
      <c r="BP330" s="30" t="inlineStr">
        <is>
          <t>No</t>
        </is>
      </c>
      <c r="BQ330" s="30">
        <f>IF(BP330="No",10,0)</f>
        <v/>
      </c>
      <c r="BR330" s="30" t="inlineStr">
        <is>
          <t>Yes</t>
        </is>
      </c>
      <c r="BS330" s="30">
        <f>IF(BR330="NO",5,0)</f>
        <v/>
      </c>
      <c r="BT330" s="30" t="inlineStr">
        <is>
          <t>Above 2</t>
        </is>
      </c>
      <c r="BU330" s="30">
        <f>IF(BT330="Above 2",0,IF(BT330="Between 1.5 to 2",5,IF(BT330="Less than 1.5",10,0)))</f>
        <v/>
      </c>
      <c r="BV330" s="30" t="inlineStr">
        <is>
          <t>Above 70%</t>
        </is>
      </c>
      <c r="BW330" s="30">
        <f>IF(BV330="Above 70%",10,IF(BV330="Between 50% to 70%",5,IF(BV330="Less than 50%",0,IF(BV330="Negative",-10,IF(BV330="Less than 50% and Borrowings are increasing",-5,0)))))</f>
        <v/>
      </c>
      <c r="BX330" s="30" t="inlineStr">
        <is>
          <t>Less than 0.7</t>
        </is>
      </c>
      <c r="BY330" s="30">
        <f>IF(BX330="More than 1.2",-10,IF(BX330="Between 0.7 to 1.2",0,IF(BX330="Less than 0.7",10,0)))</f>
        <v/>
      </c>
      <c r="BZ330" s="30" t="inlineStr">
        <is>
          <t>No</t>
        </is>
      </c>
      <c r="CA330" s="30">
        <f>IF(BZ330="Yes",-10,0)</f>
        <v/>
      </c>
      <c r="CB330" s="30" t="inlineStr">
        <is>
          <t>Less than 15%</t>
        </is>
      </c>
      <c r="CC330" s="30">
        <f>IF(CB330="More than 15%",-10,IF(CB330="Less than 15%",10,0))</f>
        <v/>
      </c>
      <c r="CD330" s="30" t="inlineStr">
        <is>
          <t>No</t>
        </is>
      </c>
      <c r="CE330" s="30">
        <f>IF(CD330="Yes, more than 10%",-10,IF(CD330="No",10,0))</f>
        <v/>
      </c>
    </row>
    <row r="331">
      <c r="A331" s="30">
        <f>IF(B331=0,"",RANK(B331,$B$2:$B$427,0))</f>
        <v/>
      </c>
      <c r="B331" s="31">
        <f>SUM(N331,Y331,AA331,AC331,AE331,AG331,AI331,AK331,AM331,AO331,AQ331,AS331,AU331,AW331,AY331,BA331,BC331,BE331,BG331,BI331,BK331,BM331,BO331,BQ331,BS331,BU331,BW331,BY331,CA331,CC331,CE331)</f>
        <v/>
      </c>
      <c r="C331" s="30" t="inlineStr">
        <is>
          <t>WAAREEENER</t>
        </is>
      </c>
      <c r="D331" s="30" t="inlineStr">
        <is>
          <t>Waaree Energies Ltd</t>
        </is>
      </c>
      <c r="E331" s="30" t="inlineStr">
        <is>
          <t>industrials</t>
        </is>
      </c>
      <c r="F331" s="30" t="inlineStr">
        <is>
          <t>electric equipment</t>
        </is>
      </c>
      <c r="G331" s="30" t="inlineStr">
        <is>
          <t>largecap</t>
        </is>
      </c>
      <c r="H331" s="31" t="n">
        <v>88191.02</v>
      </c>
      <c r="I331" s="31" t="n">
        <v>3125.4</v>
      </c>
      <c r="J331" s="31" t="n">
        <v>1.94</v>
      </c>
      <c r="K331" s="31" t="n">
        <v>1902606</v>
      </c>
      <c r="L331" s="30" t="n">
        <v>2</v>
      </c>
      <c r="M331" s="30" t="inlineStr">
        <is>
          <t>Outperforming</t>
        </is>
      </c>
      <c r="N331" s="31">
        <f>IF(M331="Underperforming",-5,IF(L331&gt;=95,15,IF(L331&gt;=90,10,IF(L331&gt;=80,5,0))))</f>
        <v/>
      </c>
      <c r="O331" s="31" t="n">
        <v>52.07</v>
      </c>
      <c r="P331" s="31" t="n">
        <v>7.45</v>
      </c>
      <c r="Q331" s="31" t="n">
        <v>2727.49</v>
      </c>
      <c r="R331" s="30" t="inlineStr">
        <is>
          <t>Earnings / Momentum Support</t>
        </is>
      </c>
      <c r="S331" s="30" t="inlineStr">
        <is>
          <t>Nifty 500</t>
        </is>
      </c>
      <c r="T331" s="31" t="n">
        <v>0.45</v>
      </c>
      <c r="U331" s="31" t="n">
        <v>4.62</v>
      </c>
      <c r="V331" s="31" t="n">
        <v>4.16</v>
      </c>
      <c r="W331" s="31" t="n">
        <v>1.18</v>
      </c>
      <c r="X331" s="30" t="inlineStr">
        <is>
          <t>Cyclical in an Upturn</t>
        </is>
      </c>
      <c r="Y331" s="30">
        <f>IF(X331="Growing Industry",10,IF(X331="Cyclical in an Upturn",5,0))</f>
        <v/>
      </c>
      <c r="Z331" s="30" t="inlineStr">
        <is>
          <t>Too Many Players with High ROCE</t>
        </is>
      </c>
      <c r="AA331" s="30">
        <f>IF(Z331="Monopoly",10,IF(Z331="Oligopoly",5,IF(Z331="Duopoly that cooperate",10,IF(Z331="Duopoly that compete",5,IF(Z331="Too many players with High ROCE",5,0)))))</f>
        <v/>
      </c>
      <c r="AB331" s="30" t="inlineStr">
        <is>
          <t>No</t>
        </is>
      </c>
      <c r="AC331" s="30">
        <f>IF(AB331="No",5,0)</f>
        <v/>
      </c>
      <c r="AD331" s="30" t="inlineStr">
        <is>
          <t>Tailwind</t>
        </is>
      </c>
      <c r="AE331" s="30">
        <f>IF(AD331="Tailwind",10,0)</f>
        <v/>
      </c>
      <c r="AF331" s="30" t="inlineStr">
        <is>
          <t>Structural (10 Years Consistency)</t>
        </is>
      </c>
      <c r="AG331" s="30">
        <f>IF(AF331="Structural (10 Years Consistency)",10,IF(AF331="Shallow Cyclical (2 to 3 years growth)",5,0))</f>
        <v/>
      </c>
      <c r="AH331" s="30" t="inlineStr">
        <is>
          <t>No</t>
        </is>
      </c>
      <c r="AI331" s="30">
        <f>IF(AH331="Yes due to Product Mix change or Operating Leverage",10,IF(AH331="Yes, these are peak margins",-5,IF(AH331="No",5,0)))</f>
        <v/>
      </c>
      <c r="AJ331" s="30" t="inlineStr">
        <is>
          <t>Stable</t>
        </is>
      </c>
      <c r="AK331" s="30">
        <f>IF(AJ331="Stable",10,0)</f>
        <v/>
      </c>
      <c r="AL331" s="30" t="inlineStr">
        <is>
          <t>Yes</t>
        </is>
      </c>
      <c r="AM331" s="30">
        <f>IF(AL331="Yes",10,0)</f>
        <v/>
      </c>
      <c r="AN331" s="30" t="inlineStr">
        <is>
          <t>B2B</t>
        </is>
      </c>
      <c r="AO331" s="30">
        <f>IF(AN331="B2C",10,IF(AN331="B2B",5,0))</f>
        <v/>
      </c>
      <c r="AP331" s="30" t="inlineStr">
        <is>
          <t>No</t>
        </is>
      </c>
      <c r="AQ331" s="30">
        <f>IF(AP331="Yes",10,0)</f>
        <v/>
      </c>
      <c r="AR331" s="30" t="inlineStr">
        <is>
          <t>Higher One Time, Lower Annuity</t>
        </is>
      </c>
      <c r="AS331" s="30">
        <f>IF(AR331="Fully Annuity",10,IF(AR331="Higher Annuity, Lower One Time",5,IF(AR331="Higher One Time, Lower Annuity",3,0)))</f>
        <v/>
      </c>
      <c r="AT331" s="30" t="inlineStr">
        <is>
          <t>Good</t>
        </is>
      </c>
      <c r="AU331" s="30">
        <f>IF(AT331="Good",10,0)</f>
        <v/>
      </c>
      <c r="AV331" s="30" t="inlineStr">
        <is>
          <t>Yes for more than 2 years</t>
        </is>
      </c>
      <c r="AW331" s="30">
        <f>IF(AV331="Yes for more than 2 years",10,IF(AV331="Yes only for next 1 to 2 years",5,0))</f>
        <v/>
      </c>
      <c r="AX331" s="30" t="inlineStr">
        <is>
          <t>0 to 20</t>
        </is>
      </c>
      <c r="AY331" s="30">
        <f>IF(AX331="Above 40",20,IF(AX331="20 to 40",10,IF(AX331="0 to 20",-5,0)))</f>
        <v/>
      </c>
      <c r="AZ331" s="30" t="inlineStr">
        <is>
          <t>Between 50 to 75</t>
        </is>
      </c>
      <c r="BA331" s="30">
        <f>IF(AZ331="Between 50 to 75",10,IF(AZ331="Above 75",0,0))</f>
        <v/>
      </c>
      <c r="BB331" s="30" t="inlineStr">
        <is>
          <t>Stage 1</t>
        </is>
      </c>
      <c r="BC331" s="30">
        <f>IF(BB331="Stage 2",20,IF(BB331="Stage 1",0,IF(BB331="Stage 3",5,IF(BB331="Stage 4",-5,0))))</f>
        <v/>
      </c>
      <c r="BD331" s="30" t="inlineStr">
        <is>
          <t>Positive Trend</t>
        </is>
      </c>
      <c r="BE331" s="30">
        <f>IF(BD331="Positive Trend",20,IF(BD331="Negative Trend",-10,0))</f>
        <v/>
      </c>
      <c r="BF331" s="30" t="inlineStr">
        <is>
          <t>Uptrend</t>
        </is>
      </c>
      <c r="BG331" s="30">
        <f>IF(BF331="Uptrend",10,IF(BF331="Sideways",5,0))</f>
        <v/>
      </c>
      <c r="BH331" s="30" t="inlineStr">
        <is>
          <t>Uptrend</t>
        </is>
      </c>
      <c r="BI331" s="30">
        <f>IF(BH331="Uptrend",10,IF(BH331="Sideways",5,0))</f>
        <v/>
      </c>
      <c r="BJ331" s="30" t="inlineStr">
        <is>
          <t>Close to 52 week high or retracement</t>
        </is>
      </c>
      <c r="BK331" s="30">
        <f>IF(BJ331="Overhead supply in last 2 years in last 2 years",-5,IF(BJ331="Close to 52 week high or retracement",5,IF(BJ331="Blue sky scenario",10,IF(BJ331="Long term Downtrend",-10,0))))</f>
        <v/>
      </c>
      <c r="BL331" s="30" t="inlineStr">
        <is>
          <t>Yes</t>
        </is>
      </c>
      <c r="BM331" s="30">
        <f>IF(BL331="Yes",10,0)</f>
        <v/>
      </c>
      <c r="BN331" s="30" t="inlineStr">
        <is>
          <t>More than 20%</t>
        </is>
      </c>
      <c r="BO331" s="30">
        <f>IF(BN331="More than 20%",10,IF(BN331="Between 12 to 20%",5,IF(BN331="Less than 12%",0,0)))</f>
        <v/>
      </c>
      <c r="BP331" s="30" t="inlineStr">
        <is>
          <t>No</t>
        </is>
      </c>
      <c r="BQ331" s="30">
        <f>IF(BP331="No",10,0)</f>
        <v/>
      </c>
      <c r="BR331" s="30" t="inlineStr">
        <is>
          <t>No</t>
        </is>
      </c>
      <c r="BS331" s="30">
        <f>IF(BR331="NO",5,0)</f>
        <v/>
      </c>
      <c r="BT331" s="30" t="inlineStr">
        <is>
          <t>Less than 1.5</t>
        </is>
      </c>
      <c r="BU331" s="30">
        <f>IF(BT331="Above 2",0,IF(BT331="Between 1.5 to 2",5,IF(BT331="Less than 1.5",10,0)))</f>
        <v/>
      </c>
      <c r="BV331" s="30" t="inlineStr">
        <is>
          <t>Less than 50%</t>
        </is>
      </c>
      <c r="BW331" s="30">
        <f>IF(BV331="Above 70%",10,IF(BV331="Between 50% to 70%",5,IF(BV331="Less than 50%",0,IF(BV331="Negative",-10,IF(BV331="Less than 50% and Borrowings are increasing",-5,0)))))</f>
        <v/>
      </c>
      <c r="BX331" s="30" t="inlineStr">
        <is>
          <t>Less than 0.7</t>
        </is>
      </c>
      <c r="BY331" s="30">
        <f>IF(BX331="More than 1.2",-10,IF(BX331="Between 0.7 to 1.2",0,IF(BX331="Less than 0.7",10,0)))</f>
        <v/>
      </c>
      <c r="BZ331" s="30" t="inlineStr">
        <is>
          <t>No</t>
        </is>
      </c>
      <c r="CA331" s="30">
        <f>IF(BZ331="Yes",-10,0)</f>
        <v/>
      </c>
      <c r="CB331" s="30" t="inlineStr">
        <is>
          <t>Less than 15%</t>
        </is>
      </c>
      <c r="CC331" s="30">
        <f>IF(CB331="More than 15%",-10,IF(CB331="Less than 15%",10,0))</f>
        <v/>
      </c>
      <c r="CD331" s="30" t="inlineStr">
        <is>
          <t>No</t>
        </is>
      </c>
      <c r="CE331" s="30">
        <f>IF(CD331="Yes, more than 10%",-10,IF(CD331="No",10,0))</f>
        <v/>
      </c>
    </row>
    <row r="332">
      <c r="A332" s="30">
        <f>IF(B332=0,"",RANK(B332,$B$2:$B$427,0))</f>
        <v/>
      </c>
      <c r="B332" s="31">
        <f>SUM(N332,Y332,AA332,AC332,AE332,AG332,AI332,AK332,AM332,AO332,AQ332,AS332,AU332,AW332,AY332,BA332,BC332,BE332,BG332,BI332,BK332,BM332,BO332,BQ332,BS332,BU332,BW332,BY332,CA332,CC332,CE332)</f>
        <v/>
      </c>
      <c r="C332" s="32" t="inlineStr">
        <is>
          <t>KSL</t>
        </is>
      </c>
      <c r="D332" s="32" t="inlineStr">
        <is>
          <t>Kalyani Steels Limited</t>
        </is>
      </c>
      <c r="E332" s="30" t="inlineStr">
        <is>
          <t>metals &amp; mining</t>
        </is>
      </c>
      <c r="F332" s="30" t="inlineStr">
        <is>
          <t>steel - medium / small</t>
        </is>
      </c>
      <c r="G332" s="30" t="inlineStr">
        <is>
          <t>smallcap</t>
        </is>
      </c>
      <c r="H332" s="31" t="n">
        <v>3556.41</v>
      </c>
      <c r="I332" s="31" t="n">
        <v>829.3</v>
      </c>
      <c r="J332" s="31" t="n">
        <v>1.79</v>
      </c>
      <c r="K332" s="31" t="n">
        <v>62667</v>
      </c>
      <c r="L332" s="30" t="n">
        <v>19</v>
      </c>
      <c r="M332" s="30" t="inlineStr">
        <is>
          <t>Underperforming</t>
        </is>
      </c>
      <c r="N332" s="31">
        <f>IF(M332="Underperforming",-5,IF(L332&gt;=95,15,IF(L332&gt;=90,10,IF(L332&gt;=80,5,0))))</f>
        <v/>
      </c>
      <c r="O332" s="31" t="n">
        <v>58.11</v>
      </c>
      <c r="P332" s="31" t="n">
        <v>20.54</v>
      </c>
      <c r="Q332" s="31" t="n">
        <v>685.1900000000001</v>
      </c>
      <c r="R332" s="30" t="inlineStr">
        <is>
          <t>Earnings / Momentum Support</t>
        </is>
      </c>
      <c r="S332" s="30" t="inlineStr">
        <is>
          <t>Nifty Metal</t>
        </is>
      </c>
      <c r="T332" s="31" t="n">
        <v>42.48</v>
      </c>
      <c r="U332" s="31" t="n">
        <v>-4.63</v>
      </c>
      <c r="V332" s="31" t="n">
        <v>-33.06</v>
      </c>
      <c r="W332" s="31" t="n">
        <v>5.43</v>
      </c>
      <c r="X332" s="30" t="inlineStr">
        <is>
          <t>Cyclical in an Upturn</t>
        </is>
      </c>
      <c r="Y332" s="30">
        <f>IF(X332="Growing Industry",10,IF(X332="Cyclical in an Upturn",5,0))</f>
        <v/>
      </c>
      <c r="Z332" s="30" t="inlineStr">
        <is>
          <t>Too Many Players with High ROCE</t>
        </is>
      </c>
      <c r="AA332" s="30">
        <f>IF(Z332="Monopoly",10,IF(Z332="Oligopoly",5,IF(Z332="Duopoly that cooperate",10,IF(Z332="Duopoly that compete",5,IF(Z332="Too many players with High ROCE",5,0)))))</f>
        <v/>
      </c>
      <c r="AB332" s="30" t="inlineStr">
        <is>
          <t>No</t>
        </is>
      </c>
      <c r="AC332" s="30">
        <f>IF(AB332="No",5,0)</f>
        <v/>
      </c>
      <c r="AD332" s="30" t="inlineStr">
        <is>
          <t>Tailwind</t>
        </is>
      </c>
      <c r="AE332" s="30">
        <f>IF(AD332="Tailwind",10,0)</f>
        <v/>
      </c>
      <c r="AF332" s="30" t="inlineStr">
        <is>
          <t>Cyclical</t>
        </is>
      </c>
      <c r="AG332" s="30">
        <f>IF(AF332="Structural (10 Years Consistency)",10,IF(AF332="Shallow Cyclical (2 to 3 years growth)",5,0))</f>
        <v/>
      </c>
      <c r="AH332" s="30" t="inlineStr">
        <is>
          <t>No</t>
        </is>
      </c>
      <c r="AI332" s="30">
        <f>IF(AH332="Yes due to Product Mix change or Operating Leverage",10,IF(AH332="Yes, these are peak margins",-5,IF(AH332="No",5,0)))</f>
        <v/>
      </c>
      <c r="AJ332" s="30" t="inlineStr">
        <is>
          <t>Volatile</t>
        </is>
      </c>
      <c r="AK332" s="30">
        <f>IF(AJ332="Stable",10,0)</f>
        <v/>
      </c>
      <c r="AL332" s="30" t="inlineStr">
        <is>
          <t>Yes</t>
        </is>
      </c>
      <c r="AM332" s="30">
        <f>IF(AL332="Yes",10,0)</f>
        <v/>
      </c>
      <c r="AN332" s="30" t="inlineStr">
        <is>
          <t>B2B</t>
        </is>
      </c>
      <c r="AO332" s="30">
        <f>IF(AN332="B2C",10,IF(AN332="B2B",5,0))</f>
        <v/>
      </c>
      <c r="AP332" s="30" t="inlineStr">
        <is>
          <t>No</t>
        </is>
      </c>
      <c r="AQ332" s="30">
        <f>IF(AP332="Yes",10,0)</f>
        <v/>
      </c>
      <c r="AR332" s="30" t="inlineStr">
        <is>
          <t>Higher One Time, Lower Annuity</t>
        </is>
      </c>
      <c r="AS332" s="30">
        <f>IF(AR332="Fully Annuity",10,IF(AR332="Higher Annuity, Lower One Time",5,IF(AR332="Higher One Time, Lower Annuity",3,0)))</f>
        <v/>
      </c>
      <c r="AT332" s="30" t="inlineStr">
        <is>
          <t>Good</t>
        </is>
      </c>
      <c r="AU332" s="30">
        <f>IF(AT332="Good",10,0)</f>
        <v/>
      </c>
      <c r="AV332" s="30" t="inlineStr">
        <is>
          <t>Yes for more than 2 years</t>
        </is>
      </c>
      <c r="AW332" s="30">
        <f>IF(AV332="Yes for more than 2 years",10,IF(AV332="Yes only for next 1 to 2 years",5,0))</f>
        <v/>
      </c>
      <c r="AX332" s="30" t="inlineStr">
        <is>
          <t>20 to 40</t>
        </is>
      </c>
      <c r="AY332" s="30">
        <f>IF(AX332="Above 40",20,IF(AX332="20 to 40",10,IF(AX332="0 to 20",-5,0)))</f>
        <v/>
      </c>
      <c r="AZ332" s="30" t="inlineStr">
        <is>
          <t>Between 50 to 75</t>
        </is>
      </c>
      <c r="BA332" s="30">
        <f>IF(AZ332="Between 50 to 75",10,IF(AZ332="Above 75",0,0))</f>
        <v/>
      </c>
      <c r="BB332" s="30" t="inlineStr">
        <is>
          <t>Stage 2</t>
        </is>
      </c>
      <c r="BC332" s="30">
        <f>IF(BB332="Stage 2",20,IF(BB332="Stage 1",0,IF(BB332="Stage 3",5,IF(BB332="Stage 4",-5,0))))</f>
        <v/>
      </c>
      <c r="BD332" s="30" t="inlineStr">
        <is>
          <t>Positive Trend</t>
        </is>
      </c>
      <c r="BE332" s="30">
        <f>IF(BD332="Positive Trend",20,IF(BD332="Negative Trend",-10,0))</f>
        <v/>
      </c>
      <c r="BF332" s="30" t="inlineStr">
        <is>
          <t>Uptrend</t>
        </is>
      </c>
      <c r="BG332" s="30">
        <f>IF(BF332="Uptrend",10,IF(BF332="Sideways",5,0))</f>
        <v/>
      </c>
      <c r="BH332" s="30" t="inlineStr">
        <is>
          <t>Uptrend</t>
        </is>
      </c>
      <c r="BI332" s="30">
        <f>IF(BH332="Uptrend",10,IF(BH332="Sideways",5,0))</f>
        <v/>
      </c>
      <c r="BJ332" s="30" t="inlineStr">
        <is>
          <t>Close to 52 week high or retracement</t>
        </is>
      </c>
      <c r="BK332" s="30">
        <f>IF(BJ332="Overhead supply in last 2 years in last 2 years",-5,IF(BJ332="Close to 52 week high or retracement",5,IF(BJ332="Blue sky scenario",10,IF(BJ332="Long term Downtrend",-10,0))))</f>
        <v/>
      </c>
      <c r="BL332" s="30" t="inlineStr">
        <is>
          <t>Yes</t>
        </is>
      </c>
      <c r="BM332" s="30">
        <f>IF(BL332="Yes",10,0)</f>
        <v/>
      </c>
      <c r="BN332" s="30" t="inlineStr">
        <is>
          <t>Less than 12%</t>
        </is>
      </c>
      <c r="BO332" s="30">
        <f>IF(BN332="More than 20%",10,IF(BN332="Between 12 to 20%",5,IF(BN332="Less than 12%",0,0)))</f>
        <v/>
      </c>
      <c r="BP332" s="30" t="inlineStr">
        <is>
          <t>No</t>
        </is>
      </c>
      <c r="BQ332" s="30">
        <f>IF(BP332="No",10,0)</f>
        <v/>
      </c>
      <c r="BR332" s="30" t="inlineStr">
        <is>
          <t>No</t>
        </is>
      </c>
      <c r="BS332" s="30">
        <f>IF(BR332="NO",5,0)</f>
        <v/>
      </c>
      <c r="BT332" s="30" t="inlineStr">
        <is>
          <t>Above 2</t>
        </is>
      </c>
      <c r="BU332" s="30">
        <f>IF(BT332="Above 2",0,IF(BT332="Between 1.5 to 2",5,IF(BT332="Less than 1.5",10,0)))</f>
        <v/>
      </c>
      <c r="BV332" s="30" t="inlineStr">
        <is>
          <t>Above 70%</t>
        </is>
      </c>
      <c r="BW332" s="30">
        <f>IF(BV332="Above 70%",10,IF(BV332="Between 50% to 70%",5,IF(BV332="Less than 50%",0,IF(BV332="Negative",-10,IF(BV332="Less than 50% and Borrowings are increasing",-5,0)))))</f>
        <v/>
      </c>
      <c r="BX332" s="30" t="inlineStr">
        <is>
          <t>Less than 0.7</t>
        </is>
      </c>
      <c r="BY332" s="30">
        <f>IF(BX332="More than 1.2",-10,IF(BX332="Between 0.7 to 1.2",0,IF(BX332="Less than 0.7",10,0)))</f>
        <v/>
      </c>
      <c r="BZ332" s="30" t="inlineStr">
        <is>
          <t>No</t>
        </is>
      </c>
      <c r="CA332" s="30">
        <f>IF(BZ332="Yes",-10,0)</f>
        <v/>
      </c>
      <c r="CB332" s="30" t="inlineStr">
        <is>
          <t>Less than 15%</t>
        </is>
      </c>
      <c r="CC332" s="30">
        <f>IF(CB332="More than 15%",-10,IF(CB332="Less than 15%",10,0))</f>
        <v/>
      </c>
      <c r="CD332" s="30" t="inlineStr">
        <is>
          <t>No</t>
        </is>
      </c>
      <c r="CE332" s="30">
        <f>IF(CD332="Yes, more than 10%",-10,IF(CD332="No",10,0))</f>
        <v/>
      </c>
    </row>
    <row r="333">
      <c r="A333" s="30">
        <f>IF(B333=0,"",RANK(B333,$B$2:$B$427,0))</f>
        <v/>
      </c>
      <c r="B333" s="31">
        <f>SUM(N333,Y333,AA333,AC333,AE333,AG333,AI333,AK333,AM333,AO333,AQ333,AS333,AU333,AW333,AY333,BA333,BC333,BE333,BG333,BI333,BK333,BM333,BO333,BQ333,BS333,BU333,BW333,BY333,CA333,CC333,CE333)</f>
        <v/>
      </c>
      <c r="C333" s="30" t="inlineStr">
        <is>
          <t>ACMESOLAR</t>
        </is>
      </c>
      <c r="D333" s="30" t="inlineStr">
        <is>
          <t>ACME Solar Holdings Ltd</t>
        </is>
      </c>
      <c r="E333" s="30" t="inlineStr">
        <is>
          <t>realty</t>
        </is>
      </c>
      <c r="F333" s="30" t="inlineStr">
        <is>
          <t>engineering - turnkey services</t>
        </is>
      </c>
      <c r="G333" s="30" t="inlineStr">
        <is>
          <t>largecap</t>
        </is>
      </c>
      <c r="H333" s="31" t="n">
        <v>23437.14</v>
      </c>
      <c r="I333" s="31" t="n">
        <v>337.65</v>
      </c>
      <c r="J333" s="31" t="n">
        <v>1.73</v>
      </c>
      <c r="K333" s="31" t="n">
        <v>1238948</v>
      </c>
      <c r="L333" s="30" t="n">
        <v>59</v>
      </c>
      <c r="M333" s="30" t="inlineStr">
        <is>
          <t>Outperforming</t>
        </is>
      </c>
      <c r="N333" s="31">
        <f>IF(M333="Underperforming",-5,IF(L333&gt;=95,15,IF(L333&gt;=90,10,IF(L333&gt;=80,5,0))))</f>
        <v/>
      </c>
      <c r="O333" s="31" t="n">
        <v>65.25</v>
      </c>
      <c r="P333" s="31" t="n">
        <v>22.45</v>
      </c>
      <c r="Q333" s="31" t="n">
        <v>274.85</v>
      </c>
      <c r="R333" s="30" t="inlineStr">
        <is>
          <t>Earnings / Momentum Support</t>
        </is>
      </c>
      <c r="S333" s="30" t="inlineStr">
        <is>
          <t>Nifty Realty</t>
        </is>
      </c>
      <c r="T333" s="31" t="n">
        <v>-19.9</v>
      </c>
      <c r="U333" s="31" t="n">
        <v>36.46</v>
      </c>
      <c r="V333" s="31" t="n">
        <v>70.37</v>
      </c>
      <c r="W333" s="31" t="n">
        <v>15.61</v>
      </c>
      <c r="X333" s="30" t="inlineStr">
        <is>
          <t>Growing Industry</t>
        </is>
      </c>
      <c r="Y333" s="30">
        <f>IF(X333="Growing Industry",10,IF(X333="Cyclical in an Upturn",5,0))</f>
        <v/>
      </c>
      <c r="Z333" s="30" t="inlineStr">
        <is>
          <t>Too Many Players with High ROCE</t>
        </is>
      </c>
      <c r="AA333" s="30">
        <f>IF(Z333="Monopoly",10,IF(Z333="Oligopoly",5,IF(Z333="Duopoly that cooperate",10,IF(Z333="Duopoly that compete",5,IF(Z333="Too many players with High ROCE",5,0)))))</f>
        <v/>
      </c>
      <c r="AB333" s="30" t="inlineStr">
        <is>
          <t>No</t>
        </is>
      </c>
      <c r="AC333" s="30">
        <f>IF(AB333="No",5,0)</f>
        <v/>
      </c>
      <c r="AD333" s="30" t="inlineStr">
        <is>
          <t>Tailwind</t>
        </is>
      </c>
      <c r="AE333" s="30">
        <f>IF(AD333="Tailwind",10,0)</f>
        <v/>
      </c>
      <c r="AF333" s="30" t="inlineStr">
        <is>
          <t>Structural (10 Years Consistency)</t>
        </is>
      </c>
      <c r="AG333" s="30">
        <f>IF(AF333="Structural (10 Years Consistency)",10,IF(AF333="Shallow Cyclical (2 to 3 years growth)",5,0))</f>
        <v/>
      </c>
      <c r="AH333" s="30" t="inlineStr">
        <is>
          <t>No</t>
        </is>
      </c>
      <c r="AI333" s="30">
        <f>IF(AH333="Yes due to Product Mix change or Operating Leverage",10,IF(AH333="Yes, these are peak margins",-5,IF(AH333="No",5,0)))</f>
        <v/>
      </c>
      <c r="AJ333" s="30" t="inlineStr">
        <is>
          <t>Stable</t>
        </is>
      </c>
      <c r="AK333" s="30">
        <f>IF(AJ333="Stable",10,0)</f>
        <v/>
      </c>
      <c r="AL333" s="30" t="inlineStr">
        <is>
          <t>Yes</t>
        </is>
      </c>
      <c r="AM333" s="30">
        <f>IF(AL333="Yes",10,0)</f>
        <v/>
      </c>
      <c r="AN333" s="30" t="inlineStr">
        <is>
          <t>B2B</t>
        </is>
      </c>
      <c r="AO333" s="30">
        <f>IF(AN333="B2C",10,IF(AN333="B2B",5,0))</f>
        <v/>
      </c>
      <c r="AP333" s="30" t="inlineStr">
        <is>
          <t>No</t>
        </is>
      </c>
      <c r="AQ333" s="30">
        <f>IF(AP333="Yes",10,0)</f>
        <v/>
      </c>
      <c r="AR333" s="30" t="inlineStr">
        <is>
          <t>Higher One Time, Lower Annuity</t>
        </is>
      </c>
      <c r="AS333" s="30">
        <f>IF(AR333="Fully Annuity",10,IF(AR333="Higher Annuity, Lower One Time",5,IF(AR333="Higher One Time, Lower Annuity",3,0)))</f>
        <v/>
      </c>
      <c r="AT333" s="30" t="inlineStr">
        <is>
          <t>Good</t>
        </is>
      </c>
      <c r="AU333" s="30">
        <f>IF(AT333="Good",10,0)</f>
        <v/>
      </c>
      <c r="AV333" s="30" t="inlineStr">
        <is>
          <t>Yes for more than 2 years</t>
        </is>
      </c>
      <c r="AW333" s="30">
        <f>IF(AV333="Yes for more than 2 years",10,IF(AV333="Yes only for next 1 to 2 years",5,0))</f>
        <v/>
      </c>
      <c r="AX333" s="30" t="inlineStr">
        <is>
          <t>20 to 40</t>
        </is>
      </c>
      <c r="AY333" s="30">
        <f>IF(AX333="Above 40",20,IF(AX333="20 to 40",10,IF(AX333="0 to 20",-5,0)))</f>
        <v/>
      </c>
      <c r="AZ333" s="30" t="inlineStr">
        <is>
          <t>Between 50 to 75</t>
        </is>
      </c>
      <c r="BA333" s="30">
        <f>IF(AZ333="Between 50 to 75",10,IF(AZ333="Above 75",0,0))</f>
        <v/>
      </c>
      <c r="BB333" s="30" t="inlineStr">
        <is>
          <t>Stage 2</t>
        </is>
      </c>
      <c r="BC333" s="30">
        <f>IF(BB333="Stage 2",20,IF(BB333="Stage 1",0,IF(BB333="Stage 3",5,IF(BB333="Stage 4",-5,0))))</f>
        <v/>
      </c>
      <c r="BD333" s="30" t="inlineStr">
        <is>
          <t>Positive Trend</t>
        </is>
      </c>
      <c r="BE333" s="30">
        <f>IF(BD333="Positive Trend",20,IF(BD333="Negative Trend",-10,0))</f>
        <v/>
      </c>
      <c r="BF333" s="30" t="inlineStr">
        <is>
          <t>Uptrend</t>
        </is>
      </c>
      <c r="BG333" s="30">
        <f>IF(BF333="Uptrend",10,IF(BF333="Sideways",5,0))</f>
        <v/>
      </c>
      <c r="BH333" s="30" t="inlineStr">
        <is>
          <t>Uptrend</t>
        </is>
      </c>
      <c r="BI333" s="30">
        <f>IF(BH333="Uptrend",10,IF(BH333="Sideways",5,0))</f>
        <v/>
      </c>
      <c r="BJ333" s="30" t="inlineStr">
        <is>
          <t>Close to 52 week high or retracement</t>
        </is>
      </c>
      <c r="BK333" s="30">
        <f>IF(BJ333="Overhead supply in last 2 years in last 2 years",-5,IF(BJ333="Close to 52 week high or retracement",5,IF(BJ333="Blue sky scenario",10,IF(BJ333="Long term Downtrend",-10,0))))</f>
        <v/>
      </c>
      <c r="BL333" s="30" t="inlineStr">
        <is>
          <t>Yes</t>
        </is>
      </c>
      <c r="BM333" s="30">
        <f>IF(BL333="Yes",10,0)</f>
        <v/>
      </c>
      <c r="BN333" s="30" t="inlineStr">
        <is>
          <t>Less than 12%</t>
        </is>
      </c>
      <c r="BO333" s="30">
        <f>IF(BN333="More than 20%",10,IF(BN333="Between 12 to 20%",5,IF(BN333="Less than 12%",0,0)))</f>
        <v/>
      </c>
      <c r="BP333" s="30" t="inlineStr">
        <is>
          <t>No</t>
        </is>
      </c>
      <c r="BQ333" s="30">
        <f>IF(BP333="No",10,0)</f>
        <v/>
      </c>
      <c r="BR333" s="30" t="inlineStr">
        <is>
          <t>Yes</t>
        </is>
      </c>
      <c r="BS333" s="30">
        <f>IF(BR333="NO",5,0)</f>
        <v/>
      </c>
      <c r="BT333" s="30" t="inlineStr">
        <is>
          <t>Above 2</t>
        </is>
      </c>
      <c r="BU333" s="30">
        <f>IF(BT333="Above 2",0,IF(BT333="Between 1.5 to 2",5,IF(BT333="Less than 1.5",10,0)))</f>
        <v/>
      </c>
      <c r="BV333" s="30" t="inlineStr">
        <is>
          <t>Between 50% to 70%</t>
        </is>
      </c>
      <c r="BW333" s="30">
        <f>IF(BV333="Above 70%",10,IF(BV333="Between 50% to 70%",5,IF(BV333="Less than 50%",0,IF(BV333="Negative",-10,IF(BV333="Less than 50% and Borrowings are increasing",-5,0)))))</f>
        <v/>
      </c>
      <c r="BX333" s="30" t="inlineStr">
        <is>
          <t>More than 1.2</t>
        </is>
      </c>
      <c r="BY333" s="30">
        <f>IF(BX333="More than 1.2",-10,IF(BX333="Between 0.7 to 1.2",0,IF(BX333="Less than 0.7",10,0)))</f>
        <v/>
      </c>
      <c r="BZ333" s="30" t="inlineStr">
        <is>
          <t>No</t>
        </is>
      </c>
      <c r="CA333" s="30">
        <f>IF(BZ333="Yes",-10,0)</f>
        <v/>
      </c>
      <c r="CB333" s="30" t="inlineStr">
        <is>
          <t>Less than 15%</t>
        </is>
      </c>
      <c r="CC333" s="30">
        <f>IF(CB333="More than 15%",-10,IF(CB333="Less than 15%",10,0))</f>
        <v/>
      </c>
      <c r="CD333" s="30" t="inlineStr">
        <is>
          <t>No</t>
        </is>
      </c>
      <c r="CE333" s="30">
        <f>IF(CD333="Yes, more than 10%",-10,IF(CD333="No",10,0))</f>
        <v/>
      </c>
    </row>
    <row r="334">
      <c r="A334" s="30">
        <f>IF(B334=0,"",RANK(B334,$B$2:$B$427,0))</f>
        <v/>
      </c>
      <c r="B334" s="31">
        <f>SUM(N334,Y334,AA334,AC334,AE334,AG334,AI334,AK334,AM334,AO334,AQ334,AS334,AU334,AW334,AY334,BA334,BC334,BE334,BG334,BI334,BK334,BM334,BO334,BQ334,BS334,BU334,BW334,BY334,CA334,CC334,CE334)</f>
        <v/>
      </c>
      <c r="C334" s="32" t="inlineStr">
        <is>
          <t>POKARNA</t>
        </is>
      </c>
      <c r="D334" s="32" t="inlineStr">
        <is>
          <t>Pokarna Limited</t>
        </is>
      </c>
      <c r="E334" s="30" t="inlineStr">
        <is>
          <t>consumer discretionary</t>
        </is>
      </c>
      <c r="F334" s="30" t="inlineStr">
        <is>
          <t>miscellaneous</t>
        </is>
      </c>
      <c r="G334" s="30" t="inlineStr">
        <is>
          <t>smallcap</t>
        </is>
      </c>
      <c r="H334" s="31" t="n">
        <v>2926.93</v>
      </c>
      <c r="I334" s="31" t="n">
        <v>951.3</v>
      </c>
      <c r="J334" s="31" t="n">
        <v>0.77</v>
      </c>
      <c r="K334" s="31" t="n">
        <v>100328</v>
      </c>
      <c r="L334" s="30" t="n">
        <v>3</v>
      </c>
      <c r="M334" s="30" t="inlineStr">
        <is>
          <t>Underperforming</t>
        </is>
      </c>
      <c r="N334" s="31">
        <f>IF(M334="Underperforming",-5,IF(L334&gt;=95,15,IF(L334&gt;=90,10,IF(L334&gt;=80,5,0))))</f>
        <v/>
      </c>
      <c r="O334" s="31" t="n">
        <v>56.48</v>
      </c>
      <c r="P334" s="31" t="n">
        <v>9.609999999999999</v>
      </c>
      <c r="Q334" s="31" t="n">
        <v>670.88</v>
      </c>
      <c r="R334" s="30" t="inlineStr">
        <is>
          <t>Volume Spike / Accumulation</t>
        </is>
      </c>
      <c r="S334" s="30" t="inlineStr">
        <is>
          <t>Nifty 50</t>
        </is>
      </c>
      <c r="T334" s="31" t="n">
        <v>-4.38</v>
      </c>
      <c r="U334" s="31" t="n">
        <v>-8.279999999999999</v>
      </c>
      <c r="V334" s="31" t="n">
        <v>-4.08</v>
      </c>
      <c r="W334" s="31" t="n">
        <v>1.74</v>
      </c>
      <c r="X334" s="30" t="inlineStr">
        <is>
          <t>Growing Industry</t>
        </is>
      </c>
      <c r="Y334" s="30">
        <f>IF(X334="Growing Industry",10,IF(X334="Cyclical in an Upturn",5,0))</f>
        <v/>
      </c>
      <c r="Z334" s="30" t="inlineStr">
        <is>
          <t>Too Many Players with High ROCE</t>
        </is>
      </c>
      <c r="AA334" s="30">
        <f>IF(Z334="Monopoly",10,IF(Z334="Oligopoly",5,IF(Z334="Duopoly that cooperate",10,IF(Z334="Duopoly that compete",5,IF(Z334="Too many players with High ROCE",5,0)))))</f>
        <v/>
      </c>
      <c r="AB334" s="30" t="inlineStr">
        <is>
          <t>No</t>
        </is>
      </c>
      <c r="AC334" s="30">
        <f>IF(AB334="No",5,0)</f>
        <v/>
      </c>
      <c r="AD334" s="30" t="inlineStr">
        <is>
          <t>Tailwind</t>
        </is>
      </c>
      <c r="AE334" s="30">
        <f>IF(AD334="Tailwind",10,0)</f>
        <v/>
      </c>
      <c r="AF334" s="30" t="inlineStr">
        <is>
          <t>Structural (10 Years Consistency)</t>
        </is>
      </c>
      <c r="AG334" s="30">
        <f>IF(AF334="Structural (10 Years Consistency)",10,IF(AF334="Shallow Cyclical (2 to 3 years growth)",5,0))</f>
        <v/>
      </c>
      <c r="AH334" s="30" t="inlineStr">
        <is>
          <t>No</t>
        </is>
      </c>
      <c r="AI334" s="30">
        <f>IF(AH334="Yes due to Product Mix change or Operating Leverage",10,IF(AH334="Yes, these are peak margins",-5,IF(AH334="No",5,0)))</f>
        <v/>
      </c>
      <c r="AJ334" s="30" t="inlineStr">
        <is>
          <t>Stable</t>
        </is>
      </c>
      <c r="AK334" s="30">
        <f>IF(AJ334="Stable",10,0)</f>
        <v/>
      </c>
      <c r="AL334" s="30" t="inlineStr">
        <is>
          <t>Yes</t>
        </is>
      </c>
      <c r="AM334" s="30">
        <f>IF(AL334="Yes",10,0)</f>
        <v/>
      </c>
      <c r="AN334" s="30" t="inlineStr">
        <is>
          <t>B2B</t>
        </is>
      </c>
      <c r="AO334" s="30">
        <f>IF(AN334="B2C",10,IF(AN334="B2B",5,0))</f>
        <v/>
      </c>
      <c r="AP334" s="30" t="inlineStr">
        <is>
          <t>Yes</t>
        </is>
      </c>
      <c r="AQ334" s="30">
        <f>IF(AP334="Yes",10,0)</f>
        <v/>
      </c>
      <c r="AR334" s="30" t="inlineStr">
        <is>
          <t>Higher One Time, Lower Annuity</t>
        </is>
      </c>
      <c r="AS334" s="30">
        <f>IF(AR334="Fully Annuity",10,IF(AR334="Higher Annuity, Lower One Time",5,IF(AR334="Higher One Time, Lower Annuity",3,0)))</f>
        <v/>
      </c>
      <c r="AT334" s="30" t="inlineStr">
        <is>
          <t>Good</t>
        </is>
      </c>
      <c r="AU334" s="30">
        <f>IF(AT334="Good",10,0)</f>
        <v/>
      </c>
      <c r="AV334" s="30" t="inlineStr">
        <is>
          <t>Yes for more than 2 years</t>
        </is>
      </c>
      <c r="AW334" s="30">
        <f>IF(AV334="Yes for more than 2 years",10,IF(AV334="Yes only for next 1 to 2 years",5,0))</f>
        <v/>
      </c>
      <c r="AX334" s="30" t="inlineStr">
        <is>
          <t>0 to 20</t>
        </is>
      </c>
      <c r="AY334" s="30">
        <f>IF(AX334="Above 40",20,IF(AX334="20 to 40",10,IF(AX334="0 to 20",-5,0)))</f>
        <v/>
      </c>
      <c r="AZ334" s="30" t="inlineStr">
        <is>
          <t>Between 50 to 75</t>
        </is>
      </c>
      <c r="BA334" s="30">
        <f>IF(AZ334="Between 50 to 75",10,IF(AZ334="Above 75",0,0))</f>
        <v/>
      </c>
      <c r="BB334" s="30" t="inlineStr">
        <is>
          <t>Stage 1</t>
        </is>
      </c>
      <c r="BC334" s="30">
        <f>IF(BB334="Stage 2",20,IF(BB334="Stage 1",0,IF(BB334="Stage 3",5,IF(BB334="Stage 4",-5,0))))</f>
        <v/>
      </c>
      <c r="BD334" s="30" t="inlineStr">
        <is>
          <t>Positive Trend</t>
        </is>
      </c>
      <c r="BE334" s="30">
        <f>IF(BD334="Positive Trend",20,IF(BD334="Negative Trend",-10,0))</f>
        <v/>
      </c>
      <c r="BF334" s="30" t="inlineStr">
        <is>
          <t>Uptrend</t>
        </is>
      </c>
      <c r="BG334" s="30">
        <f>IF(BF334="Uptrend",10,IF(BF334="Sideways",5,0))</f>
        <v/>
      </c>
      <c r="BH334" s="30" t="inlineStr">
        <is>
          <t>Uptrend</t>
        </is>
      </c>
      <c r="BI334" s="30">
        <f>IF(BH334="Uptrend",10,IF(BH334="Sideways",5,0))</f>
        <v/>
      </c>
      <c r="BJ334" s="30" t="inlineStr">
        <is>
          <t>Close to 52 week high or retracement</t>
        </is>
      </c>
      <c r="BK334" s="30">
        <f>IF(BJ334="Overhead supply in last 2 years in last 2 years",-5,IF(BJ334="Close to 52 week high or retracement",5,IF(BJ334="Blue sky scenario",10,IF(BJ334="Long term Downtrend",-10,0))))</f>
        <v/>
      </c>
      <c r="BL334" s="30" t="inlineStr">
        <is>
          <t>Yes</t>
        </is>
      </c>
      <c r="BM334" s="30">
        <f>IF(BL334="Yes",10,0)</f>
        <v/>
      </c>
      <c r="BN334" s="30" t="inlineStr">
        <is>
          <t>Less than 12%</t>
        </is>
      </c>
      <c r="BO334" s="30">
        <f>IF(BN334="More than 20%",10,IF(BN334="Between 12 to 20%",5,IF(BN334="Less than 12%",0,0)))</f>
        <v/>
      </c>
      <c r="BP334" s="30" t="inlineStr">
        <is>
          <t>No</t>
        </is>
      </c>
      <c r="BQ334" s="30">
        <f>IF(BP334="No",10,0)</f>
        <v/>
      </c>
      <c r="BR334" s="30" t="inlineStr">
        <is>
          <t>No</t>
        </is>
      </c>
      <c r="BS334" s="30">
        <f>IF(BR334="NO",5,0)</f>
        <v/>
      </c>
      <c r="BT334" s="30" t="inlineStr">
        <is>
          <t>Above 2</t>
        </is>
      </c>
      <c r="BU334" s="30">
        <f>IF(BT334="Above 2",0,IF(BT334="Between 1.5 to 2",5,IF(BT334="Less than 1.5",10,0)))</f>
        <v/>
      </c>
      <c r="BV334" s="30" t="inlineStr">
        <is>
          <t>Above 70%</t>
        </is>
      </c>
      <c r="BW334" s="30">
        <f>IF(BV334="Above 70%",10,IF(BV334="Between 50% to 70%",5,IF(BV334="Less than 50%",0,IF(BV334="Negative",-10,IF(BV334="Less than 50% and Borrowings are increasing",-5,0)))))</f>
        <v/>
      </c>
      <c r="BX334" s="30" t="inlineStr">
        <is>
          <t>Less than 0.7</t>
        </is>
      </c>
      <c r="BY334" s="30">
        <f>IF(BX334="More than 1.2",-10,IF(BX334="Between 0.7 to 1.2",0,IF(BX334="Less than 0.7",10,0)))</f>
        <v/>
      </c>
      <c r="BZ334" s="30" t="inlineStr">
        <is>
          <t>No</t>
        </is>
      </c>
      <c r="CA334" s="30">
        <f>IF(BZ334="Yes",-10,0)</f>
        <v/>
      </c>
      <c r="CB334" s="30" t="inlineStr">
        <is>
          <t>Less than 15%</t>
        </is>
      </c>
      <c r="CC334" s="30">
        <f>IF(CB334="More than 15%",-10,IF(CB334="Less than 15%",10,0))</f>
        <v/>
      </c>
      <c r="CD334" s="30" t="inlineStr">
        <is>
          <t>No</t>
        </is>
      </c>
      <c r="CE334" s="30">
        <f>IF(CD334="Yes, more than 10%",-10,IF(CD334="No",10,0))</f>
        <v/>
      </c>
    </row>
    <row r="335">
      <c r="A335" s="30">
        <f>IF(B335=0,"",RANK(B335,$B$2:$B$427,0))</f>
        <v/>
      </c>
      <c r="B335" s="31">
        <f>SUM(N335,Y335,AA335,AC335,AE335,AG335,AI335,AK335,AM335,AO335,AQ335,AS335,AU335,AW335,AY335,BA335,BC335,BE335,BG335,BI335,BK335,BM335,BO335,BQ335,BS335,BU335,BW335,BY335,CA335,CC335,CE335)</f>
        <v/>
      </c>
      <c r="C335" s="32" t="inlineStr">
        <is>
          <t>RKFORGE</t>
        </is>
      </c>
      <c r="D335" s="32" t="inlineStr">
        <is>
          <t>Ramkrishna Forgings Limited</t>
        </is>
      </c>
      <c r="E335" s="30" t="inlineStr">
        <is>
          <t>industrials</t>
        </is>
      </c>
      <c r="F335" s="30" t="inlineStr">
        <is>
          <t>castings &amp; forgings</t>
        </is>
      </c>
      <c r="G335" s="30" t="inlineStr">
        <is>
          <t>midcap</t>
        </is>
      </c>
      <c r="H335" s="31" t="n">
        <v>10704.03</v>
      </c>
      <c r="I335" s="31" t="n">
        <v>588.7</v>
      </c>
      <c r="J335" s="31" t="n">
        <v>-0.08</v>
      </c>
      <c r="K335" s="31" t="n">
        <v>210369</v>
      </c>
      <c r="L335" s="30" t="n">
        <v>6</v>
      </c>
      <c r="M335" s="30" t="inlineStr">
        <is>
          <t>Underperforming</t>
        </is>
      </c>
      <c r="N335" s="31">
        <f>IF(M335="Underperforming",-5,IF(L335&gt;=95,15,IF(L335&gt;=90,10,IF(L335&gt;=80,5,0))))</f>
        <v/>
      </c>
      <c r="O335" s="31" t="n">
        <v>55.72</v>
      </c>
      <c r="P335" s="31" t="n">
        <v>15.07</v>
      </c>
      <c r="Q335" s="31" t="n">
        <v>475.77</v>
      </c>
      <c r="R335" s="30" t="inlineStr">
        <is>
          <t>Earnings / Momentum Support</t>
        </is>
      </c>
      <c r="S335" s="30" t="inlineStr">
        <is>
          <t>Nifty 50</t>
        </is>
      </c>
      <c r="T335" s="31" t="n">
        <v>-4.38</v>
      </c>
      <c r="U335" s="31" t="n">
        <v>-5.98</v>
      </c>
      <c r="V335" s="31" t="n">
        <v>-1.68</v>
      </c>
      <c r="W335" s="31" t="n">
        <v>3.06</v>
      </c>
      <c r="X335" s="30" t="inlineStr">
        <is>
          <t>Cyclical in an Upturn</t>
        </is>
      </c>
      <c r="Y335" s="30">
        <f>IF(X335="Growing Industry",10,IF(X335="Cyclical in an Upturn",5,0))</f>
        <v/>
      </c>
      <c r="Z335" s="30" t="inlineStr">
        <is>
          <t>Too Many Players with High ROCE</t>
        </is>
      </c>
      <c r="AA335" s="30">
        <f>IF(Z335="Monopoly",10,IF(Z335="Oligopoly",5,IF(Z335="Duopoly that cooperate",10,IF(Z335="Duopoly that compete",5,IF(Z335="Too many players with High ROCE",5,0)))))</f>
        <v/>
      </c>
      <c r="AB335" s="30" t="inlineStr">
        <is>
          <t>No</t>
        </is>
      </c>
      <c r="AC335" s="30">
        <f>IF(AB335="No",5,0)</f>
        <v/>
      </c>
      <c r="AD335" s="30" t="inlineStr">
        <is>
          <t>Tailwind</t>
        </is>
      </c>
      <c r="AE335" s="30">
        <f>IF(AD335="Tailwind",10,0)</f>
        <v/>
      </c>
      <c r="AF335" s="30" t="inlineStr">
        <is>
          <t>Structural (10 Years Consistency)</t>
        </is>
      </c>
      <c r="AG335" s="30">
        <f>IF(AF335="Structural (10 Years Consistency)",10,IF(AF335="Shallow Cyclical (2 to 3 years growth)",5,0))</f>
        <v/>
      </c>
      <c r="AH335" s="30" t="inlineStr">
        <is>
          <t>No</t>
        </is>
      </c>
      <c r="AI335" s="30">
        <f>IF(AH335="Yes due to Product Mix change or Operating Leverage",10,IF(AH335="Yes, these are peak margins",-5,IF(AH335="No",5,0)))</f>
        <v/>
      </c>
      <c r="AJ335" s="30" t="inlineStr">
        <is>
          <t>Stable</t>
        </is>
      </c>
      <c r="AK335" s="30">
        <f>IF(AJ335="Stable",10,0)</f>
        <v/>
      </c>
      <c r="AL335" s="30" t="inlineStr">
        <is>
          <t>Yes</t>
        </is>
      </c>
      <c r="AM335" s="30">
        <f>IF(AL335="Yes",10,0)</f>
        <v/>
      </c>
      <c r="AN335" s="30" t="inlineStr">
        <is>
          <t>B2B</t>
        </is>
      </c>
      <c r="AO335" s="30">
        <f>IF(AN335="B2C",10,IF(AN335="B2B",5,0))</f>
        <v/>
      </c>
      <c r="AP335" s="30" t="inlineStr">
        <is>
          <t>No</t>
        </is>
      </c>
      <c r="AQ335" s="30">
        <f>IF(AP335="Yes",10,0)</f>
        <v/>
      </c>
      <c r="AR335" s="30" t="inlineStr">
        <is>
          <t>Higher One Time, Lower Annuity</t>
        </is>
      </c>
      <c r="AS335" s="30">
        <f>IF(AR335="Fully Annuity",10,IF(AR335="Higher Annuity, Lower One Time",5,IF(AR335="Higher One Time, Lower Annuity",3,0)))</f>
        <v/>
      </c>
      <c r="AT335" s="30" t="inlineStr">
        <is>
          <t>Good</t>
        </is>
      </c>
      <c r="AU335" s="30">
        <f>IF(AT335="Good",10,0)</f>
        <v/>
      </c>
      <c r="AV335" s="30" t="inlineStr">
        <is>
          <t>Yes for more than 2 years</t>
        </is>
      </c>
      <c r="AW335" s="30">
        <f>IF(AV335="Yes for more than 2 years",10,IF(AV335="Yes only for next 1 to 2 years",5,0))</f>
        <v/>
      </c>
      <c r="AX335" s="30" t="inlineStr">
        <is>
          <t>0 to 20</t>
        </is>
      </c>
      <c r="AY335" s="30">
        <f>IF(AX335="Above 40",20,IF(AX335="20 to 40",10,IF(AX335="0 to 20",-5,0)))</f>
        <v/>
      </c>
      <c r="AZ335" s="30" t="inlineStr">
        <is>
          <t>Between 50 to 75</t>
        </is>
      </c>
      <c r="BA335" s="30">
        <f>IF(AZ335="Between 50 to 75",10,IF(AZ335="Above 75",0,0))</f>
        <v/>
      </c>
      <c r="BB335" s="30" t="inlineStr">
        <is>
          <t>Stage 2</t>
        </is>
      </c>
      <c r="BC335" s="30">
        <f>IF(BB335="Stage 2",20,IF(BB335="Stage 1",0,IF(BB335="Stage 3",5,IF(BB335="Stage 4",-5,0))))</f>
        <v/>
      </c>
      <c r="BD335" s="30" t="inlineStr">
        <is>
          <t>Positive Trend</t>
        </is>
      </c>
      <c r="BE335" s="30">
        <f>IF(BD335="Positive Trend",20,IF(BD335="Negative Trend",-10,0))</f>
        <v/>
      </c>
      <c r="BF335" s="30" t="inlineStr">
        <is>
          <t>Uptrend</t>
        </is>
      </c>
      <c r="BG335" s="30">
        <f>IF(BF335="Uptrend",10,IF(BF335="Sideways",5,0))</f>
        <v/>
      </c>
      <c r="BH335" s="30" t="inlineStr">
        <is>
          <t>Uptrend</t>
        </is>
      </c>
      <c r="BI335" s="30">
        <f>IF(BH335="Uptrend",10,IF(BH335="Sideways",5,0))</f>
        <v/>
      </c>
      <c r="BJ335" s="30" t="inlineStr">
        <is>
          <t>Close to 52 week high or retracement</t>
        </is>
      </c>
      <c r="BK335" s="30">
        <f>IF(BJ335="Overhead supply in last 2 years in last 2 years",-5,IF(BJ335="Close to 52 week high or retracement",5,IF(BJ335="Blue sky scenario",10,IF(BJ335="Long term Downtrend",-10,0))))</f>
        <v/>
      </c>
      <c r="BL335" s="30" t="inlineStr">
        <is>
          <t>Yes</t>
        </is>
      </c>
      <c r="BM335" s="30">
        <f>IF(BL335="Yes",10,0)</f>
        <v/>
      </c>
      <c r="BN335" s="30" t="inlineStr">
        <is>
          <t>More than 20%</t>
        </is>
      </c>
      <c r="BO335" s="30">
        <f>IF(BN335="More than 20%",10,IF(BN335="Between 12 to 20%",5,IF(BN335="Less than 12%",0,0)))</f>
        <v/>
      </c>
      <c r="BP335" s="30" t="inlineStr">
        <is>
          <t>No</t>
        </is>
      </c>
      <c r="BQ335" s="30">
        <f>IF(BP335="No",10,0)</f>
        <v/>
      </c>
      <c r="BR335" s="30" t="inlineStr">
        <is>
          <t>Yes</t>
        </is>
      </c>
      <c r="BS335" s="30">
        <f>IF(BR335="NO",5,0)</f>
        <v/>
      </c>
      <c r="BT335" s="30" t="inlineStr">
        <is>
          <t>Above 2</t>
        </is>
      </c>
      <c r="BU335" s="30">
        <f>IF(BT335="Above 2",0,IF(BT335="Between 1.5 to 2",5,IF(BT335="Less than 1.5",10,0)))</f>
        <v/>
      </c>
      <c r="BV335" s="30" t="inlineStr">
        <is>
          <t>Above 70%</t>
        </is>
      </c>
      <c r="BW335" s="30">
        <f>IF(BV335="Above 70%",10,IF(BV335="Between 50% to 70%",5,IF(BV335="Less than 50%",0,IF(BV335="Negative",-10,IF(BV335="Less than 50% and Borrowings are increasing",-5,0)))))</f>
        <v/>
      </c>
      <c r="BX335" s="30" t="inlineStr">
        <is>
          <t>Between 0.7 to 1.2</t>
        </is>
      </c>
      <c r="BY335" s="30">
        <f>IF(BX335="More than 1.2",-10,IF(BX335="Between 0.7 to 1.2",0,IF(BX335="Less than 0.7",10,0)))</f>
        <v/>
      </c>
      <c r="BZ335" s="30" t="inlineStr">
        <is>
          <t>No</t>
        </is>
      </c>
      <c r="CA335" s="30">
        <f>IF(BZ335="Yes",-10,0)</f>
        <v/>
      </c>
      <c r="CB335" s="30" t="inlineStr">
        <is>
          <t>Less than 15%</t>
        </is>
      </c>
      <c r="CC335" s="30">
        <f>IF(CB335="More than 15%",-10,IF(CB335="Less than 15%",10,0))</f>
        <v/>
      </c>
      <c r="CD335" s="30" t="inlineStr">
        <is>
          <t>No</t>
        </is>
      </c>
      <c r="CE335" s="30">
        <f>IF(CD335="Yes, more than 10%",-10,IF(CD335="No",10,0))</f>
        <v/>
      </c>
    </row>
    <row r="336">
      <c r="A336" s="30">
        <f>IF(B336=0,"",RANK(B336,$B$2:$B$427,0))</f>
        <v/>
      </c>
      <c r="B336" s="31">
        <f>SUM(N336,Y336,AA336,AC336,AE336,AG336,AI336,AK336,AM336,AO336,AQ336,AS336,AU336,AW336,AY336,BA336,BC336,BE336,BG336,BI336,BK336,BM336,BO336,BQ336,BS336,BU336,BW336,BY336,CA336,CC336,CE336)</f>
        <v/>
      </c>
      <c r="C336" s="32" t="inlineStr">
        <is>
          <t>GENUSPOWER</t>
        </is>
      </c>
      <c r="D336" s="32" t="inlineStr">
        <is>
          <t>Genus Power Infrastructures Limited</t>
        </is>
      </c>
      <c r="E336" s="30" t="inlineStr">
        <is>
          <t>consumer discretionary</t>
        </is>
      </c>
      <c r="F336" s="30" t="inlineStr">
        <is>
          <t>electronics - components</t>
        </is>
      </c>
      <c r="G336" s="30" t="inlineStr">
        <is>
          <t>midcap</t>
        </is>
      </c>
      <c r="H336" s="31" t="n">
        <v>9902.290000000001</v>
      </c>
      <c r="I336" s="31" t="n">
        <v>324.7</v>
      </c>
      <c r="J336" s="31" t="n">
        <v>-0.25</v>
      </c>
      <c r="K336" s="31" t="n">
        <v>592647</v>
      </c>
      <c r="L336" s="30" t="n">
        <v>25</v>
      </c>
      <c r="M336" s="30" t="inlineStr">
        <is>
          <t>Underperforming</t>
        </is>
      </c>
      <c r="N336" s="31">
        <f>IF(M336="Underperforming",-5,IF(L336&gt;=95,15,IF(L336&gt;=90,10,IF(L336&gt;=80,5,0))))</f>
        <v/>
      </c>
      <c r="O336" s="31" t="n">
        <v>59.79</v>
      </c>
      <c r="P336" s="31" t="n">
        <v>18.39</v>
      </c>
      <c r="Q336" s="31" t="n">
        <v>245.68</v>
      </c>
      <c r="R336" s="30" t="inlineStr">
        <is>
          <t>Earnings / Momentum Support</t>
        </is>
      </c>
      <c r="S336" s="30" t="inlineStr">
        <is>
          <t>Nifty 50</t>
        </is>
      </c>
      <c r="T336" s="31" t="n">
        <v>-4.38</v>
      </c>
      <c r="U336" s="31" t="n">
        <v>-6.65</v>
      </c>
      <c r="V336" s="31" t="n">
        <v>-2.38</v>
      </c>
      <c r="W336" s="31" t="n">
        <v>7.44</v>
      </c>
      <c r="X336" s="30" t="inlineStr">
        <is>
          <t>Growing Industry</t>
        </is>
      </c>
      <c r="Y336" s="30">
        <f>IF(X336="Growing Industry",10,IF(X336="Cyclical in an Upturn",5,0))</f>
        <v/>
      </c>
      <c r="Z336" s="30" t="inlineStr">
        <is>
          <t>Too Many Players with High ROCE</t>
        </is>
      </c>
      <c r="AA336" s="30">
        <f>IF(Z336="Monopoly",10,IF(Z336="Oligopoly",5,IF(Z336="Duopoly that cooperate",10,IF(Z336="Duopoly that compete",5,IF(Z336="Too many players with High ROCE",5,0)))))</f>
        <v/>
      </c>
      <c r="AB336" s="30" t="inlineStr">
        <is>
          <t>No</t>
        </is>
      </c>
      <c r="AC336" s="30">
        <f>IF(AB336="No",5,0)</f>
        <v/>
      </c>
      <c r="AD336" s="30" t="inlineStr">
        <is>
          <t>Tailwind</t>
        </is>
      </c>
      <c r="AE336" s="30">
        <f>IF(AD336="Tailwind",10,0)</f>
        <v/>
      </c>
      <c r="AF336" s="30" t="inlineStr">
        <is>
          <t>Structural (10 Years Consistency)</t>
        </is>
      </c>
      <c r="AG336" s="30">
        <f>IF(AF336="Structural (10 Years Consistency)",10,IF(AF336="Shallow Cyclical (2 to 3 years growth)",5,0))</f>
        <v/>
      </c>
      <c r="AH336" s="30" t="inlineStr">
        <is>
          <t>No</t>
        </is>
      </c>
      <c r="AI336" s="30">
        <f>IF(AH336="Yes due to Product Mix change or Operating Leverage",10,IF(AH336="Yes, these are peak margins",-5,IF(AH336="No",5,0)))</f>
        <v/>
      </c>
      <c r="AJ336" s="30" t="inlineStr">
        <is>
          <t>Stable</t>
        </is>
      </c>
      <c r="AK336" s="30">
        <f>IF(AJ336="Stable",10,0)</f>
        <v/>
      </c>
      <c r="AL336" s="30" t="inlineStr">
        <is>
          <t>Yes</t>
        </is>
      </c>
      <c r="AM336" s="30">
        <f>IF(AL336="Yes",10,0)</f>
        <v/>
      </c>
      <c r="AN336" s="30" t="inlineStr">
        <is>
          <t>B2B</t>
        </is>
      </c>
      <c r="AO336" s="30">
        <f>IF(AN336="B2C",10,IF(AN336="B2B",5,0))</f>
        <v/>
      </c>
      <c r="AP336" s="30" t="inlineStr">
        <is>
          <t>No</t>
        </is>
      </c>
      <c r="AQ336" s="30">
        <f>IF(AP336="Yes",10,0)</f>
        <v/>
      </c>
      <c r="AR336" s="30" t="inlineStr">
        <is>
          <t>Higher One Time, Lower Annuity</t>
        </is>
      </c>
      <c r="AS336" s="30">
        <f>IF(AR336="Fully Annuity",10,IF(AR336="Higher Annuity, Lower One Time",5,IF(AR336="Higher One Time, Lower Annuity",3,0)))</f>
        <v/>
      </c>
      <c r="AT336" s="30" t="inlineStr">
        <is>
          <t>Good</t>
        </is>
      </c>
      <c r="AU336" s="30">
        <f>IF(AT336="Good",10,0)</f>
        <v/>
      </c>
      <c r="AV336" s="30" t="inlineStr">
        <is>
          <t>Yes for more than 2 years</t>
        </is>
      </c>
      <c r="AW336" s="30">
        <f>IF(AV336="Yes for more than 2 years",10,IF(AV336="Yes only for next 1 to 2 years",5,0))</f>
        <v/>
      </c>
      <c r="AX336" s="30" t="inlineStr">
        <is>
          <t>0 to 20</t>
        </is>
      </c>
      <c r="AY336" s="30">
        <f>IF(AX336="Above 40",20,IF(AX336="20 to 40",10,IF(AX336="0 to 20",-5,0)))</f>
        <v/>
      </c>
      <c r="AZ336" s="30" t="inlineStr">
        <is>
          <t>Between 50 to 75</t>
        </is>
      </c>
      <c r="BA336" s="30">
        <f>IF(AZ336="Between 50 to 75",10,IF(AZ336="Above 75",0,0))</f>
        <v/>
      </c>
      <c r="BB336" s="30" t="inlineStr">
        <is>
          <t>Stage 2</t>
        </is>
      </c>
      <c r="BC336" s="30">
        <f>IF(BB336="Stage 2",20,IF(BB336="Stage 1",0,IF(BB336="Stage 3",5,IF(BB336="Stage 4",-5,0))))</f>
        <v/>
      </c>
      <c r="BD336" s="30" t="inlineStr">
        <is>
          <t>Positive Trend</t>
        </is>
      </c>
      <c r="BE336" s="30">
        <f>IF(BD336="Positive Trend",20,IF(BD336="Negative Trend",-10,0))</f>
        <v/>
      </c>
      <c r="BF336" s="30" t="inlineStr">
        <is>
          <t>Uptrend</t>
        </is>
      </c>
      <c r="BG336" s="30">
        <f>IF(BF336="Uptrend",10,IF(BF336="Sideways",5,0))</f>
        <v/>
      </c>
      <c r="BH336" s="30" t="inlineStr">
        <is>
          <t>Uptrend</t>
        </is>
      </c>
      <c r="BI336" s="30">
        <f>IF(BH336="Uptrend",10,IF(BH336="Sideways",5,0))</f>
        <v/>
      </c>
      <c r="BJ336" s="30" t="inlineStr">
        <is>
          <t>Close to 52 week high or retracement</t>
        </is>
      </c>
      <c r="BK336" s="30">
        <f>IF(BJ336="Overhead supply in last 2 years in last 2 years",-5,IF(BJ336="Close to 52 week high or retracement",5,IF(BJ336="Blue sky scenario",10,IF(BJ336="Long term Downtrend",-10,0))))</f>
        <v/>
      </c>
      <c r="BL336" s="30" t="inlineStr">
        <is>
          <t>Yes</t>
        </is>
      </c>
      <c r="BM336" s="30">
        <f>IF(BL336="Yes",10,0)</f>
        <v/>
      </c>
      <c r="BN336" s="30" t="inlineStr">
        <is>
          <t>More than 20%</t>
        </is>
      </c>
      <c r="BO336" s="30">
        <f>IF(BN336="More than 20%",10,IF(BN336="Between 12 to 20%",5,IF(BN336="Less than 12%",0,0)))</f>
        <v/>
      </c>
      <c r="BP336" s="30" t="inlineStr">
        <is>
          <t>No</t>
        </is>
      </c>
      <c r="BQ336" s="30">
        <f>IF(BP336="No",10,0)</f>
        <v/>
      </c>
      <c r="BR336" s="30" t="inlineStr">
        <is>
          <t>No</t>
        </is>
      </c>
      <c r="BS336" s="30">
        <f>IF(BR336="NO",5,0)</f>
        <v/>
      </c>
      <c r="BT336" s="30" t="inlineStr">
        <is>
          <t>Less than 1.5</t>
        </is>
      </c>
      <c r="BU336" s="30">
        <f>IF(BT336="Above 2",0,IF(BT336="Between 1.5 to 2",5,IF(BT336="Less than 1.5",10,0)))</f>
        <v/>
      </c>
      <c r="BV336" s="30" t="inlineStr">
        <is>
          <t>Negative</t>
        </is>
      </c>
      <c r="BW336" s="30">
        <f>IF(BV336="Above 70%",10,IF(BV336="Between 50% to 70%",5,IF(BV336="Less than 50%",0,IF(BV336="Negative",-10,IF(BV336="Less than 50% and Borrowings are increasing",-5,0)))))</f>
        <v/>
      </c>
      <c r="BX336" s="30" t="inlineStr">
        <is>
          <t>Between 0.7 to 1.2</t>
        </is>
      </c>
      <c r="BY336" s="30">
        <f>IF(BX336="More than 1.2",-10,IF(BX336="Between 0.7 to 1.2",0,IF(BX336="Less than 0.7",10,0)))</f>
        <v/>
      </c>
      <c r="BZ336" s="30" t="inlineStr">
        <is>
          <t>No</t>
        </is>
      </c>
      <c r="CA336" s="30">
        <f>IF(BZ336="Yes",-10,0)</f>
        <v/>
      </c>
      <c r="CB336" s="30" t="inlineStr">
        <is>
          <t>Less than 15%</t>
        </is>
      </c>
      <c r="CC336" s="30">
        <f>IF(CB336="More than 15%",-10,IF(CB336="Less than 15%",10,0))</f>
        <v/>
      </c>
      <c r="CD336" s="30" t="inlineStr">
        <is>
          <t>No</t>
        </is>
      </c>
      <c r="CE336" s="30">
        <f>IF(CD336="Yes, more than 10%",-10,IF(CD336="No",10,0))</f>
        <v/>
      </c>
    </row>
    <row r="337">
      <c r="A337" s="30">
        <f>IF(B337=0,"",RANK(B337,$B$2:$B$427,0))</f>
        <v/>
      </c>
      <c r="B337" s="31">
        <f>SUM(N337,Y337,AA337,AC337,AE337,AG337,AI337,AK337,AM337,AO337,AQ337,AS337,AU337,AW337,AY337,BA337,BC337,BE337,BG337,BI337,BK337,BM337,BO337,BQ337,BS337,BU337,BW337,BY337,CA337,CC337,CE337)</f>
        <v/>
      </c>
      <c r="C337" s="30" t="inlineStr">
        <is>
          <t>DMART</t>
        </is>
      </c>
      <c r="D337" s="30" t="inlineStr">
        <is>
          <t>Avenue Supermarts Ltd</t>
        </is>
      </c>
      <c r="E337" s="30" t="inlineStr">
        <is>
          <t>consumer discretionary</t>
        </is>
      </c>
      <c r="F337" s="30" t="inlineStr">
        <is>
          <t>trading</t>
        </is>
      </c>
      <c r="G337" s="30" t="inlineStr">
        <is>
          <t>largecap</t>
        </is>
      </c>
      <c r="H337" s="31" t="n">
        <v>280779.24</v>
      </c>
      <c r="I337" s="31" t="n">
        <v>4286.9</v>
      </c>
      <c r="J337" s="31" t="n">
        <v>-0.46</v>
      </c>
      <c r="K337" s="31" t="n">
        <v>1411377</v>
      </c>
      <c r="L337" s="30" t="n">
        <v>9</v>
      </c>
      <c r="M337" s="30" t="inlineStr">
        <is>
          <t>Outperforming</t>
        </is>
      </c>
      <c r="N337" s="31">
        <f>IF(M337="Underperforming",-5,IF(L337&gt;=95,15,IF(L337&gt;=90,10,IF(L337&gt;=80,5,0))))</f>
        <v/>
      </c>
      <c r="O337" s="31" t="n">
        <v>54.21</v>
      </c>
      <c r="P337" s="31" t="n">
        <v>13.9</v>
      </c>
      <c r="Q337" s="31" t="n">
        <v>3914.65</v>
      </c>
      <c r="R337" s="30" t="inlineStr">
        <is>
          <t>Volume Spike / Accumulation</t>
        </is>
      </c>
      <c r="S337" s="30" t="inlineStr">
        <is>
          <t>Nifty 50</t>
        </is>
      </c>
      <c r="T337" s="31" t="n">
        <v>-4.38</v>
      </c>
      <c r="U337" s="31" t="n">
        <v>-0.31</v>
      </c>
      <c r="V337" s="31" t="n">
        <v>4.25</v>
      </c>
      <c r="W337" s="31" t="n">
        <v>3.43</v>
      </c>
      <c r="X337" s="30" t="inlineStr">
        <is>
          <t>Growing Industry</t>
        </is>
      </c>
      <c r="Y337" s="30">
        <f>IF(X337="Growing Industry",10,IF(X337="Cyclical in an Upturn",5,0))</f>
        <v/>
      </c>
      <c r="Z337" s="30" t="inlineStr">
        <is>
          <t>Too Many Players with High ROCE</t>
        </is>
      </c>
      <c r="AA337" s="30">
        <f>IF(Z337="Monopoly",10,IF(Z337="Oligopoly",5,IF(Z337="Duopoly that cooperate",10,IF(Z337="Duopoly that compete",5,IF(Z337="Too many players with High ROCE",5,0)))))</f>
        <v/>
      </c>
      <c r="AB337" s="30" t="inlineStr">
        <is>
          <t>No</t>
        </is>
      </c>
      <c r="AC337" s="30">
        <f>IF(AB337="No",5,0)</f>
        <v/>
      </c>
      <c r="AD337" s="30" t="inlineStr">
        <is>
          <t>Tailwind</t>
        </is>
      </c>
      <c r="AE337" s="30">
        <f>IF(AD337="Tailwind",10,0)</f>
        <v/>
      </c>
      <c r="AF337" s="30" t="inlineStr">
        <is>
          <t>Structural (10 Years Consistency)</t>
        </is>
      </c>
      <c r="AG337" s="30">
        <f>IF(AF337="Structural (10 Years Consistency)",10,IF(AF337="Shallow Cyclical (2 to 3 years growth)",5,0))</f>
        <v/>
      </c>
      <c r="AH337" s="30" t="inlineStr">
        <is>
          <t>No</t>
        </is>
      </c>
      <c r="AI337" s="30">
        <f>IF(AH337="Yes due to Product Mix change or Operating Leverage",10,IF(AH337="Yes, these are peak margins",-5,IF(AH337="No",5,0)))</f>
        <v/>
      </c>
      <c r="AJ337" s="30" t="inlineStr">
        <is>
          <t>Stable</t>
        </is>
      </c>
      <c r="AK337" s="30">
        <f>IF(AJ337="Stable",10,0)</f>
        <v/>
      </c>
      <c r="AL337" s="30" t="inlineStr">
        <is>
          <t>Yes</t>
        </is>
      </c>
      <c r="AM337" s="30">
        <f>IF(AL337="Yes",10,0)</f>
        <v/>
      </c>
      <c r="AN337" s="30" t="inlineStr">
        <is>
          <t>B2B</t>
        </is>
      </c>
      <c r="AO337" s="30">
        <f>IF(AN337="B2C",10,IF(AN337="B2B",5,0))</f>
        <v/>
      </c>
      <c r="AP337" s="30" t="inlineStr">
        <is>
          <t>Yes</t>
        </is>
      </c>
      <c r="AQ337" s="30">
        <f>IF(AP337="Yes",10,0)</f>
        <v/>
      </c>
      <c r="AR337" s="30" t="inlineStr">
        <is>
          <t>Higher One Time, Lower Annuity</t>
        </is>
      </c>
      <c r="AS337" s="30">
        <f>IF(AR337="Fully Annuity",10,IF(AR337="Higher Annuity, Lower One Time",5,IF(AR337="Higher One Time, Lower Annuity",3,0)))</f>
        <v/>
      </c>
      <c r="AT337" s="30" t="inlineStr">
        <is>
          <t>Good</t>
        </is>
      </c>
      <c r="AU337" s="30">
        <f>IF(AT337="Good",10,0)</f>
        <v/>
      </c>
      <c r="AV337" s="30" t="inlineStr">
        <is>
          <t>Yes for more than 2 years</t>
        </is>
      </c>
      <c r="AW337" s="30">
        <f>IF(AV337="Yes for more than 2 years",10,IF(AV337="Yes only for next 1 to 2 years",5,0))</f>
        <v/>
      </c>
      <c r="AX337" s="30" t="inlineStr">
        <is>
          <t>0 to 20</t>
        </is>
      </c>
      <c r="AY337" s="30">
        <f>IF(AX337="Above 40",20,IF(AX337="20 to 40",10,IF(AX337="0 to 20",-5,0)))</f>
        <v/>
      </c>
      <c r="AZ337" s="30" t="inlineStr">
        <is>
          <t>Between 50 to 75</t>
        </is>
      </c>
      <c r="BA337" s="30">
        <f>IF(AZ337="Between 50 to 75",10,IF(AZ337="Above 75",0,0))</f>
        <v/>
      </c>
      <c r="BB337" s="30" t="inlineStr">
        <is>
          <t>Stage 1</t>
        </is>
      </c>
      <c r="BC337" s="30">
        <f>IF(BB337="Stage 2",20,IF(BB337="Stage 1",0,IF(BB337="Stage 3",5,IF(BB337="Stage 4",-5,0))))</f>
        <v/>
      </c>
      <c r="BD337" s="30" t="inlineStr">
        <is>
          <t>Positive Trend</t>
        </is>
      </c>
      <c r="BE337" s="30">
        <f>IF(BD337="Positive Trend",20,IF(BD337="Negative Trend",-10,0))</f>
        <v/>
      </c>
      <c r="BF337" s="30" t="inlineStr">
        <is>
          <t>Uptrend</t>
        </is>
      </c>
      <c r="BG337" s="30">
        <f>IF(BF337="Uptrend",10,IF(BF337="Sideways",5,0))</f>
        <v/>
      </c>
      <c r="BH337" s="30" t="inlineStr">
        <is>
          <t>Uptrend</t>
        </is>
      </c>
      <c r="BI337" s="30">
        <f>IF(BH337="Uptrend",10,IF(BH337="Sideways",5,0))</f>
        <v/>
      </c>
      <c r="BJ337" s="30" t="inlineStr">
        <is>
          <t>Close to 52 week high or retracement</t>
        </is>
      </c>
      <c r="BK337" s="30">
        <f>IF(BJ337="Overhead supply in last 2 years in last 2 years",-5,IF(BJ337="Close to 52 week high or retracement",5,IF(BJ337="Blue sky scenario",10,IF(BJ337="Long term Downtrend",-10,0))))</f>
        <v/>
      </c>
      <c r="BL337" s="30" t="inlineStr">
        <is>
          <t>Yes</t>
        </is>
      </c>
      <c r="BM337" s="30">
        <f>IF(BL337="Yes",10,0)</f>
        <v/>
      </c>
      <c r="BN337" s="30" t="inlineStr">
        <is>
          <t>Between 12 to 20%</t>
        </is>
      </c>
      <c r="BO337" s="30">
        <f>IF(BN337="More than 20%",10,IF(BN337="Between 12 to 20%",5,IF(BN337="Less than 12%",0,0)))</f>
        <v/>
      </c>
      <c r="BP337" s="30" t="inlineStr">
        <is>
          <t>No</t>
        </is>
      </c>
      <c r="BQ337" s="30">
        <f>IF(BP337="No",10,0)</f>
        <v/>
      </c>
      <c r="BR337" s="30" t="inlineStr">
        <is>
          <t>Yes</t>
        </is>
      </c>
      <c r="BS337" s="30">
        <f>IF(BR337="NO",5,0)</f>
        <v/>
      </c>
      <c r="BT337" s="30" t="inlineStr">
        <is>
          <t>Above 2</t>
        </is>
      </c>
      <c r="BU337" s="30">
        <f>IF(BT337="Above 2",0,IF(BT337="Between 1.5 to 2",5,IF(BT337="Less than 1.5",10,0)))</f>
        <v/>
      </c>
      <c r="BV337" s="30" t="inlineStr">
        <is>
          <t>Between 50% to 70%</t>
        </is>
      </c>
      <c r="BW337" s="30">
        <f>IF(BV337="Above 70%",10,IF(BV337="Between 50% to 70%",5,IF(BV337="Less than 50%",0,IF(BV337="Negative",-10,IF(BV337="Less than 50% and Borrowings are increasing",-5,0)))))</f>
        <v/>
      </c>
      <c r="BX337" s="30" t="inlineStr">
        <is>
          <t>Less than 0.7</t>
        </is>
      </c>
      <c r="BY337" s="30">
        <f>IF(BX337="More than 1.2",-10,IF(BX337="Between 0.7 to 1.2",0,IF(BX337="Less than 0.7",10,0)))</f>
        <v/>
      </c>
      <c r="BZ337" s="30" t="inlineStr">
        <is>
          <t>No</t>
        </is>
      </c>
      <c r="CA337" s="30">
        <f>IF(BZ337="Yes",-10,0)</f>
        <v/>
      </c>
      <c r="CB337" s="30" t="inlineStr">
        <is>
          <t>Less than 15%</t>
        </is>
      </c>
      <c r="CC337" s="30">
        <f>IF(CB337="More than 15%",-10,IF(CB337="Less than 15%",10,0))</f>
        <v/>
      </c>
      <c r="CD337" s="30" t="inlineStr">
        <is>
          <t>No</t>
        </is>
      </c>
      <c r="CE337" s="30">
        <f>IF(CD337="Yes, more than 10%",-10,IF(CD337="No",10,0))</f>
        <v/>
      </c>
    </row>
    <row r="338">
      <c r="A338" s="30">
        <f>IF(B338=0,"",RANK(B338,$B$2:$B$427,0))</f>
        <v/>
      </c>
      <c r="B338" s="31">
        <f>SUM(N338,Y338,AA338,AC338,AE338,AG338,AI338,AK338,AM338,AO338,AQ338,AS338,AU338,AW338,AY338,BA338,BC338,BE338,BG338,BI338,BK338,BM338,BO338,BQ338,BS338,BU338,BW338,BY338,CA338,CC338,CE338)</f>
        <v/>
      </c>
      <c r="C338" s="30" t="inlineStr">
        <is>
          <t>SIMPLEXINF</t>
        </is>
      </c>
      <c r="D338" s="30" t="inlineStr">
        <is>
          <t>Simplex Infrastructures Limited</t>
        </is>
      </c>
      <c r="E338" s="30" t="inlineStr">
        <is>
          <t>realty</t>
        </is>
      </c>
      <c r="F338" s="30" t="inlineStr">
        <is>
          <t>construction</t>
        </is>
      </c>
      <c r="G338" s="30" t="inlineStr">
        <is>
          <t>smallcap</t>
        </is>
      </c>
      <c r="H338" s="31" t="n">
        <v>2230.49</v>
      </c>
      <c r="I338" s="31" t="n">
        <v>274.85</v>
      </c>
      <c r="J338" s="31" t="n">
        <v>-2.54</v>
      </c>
      <c r="K338" s="31" t="n">
        <v>1379517</v>
      </c>
      <c r="L338" s="30" t="n">
        <v>68</v>
      </c>
      <c r="M338" s="30" t="inlineStr">
        <is>
          <t>Outperforming</t>
        </is>
      </c>
      <c r="N338" s="31">
        <f>IF(M338="Underperforming",-5,IF(L338&gt;=95,15,IF(L338&gt;=90,10,IF(L338&gt;=80,5,0))))</f>
        <v/>
      </c>
      <c r="O338" s="31" t="n">
        <v>60.52</v>
      </c>
      <c r="P338" s="31" t="n">
        <v>19.86</v>
      </c>
      <c r="Q338" s="31" t="n">
        <v>182.28</v>
      </c>
      <c r="R338" s="30" t="inlineStr">
        <is>
          <t>Volume Spike / Accumulation</t>
        </is>
      </c>
      <c r="S338" s="30" t="inlineStr">
        <is>
          <t>Nifty Realty</t>
        </is>
      </c>
      <c r="T338" s="31" t="n">
        <v>-19.9</v>
      </c>
      <c r="U338" s="31" t="n">
        <v>2.16</v>
      </c>
      <c r="V338" s="31" t="n">
        <v>27.54</v>
      </c>
      <c r="W338" s="31" t="n">
        <v>18.98</v>
      </c>
      <c r="X338" s="30" t="inlineStr">
        <is>
          <t>Growing Industry</t>
        </is>
      </c>
      <c r="Y338" s="30">
        <f>IF(X338="Growing Industry",10,IF(X338="Cyclical in an Upturn",5,0))</f>
        <v/>
      </c>
      <c r="Z338" s="30" t="inlineStr">
        <is>
          <t>Too Many Players with High ROCE</t>
        </is>
      </c>
      <c r="AA338" s="30">
        <f>IF(Z338="Monopoly",10,IF(Z338="Oligopoly",5,IF(Z338="Duopoly that cooperate",10,IF(Z338="Duopoly that compete",5,IF(Z338="Too many players with High ROCE",5,0)))))</f>
        <v/>
      </c>
      <c r="AB338" s="30" t="inlineStr">
        <is>
          <t>No</t>
        </is>
      </c>
      <c r="AC338" s="30">
        <f>IF(AB338="No",5,0)</f>
        <v/>
      </c>
      <c r="AD338" s="30" t="inlineStr">
        <is>
          <t>Tailwind</t>
        </is>
      </c>
      <c r="AE338" s="30">
        <f>IF(AD338="Tailwind",10,0)</f>
        <v/>
      </c>
      <c r="AF338" s="30" t="inlineStr">
        <is>
          <t>Structural (10 Years Consistency)</t>
        </is>
      </c>
      <c r="AG338" s="30">
        <f>IF(AF338="Structural (10 Years Consistency)",10,IF(AF338="Shallow Cyclical (2 to 3 years growth)",5,0))</f>
        <v/>
      </c>
      <c r="AH338" s="30" t="inlineStr">
        <is>
          <t>No</t>
        </is>
      </c>
      <c r="AI338" s="30">
        <f>IF(AH338="Yes due to Product Mix change or Operating Leverage",10,IF(AH338="Yes, these are peak margins",-5,IF(AH338="No",5,0)))</f>
        <v/>
      </c>
      <c r="AJ338" s="30" t="inlineStr">
        <is>
          <t>Stable</t>
        </is>
      </c>
      <c r="AK338" s="30">
        <f>IF(AJ338="Stable",10,0)</f>
        <v/>
      </c>
      <c r="AL338" s="30" t="inlineStr">
        <is>
          <t>Yes</t>
        </is>
      </c>
      <c r="AM338" s="30">
        <f>IF(AL338="Yes",10,0)</f>
        <v/>
      </c>
      <c r="AN338" s="30" t="inlineStr">
        <is>
          <t>B2B</t>
        </is>
      </c>
      <c r="AO338" s="30">
        <f>IF(AN338="B2C",10,IF(AN338="B2B",5,0))</f>
        <v/>
      </c>
      <c r="AP338" s="30" t="inlineStr">
        <is>
          <t>Yes</t>
        </is>
      </c>
      <c r="AQ338" s="30">
        <f>IF(AP338="Yes",10,0)</f>
        <v/>
      </c>
      <c r="AR338" s="30" t="inlineStr">
        <is>
          <t>Higher One Time, Lower Annuity</t>
        </is>
      </c>
      <c r="AS338" s="30">
        <f>IF(AR338="Fully Annuity",10,IF(AR338="Higher Annuity, Lower One Time",5,IF(AR338="Higher One Time, Lower Annuity",3,0)))</f>
        <v/>
      </c>
      <c r="AT338" s="30" t="inlineStr">
        <is>
          <t>Good</t>
        </is>
      </c>
      <c r="AU338" s="30">
        <f>IF(AT338="Good",10,0)</f>
        <v/>
      </c>
      <c r="AV338" s="30" t="inlineStr">
        <is>
          <t>Yes for more than 2 years</t>
        </is>
      </c>
      <c r="AW338" s="30">
        <f>IF(AV338="Yes for more than 2 years",10,IF(AV338="Yes only for next 1 to 2 years",5,0))</f>
        <v/>
      </c>
      <c r="AX338" s="30" t="inlineStr">
        <is>
          <t>0 to 20</t>
        </is>
      </c>
      <c r="AY338" s="30">
        <f>IF(AX338="Above 40",20,IF(AX338="20 to 40",10,IF(AX338="0 to 20",-5,0)))</f>
        <v/>
      </c>
      <c r="AZ338" s="30" t="inlineStr">
        <is>
          <t>Between 50 to 75</t>
        </is>
      </c>
      <c r="BA338" s="30">
        <f>IF(AZ338="Between 50 to 75",10,IF(AZ338="Above 75",0,0))</f>
        <v/>
      </c>
      <c r="BB338" s="30" t="inlineStr">
        <is>
          <t>Stage 2</t>
        </is>
      </c>
      <c r="BC338" s="30">
        <f>IF(BB338="Stage 2",20,IF(BB338="Stage 1",0,IF(BB338="Stage 3",5,IF(BB338="Stage 4",-5,0))))</f>
        <v/>
      </c>
      <c r="BD338" s="30" t="inlineStr">
        <is>
          <t>Positive Trend</t>
        </is>
      </c>
      <c r="BE338" s="30">
        <f>IF(BD338="Positive Trend",20,IF(BD338="Negative Trend",-10,0))</f>
        <v/>
      </c>
      <c r="BF338" s="30" t="inlineStr">
        <is>
          <t>Uptrend</t>
        </is>
      </c>
      <c r="BG338" s="30">
        <f>IF(BF338="Uptrend",10,IF(BF338="Sideways",5,0))</f>
        <v/>
      </c>
      <c r="BH338" s="30" t="inlineStr">
        <is>
          <t>Uptrend</t>
        </is>
      </c>
      <c r="BI338" s="30">
        <f>IF(BH338="Uptrend",10,IF(BH338="Sideways",5,0))</f>
        <v/>
      </c>
      <c r="BJ338" s="30" t="inlineStr">
        <is>
          <t>Close to 52 week high or retracement</t>
        </is>
      </c>
      <c r="BK338" s="30">
        <f>IF(BJ338="Overhead supply in last 2 years in last 2 years",-5,IF(BJ338="Close to 52 week high or retracement",5,IF(BJ338="Blue sky scenario",10,IF(BJ338="Long term Downtrend",-10,0))))</f>
        <v/>
      </c>
      <c r="BL338" s="30" t="inlineStr">
        <is>
          <t>Yes</t>
        </is>
      </c>
      <c r="BM338" s="30">
        <f>IF(BL338="Yes",10,0)</f>
        <v/>
      </c>
      <c r="BN338" s="30" t="inlineStr">
        <is>
          <t>Less than 12%</t>
        </is>
      </c>
      <c r="BO338" s="30">
        <f>IF(BN338="More than 20%",10,IF(BN338="Between 12 to 20%",5,IF(BN338="Less than 12%",0,0)))</f>
        <v/>
      </c>
      <c r="BP338" s="30" t="inlineStr">
        <is>
          <t>No</t>
        </is>
      </c>
      <c r="BQ338" s="30">
        <f>IF(BP338="No",10,0)</f>
        <v/>
      </c>
      <c r="BR338" s="30" t="inlineStr">
        <is>
          <t>Yes</t>
        </is>
      </c>
      <c r="BS338" s="30">
        <f>IF(BR338="NO",5,0)</f>
        <v/>
      </c>
      <c r="BT338" s="30" t="inlineStr">
        <is>
          <t>Above 2</t>
        </is>
      </c>
      <c r="BU338" s="30">
        <f>IF(BT338="Above 2",0,IF(BT338="Between 1.5 to 2",5,IF(BT338="Less than 1.5",10,0)))</f>
        <v/>
      </c>
      <c r="BV338" s="30" t="inlineStr">
        <is>
          <t>Above 70%</t>
        </is>
      </c>
      <c r="BW338" s="30">
        <f>IF(BV338="Above 70%",10,IF(BV338="Between 50% to 70%",5,IF(BV338="Less than 50%",0,IF(BV338="Negative",-10,IF(BV338="Less than 50% and Borrowings are increasing",-5,0)))))</f>
        <v/>
      </c>
      <c r="BX338" s="30" t="inlineStr">
        <is>
          <t>More than 1.2</t>
        </is>
      </c>
      <c r="BY338" s="30">
        <f>IF(BX338="More than 1.2",-10,IF(BX338="Between 0.7 to 1.2",0,IF(BX338="Less than 0.7",10,0)))</f>
        <v/>
      </c>
      <c r="BZ338" s="30" t="inlineStr">
        <is>
          <t>No</t>
        </is>
      </c>
      <c r="CA338" s="30">
        <f>IF(BZ338="Yes",-10,0)</f>
        <v/>
      </c>
      <c r="CB338" s="30" t="inlineStr">
        <is>
          <t>Less than 15%</t>
        </is>
      </c>
      <c r="CC338" s="30">
        <f>IF(CB338="More than 15%",-10,IF(CB338="Less than 15%",10,0))</f>
        <v/>
      </c>
      <c r="CD338" s="30" t="inlineStr">
        <is>
          <t>No</t>
        </is>
      </c>
      <c r="CE338" s="30">
        <f>IF(CD338="Yes, more than 10%",-10,IF(CD338="No",10,0))</f>
        <v/>
      </c>
    </row>
    <row r="339">
      <c r="A339" s="30">
        <f>IF(B339=0,"",RANK(B339,$B$2:$B$427,0))</f>
        <v/>
      </c>
      <c r="B339" s="31">
        <f>SUM(N339,Y339,AA339,AC339,AE339,AG339,AI339,AK339,AM339,AO339,AQ339,AS339,AU339,AW339,AY339,BA339,BC339,BE339,BG339,BI339,BK339,BM339,BO339,BQ339,BS339,BU339,BW339,BY339,CA339,CC339,CE339)</f>
        <v/>
      </c>
      <c r="C339" s="32" t="inlineStr">
        <is>
          <t>MAXHEALTH</t>
        </is>
      </c>
      <c r="D339" s="32" t="inlineStr">
        <is>
          <t>Max Healthcare Institute Ltd</t>
        </is>
      </c>
      <c r="E339" s="30" t="inlineStr">
        <is>
          <t>healthcare</t>
        </is>
      </c>
      <c r="F339" s="30" t="inlineStr">
        <is>
          <t>healthcare</t>
        </is>
      </c>
      <c r="G339" s="30" t="inlineStr">
        <is>
          <t>largecap</t>
        </is>
      </c>
      <c r="H339" s="31" t="n">
        <v>106115.51</v>
      </c>
      <c r="I339" s="31" t="n">
        <v>1094.75</v>
      </c>
      <c r="J339" s="31" t="n">
        <v>0.39</v>
      </c>
      <c r="K339" s="31" t="n">
        <v>2057402</v>
      </c>
      <c r="L339" s="30" t="n">
        <v>1</v>
      </c>
      <c r="M339" s="30" t="inlineStr">
        <is>
          <t>Underperforming</t>
        </is>
      </c>
      <c r="N339" s="31">
        <f>IF(M339="Underperforming",-5,IF(L339&gt;=95,15,IF(L339&gt;=90,10,IF(L339&gt;=80,5,0))))</f>
        <v/>
      </c>
      <c r="O339" s="31" t="n">
        <v>57.23</v>
      </c>
      <c r="P339" s="31" t="n">
        <v>26.1</v>
      </c>
      <c r="Q339" s="31" t="n">
        <v>897.51</v>
      </c>
      <c r="R339" s="30" t="inlineStr">
        <is>
          <t>Earnings / Momentum Support</t>
        </is>
      </c>
      <c r="S339" s="30" t="inlineStr">
        <is>
          <t>Nifty Pharma</t>
        </is>
      </c>
      <c r="T339" s="31" t="n">
        <v>13.17</v>
      </c>
      <c r="U339" s="31" t="n">
        <v>-9.699999999999999</v>
      </c>
      <c r="V339" s="31" t="n">
        <v>-20.21</v>
      </c>
      <c r="W339" s="31" t="n">
        <v>1.01</v>
      </c>
      <c r="X339" s="30" t="inlineStr">
        <is>
          <t>Growing Industry</t>
        </is>
      </c>
      <c r="Y339" s="30">
        <f>IF(X339="Growing Industry",10,IF(X339="Cyclical in an Upturn",5,0))</f>
        <v/>
      </c>
      <c r="Z339" s="30" t="inlineStr">
        <is>
          <t>Too Many Players with High ROCE</t>
        </is>
      </c>
      <c r="AA339" s="30">
        <f>IF(Z339="Monopoly",10,IF(Z339="Oligopoly",5,IF(Z339="Duopoly that cooperate",10,IF(Z339="Duopoly that compete",5,IF(Z339="Too many players with High ROCE",5,0)))))</f>
        <v/>
      </c>
      <c r="AB339" s="30" t="inlineStr">
        <is>
          <t>Yes</t>
        </is>
      </c>
      <c r="AC339" s="30">
        <f>IF(AB339="No",5,0)</f>
        <v/>
      </c>
      <c r="AD339" s="30" t="inlineStr">
        <is>
          <t>Tailwind</t>
        </is>
      </c>
      <c r="AE339" s="30">
        <f>IF(AD339="Tailwind",10,0)</f>
        <v/>
      </c>
      <c r="AF339" s="30" t="inlineStr">
        <is>
          <t>Structural (10 Years Consistency)</t>
        </is>
      </c>
      <c r="AG339" s="30">
        <f>IF(AF339="Structural (10 Years Consistency)",10,IF(AF339="Shallow Cyclical (2 to 3 years growth)",5,0))</f>
        <v/>
      </c>
      <c r="AH339" s="30" t="inlineStr">
        <is>
          <t>No</t>
        </is>
      </c>
      <c r="AI339" s="30">
        <f>IF(AH339="Yes due to Product Mix change or Operating Leverage",10,IF(AH339="Yes, these are peak margins",-5,IF(AH339="No",5,0)))</f>
        <v/>
      </c>
      <c r="AJ339" s="30" t="inlineStr">
        <is>
          <t>Stable</t>
        </is>
      </c>
      <c r="AK339" s="30">
        <f>IF(AJ339="Stable",10,0)</f>
        <v/>
      </c>
      <c r="AL339" s="30" t="inlineStr">
        <is>
          <t>Yes</t>
        </is>
      </c>
      <c r="AM339" s="30">
        <f>IF(AL339="Yes",10,0)</f>
        <v/>
      </c>
      <c r="AN339" s="30" t="inlineStr">
        <is>
          <t>B2B</t>
        </is>
      </c>
      <c r="AO339" s="30">
        <f>IF(AN339="B2C",10,IF(AN339="B2B",5,0))</f>
        <v/>
      </c>
      <c r="AP339" s="30" t="inlineStr">
        <is>
          <t>No</t>
        </is>
      </c>
      <c r="AQ339" s="30">
        <f>IF(AP339="Yes",10,0)</f>
        <v/>
      </c>
      <c r="AR339" s="30" t="inlineStr">
        <is>
          <t>Higher Annuity, Lower One Time</t>
        </is>
      </c>
      <c r="AS339" s="30">
        <f>IF(AR339="Fully Annuity",10,IF(AR339="Higher Annuity, Lower One Time",5,IF(AR339="Higher One Time, Lower Annuity",3,0)))</f>
        <v/>
      </c>
      <c r="AT339" s="30" t="inlineStr">
        <is>
          <t>Good</t>
        </is>
      </c>
      <c r="AU339" s="30">
        <f>IF(AT339="Good",10,0)</f>
        <v/>
      </c>
      <c r="AV339" s="30" t="inlineStr">
        <is>
          <t>Yes for more than 2 years</t>
        </is>
      </c>
      <c r="AW339" s="30">
        <f>IF(AV339="Yes for more than 2 years",10,IF(AV339="Yes only for next 1 to 2 years",5,0))</f>
        <v/>
      </c>
      <c r="AX339" s="30" t="inlineStr">
        <is>
          <t>20 to 40</t>
        </is>
      </c>
      <c r="AY339" s="30">
        <f>IF(AX339="Above 40",20,IF(AX339="20 to 40",10,IF(AX339="0 to 20",-5,0)))</f>
        <v/>
      </c>
      <c r="AZ339" s="30" t="inlineStr">
        <is>
          <t>Between 50 to 75</t>
        </is>
      </c>
      <c r="BA339" s="30">
        <f>IF(AZ339="Between 50 to 75",10,IF(AZ339="Above 75",0,0))</f>
        <v/>
      </c>
      <c r="BB339" s="30" t="inlineStr">
        <is>
          <t>Stage 1</t>
        </is>
      </c>
      <c r="BC339" s="30">
        <f>IF(BB339="Stage 2",20,IF(BB339="Stage 1",0,IF(BB339="Stage 3",5,IF(BB339="Stage 4",-5,0))))</f>
        <v/>
      </c>
      <c r="BD339" s="30" t="inlineStr">
        <is>
          <t>Positive Trend</t>
        </is>
      </c>
      <c r="BE339" s="30">
        <f>IF(BD339="Positive Trend",20,IF(BD339="Negative Trend",-10,0))</f>
        <v/>
      </c>
      <c r="BF339" s="30" t="inlineStr">
        <is>
          <t>Uptrend</t>
        </is>
      </c>
      <c r="BG339" s="30">
        <f>IF(BF339="Uptrend",10,IF(BF339="Sideways",5,0))</f>
        <v/>
      </c>
      <c r="BH339" s="30" t="inlineStr">
        <is>
          <t>Uptrend</t>
        </is>
      </c>
      <c r="BI339" s="30">
        <f>IF(BH339="Uptrend",10,IF(BH339="Sideways",5,0))</f>
        <v/>
      </c>
      <c r="BJ339" s="30" t="inlineStr">
        <is>
          <t>Close to 52 week high or retracement</t>
        </is>
      </c>
      <c r="BK339" s="30">
        <f>IF(BJ339="Overhead supply in last 2 years in last 2 years",-5,IF(BJ339="Close to 52 week high or retracement",5,IF(BJ339="Blue sky scenario",10,IF(BJ339="Long term Downtrend",-10,0))))</f>
        <v/>
      </c>
      <c r="BL339" s="30" t="inlineStr">
        <is>
          <t>Yes</t>
        </is>
      </c>
      <c r="BM339" s="30">
        <f>IF(BL339="Yes",10,0)</f>
        <v/>
      </c>
      <c r="BN339" s="30" t="inlineStr">
        <is>
          <t>Less than 12%</t>
        </is>
      </c>
      <c r="BO339" s="30">
        <f>IF(BN339="More than 20%",10,IF(BN339="Between 12 to 20%",5,IF(BN339="Less than 12%",0,0)))</f>
        <v/>
      </c>
      <c r="BP339" s="30" t="inlineStr">
        <is>
          <t>No</t>
        </is>
      </c>
      <c r="BQ339" s="30">
        <f>IF(BP339="No",10,0)</f>
        <v/>
      </c>
      <c r="BR339" s="30" t="inlineStr">
        <is>
          <t>Yes</t>
        </is>
      </c>
      <c r="BS339" s="30">
        <f>IF(BR339="NO",5,0)</f>
        <v/>
      </c>
      <c r="BT339" s="30" t="inlineStr">
        <is>
          <t>Above 2</t>
        </is>
      </c>
      <c r="BU339" s="30">
        <f>IF(BT339="Above 2",0,IF(BT339="Between 1.5 to 2",5,IF(BT339="Less than 1.5",10,0)))</f>
        <v/>
      </c>
      <c r="BV339" s="30" t="inlineStr">
        <is>
          <t>Above 70%</t>
        </is>
      </c>
      <c r="BW339" s="30">
        <f>IF(BV339="Above 70%",10,IF(BV339="Between 50% to 70%",5,IF(BV339="Less than 50%",0,IF(BV339="Negative",-10,IF(BV339="Less than 50% and Borrowings are increasing",-5,0)))))</f>
        <v/>
      </c>
      <c r="BX339" s="30" t="inlineStr">
        <is>
          <t>Less than 0.7</t>
        </is>
      </c>
      <c r="BY339" s="30">
        <f>IF(BX339="More than 1.2",-10,IF(BX339="Between 0.7 to 1.2",0,IF(BX339="Less than 0.7",10,0)))</f>
        <v/>
      </c>
      <c r="BZ339" s="30" t="inlineStr">
        <is>
          <t>No</t>
        </is>
      </c>
      <c r="CA339" s="30">
        <f>IF(BZ339="Yes",-10,0)</f>
        <v/>
      </c>
      <c r="CB339" s="30" t="inlineStr">
        <is>
          <t>Less than 15%</t>
        </is>
      </c>
      <c r="CC339" s="30">
        <f>IF(CB339="More than 15%",-10,IF(CB339="Less than 15%",10,0))</f>
        <v/>
      </c>
      <c r="CD339" s="30" t="inlineStr">
        <is>
          <t>No</t>
        </is>
      </c>
      <c r="CE339" s="30">
        <f>IF(CD339="Yes, more than 10%",-10,IF(CD339="No",10,0))</f>
        <v/>
      </c>
    </row>
    <row r="340">
      <c r="A340" s="30">
        <f>IF(B340=0,"",RANK(B340,$B$2:$B$427,0))</f>
        <v/>
      </c>
      <c r="B340" s="31">
        <f>SUM(N340,Y340,AA340,AC340,AE340,AG340,AI340,AK340,AM340,AO340,AQ340,AS340,AU340,AW340,AY340,BA340,BC340,BE340,BG340,BI340,BK340,BM340,BO340,BQ340,BS340,BU340,BW340,BY340,CA340,CC340,CE340)</f>
        <v/>
      </c>
      <c r="C340" s="32" t="inlineStr">
        <is>
          <t>KOVAI</t>
        </is>
      </c>
      <c r="D340" s="32" t="inlineStr">
        <is>
          <t>Kovai Medical Center &amp; Hospital Ltd</t>
        </is>
      </c>
      <c r="E340" s="30" t="inlineStr">
        <is>
          <t>healthcare</t>
        </is>
      </c>
      <c r="F340" s="30" t="inlineStr">
        <is>
          <t>healthcare</t>
        </is>
      </c>
      <c r="G340" s="30" t="inlineStr">
        <is>
          <t>midcap</t>
        </is>
      </c>
      <c r="H340" s="31" t="n">
        <v>6420.37</v>
      </c>
      <c r="I340" s="31" t="n">
        <v>5842.5</v>
      </c>
      <c r="J340" s="31" t="n">
        <v>-0.43</v>
      </c>
      <c r="K340" s="31" t="n">
        <v>1604</v>
      </c>
      <c r="L340" s="30" t="n">
        <v>7</v>
      </c>
      <c r="M340" s="30" t="inlineStr">
        <is>
          <t>Underperforming</t>
        </is>
      </c>
      <c r="N340" s="31">
        <f>IF(M340="Underperforming",-5,IF(L340&gt;=95,15,IF(L340&gt;=90,10,IF(L340&gt;=80,5,0))))</f>
        <v/>
      </c>
      <c r="O340" s="31" t="n">
        <v>59.52</v>
      </c>
      <c r="P340" s="31" t="n">
        <v>18.2</v>
      </c>
      <c r="Q340" s="31" t="n">
        <v>4870.24</v>
      </c>
      <c r="R340" s="30" t="inlineStr">
        <is>
          <t>Earnings / Momentum Support</t>
        </is>
      </c>
      <c r="S340" s="30" t="inlineStr">
        <is>
          <t>Nifty Pharma</t>
        </is>
      </c>
      <c r="T340" s="31" t="n">
        <v>13.17</v>
      </c>
      <c r="U340" s="31" t="n">
        <v>3.62</v>
      </c>
      <c r="V340" s="31" t="n">
        <v>-8.44</v>
      </c>
      <c r="W340" s="31" t="n">
        <v>3.32</v>
      </c>
      <c r="X340" s="30" t="inlineStr">
        <is>
          <t>Growing Industry</t>
        </is>
      </c>
      <c r="Y340" s="30">
        <f>IF(X340="Growing Industry",10,IF(X340="Cyclical in an Upturn",5,0))</f>
        <v/>
      </c>
      <c r="Z340" s="30" t="inlineStr">
        <is>
          <t>Too Many Players with High ROCE</t>
        </is>
      </c>
      <c r="AA340" s="30">
        <f>IF(Z340="Monopoly",10,IF(Z340="Oligopoly",5,IF(Z340="Duopoly that cooperate",10,IF(Z340="Duopoly that compete",5,IF(Z340="Too many players with High ROCE",5,0)))))</f>
        <v/>
      </c>
      <c r="AB340" s="30" t="inlineStr">
        <is>
          <t>Yes</t>
        </is>
      </c>
      <c r="AC340" s="30">
        <f>IF(AB340="No",5,0)</f>
        <v/>
      </c>
      <c r="AD340" s="30" t="inlineStr">
        <is>
          <t>Tailwind</t>
        </is>
      </c>
      <c r="AE340" s="30">
        <f>IF(AD340="Tailwind",10,0)</f>
        <v/>
      </c>
      <c r="AF340" s="30" t="inlineStr">
        <is>
          <t>Structural (10 Years Consistency)</t>
        </is>
      </c>
      <c r="AG340" s="30">
        <f>IF(AF340="Structural (10 Years Consistency)",10,IF(AF340="Shallow Cyclical (2 to 3 years growth)",5,0))</f>
        <v/>
      </c>
      <c r="AH340" s="30" t="inlineStr">
        <is>
          <t>No</t>
        </is>
      </c>
      <c r="AI340" s="30">
        <f>IF(AH340="Yes due to Product Mix change or Operating Leverage",10,IF(AH340="Yes, these are peak margins",-5,IF(AH340="No",5,0)))</f>
        <v/>
      </c>
      <c r="AJ340" s="30" t="inlineStr">
        <is>
          <t>Stable</t>
        </is>
      </c>
      <c r="AK340" s="30">
        <f>IF(AJ340="Stable",10,0)</f>
        <v/>
      </c>
      <c r="AL340" s="30" t="inlineStr">
        <is>
          <t>Yes</t>
        </is>
      </c>
      <c r="AM340" s="30">
        <f>IF(AL340="Yes",10,0)</f>
        <v/>
      </c>
      <c r="AN340" s="30" t="inlineStr">
        <is>
          <t>B2B</t>
        </is>
      </c>
      <c r="AO340" s="30">
        <f>IF(AN340="B2C",10,IF(AN340="B2B",5,0))</f>
        <v/>
      </c>
      <c r="AP340" s="30" t="inlineStr">
        <is>
          <t>No</t>
        </is>
      </c>
      <c r="AQ340" s="30">
        <f>IF(AP340="Yes",10,0)</f>
        <v/>
      </c>
      <c r="AR340" s="30" t="inlineStr">
        <is>
          <t>Higher Annuity, Lower One Time</t>
        </is>
      </c>
      <c r="AS340" s="30">
        <f>IF(AR340="Fully Annuity",10,IF(AR340="Higher Annuity, Lower One Time",5,IF(AR340="Higher One Time, Lower Annuity",3,0)))</f>
        <v/>
      </c>
      <c r="AT340" s="30" t="inlineStr">
        <is>
          <t>Good</t>
        </is>
      </c>
      <c r="AU340" s="30">
        <f>IF(AT340="Good",10,0)</f>
        <v/>
      </c>
      <c r="AV340" s="30" t="inlineStr">
        <is>
          <t>Yes for more than 2 years</t>
        </is>
      </c>
      <c r="AW340" s="30">
        <f>IF(AV340="Yes for more than 2 years",10,IF(AV340="Yes only for next 1 to 2 years",5,0))</f>
        <v/>
      </c>
      <c r="AX340" s="30" t="inlineStr">
        <is>
          <t>0 to 20</t>
        </is>
      </c>
      <c r="AY340" s="30">
        <f>IF(AX340="Above 40",20,IF(AX340="20 to 40",10,IF(AX340="0 to 20",-5,0)))</f>
        <v/>
      </c>
      <c r="AZ340" s="30" t="inlineStr">
        <is>
          <t>Between 50 to 75</t>
        </is>
      </c>
      <c r="BA340" s="30">
        <f>IF(AZ340="Between 50 to 75",10,IF(AZ340="Above 75",0,0))</f>
        <v/>
      </c>
      <c r="BB340" s="30" t="inlineStr">
        <is>
          <t>Stage 1</t>
        </is>
      </c>
      <c r="BC340" s="30">
        <f>IF(BB340="Stage 2",20,IF(BB340="Stage 1",0,IF(BB340="Stage 3",5,IF(BB340="Stage 4",-5,0))))</f>
        <v/>
      </c>
      <c r="BD340" s="30" t="inlineStr">
        <is>
          <t>Positive Trend</t>
        </is>
      </c>
      <c r="BE340" s="30">
        <f>IF(BD340="Positive Trend",20,IF(BD340="Negative Trend",-10,0))</f>
        <v/>
      </c>
      <c r="BF340" s="30" t="inlineStr">
        <is>
          <t>Uptrend</t>
        </is>
      </c>
      <c r="BG340" s="30">
        <f>IF(BF340="Uptrend",10,IF(BF340="Sideways",5,0))</f>
        <v/>
      </c>
      <c r="BH340" s="30" t="inlineStr">
        <is>
          <t>Uptrend</t>
        </is>
      </c>
      <c r="BI340" s="30">
        <f>IF(BH340="Uptrend",10,IF(BH340="Sideways",5,0))</f>
        <v/>
      </c>
      <c r="BJ340" s="30" t="inlineStr">
        <is>
          <t>Close to 52 week high or retracement</t>
        </is>
      </c>
      <c r="BK340" s="30">
        <f>IF(BJ340="Overhead supply in last 2 years in last 2 years",-5,IF(BJ340="Close to 52 week high or retracement",5,IF(BJ340="Blue sky scenario",10,IF(BJ340="Long term Downtrend",-10,0))))</f>
        <v/>
      </c>
      <c r="BL340" s="30" t="inlineStr">
        <is>
          <t>Yes</t>
        </is>
      </c>
      <c r="BM340" s="30">
        <f>IF(BL340="Yes",10,0)</f>
        <v/>
      </c>
      <c r="BN340" s="30" t="inlineStr">
        <is>
          <t>Between 12 to 20%</t>
        </is>
      </c>
      <c r="BO340" s="30">
        <f>IF(BN340="More than 20%",10,IF(BN340="Between 12 to 20%",5,IF(BN340="Less than 12%",0,0)))</f>
        <v/>
      </c>
      <c r="BP340" s="30" t="inlineStr">
        <is>
          <t>No</t>
        </is>
      </c>
      <c r="BQ340" s="30">
        <f>IF(BP340="No",10,0)</f>
        <v/>
      </c>
      <c r="BR340" s="30" t="inlineStr">
        <is>
          <t>No</t>
        </is>
      </c>
      <c r="BS340" s="30">
        <f>IF(BR340="NO",5,0)</f>
        <v/>
      </c>
      <c r="BT340" s="30" t="inlineStr">
        <is>
          <t>Between 1.5 to 2</t>
        </is>
      </c>
      <c r="BU340" s="30">
        <f>IF(BT340="Above 2",0,IF(BT340="Between 1.5 to 2",5,IF(BT340="Less than 1.5",10,0)))</f>
        <v/>
      </c>
      <c r="BV340" s="30" t="inlineStr">
        <is>
          <t>Above 70%</t>
        </is>
      </c>
      <c r="BW340" s="30">
        <f>IF(BV340="Above 70%",10,IF(BV340="Between 50% to 70%",5,IF(BV340="Less than 50%",0,IF(BV340="Negative",-10,IF(BV340="Less than 50% and Borrowings are increasing",-5,0)))))</f>
        <v/>
      </c>
      <c r="BX340" s="30" t="inlineStr">
        <is>
          <t>Less than 0.7</t>
        </is>
      </c>
      <c r="BY340" s="30">
        <f>IF(BX340="More than 1.2",-10,IF(BX340="Between 0.7 to 1.2",0,IF(BX340="Less than 0.7",10,0)))</f>
        <v/>
      </c>
      <c r="BZ340" s="30" t="inlineStr">
        <is>
          <t>No</t>
        </is>
      </c>
      <c r="CA340" s="30">
        <f>IF(BZ340="Yes",-10,0)</f>
        <v/>
      </c>
      <c r="CB340" s="30" t="inlineStr">
        <is>
          <t>Less than 15%</t>
        </is>
      </c>
      <c r="CC340" s="30">
        <f>IF(CB340="More than 15%",-10,IF(CB340="Less than 15%",10,0))</f>
        <v/>
      </c>
      <c r="CD340" s="30" t="inlineStr">
        <is>
          <t>No</t>
        </is>
      </c>
      <c r="CE340" s="30">
        <f>IF(CD340="Yes, more than 10%",-10,IF(CD340="No",10,0))</f>
        <v/>
      </c>
    </row>
    <row r="341">
      <c r="A341" s="30">
        <f>IF(B341=0,"",RANK(B341,$B$2:$B$427,0))</f>
        <v/>
      </c>
      <c r="B341" s="31">
        <f>SUM(N341,Y341,AA341,AC341,AE341,AG341,AI341,AK341,AM341,AO341,AQ341,AS341,AU341,AW341,AY341,BA341,BC341,BE341,BG341,BI341,BK341,BM341,BO341,BQ341,BS341,BU341,BW341,BY341,CA341,CC341,CE341)</f>
        <v/>
      </c>
      <c r="C341" s="30" t="inlineStr">
        <is>
          <t>REDINGTON</t>
        </is>
      </c>
      <c r="D341" s="30" t="inlineStr">
        <is>
          <t>Redington (india) Limited</t>
        </is>
      </c>
      <c r="E341" s="30" t="inlineStr">
        <is>
          <t>services</t>
        </is>
      </c>
      <c r="F341" s="30" t="inlineStr">
        <is>
          <t>trading</t>
        </is>
      </c>
      <c r="G341" s="30" t="inlineStr">
        <is>
          <t>largecap</t>
        </is>
      </c>
      <c r="H341" s="31" t="n">
        <v>21260.36</v>
      </c>
      <c r="I341" s="31" t="n">
        <v>280.76</v>
      </c>
      <c r="J341" s="31" t="n">
        <v>3.24</v>
      </c>
      <c r="K341" s="31" t="n">
        <v>22331777</v>
      </c>
      <c r="L341" s="30" t="n">
        <v>23</v>
      </c>
      <c r="M341" s="30" t="inlineStr">
        <is>
          <t>Outperforming</t>
        </is>
      </c>
      <c r="N341" s="31">
        <f>IF(M341="Underperforming",-5,IF(L341&gt;=95,15,IF(L341&gt;=90,10,IF(L341&gt;=80,5,0))))</f>
        <v/>
      </c>
      <c r="O341" s="31" t="n">
        <v>61.96</v>
      </c>
      <c r="P341" s="31" t="n">
        <v>10.64</v>
      </c>
      <c r="Q341" s="31" t="n">
        <v>208.96</v>
      </c>
      <c r="R341" s="30" t="inlineStr">
        <is>
          <t>Volume Spike / Accumulation</t>
        </is>
      </c>
      <c r="S341" s="30" t="inlineStr">
        <is>
          <t>Nifty 50</t>
        </is>
      </c>
      <c r="T341" s="31" t="n">
        <v>-4.38</v>
      </c>
      <c r="U341" s="31" t="n">
        <v>-2.11</v>
      </c>
      <c r="V341" s="31" t="n">
        <v>2.37</v>
      </c>
      <c r="W341" s="31" t="n">
        <v>6.7</v>
      </c>
      <c r="X341" s="30" t="inlineStr">
        <is>
          <t>Growing Industry</t>
        </is>
      </c>
      <c r="Y341" s="30">
        <f>IF(X341="Growing Industry",10,IF(X341="Cyclical in an Upturn",5,0))</f>
        <v/>
      </c>
      <c r="Z341" s="30" t="inlineStr">
        <is>
          <t>Too Many Players with High ROCE</t>
        </is>
      </c>
      <c r="AA341" s="30">
        <f>IF(Z341="Monopoly",10,IF(Z341="Oligopoly",5,IF(Z341="Duopoly that cooperate",10,IF(Z341="Duopoly that compete",5,IF(Z341="Too many players with High ROCE",5,0)))))</f>
        <v/>
      </c>
      <c r="AB341" s="30" t="inlineStr">
        <is>
          <t>No</t>
        </is>
      </c>
      <c r="AC341" s="30">
        <f>IF(AB341="No",5,0)</f>
        <v/>
      </c>
      <c r="AD341" s="30" t="inlineStr">
        <is>
          <t>Tailwind</t>
        </is>
      </c>
      <c r="AE341" s="30">
        <f>IF(AD341="Tailwind",10,0)</f>
        <v/>
      </c>
      <c r="AF341" s="30" t="inlineStr">
        <is>
          <t>Structural (10 Years Consistency)</t>
        </is>
      </c>
      <c r="AG341" s="30">
        <f>IF(AF341="Structural (10 Years Consistency)",10,IF(AF341="Shallow Cyclical (2 to 3 years growth)",5,0))</f>
        <v/>
      </c>
      <c r="AH341" s="30" t="inlineStr">
        <is>
          <t>No</t>
        </is>
      </c>
      <c r="AI341" s="30">
        <f>IF(AH341="Yes due to Product Mix change or Operating Leverage",10,IF(AH341="Yes, these are peak margins",-5,IF(AH341="No",5,0)))</f>
        <v/>
      </c>
      <c r="AJ341" s="30" t="inlineStr">
        <is>
          <t>Stable</t>
        </is>
      </c>
      <c r="AK341" s="30">
        <f>IF(AJ341="Stable",10,0)</f>
        <v/>
      </c>
      <c r="AL341" s="30" t="inlineStr">
        <is>
          <t>Yes</t>
        </is>
      </c>
      <c r="AM341" s="30">
        <f>IF(AL341="Yes",10,0)</f>
        <v/>
      </c>
      <c r="AN341" s="30" t="inlineStr">
        <is>
          <t>B2B</t>
        </is>
      </c>
      <c r="AO341" s="30">
        <f>IF(AN341="B2C",10,IF(AN341="B2B",5,0))</f>
        <v/>
      </c>
      <c r="AP341" s="30" t="inlineStr">
        <is>
          <t>Yes</t>
        </is>
      </c>
      <c r="AQ341" s="30">
        <f>IF(AP341="Yes",10,0)</f>
        <v/>
      </c>
      <c r="AR341" s="30" t="inlineStr">
        <is>
          <t>Higher One Time, Lower Annuity</t>
        </is>
      </c>
      <c r="AS341" s="30">
        <f>IF(AR341="Fully Annuity",10,IF(AR341="Higher Annuity, Lower One Time",5,IF(AR341="Higher One Time, Lower Annuity",3,0)))</f>
        <v/>
      </c>
      <c r="AT341" s="30" t="inlineStr">
        <is>
          <t>Good</t>
        </is>
      </c>
      <c r="AU341" s="30">
        <f>IF(AT341="Good",10,0)</f>
        <v/>
      </c>
      <c r="AV341" s="30" t="inlineStr">
        <is>
          <t>Yes for more than 2 years</t>
        </is>
      </c>
      <c r="AW341" s="30">
        <f>IF(AV341="Yes for more than 2 years",10,IF(AV341="Yes only for next 1 to 2 years",5,0))</f>
        <v/>
      </c>
      <c r="AX341" s="30" t="inlineStr">
        <is>
          <t>0 to 20</t>
        </is>
      </c>
      <c r="AY341" s="30">
        <f>IF(AX341="Above 40",20,IF(AX341="20 to 40",10,IF(AX341="0 to 20",-5,0)))</f>
        <v/>
      </c>
      <c r="AZ341" s="30" t="inlineStr">
        <is>
          <t>Between 50 to 75</t>
        </is>
      </c>
      <c r="BA341" s="30">
        <f>IF(AZ341="Between 50 to 75",10,IF(AZ341="Above 75",0,0))</f>
        <v/>
      </c>
      <c r="BB341" s="30" t="inlineStr">
        <is>
          <t>Stage 1</t>
        </is>
      </c>
      <c r="BC341" s="30">
        <f>IF(BB341="Stage 2",20,IF(BB341="Stage 1",0,IF(BB341="Stage 3",5,IF(BB341="Stage 4",-5,0))))</f>
        <v/>
      </c>
      <c r="BD341" s="30" t="inlineStr">
        <is>
          <t>Positive Trend</t>
        </is>
      </c>
      <c r="BE341" s="30">
        <f>IF(BD341="Positive Trend",20,IF(BD341="Negative Trend",-10,0))</f>
        <v/>
      </c>
      <c r="BF341" s="30" t="inlineStr">
        <is>
          <t>Uptrend</t>
        </is>
      </c>
      <c r="BG341" s="30">
        <f>IF(BF341="Uptrend",10,IF(BF341="Sideways",5,0))</f>
        <v/>
      </c>
      <c r="BH341" s="30" t="inlineStr">
        <is>
          <t>Uptrend</t>
        </is>
      </c>
      <c r="BI341" s="30">
        <f>IF(BH341="Uptrend",10,IF(BH341="Sideways",5,0))</f>
        <v/>
      </c>
      <c r="BJ341" s="30" t="inlineStr">
        <is>
          <t>Close to 52 week high or retracement</t>
        </is>
      </c>
      <c r="BK341" s="30">
        <f>IF(BJ341="Overhead supply in last 2 years in last 2 years",-5,IF(BJ341="Close to 52 week high or retracement",5,IF(BJ341="Blue sky scenario",10,IF(BJ341="Long term Downtrend",-10,0))))</f>
        <v/>
      </c>
      <c r="BL341" s="30" t="inlineStr">
        <is>
          <t>Yes</t>
        </is>
      </c>
      <c r="BM341" s="30">
        <f>IF(BL341="Yes",10,0)</f>
        <v/>
      </c>
      <c r="BN341" s="30" t="inlineStr">
        <is>
          <t>Less than 12%</t>
        </is>
      </c>
      <c r="BO341" s="30">
        <f>IF(BN341="More than 20%",10,IF(BN341="Between 12 to 20%",5,IF(BN341="Less than 12%",0,0)))</f>
        <v/>
      </c>
      <c r="BP341" s="30" t="inlineStr">
        <is>
          <t>No</t>
        </is>
      </c>
      <c r="BQ341" s="30">
        <f>IF(BP341="No",10,0)</f>
        <v/>
      </c>
      <c r="BR341" s="30" t="inlineStr">
        <is>
          <t>No</t>
        </is>
      </c>
      <c r="BS341" s="30">
        <f>IF(BR341="NO",5,0)</f>
        <v/>
      </c>
      <c r="BT341" s="30" t="inlineStr">
        <is>
          <t>Above 2</t>
        </is>
      </c>
      <c r="BU341" s="30">
        <f>IF(BT341="Above 2",0,IF(BT341="Between 1.5 to 2",5,IF(BT341="Less than 1.5",10,0)))</f>
        <v/>
      </c>
      <c r="BV341" s="30" t="inlineStr">
        <is>
          <t>Less than 50%</t>
        </is>
      </c>
      <c r="BW341" s="30">
        <f>IF(BV341="Above 70%",10,IF(BV341="Between 50% to 70%",5,IF(BV341="Less than 50%",0,IF(BV341="Negative",-10,IF(BV341="Less than 50% and Borrowings are increasing",-5,0)))))</f>
        <v/>
      </c>
      <c r="BX341" s="30" t="inlineStr">
        <is>
          <t>Less than 0.7</t>
        </is>
      </c>
      <c r="BY341" s="30">
        <f>IF(BX341="More than 1.2",-10,IF(BX341="Between 0.7 to 1.2",0,IF(BX341="Less than 0.7",10,0)))</f>
        <v/>
      </c>
      <c r="BZ341" s="30" t="inlineStr">
        <is>
          <t>No</t>
        </is>
      </c>
      <c r="CA341" s="30">
        <f>IF(BZ341="Yes",-10,0)</f>
        <v/>
      </c>
      <c r="CB341" s="30" t="inlineStr">
        <is>
          <t>Less than 15%</t>
        </is>
      </c>
      <c r="CC341" s="30">
        <f>IF(CB341="More than 15%",-10,IF(CB341="Less than 15%",10,0))</f>
        <v/>
      </c>
      <c r="CD341" s="30" t="inlineStr">
        <is>
          <t>No</t>
        </is>
      </c>
      <c r="CE341" s="30">
        <f>IF(CD341="Yes, more than 10%",-10,IF(CD341="No",10,0))</f>
        <v/>
      </c>
    </row>
    <row r="342">
      <c r="A342" s="30">
        <f>IF(B342=0,"",RANK(B342,$B$2:$B$427,0))</f>
        <v/>
      </c>
      <c r="B342" s="31">
        <f>SUM(N342,Y342,AA342,AC342,AE342,AG342,AI342,AK342,AM342,AO342,AQ342,AS342,AU342,AW342,AY342,BA342,BC342,BE342,BG342,BI342,BK342,BM342,BO342,BQ342,BS342,BU342,BW342,BY342,CA342,CC342,CE342)</f>
        <v/>
      </c>
      <c r="C342" s="32" t="inlineStr">
        <is>
          <t>ASKAUTOLTD</t>
        </is>
      </c>
      <c r="D342" s="32" t="inlineStr">
        <is>
          <t>ASK Automotive Ltd</t>
        </is>
      </c>
      <c r="E342" s="30" t="inlineStr">
        <is>
          <t>auto</t>
        </is>
      </c>
      <c r="F342" s="30" t="inlineStr">
        <is>
          <t>auto ancillaries</t>
        </is>
      </c>
      <c r="G342" s="30" t="inlineStr">
        <is>
          <t>midcap</t>
        </is>
      </c>
      <c r="H342" s="31" t="n">
        <v>9132.629999999999</v>
      </c>
      <c r="I342" s="31" t="n">
        <v>470</v>
      </c>
      <c r="J342" s="31" t="n">
        <v>1.46</v>
      </c>
      <c r="K342" s="31" t="n">
        <v>248211</v>
      </c>
      <c r="L342" s="30" t="n">
        <v>9</v>
      </c>
      <c r="M342" s="30" t="inlineStr">
        <is>
          <t>Underperforming</t>
        </is>
      </c>
      <c r="N342" s="31">
        <f>IF(M342="Underperforming",-5,IF(L342&gt;=95,15,IF(L342&gt;=90,10,IF(L342&gt;=80,5,0))))</f>
        <v/>
      </c>
      <c r="O342" s="31" t="n">
        <v>56.05</v>
      </c>
      <c r="P342" s="31" t="n">
        <v>9.789999999999999</v>
      </c>
      <c r="Q342" s="31" t="n">
        <v>375.35</v>
      </c>
      <c r="R342" s="30" t="inlineStr">
        <is>
          <t>Earnings / Momentum Support</t>
        </is>
      </c>
      <c r="S342" s="30" t="inlineStr">
        <is>
          <t>Nifty Auto</t>
        </is>
      </c>
      <c r="T342" s="31" t="n">
        <v>12.26</v>
      </c>
      <c r="U342" s="31" t="n">
        <v>0</v>
      </c>
      <c r="V342" s="31" t="n">
        <v>-10.92</v>
      </c>
      <c r="W342" s="31" t="n">
        <v>3.6</v>
      </c>
      <c r="X342" s="30" t="inlineStr">
        <is>
          <t>Growing Industry</t>
        </is>
      </c>
      <c r="Y342" s="30">
        <f>IF(X342="Growing Industry",10,IF(X342="Cyclical in an Upturn",5,0))</f>
        <v/>
      </c>
      <c r="Z342" s="30" t="inlineStr">
        <is>
          <t>Too Many Players with High ROCE</t>
        </is>
      </c>
      <c r="AA342" s="30">
        <f>IF(Z342="Monopoly",10,IF(Z342="Oligopoly",5,IF(Z342="Duopoly that cooperate",10,IF(Z342="Duopoly that compete",5,IF(Z342="Too many players with High ROCE",5,0)))))</f>
        <v/>
      </c>
      <c r="AB342" s="30" t="inlineStr">
        <is>
          <t>No</t>
        </is>
      </c>
      <c r="AC342" s="30">
        <f>IF(AB342="No",5,0)</f>
        <v/>
      </c>
      <c r="AD342" s="30" t="inlineStr">
        <is>
          <t>Headwind</t>
        </is>
      </c>
      <c r="AE342" s="30">
        <f>IF(AD342="Tailwind",10,0)</f>
        <v/>
      </c>
      <c r="AF342" s="30" t="inlineStr">
        <is>
          <t>Structural (10 Years Consistency)</t>
        </is>
      </c>
      <c r="AG342" s="30">
        <f>IF(AF342="Structural (10 Years Consistency)",10,IF(AF342="Shallow Cyclical (2 to 3 years growth)",5,0))</f>
        <v/>
      </c>
      <c r="AH342" s="30" t="inlineStr">
        <is>
          <t>No</t>
        </is>
      </c>
      <c r="AI342" s="30">
        <f>IF(AH342="Yes due to Product Mix change or Operating Leverage",10,IF(AH342="Yes, these are peak margins",-5,IF(AH342="No",5,0)))</f>
        <v/>
      </c>
      <c r="AJ342" s="30" t="inlineStr">
        <is>
          <t>Stable</t>
        </is>
      </c>
      <c r="AK342" s="30">
        <f>IF(AJ342="Stable",10,0)</f>
        <v/>
      </c>
      <c r="AL342" s="30" t="inlineStr">
        <is>
          <t>Yes</t>
        </is>
      </c>
      <c r="AM342" s="30">
        <f>IF(AL342="Yes",10,0)</f>
        <v/>
      </c>
      <c r="AN342" s="30" t="inlineStr">
        <is>
          <t>B2B</t>
        </is>
      </c>
      <c r="AO342" s="30">
        <f>IF(AN342="B2C",10,IF(AN342="B2B",5,0))</f>
        <v/>
      </c>
      <c r="AP342" s="30" t="inlineStr">
        <is>
          <t>No</t>
        </is>
      </c>
      <c r="AQ342" s="30">
        <f>IF(AP342="Yes",10,0)</f>
        <v/>
      </c>
      <c r="AR342" s="30" t="inlineStr">
        <is>
          <t>Higher One Time, Lower Annuity</t>
        </is>
      </c>
      <c r="AS342" s="30">
        <f>IF(AR342="Fully Annuity",10,IF(AR342="Higher Annuity, Lower One Time",5,IF(AR342="Higher One Time, Lower Annuity",3,0)))</f>
        <v/>
      </c>
      <c r="AT342" s="30" t="inlineStr">
        <is>
          <t>Good</t>
        </is>
      </c>
      <c r="AU342" s="30">
        <f>IF(AT342="Good",10,0)</f>
        <v/>
      </c>
      <c r="AV342" s="30" t="inlineStr">
        <is>
          <t>Yes for more than 2 years</t>
        </is>
      </c>
      <c r="AW342" s="30">
        <f>IF(AV342="Yes for more than 2 years",10,IF(AV342="Yes only for next 1 to 2 years",5,0))</f>
        <v/>
      </c>
      <c r="AX342" s="30" t="inlineStr">
        <is>
          <t>0 to 20</t>
        </is>
      </c>
      <c r="AY342" s="30">
        <f>IF(AX342="Above 40",20,IF(AX342="20 to 40",10,IF(AX342="0 to 20",-5,0)))</f>
        <v/>
      </c>
      <c r="AZ342" s="30" t="inlineStr">
        <is>
          <t>Between 50 to 75</t>
        </is>
      </c>
      <c r="BA342" s="30">
        <f>IF(AZ342="Between 50 to 75",10,IF(AZ342="Above 75",0,0))</f>
        <v/>
      </c>
      <c r="BB342" s="30" t="inlineStr">
        <is>
          <t>Stage 1</t>
        </is>
      </c>
      <c r="BC342" s="30">
        <f>IF(BB342="Stage 2",20,IF(BB342="Stage 1",0,IF(BB342="Stage 3",5,IF(BB342="Stage 4",-5,0))))</f>
        <v/>
      </c>
      <c r="BD342" s="30" t="inlineStr">
        <is>
          <t>Positive Trend</t>
        </is>
      </c>
      <c r="BE342" s="30">
        <f>IF(BD342="Positive Trend",20,IF(BD342="Negative Trend",-10,0))</f>
        <v/>
      </c>
      <c r="BF342" s="30" t="inlineStr">
        <is>
          <t>Uptrend</t>
        </is>
      </c>
      <c r="BG342" s="30">
        <f>IF(BF342="Uptrend",10,IF(BF342="Sideways",5,0))</f>
        <v/>
      </c>
      <c r="BH342" s="30" t="inlineStr">
        <is>
          <t>Uptrend</t>
        </is>
      </c>
      <c r="BI342" s="30">
        <f>IF(BH342="Uptrend",10,IF(BH342="Sideways",5,0))</f>
        <v/>
      </c>
      <c r="BJ342" s="30" t="inlineStr">
        <is>
          <t>Close to 52 week high or retracement</t>
        </is>
      </c>
      <c r="BK342" s="30">
        <f>IF(BJ342="Overhead supply in last 2 years in last 2 years",-5,IF(BJ342="Close to 52 week high or retracement",5,IF(BJ342="Blue sky scenario",10,IF(BJ342="Long term Downtrend",-10,0))))</f>
        <v/>
      </c>
      <c r="BL342" s="30" t="inlineStr">
        <is>
          <t>Yes</t>
        </is>
      </c>
      <c r="BM342" s="30">
        <f>IF(BL342="Yes",10,0)</f>
        <v/>
      </c>
      <c r="BN342" s="30" t="inlineStr">
        <is>
          <t>More than 20%</t>
        </is>
      </c>
      <c r="BO342" s="30">
        <f>IF(BN342="More than 20%",10,IF(BN342="Between 12 to 20%",5,IF(BN342="Less than 12%",0,0)))</f>
        <v/>
      </c>
      <c r="BP342" s="30" t="inlineStr">
        <is>
          <t>No</t>
        </is>
      </c>
      <c r="BQ342" s="30">
        <f>IF(BP342="No",10,0)</f>
        <v/>
      </c>
      <c r="BR342" s="30" t="inlineStr">
        <is>
          <t>No</t>
        </is>
      </c>
      <c r="BS342" s="30">
        <f>IF(BR342="NO",5,0)</f>
        <v/>
      </c>
      <c r="BT342" s="30" t="inlineStr">
        <is>
          <t>Less than 1.5</t>
        </is>
      </c>
      <c r="BU342" s="30">
        <f>IF(BT342="Above 2",0,IF(BT342="Between 1.5 to 2",5,IF(BT342="Less than 1.5",10,0)))</f>
        <v/>
      </c>
      <c r="BV342" s="30" t="inlineStr">
        <is>
          <t>Between 50% to 70%</t>
        </is>
      </c>
      <c r="BW342" s="30">
        <f>IF(BV342="Above 70%",10,IF(BV342="Between 50% to 70%",5,IF(BV342="Less than 50%",0,IF(BV342="Negative",-10,IF(BV342="Less than 50% and Borrowings are increasing",-5,0)))))</f>
        <v/>
      </c>
      <c r="BX342" s="30" t="inlineStr">
        <is>
          <t>Less than 0.7</t>
        </is>
      </c>
      <c r="BY342" s="30">
        <f>IF(BX342="More than 1.2",-10,IF(BX342="Between 0.7 to 1.2",0,IF(BX342="Less than 0.7",10,0)))</f>
        <v/>
      </c>
      <c r="BZ342" s="30" t="inlineStr">
        <is>
          <t>No</t>
        </is>
      </c>
      <c r="CA342" s="30">
        <f>IF(BZ342="Yes",-10,0)</f>
        <v/>
      </c>
      <c r="CB342" s="30" t="inlineStr">
        <is>
          <t>Less than 15%</t>
        </is>
      </c>
      <c r="CC342" s="30">
        <f>IF(CB342="More than 15%",-10,IF(CB342="Less than 15%",10,0))</f>
        <v/>
      </c>
      <c r="CD342" s="30" t="inlineStr">
        <is>
          <t>No</t>
        </is>
      </c>
      <c r="CE342" s="30">
        <f>IF(CD342="Yes, more than 10%",-10,IF(CD342="No",10,0))</f>
        <v/>
      </c>
    </row>
    <row r="343">
      <c r="A343" s="30">
        <f>IF(B343=0,"",RANK(B343,$B$2:$B$427,0))</f>
        <v/>
      </c>
      <c r="B343" s="31">
        <f>SUM(N343,Y343,AA343,AC343,AE343,AG343,AI343,AK343,AM343,AO343,AQ343,AS343,AU343,AW343,AY343,BA343,BC343,BE343,BG343,BI343,BK343,BM343,BO343,BQ343,BS343,BU343,BW343,BY343,CA343,CC343,CE343)</f>
        <v/>
      </c>
      <c r="C343" s="30" t="inlineStr">
        <is>
          <t>KRYSTAL</t>
        </is>
      </c>
      <c r="D343" s="30" t="inlineStr">
        <is>
          <t>Krystal Integrated Services Ltd</t>
        </is>
      </c>
      <c r="E343" s="30" t="inlineStr">
        <is>
          <t>miscellaneous</t>
        </is>
      </c>
      <c r="F343" s="30" t="inlineStr">
        <is>
          <t>miscellaneous</t>
        </is>
      </c>
      <c r="G343" s="30" t="inlineStr">
        <is>
          <t>smallcap</t>
        </is>
      </c>
      <c r="H343" s="31" t="n">
        <v>840.62</v>
      </c>
      <c r="I343" s="31" t="n">
        <v>608.5</v>
      </c>
      <c r="J343" s="31" t="n">
        <v>1.14</v>
      </c>
      <c r="K343" s="31" t="n">
        <v>25223</v>
      </c>
      <c r="L343" s="30" t="n">
        <v>7</v>
      </c>
      <c r="M343" s="30" t="inlineStr">
        <is>
          <t>Outperforming</t>
        </is>
      </c>
      <c r="N343" s="31">
        <f>IF(M343="Underperforming",-5,IF(L343&gt;=95,15,IF(L343&gt;=90,10,IF(L343&gt;=80,5,0))))</f>
        <v/>
      </c>
      <c r="O343" s="31" t="n">
        <v>55.68</v>
      </c>
      <c r="P343" s="31" t="n">
        <v>15.14</v>
      </c>
      <c r="Q343" s="31" t="n">
        <v>479.54</v>
      </c>
      <c r="R343" s="30" t="inlineStr">
        <is>
          <t>Earnings / Momentum Support</t>
        </is>
      </c>
      <c r="S343" s="30" t="inlineStr">
        <is>
          <t>Nifty 50</t>
        </is>
      </c>
      <c r="T343" s="31" t="n">
        <v>-4.38</v>
      </c>
      <c r="U343" s="31" t="n">
        <v>3.17</v>
      </c>
      <c r="V343" s="31" t="n">
        <v>7.9</v>
      </c>
      <c r="W343" s="31" t="n">
        <v>3.32</v>
      </c>
      <c r="X343" s="30" t="inlineStr">
        <is>
          <t>Growing Industry</t>
        </is>
      </c>
      <c r="Y343" s="30">
        <f>IF(X343="Growing Industry",10,IF(X343="Cyclical in an Upturn",5,0))</f>
        <v/>
      </c>
      <c r="Z343" s="30" t="inlineStr">
        <is>
          <t>Too Many Players with High ROCE</t>
        </is>
      </c>
      <c r="AA343" s="30">
        <f>IF(Z343="Monopoly",10,IF(Z343="Oligopoly",5,IF(Z343="Duopoly that cooperate",10,IF(Z343="Duopoly that compete",5,IF(Z343="Too many players with High ROCE",5,0)))))</f>
        <v/>
      </c>
      <c r="AB343" s="30" t="inlineStr">
        <is>
          <t>No</t>
        </is>
      </c>
      <c r="AC343" s="30">
        <f>IF(AB343="No",5,0)</f>
        <v/>
      </c>
      <c r="AD343" s="30" t="inlineStr">
        <is>
          <t>Tailwind</t>
        </is>
      </c>
      <c r="AE343" s="30">
        <f>IF(AD343="Tailwind",10,0)</f>
        <v/>
      </c>
      <c r="AF343" s="30" t="inlineStr">
        <is>
          <t>Structural (10 Years Consistency)</t>
        </is>
      </c>
      <c r="AG343" s="30">
        <f>IF(AF343="Structural (10 Years Consistency)",10,IF(AF343="Shallow Cyclical (2 to 3 years growth)",5,0))</f>
        <v/>
      </c>
      <c r="AH343" s="30" t="inlineStr">
        <is>
          <t>No</t>
        </is>
      </c>
      <c r="AI343" s="30">
        <f>IF(AH343="Yes due to Product Mix change or Operating Leverage",10,IF(AH343="Yes, these are peak margins",-5,IF(AH343="No",5,0)))</f>
        <v/>
      </c>
      <c r="AJ343" s="30" t="inlineStr">
        <is>
          <t>Stable</t>
        </is>
      </c>
      <c r="AK343" s="30">
        <f>IF(AJ343="Stable",10,0)</f>
        <v/>
      </c>
      <c r="AL343" s="30" t="inlineStr">
        <is>
          <t>Yes</t>
        </is>
      </c>
      <c r="AM343" s="30">
        <f>IF(AL343="Yes",10,0)</f>
        <v/>
      </c>
      <c r="AN343" s="30" t="inlineStr">
        <is>
          <t>B2B</t>
        </is>
      </c>
      <c r="AO343" s="30">
        <f>IF(AN343="B2C",10,IF(AN343="B2B",5,0))</f>
        <v/>
      </c>
      <c r="AP343" s="30" t="inlineStr">
        <is>
          <t>No</t>
        </is>
      </c>
      <c r="AQ343" s="30">
        <f>IF(AP343="Yes",10,0)</f>
        <v/>
      </c>
      <c r="AR343" s="30" t="inlineStr">
        <is>
          <t>Higher One Time, Lower Annuity</t>
        </is>
      </c>
      <c r="AS343" s="30">
        <f>IF(AR343="Fully Annuity",10,IF(AR343="Higher Annuity, Lower One Time",5,IF(AR343="Higher One Time, Lower Annuity",3,0)))</f>
        <v/>
      </c>
      <c r="AT343" s="30" t="inlineStr">
        <is>
          <t>Good</t>
        </is>
      </c>
      <c r="AU343" s="30">
        <f>IF(AT343="Good",10,0)</f>
        <v/>
      </c>
      <c r="AV343" s="30" t="inlineStr">
        <is>
          <t>Yes for more than 2 years</t>
        </is>
      </c>
      <c r="AW343" s="30">
        <f>IF(AV343="Yes for more than 2 years",10,IF(AV343="Yes only for next 1 to 2 years",5,0))</f>
        <v/>
      </c>
      <c r="AX343" s="30" t="inlineStr">
        <is>
          <t>0 to 20</t>
        </is>
      </c>
      <c r="AY343" s="30">
        <f>IF(AX343="Above 40",20,IF(AX343="20 to 40",10,IF(AX343="0 to 20",-5,0)))</f>
        <v/>
      </c>
      <c r="AZ343" s="30" t="inlineStr">
        <is>
          <t>Between 50 to 75</t>
        </is>
      </c>
      <c r="BA343" s="30">
        <f>IF(AZ343="Between 50 to 75",10,IF(AZ343="Above 75",0,0))</f>
        <v/>
      </c>
      <c r="BB343" s="30" t="inlineStr">
        <is>
          <t>Stage 1</t>
        </is>
      </c>
      <c r="BC343" s="30">
        <f>IF(BB343="Stage 2",20,IF(BB343="Stage 1",0,IF(BB343="Stage 3",5,IF(BB343="Stage 4",-5,0))))</f>
        <v/>
      </c>
      <c r="BD343" s="30" t="inlineStr">
        <is>
          <t>Positive Trend</t>
        </is>
      </c>
      <c r="BE343" s="30">
        <f>IF(BD343="Positive Trend",20,IF(BD343="Negative Trend",-10,0))</f>
        <v/>
      </c>
      <c r="BF343" s="30" t="inlineStr">
        <is>
          <t>Uptrend</t>
        </is>
      </c>
      <c r="BG343" s="30">
        <f>IF(BF343="Uptrend",10,IF(BF343="Sideways",5,0))</f>
        <v/>
      </c>
      <c r="BH343" s="30" t="inlineStr">
        <is>
          <t>Uptrend</t>
        </is>
      </c>
      <c r="BI343" s="30">
        <f>IF(BH343="Uptrend",10,IF(BH343="Sideways",5,0))</f>
        <v/>
      </c>
      <c r="BJ343" s="30" t="inlineStr">
        <is>
          <t>Close to 52 week high or retracement</t>
        </is>
      </c>
      <c r="BK343" s="30">
        <f>IF(BJ343="Overhead supply in last 2 years in last 2 years",-5,IF(BJ343="Close to 52 week high or retracement",5,IF(BJ343="Blue sky scenario",10,IF(BJ343="Long term Downtrend",-10,0))))</f>
        <v/>
      </c>
      <c r="BL343" s="30" t="inlineStr">
        <is>
          <t>Yes</t>
        </is>
      </c>
      <c r="BM343" s="30">
        <f>IF(BL343="Yes",10,0)</f>
        <v/>
      </c>
      <c r="BN343" s="30" t="inlineStr">
        <is>
          <t>Less than 12%</t>
        </is>
      </c>
      <c r="BO343" s="30">
        <f>IF(BN343="More than 20%",10,IF(BN343="Between 12 to 20%",5,IF(BN343="Less than 12%",0,0)))</f>
        <v/>
      </c>
      <c r="BP343" s="30" t="inlineStr">
        <is>
          <t>No</t>
        </is>
      </c>
      <c r="BQ343" s="30">
        <f>IF(BP343="No",10,0)</f>
        <v/>
      </c>
      <c r="BR343" s="30" t="inlineStr">
        <is>
          <t>No</t>
        </is>
      </c>
      <c r="BS343" s="30">
        <f>IF(BR343="NO",5,0)</f>
        <v/>
      </c>
      <c r="BT343" s="30" t="inlineStr">
        <is>
          <t>Less than 1.5</t>
        </is>
      </c>
      <c r="BU343" s="30">
        <f>IF(BT343="Above 2",0,IF(BT343="Between 1.5 to 2",5,IF(BT343="Less than 1.5",10,0)))</f>
        <v/>
      </c>
      <c r="BV343" s="30" t="inlineStr">
        <is>
          <t>Less than 50%</t>
        </is>
      </c>
      <c r="BW343" s="30">
        <f>IF(BV343="Above 70%",10,IF(BV343="Between 50% to 70%",5,IF(BV343="Less than 50%",0,IF(BV343="Negative",-10,IF(BV343="Less than 50% and Borrowings are increasing",-5,0)))))</f>
        <v/>
      </c>
      <c r="BX343" s="30" t="inlineStr">
        <is>
          <t>Less than 0.7</t>
        </is>
      </c>
      <c r="BY343" s="30">
        <f>IF(BX343="More than 1.2",-10,IF(BX343="Between 0.7 to 1.2",0,IF(BX343="Less than 0.7",10,0)))</f>
        <v/>
      </c>
      <c r="BZ343" s="30" t="inlineStr">
        <is>
          <t>No</t>
        </is>
      </c>
      <c r="CA343" s="30">
        <f>IF(BZ343="Yes",-10,0)</f>
        <v/>
      </c>
      <c r="CB343" s="30" t="inlineStr">
        <is>
          <t>Less than 15%</t>
        </is>
      </c>
      <c r="CC343" s="30">
        <f>IF(CB343="More than 15%",-10,IF(CB343="Less than 15%",10,0))</f>
        <v/>
      </c>
      <c r="CD343" s="30" t="inlineStr">
        <is>
          <t>No</t>
        </is>
      </c>
      <c r="CE343" s="30">
        <f>IF(CD343="Yes, more than 10%",-10,IF(CD343="No",10,0))</f>
        <v/>
      </c>
    </row>
    <row r="344">
      <c r="A344" s="30">
        <f>IF(B344=0,"",RANK(B344,$B$2:$B$427,0))</f>
        <v/>
      </c>
      <c r="B344" s="31">
        <f>SUM(N344,Y344,AA344,AC344,AE344,AG344,AI344,AK344,AM344,AO344,AQ344,AS344,AU344,AW344,AY344,BA344,BC344,BE344,BG344,BI344,BK344,BM344,BO344,BQ344,BS344,BU344,BW344,BY344,CA344,CC344,CE344)</f>
        <v/>
      </c>
      <c r="C344" s="32" t="inlineStr">
        <is>
          <t>KIRLFER</t>
        </is>
      </c>
      <c r="D344" s="32" t="inlineStr">
        <is>
          <t>Kirloskar Ferrous Industries Ltd</t>
        </is>
      </c>
      <c r="E344" s="30" t="inlineStr">
        <is>
          <t>metals &amp; mining</t>
        </is>
      </c>
      <c r="F344" s="30" t="inlineStr">
        <is>
          <t>steel - large</t>
        </is>
      </c>
      <c r="G344" s="30" t="inlineStr">
        <is>
          <t>midcap</t>
        </is>
      </c>
      <c r="H344" s="31" t="n">
        <v>7812.34</v>
      </c>
      <c r="I344" s="31" t="n">
        <v>476.8</v>
      </c>
      <c r="J344" s="31" t="n">
        <v>0.65</v>
      </c>
      <c r="K344" s="31" t="n">
        <v>491734</v>
      </c>
      <c r="L344" s="30" t="n">
        <v>14</v>
      </c>
      <c r="M344" s="30" t="inlineStr">
        <is>
          <t>Underperforming</t>
        </is>
      </c>
      <c r="N344" s="31">
        <f>IF(M344="Underperforming",-5,IF(L344&gt;=95,15,IF(L344&gt;=90,10,IF(L344&gt;=80,5,0))))</f>
        <v/>
      </c>
      <c r="O344" s="31" t="n">
        <v>58.76</v>
      </c>
      <c r="P344" s="31" t="n">
        <v>17.63</v>
      </c>
      <c r="Q344" s="31" t="n">
        <v>356.99</v>
      </c>
      <c r="R344" s="30" t="inlineStr">
        <is>
          <t>Volume Spike / Accumulation</t>
        </is>
      </c>
      <c r="S344" s="30" t="inlineStr">
        <is>
          <t>Nifty Metal</t>
        </is>
      </c>
      <c r="T344" s="31" t="n">
        <v>42.48</v>
      </c>
      <c r="U344" s="31" t="n">
        <v>-16.7</v>
      </c>
      <c r="V344" s="31" t="n">
        <v>-41.54</v>
      </c>
      <c r="W344" s="31" t="n">
        <v>4.57</v>
      </c>
      <c r="X344" s="30" t="inlineStr">
        <is>
          <t>Cyclical in an Upturn</t>
        </is>
      </c>
      <c r="Y344" s="30">
        <f>IF(X344="Growing Industry",10,IF(X344="Cyclical in an Upturn",5,0))</f>
        <v/>
      </c>
      <c r="Z344" s="30" t="inlineStr">
        <is>
          <t>Too Many Players with High ROCE</t>
        </is>
      </c>
      <c r="AA344" s="30">
        <f>IF(Z344="Monopoly",10,IF(Z344="Oligopoly",5,IF(Z344="Duopoly that cooperate",10,IF(Z344="Duopoly that compete",5,IF(Z344="Too many players with High ROCE",5,0)))))</f>
        <v/>
      </c>
      <c r="AB344" s="30" t="inlineStr">
        <is>
          <t>No</t>
        </is>
      </c>
      <c r="AC344" s="30">
        <f>IF(AB344="No",5,0)</f>
        <v/>
      </c>
      <c r="AD344" s="30" t="inlineStr">
        <is>
          <t>Tailwind</t>
        </is>
      </c>
      <c r="AE344" s="30">
        <f>IF(AD344="Tailwind",10,0)</f>
        <v/>
      </c>
      <c r="AF344" s="30" t="inlineStr">
        <is>
          <t>Cyclical</t>
        </is>
      </c>
      <c r="AG344" s="30">
        <f>IF(AF344="Structural (10 Years Consistency)",10,IF(AF344="Shallow Cyclical (2 to 3 years growth)",5,0))</f>
        <v/>
      </c>
      <c r="AH344" s="30" t="inlineStr">
        <is>
          <t>No</t>
        </is>
      </c>
      <c r="AI344" s="30">
        <f>IF(AH344="Yes due to Product Mix change or Operating Leverage",10,IF(AH344="Yes, these are peak margins",-5,IF(AH344="No",5,0)))</f>
        <v/>
      </c>
      <c r="AJ344" s="30" t="inlineStr">
        <is>
          <t>Volatile</t>
        </is>
      </c>
      <c r="AK344" s="30">
        <f>IF(AJ344="Stable",10,0)</f>
        <v/>
      </c>
      <c r="AL344" s="30" t="inlineStr">
        <is>
          <t>Yes</t>
        </is>
      </c>
      <c r="AM344" s="30">
        <f>IF(AL344="Yes",10,0)</f>
        <v/>
      </c>
      <c r="AN344" s="30" t="inlineStr">
        <is>
          <t>B2B</t>
        </is>
      </c>
      <c r="AO344" s="30">
        <f>IF(AN344="B2C",10,IF(AN344="B2B",5,0))</f>
        <v/>
      </c>
      <c r="AP344" s="30" t="inlineStr">
        <is>
          <t>Yes</t>
        </is>
      </c>
      <c r="AQ344" s="30">
        <f>IF(AP344="Yes",10,0)</f>
        <v/>
      </c>
      <c r="AR344" s="30" t="inlineStr">
        <is>
          <t>Higher One Time, Lower Annuity</t>
        </is>
      </c>
      <c r="AS344" s="30">
        <f>IF(AR344="Fully Annuity",10,IF(AR344="Higher Annuity, Lower One Time",5,IF(AR344="Higher One Time, Lower Annuity",3,0)))</f>
        <v/>
      </c>
      <c r="AT344" s="30" t="inlineStr">
        <is>
          <t>Good</t>
        </is>
      </c>
      <c r="AU344" s="30">
        <f>IF(AT344="Good",10,0)</f>
        <v/>
      </c>
      <c r="AV344" s="30" t="inlineStr">
        <is>
          <t>Yes for more than 2 years</t>
        </is>
      </c>
      <c r="AW344" s="30">
        <f>IF(AV344="Yes for more than 2 years",10,IF(AV344="Yes only for next 1 to 2 years",5,0))</f>
        <v/>
      </c>
      <c r="AX344" s="30" t="inlineStr">
        <is>
          <t>0 to 20</t>
        </is>
      </c>
      <c r="AY344" s="30">
        <f>IF(AX344="Above 40",20,IF(AX344="20 to 40",10,IF(AX344="0 to 20",-5,0)))</f>
        <v/>
      </c>
      <c r="AZ344" s="30" t="inlineStr">
        <is>
          <t>Between 50 to 75</t>
        </is>
      </c>
      <c r="BA344" s="30">
        <f>IF(AZ344="Between 50 to 75",10,IF(AZ344="Above 75",0,0))</f>
        <v/>
      </c>
      <c r="BB344" s="30" t="inlineStr">
        <is>
          <t>Stage 1</t>
        </is>
      </c>
      <c r="BC344" s="30">
        <f>IF(BB344="Stage 2",20,IF(BB344="Stage 1",0,IF(BB344="Stage 3",5,IF(BB344="Stage 4",-5,0))))</f>
        <v/>
      </c>
      <c r="BD344" s="30" t="inlineStr">
        <is>
          <t>Positive Trend</t>
        </is>
      </c>
      <c r="BE344" s="30">
        <f>IF(BD344="Positive Trend",20,IF(BD344="Negative Trend",-10,0))</f>
        <v/>
      </c>
      <c r="BF344" s="30" t="inlineStr">
        <is>
          <t>Uptrend</t>
        </is>
      </c>
      <c r="BG344" s="30">
        <f>IF(BF344="Uptrend",10,IF(BF344="Sideways",5,0))</f>
        <v/>
      </c>
      <c r="BH344" s="30" t="inlineStr">
        <is>
          <t>Uptrend</t>
        </is>
      </c>
      <c r="BI344" s="30">
        <f>IF(BH344="Uptrend",10,IF(BH344="Sideways",5,0))</f>
        <v/>
      </c>
      <c r="BJ344" s="30" t="inlineStr">
        <is>
          <t>Close to 52 week high or retracement</t>
        </is>
      </c>
      <c r="BK344" s="30">
        <f>IF(BJ344="Overhead supply in last 2 years in last 2 years",-5,IF(BJ344="Close to 52 week high or retracement",5,IF(BJ344="Blue sky scenario",10,IF(BJ344="Long term Downtrend",-10,0))))</f>
        <v/>
      </c>
      <c r="BL344" s="30" t="inlineStr">
        <is>
          <t>Yes</t>
        </is>
      </c>
      <c r="BM344" s="30">
        <f>IF(BL344="Yes",10,0)</f>
        <v/>
      </c>
      <c r="BN344" s="30" t="inlineStr">
        <is>
          <t>More than 20%</t>
        </is>
      </c>
      <c r="BO344" s="30">
        <f>IF(BN344="More than 20%",10,IF(BN344="Between 12 to 20%",5,IF(BN344="Less than 12%",0,0)))</f>
        <v/>
      </c>
      <c r="BP344" s="30" t="inlineStr">
        <is>
          <t>No</t>
        </is>
      </c>
      <c r="BQ344" s="30">
        <f>IF(BP344="No",10,0)</f>
        <v/>
      </c>
      <c r="BR344" s="30" t="inlineStr">
        <is>
          <t>No</t>
        </is>
      </c>
      <c r="BS344" s="30">
        <f>IF(BR344="NO",5,0)</f>
        <v/>
      </c>
      <c r="BT344" s="30" t="inlineStr">
        <is>
          <t>Less than 1.5</t>
        </is>
      </c>
      <c r="BU344" s="30">
        <f>IF(BT344="Above 2",0,IF(BT344="Between 1.5 to 2",5,IF(BT344="Less than 1.5",10,0)))</f>
        <v/>
      </c>
      <c r="BV344" s="30" t="inlineStr">
        <is>
          <t>Above 70%</t>
        </is>
      </c>
      <c r="BW344" s="30">
        <f>IF(BV344="Above 70%",10,IF(BV344="Between 50% to 70%",5,IF(BV344="Less than 50%",0,IF(BV344="Negative",-10,IF(BV344="Less than 50% and Borrowings are increasing",-5,0)))))</f>
        <v/>
      </c>
      <c r="BX344" s="30" t="inlineStr">
        <is>
          <t>Less than 0.7</t>
        </is>
      </c>
      <c r="BY344" s="30">
        <f>IF(BX344="More than 1.2",-10,IF(BX344="Between 0.7 to 1.2",0,IF(BX344="Less than 0.7",10,0)))</f>
        <v/>
      </c>
      <c r="BZ344" s="30" t="inlineStr">
        <is>
          <t>No</t>
        </is>
      </c>
      <c r="CA344" s="30">
        <f>IF(BZ344="Yes",-10,0)</f>
        <v/>
      </c>
      <c r="CB344" s="30" t="inlineStr">
        <is>
          <t>Less than 15%</t>
        </is>
      </c>
      <c r="CC344" s="30">
        <f>IF(CB344="More than 15%",-10,IF(CB344="Less than 15%",10,0))</f>
        <v/>
      </c>
      <c r="CD344" s="30" t="inlineStr">
        <is>
          <t>No</t>
        </is>
      </c>
      <c r="CE344" s="30">
        <f>IF(CD344="Yes, more than 10%",-10,IF(CD344="No",10,0))</f>
        <v/>
      </c>
    </row>
    <row r="345">
      <c r="A345" s="30">
        <f>IF(B345=0,"",RANK(B345,$B$2:$B$427,0))</f>
        <v/>
      </c>
      <c r="B345" s="31">
        <f>SUM(N345,Y345,AA345,AC345,AE345,AG345,AI345,AK345,AM345,AO345,AQ345,AS345,AU345,AW345,AY345,BA345,BC345,BE345,BG345,BI345,BK345,BM345,BO345,BQ345,BS345,BU345,BW345,BY345,CA345,CC345,CE345)</f>
        <v/>
      </c>
      <c r="C345" s="32" t="inlineStr">
        <is>
          <t>AUTOAXLES</t>
        </is>
      </c>
      <c r="D345" s="32" t="inlineStr">
        <is>
          <t>Automotive Axles Limited</t>
        </is>
      </c>
      <c r="E345" s="30" t="inlineStr">
        <is>
          <t>auto</t>
        </is>
      </c>
      <c r="F345" s="30" t="inlineStr">
        <is>
          <t>auto ancillaries</t>
        </is>
      </c>
      <c r="G345" s="30" t="inlineStr">
        <is>
          <t>smallcap</t>
        </is>
      </c>
      <c r="H345" s="31" t="n">
        <v>2698.24</v>
      </c>
      <c r="I345" s="31" t="n">
        <v>1793.3</v>
      </c>
      <c r="J345" s="31" t="n">
        <v>0.44</v>
      </c>
      <c r="K345" s="31" t="n">
        <v>6369</v>
      </c>
      <c r="L345" s="30" t="n">
        <v>4</v>
      </c>
      <c r="M345" s="30" t="inlineStr">
        <is>
          <t>Underperforming</t>
        </is>
      </c>
      <c r="N345" s="31">
        <f>IF(M345="Underperforming",-5,IF(L345&gt;=95,15,IF(L345&gt;=90,10,IF(L345&gt;=80,5,0))))</f>
        <v/>
      </c>
      <c r="O345" s="31" t="n">
        <v>50.47</v>
      </c>
      <c r="P345" s="31" t="n">
        <v>11.19</v>
      </c>
      <c r="Q345" s="31" t="n">
        <v>1483.64</v>
      </c>
      <c r="R345" s="30" t="inlineStr">
        <is>
          <t>Earnings / Momentum Support</t>
        </is>
      </c>
      <c r="S345" s="30" t="inlineStr">
        <is>
          <t>Nifty Auto</t>
        </is>
      </c>
      <c r="T345" s="31" t="n">
        <v>12.26</v>
      </c>
      <c r="U345" s="31" t="n">
        <v>2.41</v>
      </c>
      <c r="V345" s="31" t="n">
        <v>-8.779999999999999</v>
      </c>
      <c r="W345" s="31" t="n">
        <v>2.2</v>
      </c>
      <c r="X345" s="30" t="inlineStr">
        <is>
          <t>Growing Industry</t>
        </is>
      </c>
      <c r="Y345" s="30">
        <f>IF(X345="Growing Industry",10,IF(X345="Cyclical in an Upturn",5,0))</f>
        <v/>
      </c>
      <c r="Z345" s="30" t="inlineStr">
        <is>
          <t>Too Many Players with High ROCE</t>
        </is>
      </c>
      <c r="AA345" s="30">
        <f>IF(Z345="Monopoly",10,IF(Z345="Oligopoly",5,IF(Z345="Duopoly that cooperate",10,IF(Z345="Duopoly that compete",5,IF(Z345="Too many players with High ROCE",5,0)))))</f>
        <v/>
      </c>
      <c r="AB345" s="30" t="inlineStr">
        <is>
          <t>No</t>
        </is>
      </c>
      <c r="AC345" s="30">
        <f>IF(AB345="No",5,0)</f>
        <v/>
      </c>
      <c r="AD345" s="30" t="inlineStr">
        <is>
          <t>Headwind</t>
        </is>
      </c>
      <c r="AE345" s="30">
        <f>IF(AD345="Tailwind",10,0)</f>
        <v/>
      </c>
      <c r="AF345" s="30" t="inlineStr">
        <is>
          <t>Structural (10 Years Consistency)</t>
        </is>
      </c>
      <c r="AG345" s="30">
        <f>IF(AF345="Structural (10 Years Consistency)",10,IF(AF345="Shallow Cyclical (2 to 3 years growth)",5,0))</f>
        <v/>
      </c>
      <c r="AH345" s="30" t="inlineStr">
        <is>
          <t>No</t>
        </is>
      </c>
      <c r="AI345" s="30">
        <f>IF(AH345="Yes due to Product Mix change or Operating Leverage",10,IF(AH345="Yes, these are peak margins",-5,IF(AH345="No",5,0)))</f>
        <v/>
      </c>
      <c r="AJ345" s="30" t="inlineStr">
        <is>
          <t>Stable</t>
        </is>
      </c>
      <c r="AK345" s="30">
        <f>IF(AJ345="Stable",10,0)</f>
        <v/>
      </c>
      <c r="AL345" s="30" t="inlineStr">
        <is>
          <t>Yes</t>
        </is>
      </c>
      <c r="AM345" s="30">
        <f>IF(AL345="Yes",10,0)</f>
        <v/>
      </c>
      <c r="AN345" s="30" t="inlineStr">
        <is>
          <t>B2B</t>
        </is>
      </c>
      <c r="AO345" s="30">
        <f>IF(AN345="B2C",10,IF(AN345="B2B",5,0))</f>
        <v/>
      </c>
      <c r="AP345" s="30" t="inlineStr">
        <is>
          <t>No</t>
        </is>
      </c>
      <c r="AQ345" s="30">
        <f>IF(AP345="Yes",10,0)</f>
        <v/>
      </c>
      <c r="AR345" s="30" t="inlineStr">
        <is>
          <t>Higher One Time, Lower Annuity</t>
        </is>
      </c>
      <c r="AS345" s="30">
        <f>IF(AR345="Fully Annuity",10,IF(AR345="Higher Annuity, Lower One Time",5,IF(AR345="Higher One Time, Lower Annuity",3,0)))</f>
        <v/>
      </c>
      <c r="AT345" s="30" t="inlineStr">
        <is>
          <t>Good</t>
        </is>
      </c>
      <c r="AU345" s="30">
        <f>IF(AT345="Good",10,0)</f>
        <v/>
      </c>
      <c r="AV345" s="30" t="inlineStr">
        <is>
          <t>Yes for more than 2 years</t>
        </is>
      </c>
      <c r="AW345" s="30">
        <f>IF(AV345="Yes for more than 2 years",10,IF(AV345="Yes only for next 1 to 2 years",5,0))</f>
        <v/>
      </c>
      <c r="AX345" s="30" t="inlineStr">
        <is>
          <t>0 to 20</t>
        </is>
      </c>
      <c r="AY345" s="30">
        <f>IF(AX345="Above 40",20,IF(AX345="20 to 40",10,IF(AX345="0 to 20",-5,0)))</f>
        <v/>
      </c>
      <c r="AZ345" s="30" t="inlineStr">
        <is>
          <t>Between 50 to 75</t>
        </is>
      </c>
      <c r="BA345" s="30">
        <f>IF(AZ345="Between 50 to 75",10,IF(AZ345="Above 75",0,0))</f>
        <v/>
      </c>
      <c r="BB345" s="30" t="inlineStr">
        <is>
          <t>Stage 1</t>
        </is>
      </c>
      <c r="BC345" s="30">
        <f>IF(BB345="Stage 2",20,IF(BB345="Stage 1",0,IF(BB345="Stage 3",5,IF(BB345="Stage 4",-5,0))))</f>
        <v/>
      </c>
      <c r="BD345" s="30" t="inlineStr">
        <is>
          <t>Positive Trend</t>
        </is>
      </c>
      <c r="BE345" s="30">
        <f>IF(BD345="Positive Trend",20,IF(BD345="Negative Trend",-10,0))</f>
        <v/>
      </c>
      <c r="BF345" s="30" t="inlineStr">
        <is>
          <t>Uptrend</t>
        </is>
      </c>
      <c r="BG345" s="30">
        <f>IF(BF345="Uptrend",10,IF(BF345="Sideways",5,0))</f>
        <v/>
      </c>
      <c r="BH345" s="30" t="inlineStr">
        <is>
          <t>Uptrend</t>
        </is>
      </c>
      <c r="BI345" s="30">
        <f>IF(BH345="Uptrend",10,IF(BH345="Sideways",5,0))</f>
        <v/>
      </c>
      <c r="BJ345" s="30" t="inlineStr">
        <is>
          <t>Close to 52 week high or retracement</t>
        </is>
      </c>
      <c r="BK345" s="30">
        <f>IF(BJ345="Overhead supply in last 2 years in last 2 years",-5,IF(BJ345="Close to 52 week high or retracement",5,IF(BJ345="Blue sky scenario",10,IF(BJ345="Long term Downtrend",-10,0))))</f>
        <v/>
      </c>
      <c r="BL345" s="30" t="inlineStr">
        <is>
          <t>Yes</t>
        </is>
      </c>
      <c r="BM345" s="30">
        <f>IF(BL345="Yes",10,0)</f>
        <v/>
      </c>
      <c r="BN345" s="30" t="inlineStr">
        <is>
          <t>Between 12 to 20%</t>
        </is>
      </c>
      <c r="BO345" s="30">
        <f>IF(BN345="More than 20%",10,IF(BN345="Between 12 to 20%",5,IF(BN345="Less than 12%",0,0)))</f>
        <v/>
      </c>
      <c r="BP345" s="30" t="inlineStr">
        <is>
          <t>No</t>
        </is>
      </c>
      <c r="BQ345" s="30">
        <f>IF(BP345="No",10,0)</f>
        <v/>
      </c>
      <c r="BR345" s="30" t="inlineStr">
        <is>
          <t>No</t>
        </is>
      </c>
      <c r="BS345" s="30">
        <f>IF(BR345="NO",5,0)</f>
        <v/>
      </c>
      <c r="BT345" s="30" t="inlineStr">
        <is>
          <t>Less than 1.5</t>
        </is>
      </c>
      <c r="BU345" s="30">
        <f>IF(BT345="Above 2",0,IF(BT345="Between 1.5 to 2",5,IF(BT345="Less than 1.5",10,0)))</f>
        <v/>
      </c>
      <c r="BV345" s="30" t="inlineStr">
        <is>
          <t>Above 70%</t>
        </is>
      </c>
      <c r="BW345" s="30">
        <f>IF(BV345="Above 70%",10,IF(BV345="Between 50% to 70%",5,IF(BV345="Less than 50%",0,IF(BV345="Negative",-10,IF(BV345="Less than 50% and Borrowings are increasing",-5,0)))))</f>
        <v/>
      </c>
      <c r="BX345" s="30" t="inlineStr">
        <is>
          <t>Less than 0.7</t>
        </is>
      </c>
      <c r="BY345" s="30">
        <f>IF(BX345="More than 1.2",-10,IF(BX345="Between 0.7 to 1.2",0,IF(BX345="Less than 0.7",10,0)))</f>
        <v/>
      </c>
      <c r="BZ345" s="30" t="inlineStr">
        <is>
          <t>No</t>
        </is>
      </c>
      <c r="CA345" s="30">
        <f>IF(BZ345="Yes",-10,0)</f>
        <v/>
      </c>
      <c r="CB345" s="30" t="inlineStr">
        <is>
          <t>Less than 15%</t>
        </is>
      </c>
      <c r="CC345" s="30">
        <f>IF(CB345="More than 15%",-10,IF(CB345="Less than 15%",10,0))</f>
        <v/>
      </c>
      <c r="CD345" s="30" t="inlineStr">
        <is>
          <t>No</t>
        </is>
      </c>
      <c r="CE345" s="30">
        <f>IF(CD345="Yes, more than 10%",-10,IF(CD345="No",10,0))</f>
        <v/>
      </c>
    </row>
    <row r="346">
      <c r="A346" s="30">
        <f>IF(B346=0,"",RANK(B346,$B$2:$B$427,0))</f>
        <v/>
      </c>
      <c r="B346" s="31">
        <f>SUM(N346,Y346,AA346,AC346,AE346,AG346,AI346,AK346,AM346,AO346,AQ346,AS346,AU346,AW346,AY346,BA346,BC346,BE346,BG346,BI346,BK346,BM346,BO346,BQ346,BS346,BU346,BW346,BY346,CA346,CC346,CE346)</f>
        <v/>
      </c>
      <c r="C346" s="30" t="inlineStr">
        <is>
          <t>NEOGEN</t>
        </is>
      </c>
      <c r="D346" s="30" t="inlineStr">
        <is>
          <t>Neogen Chemicals Ltd</t>
        </is>
      </c>
      <c r="E346" s="30" t="inlineStr">
        <is>
          <t>chemicals</t>
        </is>
      </c>
      <c r="F346" s="30" t="inlineStr">
        <is>
          <t>chemicals</t>
        </is>
      </c>
      <c r="G346" s="30" t="inlineStr">
        <is>
          <t>midcap</t>
        </is>
      </c>
      <c r="H346" s="31" t="n">
        <v>5283.29</v>
      </c>
      <c r="I346" s="31" t="n">
        <v>1932</v>
      </c>
      <c r="J346" s="31" t="n">
        <v>0.13</v>
      </c>
      <c r="K346" s="31" t="n">
        <v>41494</v>
      </c>
      <c r="L346" s="30" t="n">
        <v>60</v>
      </c>
      <c r="M346" s="30" t="inlineStr">
        <is>
          <t>Outperforming</t>
        </is>
      </c>
      <c r="N346" s="31">
        <f>IF(M346="Underperforming",-5,IF(L346&gt;=95,15,IF(L346&gt;=90,10,IF(L346&gt;=80,5,0))))</f>
        <v/>
      </c>
      <c r="O346" s="31" t="n">
        <v>65.69</v>
      </c>
      <c r="P346" s="31" t="n">
        <v>34.62</v>
      </c>
      <c r="Q346" s="31" t="n">
        <v>1509.62</v>
      </c>
      <c r="R346" s="30" t="inlineStr">
        <is>
          <t>Earnings / Momentum Support</t>
        </is>
      </c>
      <c r="S346" s="30" t="inlineStr">
        <is>
          <t>Nifty 50</t>
        </is>
      </c>
      <c r="T346" s="31" t="n">
        <v>-4.38</v>
      </c>
      <c r="U346" s="31" t="n">
        <v>21.18</v>
      </c>
      <c r="V346" s="31" t="n">
        <v>26.72</v>
      </c>
      <c r="W346" s="31" t="n">
        <v>16.08</v>
      </c>
      <c r="X346" s="30" t="inlineStr">
        <is>
          <t>Growing Industry</t>
        </is>
      </c>
      <c r="Y346" s="30">
        <f>IF(X346="Growing Industry",10,IF(X346="Cyclical in an Upturn",5,0))</f>
        <v/>
      </c>
      <c r="Z346" s="30" t="inlineStr">
        <is>
          <t>Too Many Players with High ROCE</t>
        </is>
      </c>
      <c r="AA346" s="30">
        <f>IF(Z346="Monopoly",10,IF(Z346="Oligopoly",5,IF(Z346="Duopoly that cooperate",10,IF(Z346="Duopoly that compete",5,IF(Z346="Too many players with High ROCE",5,0)))))</f>
        <v/>
      </c>
      <c r="AB346" s="30" t="inlineStr">
        <is>
          <t>No</t>
        </is>
      </c>
      <c r="AC346" s="30">
        <f>IF(AB346="No",5,0)</f>
        <v/>
      </c>
      <c r="AD346" s="30" t="inlineStr">
        <is>
          <t>Tailwind</t>
        </is>
      </c>
      <c r="AE346" s="30">
        <f>IF(AD346="Tailwind",10,0)</f>
        <v/>
      </c>
      <c r="AF346" s="30" t="inlineStr">
        <is>
          <t>Structural (10 Years Consistency)</t>
        </is>
      </c>
      <c r="AG346" s="30">
        <f>IF(AF346="Structural (10 Years Consistency)",10,IF(AF346="Shallow Cyclical (2 to 3 years growth)",5,0))</f>
        <v/>
      </c>
      <c r="AH346" s="30" t="inlineStr">
        <is>
          <t>No</t>
        </is>
      </c>
      <c r="AI346" s="30">
        <f>IF(AH346="Yes due to Product Mix change or Operating Leverage",10,IF(AH346="Yes, these are peak margins",-5,IF(AH346="No",5,0)))</f>
        <v/>
      </c>
      <c r="AJ346" s="30" t="inlineStr">
        <is>
          <t>Stable</t>
        </is>
      </c>
      <c r="AK346" s="30">
        <f>IF(AJ346="Stable",10,0)</f>
        <v/>
      </c>
      <c r="AL346" s="30" t="inlineStr">
        <is>
          <t>Yes</t>
        </is>
      </c>
      <c r="AM346" s="30">
        <f>IF(AL346="Yes",10,0)</f>
        <v/>
      </c>
      <c r="AN346" s="30" t="inlineStr">
        <is>
          <t>B2B</t>
        </is>
      </c>
      <c r="AO346" s="30">
        <f>IF(AN346="B2C",10,IF(AN346="B2B",5,0))</f>
        <v/>
      </c>
      <c r="AP346" s="30" t="inlineStr">
        <is>
          <t>No</t>
        </is>
      </c>
      <c r="AQ346" s="30">
        <f>IF(AP346="Yes",10,0)</f>
        <v/>
      </c>
      <c r="AR346" s="30" t="inlineStr">
        <is>
          <t>Higher One Time, Lower Annuity</t>
        </is>
      </c>
      <c r="AS346" s="30">
        <f>IF(AR346="Fully Annuity",10,IF(AR346="Higher Annuity, Lower One Time",5,IF(AR346="Higher One Time, Lower Annuity",3,0)))</f>
        <v/>
      </c>
      <c r="AT346" s="30" t="inlineStr">
        <is>
          <t>Good</t>
        </is>
      </c>
      <c r="AU346" s="30">
        <f>IF(AT346="Good",10,0)</f>
        <v/>
      </c>
      <c r="AV346" s="30" t="inlineStr">
        <is>
          <t>Yes for more than 2 years</t>
        </is>
      </c>
      <c r="AW346" s="30">
        <f>IF(AV346="Yes for more than 2 years",10,IF(AV346="Yes only for next 1 to 2 years",5,0))</f>
        <v/>
      </c>
      <c r="AX346" s="30" t="inlineStr">
        <is>
          <t>20 to 40</t>
        </is>
      </c>
      <c r="AY346" s="30">
        <f>IF(AX346="Above 40",20,IF(AX346="20 to 40",10,IF(AX346="0 to 20",-5,0)))</f>
        <v/>
      </c>
      <c r="AZ346" s="30" t="inlineStr">
        <is>
          <t>Between 50 to 75</t>
        </is>
      </c>
      <c r="BA346" s="30">
        <f>IF(AZ346="Between 50 to 75",10,IF(AZ346="Above 75",0,0))</f>
        <v/>
      </c>
      <c r="BB346" s="30" t="inlineStr">
        <is>
          <t>Stage 2</t>
        </is>
      </c>
      <c r="BC346" s="30">
        <f>IF(BB346="Stage 2",20,IF(BB346="Stage 1",0,IF(BB346="Stage 3",5,IF(BB346="Stage 4",-5,0))))</f>
        <v/>
      </c>
      <c r="BD346" s="30" t="inlineStr">
        <is>
          <t>Positive Trend</t>
        </is>
      </c>
      <c r="BE346" s="30">
        <f>IF(BD346="Positive Trend",20,IF(BD346="Negative Trend",-10,0))</f>
        <v/>
      </c>
      <c r="BF346" s="30" t="inlineStr">
        <is>
          <t>Uptrend</t>
        </is>
      </c>
      <c r="BG346" s="30">
        <f>IF(BF346="Uptrend",10,IF(BF346="Sideways",5,0))</f>
        <v/>
      </c>
      <c r="BH346" s="30" t="inlineStr">
        <is>
          <t>Uptrend</t>
        </is>
      </c>
      <c r="BI346" s="30">
        <f>IF(BH346="Uptrend",10,IF(BH346="Sideways",5,0))</f>
        <v/>
      </c>
      <c r="BJ346" s="30" t="inlineStr">
        <is>
          <t>Close to 52 week high or retracement</t>
        </is>
      </c>
      <c r="BK346" s="30">
        <f>IF(BJ346="Overhead supply in last 2 years in last 2 years",-5,IF(BJ346="Close to 52 week high or retracement",5,IF(BJ346="Blue sky scenario",10,IF(BJ346="Long term Downtrend",-10,0))))</f>
        <v/>
      </c>
      <c r="BL346" s="30" t="inlineStr">
        <is>
          <t>Yes</t>
        </is>
      </c>
      <c r="BM346" s="30">
        <f>IF(BL346="Yes",10,0)</f>
        <v/>
      </c>
      <c r="BN346" s="30" t="inlineStr">
        <is>
          <t>More than 20%</t>
        </is>
      </c>
      <c r="BO346" s="30">
        <f>IF(BN346="More than 20%",10,IF(BN346="Between 12 to 20%",5,IF(BN346="Less than 12%",0,0)))</f>
        <v/>
      </c>
      <c r="BP346" s="30" t="inlineStr">
        <is>
          <t>No</t>
        </is>
      </c>
      <c r="BQ346" s="30">
        <f>IF(BP346="No",10,0)</f>
        <v/>
      </c>
      <c r="BR346" s="30" t="inlineStr">
        <is>
          <t>Yes</t>
        </is>
      </c>
      <c r="BS346" s="30">
        <f>IF(BR346="NO",5,0)</f>
        <v/>
      </c>
      <c r="BT346" s="30" t="inlineStr">
        <is>
          <t>Above 2</t>
        </is>
      </c>
      <c r="BU346" s="30">
        <f>IF(BT346="Above 2",0,IF(BT346="Between 1.5 to 2",5,IF(BT346="Less than 1.5",10,0)))</f>
        <v/>
      </c>
      <c r="BV346" s="30" t="inlineStr">
        <is>
          <t>Negative</t>
        </is>
      </c>
      <c r="BW346" s="30">
        <f>IF(BV346="Above 70%",10,IF(BV346="Between 50% to 70%",5,IF(BV346="Less than 50%",0,IF(BV346="Negative",-10,IF(BV346="Less than 50% and Borrowings are increasing",-5,0)))))</f>
        <v/>
      </c>
      <c r="BX346" s="30" t="inlineStr">
        <is>
          <t>More than 1.2</t>
        </is>
      </c>
      <c r="BY346" s="30">
        <f>IF(BX346="More than 1.2",-10,IF(BX346="Between 0.7 to 1.2",0,IF(BX346="Less than 0.7",10,0)))</f>
        <v/>
      </c>
      <c r="BZ346" s="30" t="inlineStr">
        <is>
          <t>No</t>
        </is>
      </c>
      <c r="CA346" s="30">
        <f>IF(BZ346="Yes",-10,0)</f>
        <v/>
      </c>
      <c r="CB346" s="30" t="inlineStr">
        <is>
          <t>Less than 15%</t>
        </is>
      </c>
      <c r="CC346" s="30">
        <f>IF(CB346="More than 15%",-10,IF(CB346="Less than 15%",10,0))</f>
        <v/>
      </c>
      <c r="CD346" s="30" t="inlineStr">
        <is>
          <t>No</t>
        </is>
      </c>
      <c r="CE346" s="30">
        <f>IF(CD346="Yes, more than 10%",-10,IF(CD346="No",10,0))</f>
        <v/>
      </c>
    </row>
    <row r="347">
      <c r="A347" s="30">
        <f>IF(B347=0,"",RANK(B347,$B$2:$B$427,0))</f>
        <v/>
      </c>
      <c r="B347" s="31">
        <f>SUM(N347,Y347,AA347,AC347,AE347,AG347,AI347,AK347,AM347,AO347,AQ347,AS347,AU347,AW347,AY347,BA347,BC347,BE347,BG347,BI347,BK347,BM347,BO347,BQ347,BS347,BU347,BW347,BY347,CA347,CC347,CE347)</f>
        <v/>
      </c>
      <c r="C347" s="30" t="inlineStr">
        <is>
          <t>AVANTEL</t>
        </is>
      </c>
      <c r="D347" s="30" t="inlineStr">
        <is>
          <t>Avantel Ltd</t>
        </is>
      </c>
      <c r="E347" s="30" t="inlineStr">
        <is>
          <t>aerospace &amp; defence</t>
        </is>
      </c>
      <c r="F347" s="30" t="inlineStr">
        <is>
          <t>telecommunications - equipment</t>
        </is>
      </c>
      <c r="G347" s="30" t="inlineStr">
        <is>
          <t>smallcap</t>
        </is>
      </c>
      <c r="H347" s="31" t="n">
        <v>4777.22</v>
      </c>
      <c r="I347" s="31" t="n">
        <v>179.92</v>
      </c>
      <c r="J347" s="31" t="n">
        <v>0.07000000000000001</v>
      </c>
      <c r="K347" s="31" t="n">
        <v>2023167</v>
      </c>
      <c r="L347" s="30" t="n">
        <v>52</v>
      </c>
      <c r="M347" s="30" t="inlineStr">
        <is>
          <t>Outperforming</t>
        </is>
      </c>
      <c r="N347" s="31">
        <f>IF(M347="Underperforming",-5,IF(L347&gt;=95,15,IF(L347&gt;=90,10,IF(L347&gt;=80,5,0))))</f>
        <v/>
      </c>
      <c r="O347" s="31" t="n">
        <v>60.18</v>
      </c>
      <c r="P347" s="31" t="n">
        <v>13.88</v>
      </c>
      <c r="Q347" s="31" t="n">
        <v>128.41</v>
      </c>
      <c r="R347" s="30" t="inlineStr">
        <is>
          <t>Earnings / Momentum Support</t>
        </is>
      </c>
      <c r="S347" s="30" t="inlineStr">
        <is>
          <t>Nifty Infra</t>
        </is>
      </c>
      <c r="T347" s="31" t="n">
        <v>4.18</v>
      </c>
      <c r="U347" s="31" t="n">
        <v>16.28</v>
      </c>
      <c r="V347" s="31" t="n">
        <v>11.62</v>
      </c>
      <c r="W347" s="31" t="n">
        <v>13.6</v>
      </c>
      <c r="X347" s="30" t="inlineStr">
        <is>
          <t>Growing Industry</t>
        </is>
      </c>
      <c r="Y347" s="30">
        <f>IF(X347="Growing Industry",10,IF(X347="Cyclical in an Upturn",5,0))</f>
        <v/>
      </c>
      <c r="Z347" s="30" t="inlineStr">
        <is>
          <t>Oligopoly</t>
        </is>
      </c>
      <c r="AA347" s="30">
        <f>IF(Z347="Monopoly",10,IF(Z347="Oligopoly",5,IF(Z347="Duopoly that cooperate",10,IF(Z347="Duopoly that compete",5,IF(Z347="Too many players with High ROCE",5,0)))))</f>
        <v/>
      </c>
      <c r="AB347" s="30" t="inlineStr">
        <is>
          <t>Yes</t>
        </is>
      </c>
      <c r="AC347" s="30">
        <f>IF(AB347="No",5,0)</f>
        <v/>
      </c>
      <c r="AD347" s="30" t="inlineStr">
        <is>
          <t>Tailwind</t>
        </is>
      </c>
      <c r="AE347" s="30">
        <f>IF(AD347="Tailwind",10,0)</f>
        <v/>
      </c>
      <c r="AF347" s="30" t="inlineStr">
        <is>
          <t>Structural (10 Years Consistency)</t>
        </is>
      </c>
      <c r="AG347" s="30">
        <f>IF(AF347="Structural (10 Years Consistency)",10,IF(AF347="Shallow Cyclical (2 to 3 years growth)",5,0))</f>
        <v/>
      </c>
      <c r="AH347" s="30" t="inlineStr">
        <is>
          <t>No</t>
        </is>
      </c>
      <c r="AI347" s="30">
        <f>IF(AH347="Yes due to Product Mix change or Operating Leverage",10,IF(AH347="Yes, these are peak margins",-5,IF(AH347="No",5,0)))</f>
        <v/>
      </c>
      <c r="AJ347" s="30" t="inlineStr">
        <is>
          <t>Stable</t>
        </is>
      </c>
      <c r="AK347" s="30">
        <f>IF(AJ347="Stable",10,0)</f>
        <v/>
      </c>
      <c r="AL347" s="30" t="inlineStr">
        <is>
          <t>Yes</t>
        </is>
      </c>
      <c r="AM347" s="30">
        <f>IF(AL347="Yes",10,0)</f>
        <v/>
      </c>
      <c r="AN347" s="30" t="inlineStr">
        <is>
          <t>B2B</t>
        </is>
      </c>
      <c r="AO347" s="30">
        <f>IF(AN347="B2C",10,IF(AN347="B2B",5,0))</f>
        <v/>
      </c>
      <c r="AP347" s="30" t="inlineStr">
        <is>
          <t>No</t>
        </is>
      </c>
      <c r="AQ347" s="30">
        <f>IF(AP347="Yes",10,0)</f>
        <v/>
      </c>
      <c r="AR347" s="30" t="inlineStr">
        <is>
          <t>Higher One Time, Lower Annuity</t>
        </is>
      </c>
      <c r="AS347" s="30">
        <f>IF(AR347="Fully Annuity",10,IF(AR347="Higher Annuity, Lower One Time",5,IF(AR347="Higher One Time, Lower Annuity",3,0)))</f>
        <v/>
      </c>
      <c r="AT347" s="30" t="inlineStr">
        <is>
          <t>Good</t>
        </is>
      </c>
      <c r="AU347" s="30">
        <f>IF(AT347="Good",10,0)</f>
        <v/>
      </c>
      <c r="AV347" s="30" t="inlineStr">
        <is>
          <t>Yes for more than 2 years</t>
        </is>
      </c>
      <c r="AW347" s="30">
        <f>IF(AV347="Yes for more than 2 years",10,IF(AV347="Yes only for next 1 to 2 years",5,0))</f>
        <v/>
      </c>
      <c r="AX347" s="30" t="inlineStr">
        <is>
          <t>0 to 20</t>
        </is>
      </c>
      <c r="AY347" s="30">
        <f>IF(AX347="Above 40",20,IF(AX347="20 to 40",10,IF(AX347="0 to 20",-5,0)))</f>
        <v/>
      </c>
      <c r="AZ347" s="30" t="inlineStr">
        <is>
          <t>Between 50 to 75</t>
        </is>
      </c>
      <c r="BA347" s="30">
        <f>IF(AZ347="Between 50 to 75",10,IF(AZ347="Above 75",0,0))</f>
        <v/>
      </c>
      <c r="BB347" s="30" t="inlineStr">
        <is>
          <t>Stage 2</t>
        </is>
      </c>
      <c r="BC347" s="30">
        <f>IF(BB347="Stage 2",20,IF(BB347="Stage 1",0,IF(BB347="Stage 3",5,IF(BB347="Stage 4",-5,0))))</f>
        <v/>
      </c>
      <c r="BD347" s="30" t="inlineStr">
        <is>
          <t>Positive Trend</t>
        </is>
      </c>
      <c r="BE347" s="30">
        <f>IF(BD347="Positive Trend",20,IF(BD347="Negative Trend",-10,0))</f>
        <v/>
      </c>
      <c r="BF347" s="30" t="inlineStr">
        <is>
          <t>Uptrend</t>
        </is>
      </c>
      <c r="BG347" s="30">
        <f>IF(BF347="Uptrend",10,IF(BF347="Sideways",5,0))</f>
        <v/>
      </c>
      <c r="BH347" s="30" t="inlineStr">
        <is>
          <t>Uptrend</t>
        </is>
      </c>
      <c r="BI347" s="30">
        <f>IF(BH347="Uptrend",10,IF(BH347="Sideways",5,0))</f>
        <v/>
      </c>
      <c r="BJ347" s="30" t="inlineStr">
        <is>
          <t>Close to 52 week high or retracement</t>
        </is>
      </c>
      <c r="BK347" s="30">
        <f>IF(BJ347="Overhead supply in last 2 years in last 2 years",-5,IF(BJ347="Close to 52 week high or retracement",5,IF(BJ347="Blue sky scenario",10,IF(BJ347="Long term Downtrend",-10,0))))</f>
        <v/>
      </c>
      <c r="BL347" s="30" t="inlineStr">
        <is>
          <t>Yes</t>
        </is>
      </c>
      <c r="BM347" s="30">
        <f>IF(BL347="Yes",10,0)</f>
        <v/>
      </c>
      <c r="BN347" s="30" t="inlineStr">
        <is>
          <t>Less than 12%</t>
        </is>
      </c>
      <c r="BO347" s="30">
        <f>IF(BN347="More than 20%",10,IF(BN347="Between 12 to 20%",5,IF(BN347="Less than 12%",0,0)))</f>
        <v/>
      </c>
      <c r="BP347" s="30" t="inlineStr">
        <is>
          <t>No</t>
        </is>
      </c>
      <c r="BQ347" s="30">
        <f>IF(BP347="No",10,0)</f>
        <v/>
      </c>
      <c r="BR347" s="30" t="inlineStr">
        <is>
          <t>Yes</t>
        </is>
      </c>
      <c r="BS347" s="30">
        <f>IF(BR347="NO",5,0)</f>
        <v/>
      </c>
      <c r="BT347" s="30" t="inlineStr">
        <is>
          <t>Above 2</t>
        </is>
      </c>
      <c r="BU347" s="30">
        <f>IF(BT347="Above 2",0,IF(BT347="Between 1.5 to 2",5,IF(BT347="Less than 1.5",10,0)))</f>
        <v/>
      </c>
      <c r="BV347" s="30" t="inlineStr">
        <is>
          <t>Less than 50%</t>
        </is>
      </c>
      <c r="BW347" s="30">
        <f>IF(BV347="Above 70%",10,IF(BV347="Between 50% to 70%",5,IF(BV347="Less than 50%",0,IF(BV347="Negative",-10,IF(BV347="Less than 50% and Borrowings are increasing",-5,0)))))</f>
        <v/>
      </c>
      <c r="BX347" s="30" t="inlineStr">
        <is>
          <t>Less than 0.7</t>
        </is>
      </c>
      <c r="BY347" s="30">
        <f>IF(BX347="More than 1.2",-10,IF(BX347="Between 0.7 to 1.2",0,IF(BX347="Less than 0.7",10,0)))</f>
        <v/>
      </c>
      <c r="BZ347" s="30" t="inlineStr">
        <is>
          <t>No</t>
        </is>
      </c>
      <c r="CA347" s="30">
        <f>IF(BZ347="Yes",-10,0)</f>
        <v/>
      </c>
      <c r="CB347" s="30" t="inlineStr">
        <is>
          <t>Less than 15%</t>
        </is>
      </c>
      <c r="CC347" s="30">
        <f>IF(CB347="More than 15%",-10,IF(CB347="Less than 15%",10,0))</f>
        <v/>
      </c>
      <c r="CD347" s="30" t="inlineStr">
        <is>
          <t>No</t>
        </is>
      </c>
      <c r="CE347" s="30">
        <f>IF(CD347="Yes, more than 10%",-10,IF(CD347="No",10,0))</f>
        <v/>
      </c>
    </row>
    <row r="348">
      <c r="A348" s="30">
        <f>IF(B348=0,"",RANK(B348,$B$2:$B$427,0))</f>
        <v/>
      </c>
      <c r="B348" s="31">
        <f>SUM(N348,Y348,AA348,AC348,AE348,AG348,AI348,AK348,AM348,AO348,AQ348,AS348,AU348,AW348,AY348,BA348,BC348,BE348,BG348,BI348,BK348,BM348,BO348,BQ348,BS348,BU348,BW348,BY348,CA348,CC348,CE348)</f>
        <v/>
      </c>
      <c r="C348" s="30" t="inlineStr">
        <is>
          <t>KAPSTON</t>
        </is>
      </c>
      <c r="D348" s="30" t="inlineStr">
        <is>
          <t>Kapston Services Ltd</t>
        </is>
      </c>
      <c r="E348" s="30" t="inlineStr">
        <is>
          <t>miscellaneous</t>
        </is>
      </c>
      <c r="F348" s="30" t="inlineStr">
        <is>
          <t>miscellaneous</t>
        </is>
      </c>
      <c r="G348" s="30" t="inlineStr">
        <is>
          <t>smallcap</t>
        </is>
      </c>
      <c r="H348" s="31" t="n">
        <v>1066.5</v>
      </c>
      <c r="I348" s="31" t="n">
        <v>346.6</v>
      </c>
      <c r="J348" s="31" t="n">
        <v>-1.1</v>
      </c>
      <c r="K348" s="31" t="n">
        <v>11596</v>
      </c>
      <c r="L348" s="30" t="n">
        <v>49</v>
      </c>
      <c r="M348" s="30" t="inlineStr">
        <is>
          <t>Outperforming</t>
        </is>
      </c>
      <c r="N348" s="31">
        <f>IF(M348="Underperforming",-5,IF(L348&gt;=95,15,IF(L348&gt;=90,10,IF(L348&gt;=80,5,0))))</f>
        <v/>
      </c>
      <c r="O348" s="31" t="n">
        <v>55.93</v>
      </c>
      <c r="P348" s="31" t="n">
        <v>11.37</v>
      </c>
      <c r="Q348" s="31" t="n">
        <v>253.29</v>
      </c>
      <c r="R348" s="30" t="inlineStr">
        <is>
          <t>Earnings / Momentum Support</t>
        </is>
      </c>
      <c r="S348" s="30" t="inlineStr">
        <is>
          <t>Nifty 50</t>
        </is>
      </c>
      <c r="T348" s="31" t="n">
        <v>-4.38</v>
      </c>
      <c r="U348" s="31" t="n">
        <v>43.21</v>
      </c>
      <c r="V348" s="31" t="n">
        <v>49.76</v>
      </c>
      <c r="W348" s="31" t="n">
        <v>12.61</v>
      </c>
      <c r="X348" s="30" t="inlineStr">
        <is>
          <t>Growing Industry</t>
        </is>
      </c>
      <c r="Y348" s="30">
        <f>IF(X348="Growing Industry",10,IF(X348="Cyclical in an Upturn",5,0))</f>
        <v/>
      </c>
      <c r="Z348" s="30" t="inlineStr">
        <is>
          <t>Too Many Players with High ROCE</t>
        </is>
      </c>
      <c r="AA348" s="30">
        <f>IF(Z348="Monopoly",10,IF(Z348="Oligopoly",5,IF(Z348="Duopoly that cooperate",10,IF(Z348="Duopoly that compete",5,IF(Z348="Too many players with High ROCE",5,0)))))</f>
        <v/>
      </c>
      <c r="AB348" s="30" t="inlineStr">
        <is>
          <t>No</t>
        </is>
      </c>
      <c r="AC348" s="30">
        <f>IF(AB348="No",5,0)</f>
        <v/>
      </c>
      <c r="AD348" s="30" t="inlineStr">
        <is>
          <t>Tailwind</t>
        </is>
      </c>
      <c r="AE348" s="30">
        <f>IF(AD348="Tailwind",10,0)</f>
        <v/>
      </c>
      <c r="AF348" s="30" t="inlineStr">
        <is>
          <t>Structural (10 Years Consistency)</t>
        </is>
      </c>
      <c r="AG348" s="30">
        <f>IF(AF348="Structural (10 Years Consistency)",10,IF(AF348="Shallow Cyclical (2 to 3 years growth)",5,0))</f>
        <v/>
      </c>
      <c r="AH348" s="30" t="inlineStr">
        <is>
          <t>No</t>
        </is>
      </c>
      <c r="AI348" s="30">
        <f>IF(AH348="Yes due to Product Mix change or Operating Leverage",10,IF(AH348="Yes, these are peak margins",-5,IF(AH348="No",5,0)))</f>
        <v/>
      </c>
      <c r="AJ348" s="30" t="inlineStr">
        <is>
          <t>Stable</t>
        </is>
      </c>
      <c r="AK348" s="30">
        <f>IF(AJ348="Stable",10,0)</f>
        <v/>
      </c>
      <c r="AL348" s="30" t="inlineStr">
        <is>
          <t>Yes</t>
        </is>
      </c>
      <c r="AM348" s="30">
        <f>IF(AL348="Yes",10,0)</f>
        <v/>
      </c>
      <c r="AN348" s="30" t="inlineStr">
        <is>
          <t>B2B</t>
        </is>
      </c>
      <c r="AO348" s="30">
        <f>IF(AN348="B2C",10,IF(AN348="B2B",5,0))</f>
        <v/>
      </c>
      <c r="AP348" s="30" t="inlineStr">
        <is>
          <t>No</t>
        </is>
      </c>
      <c r="AQ348" s="30">
        <f>IF(AP348="Yes",10,0)</f>
        <v/>
      </c>
      <c r="AR348" s="30" t="inlineStr">
        <is>
          <t>Higher One Time, Lower Annuity</t>
        </is>
      </c>
      <c r="AS348" s="30">
        <f>IF(AR348="Fully Annuity",10,IF(AR348="Higher Annuity, Lower One Time",5,IF(AR348="Higher One Time, Lower Annuity",3,0)))</f>
        <v/>
      </c>
      <c r="AT348" s="30" t="inlineStr">
        <is>
          <t>Good</t>
        </is>
      </c>
      <c r="AU348" s="30">
        <f>IF(AT348="Good",10,0)</f>
        <v/>
      </c>
      <c r="AV348" s="30" t="inlineStr">
        <is>
          <t>Yes for more than 2 years</t>
        </is>
      </c>
      <c r="AW348" s="30">
        <f>IF(AV348="Yes for more than 2 years",10,IF(AV348="Yes only for next 1 to 2 years",5,0))</f>
        <v/>
      </c>
      <c r="AX348" s="30" t="inlineStr">
        <is>
          <t>0 to 20</t>
        </is>
      </c>
      <c r="AY348" s="30">
        <f>IF(AX348="Above 40",20,IF(AX348="20 to 40",10,IF(AX348="0 to 20",-5,0)))</f>
        <v/>
      </c>
      <c r="AZ348" s="30" t="inlineStr">
        <is>
          <t>Between 50 to 75</t>
        </is>
      </c>
      <c r="BA348" s="30">
        <f>IF(AZ348="Between 50 to 75",10,IF(AZ348="Above 75",0,0))</f>
        <v/>
      </c>
      <c r="BB348" s="30" t="inlineStr">
        <is>
          <t>Stage 2</t>
        </is>
      </c>
      <c r="BC348" s="30">
        <f>IF(BB348="Stage 2",20,IF(BB348="Stage 1",0,IF(BB348="Stage 3",5,IF(BB348="Stage 4",-5,0))))</f>
        <v/>
      </c>
      <c r="BD348" s="30" t="inlineStr">
        <is>
          <t>Positive Trend</t>
        </is>
      </c>
      <c r="BE348" s="30">
        <f>IF(BD348="Positive Trend",20,IF(BD348="Negative Trend",-10,0))</f>
        <v/>
      </c>
      <c r="BF348" s="30" t="inlineStr">
        <is>
          <t>Uptrend</t>
        </is>
      </c>
      <c r="BG348" s="30">
        <f>IF(BF348="Uptrend",10,IF(BF348="Sideways",5,0))</f>
        <v/>
      </c>
      <c r="BH348" s="30" t="inlineStr">
        <is>
          <t>Uptrend</t>
        </is>
      </c>
      <c r="BI348" s="30">
        <f>IF(BH348="Uptrend",10,IF(BH348="Sideways",5,0))</f>
        <v/>
      </c>
      <c r="BJ348" s="30" t="inlineStr">
        <is>
          <t>Close to 52 week high or retracement</t>
        </is>
      </c>
      <c r="BK348" s="30">
        <f>IF(BJ348="Overhead supply in last 2 years in last 2 years",-5,IF(BJ348="Close to 52 week high or retracement",5,IF(BJ348="Blue sky scenario",10,IF(BJ348="Long term Downtrend",-10,0))))</f>
        <v/>
      </c>
      <c r="BL348" s="30" t="inlineStr">
        <is>
          <t>Yes</t>
        </is>
      </c>
      <c r="BM348" s="30">
        <f>IF(BL348="Yes",10,0)</f>
        <v/>
      </c>
      <c r="BN348" s="30" t="inlineStr">
        <is>
          <t>More than 20%</t>
        </is>
      </c>
      <c r="BO348" s="30">
        <f>IF(BN348="More than 20%",10,IF(BN348="Between 12 to 20%",5,IF(BN348="Less than 12%",0,0)))</f>
        <v/>
      </c>
      <c r="BP348" s="30" t="inlineStr">
        <is>
          <t>No</t>
        </is>
      </c>
      <c r="BQ348" s="30">
        <f>IF(BP348="No",10,0)</f>
        <v/>
      </c>
      <c r="BR348" s="30" t="inlineStr">
        <is>
          <t>No</t>
        </is>
      </c>
      <c r="BS348" s="30">
        <f>IF(BR348="NO",5,0)</f>
        <v/>
      </c>
      <c r="BT348" s="30" t="inlineStr">
        <is>
          <t>Between 1.5 to 2</t>
        </is>
      </c>
      <c r="BU348" s="30">
        <f>IF(BT348="Above 2",0,IF(BT348="Between 1.5 to 2",5,IF(BT348="Less than 1.5",10,0)))</f>
        <v/>
      </c>
      <c r="BV348" s="30" t="inlineStr">
        <is>
          <t>Less than 50% and Borrowings are increasing</t>
        </is>
      </c>
      <c r="BW348" s="30">
        <f>IF(BV348="Above 70%",10,IF(BV348="Between 50% to 70%",5,IF(BV348="Less than 50%",0,IF(BV348="Negative",-10,IF(BV348="Less than 50% and Borrowings are increasing",-5,0)))))</f>
        <v/>
      </c>
      <c r="BX348" s="30" t="inlineStr">
        <is>
          <t>More than 1.2</t>
        </is>
      </c>
      <c r="BY348" s="30">
        <f>IF(BX348="More than 1.2",-10,IF(BX348="Between 0.7 to 1.2",0,IF(BX348="Less than 0.7",10,0)))</f>
        <v/>
      </c>
      <c r="BZ348" s="30" t="inlineStr">
        <is>
          <t>No</t>
        </is>
      </c>
      <c r="CA348" s="30">
        <f>IF(BZ348="Yes",-10,0)</f>
        <v/>
      </c>
      <c r="CB348" s="30" t="inlineStr">
        <is>
          <t>Less than 15%</t>
        </is>
      </c>
      <c r="CC348" s="30">
        <f>IF(CB348="More than 15%",-10,IF(CB348="Less than 15%",10,0))</f>
        <v/>
      </c>
      <c r="CD348" s="30" t="inlineStr">
        <is>
          <t>No</t>
        </is>
      </c>
      <c r="CE348" s="30">
        <f>IF(CD348="Yes, more than 10%",-10,IF(CD348="No",10,0))</f>
        <v/>
      </c>
    </row>
    <row r="349">
      <c r="A349" s="30">
        <f>IF(B349=0,"",RANK(B349,$B$2:$B$427,0))</f>
        <v/>
      </c>
      <c r="B349" s="31">
        <f>SUM(N349,Y349,AA349,AC349,AE349,AG349,AI349,AK349,AM349,AO349,AQ349,AS349,AU349,AW349,AY349,BA349,BC349,BE349,BG349,BI349,BK349,BM349,BO349,BQ349,BS349,BU349,BW349,BY349,CA349,CC349,CE349)</f>
        <v/>
      </c>
      <c r="C349" s="30" t="inlineStr">
        <is>
          <t>TEGA</t>
        </is>
      </c>
      <c r="D349" s="30" t="inlineStr">
        <is>
          <t>Tega Industries Ltd</t>
        </is>
      </c>
      <c r="E349" s="30" t="inlineStr">
        <is>
          <t>industrials</t>
        </is>
      </c>
      <c r="F349" s="30" t="inlineStr">
        <is>
          <t>engineering</t>
        </is>
      </c>
      <c r="G349" s="30" t="inlineStr">
        <is>
          <t>midcap</t>
        </is>
      </c>
      <c r="H349" s="31" t="n">
        <v>13670.99</v>
      </c>
      <c r="I349" s="31" t="n">
        <v>1794.9</v>
      </c>
      <c r="J349" s="31" t="n">
        <v>-1.36</v>
      </c>
      <c r="K349" s="31" t="n">
        <v>95703</v>
      </c>
      <c r="L349" s="30" t="n">
        <v>18</v>
      </c>
      <c r="M349" s="30" t="inlineStr">
        <is>
          <t>Outperforming</t>
        </is>
      </c>
      <c r="N349" s="31">
        <f>IF(M349="Underperforming",-5,IF(L349&gt;=95,15,IF(L349&gt;=90,10,IF(L349&gt;=80,5,0))))</f>
        <v/>
      </c>
      <c r="O349" s="31" t="n">
        <v>53.06</v>
      </c>
      <c r="P349" s="31" t="n">
        <v>9.31</v>
      </c>
      <c r="Q349" s="31" t="n">
        <v>1444.17</v>
      </c>
      <c r="R349" s="30" t="inlineStr">
        <is>
          <t>Earnings / Momentum Support</t>
        </is>
      </c>
      <c r="S349" s="30" t="inlineStr">
        <is>
          <t>Nifty 50</t>
        </is>
      </c>
      <c r="T349" s="31" t="n">
        <v>-4.38</v>
      </c>
      <c r="U349" s="31" t="n">
        <v>19.08</v>
      </c>
      <c r="V349" s="31" t="n">
        <v>24.53</v>
      </c>
      <c r="W349" s="31" t="n">
        <v>5.41</v>
      </c>
      <c r="X349" s="30" t="inlineStr">
        <is>
          <t>Cyclical in an Upturn</t>
        </is>
      </c>
      <c r="Y349" s="30">
        <f>IF(X349="Growing Industry",10,IF(X349="Cyclical in an Upturn",5,0))</f>
        <v/>
      </c>
      <c r="Z349" s="30" t="inlineStr">
        <is>
          <t>Too Many Players with High ROCE</t>
        </is>
      </c>
      <c r="AA349" s="30">
        <f>IF(Z349="Monopoly",10,IF(Z349="Oligopoly",5,IF(Z349="Duopoly that cooperate",10,IF(Z349="Duopoly that compete",5,IF(Z349="Too many players with High ROCE",5,0)))))</f>
        <v/>
      </c>
      <c r="AB349" s="30" t="inlineStr">
        <is>
          <t>No</t>
        </is>
      </c>
      <c r="AC349" s="30">
        <f>IF(AB349="No",5,0)</f>
        <v/>
      </c>
      <c r="AD349" s="30" t="inlineStr">
        <is>
          <t>Headwind</t>
        </is>
      </c>
      <c r="AE349" s="30">
        <f>IF(AD349="Tailwind",10,0)</f>
        <v/>
      </c>
      <c r="AF349" s="30" t="inlineStr">
        <is>
          <t>Structural (10 Years Consistency)</t>
        </is>
      </c>
      <c r="AG349" s="30">
        <f>IF(AF349="Structural (10 Years Consistency)",10,IF(AF349="Shallow Cyclical (2 to 3 years growth)",5,0))</f>
        <v/>
      </c>
      <c r="AH349" s="30" t="inlineStr">
        <is>
          <t>No</t>
        </is>
      </c>
      <c r="AI349" s="30">
        <f>IF(AH349="Yes due to Product Mix change or Operating Leverage",10,IF(AH349="Yes, these are peak margins",-5,IF(AH349="No",5,0)))</f>
        <v/>
      </c>
      <c r="AJ349" s="30" t="inlineStr">
        <is>
          <t>Stable</t>
        </is>
      </c>
      <c r="AK349" s="30">
        <f>IF(AJ349="Stable",10,0)</f>
        <v/>
      </c>
      <c r="AL349" s="30" t="inlineStr">
        <is>
          <t>Yes</t>
        </is>
      </c>
      <c r="AM349" s="30">
        <f>IF(AL349="Yes",10,0)</f>
        <v/>
      </c>
      <c r="AN349" s="30" t="inlineStr">
        <is>
          <t>B2B</t>
        </is>
      </c>
      <c r="AO349" s="30">
        <f>IF(AN349="B2C",10,IF(AN349="B2B",5,0))</f>
        <v/>
      </c>
      <c r="AP349" s="30" t="inlineStr">
        <is>
          <t>No</t>
        </is>
      </c>
      <c r="AQ349" s="30">
        <f>IF(AP349="Yes",10,0)</f>
        <v/>
      </c>
      <c r="AR349" s="30" t="inlineStr">
        <is>
          <t>Higher One Time, Lower Annuity</t>
        </is>
      </c>
      <c r="AS349" s="30">
        <f>IF(AR349="Fully Annuity",10,IF(AR349="Higher Annuity, Lower One Time",5,IF(AR349="Higher One Time, Lower Annuity",3,0)))</f>
        <v/>
      </c>
      <c r="AT349" s="30" t="inlineStr">
        <is>
          <t>Good</t>
        </is>
      </c>
      <c r="AU349" s="30">
        <f>IF(AT349="Good",10,0)</f>
        <v/>
      </c>
      <c r="AV349" s="30" t="inlineStr">
        <is>
          <t>Yes for more than 2 years</t>
        </is>
      </c>
      <c r="AW349" s="30">
        <f>IF(AV349="Yes for more than 2 years",10,IF(AV349="Yes only for next 1 to 2 years",5,0))</f>
        <v/>
      </c>
      <c r="AX349" s="30" t="inlineStr">
        <is>
          <t>0 to 20</t>
        </is>
      </c>
      <c r="AY349" s="30">
        <f>IF(AX349="Above 40",20,IF(AX349="20 to 40",10,IF(AX349="0 to 20",-5,0)))</f>
        <v/>
      </c>
      <c r="AZ349" s="30" t="inlineStr">
        <is>
          <t>Between 50 to 75</t>
        </is>
      </c>
      <c r="BA349" s="30">
        <f>IF(AZ349="Between 50 to 75",10,IF(AZ349="Above 75",0,0))</f>
        <v/>
      </c>
      <c r="BB349" s="30" t="inlineStr">
        <is>
          <t>Stage 2</t>
        </is>
      </c>
      <c r="BC349" s="30">
        <f>IF(BB349="Stage 2",20,IF(BB349="Stage 1",0,IF(BB349="Stage 3",5,IF(BB349="Stage 4",-5,0))))</f>
        <v/>
      </c>
      <c r="BD349" s="30" t="inlineStr">
        <is>
          <t>Positive Trend</t>
        </is>
      </c>
      <c r="BE349" s="30">
        <f>IF(BD349="Positive Trend",20,IF(BD349="Negative Trend",-10,0))</f>
        <v/>
      </c>
      <c r="BF349" s="30" t="inlineStr">
        <is>
          <t>Uptrend</t>
        </is>
      </c>
      <c r="BG349" s="30">
        <f>IF(BF349="Uptrend",10,IF(BF349="Sideways",5,0))</f>
        <v/>
      </c>
      <c r="BH349" s="30" t="inlineStr">
        <is>
          <t>Uptrend</t>
        </is>
      </c>
      <c r="BI349" s="30">
        <f>IF(BH349="Uptrend",10,IF(BH349="Sideways",5,0))</f>
        <v/>
      </c>
      <c r="BJ349" s="30" t="inlineStr">
        <is>
          <t>Close to 52 week high or retracement</t>
        </is>
      </c>
      <c r="BK349" s="30">
        <f>IF(BJ349="Overhead supply in last 2 years in last 2 years",-5,IF(BJ349="Close to 52 week high or retracement",5,IF(BJ349="Blue sky scenario",10,IF(BJ349="Long term Downtrend",-10,0))))</f>
        <v/>
      </c>
      <c r="BL349" s="30" t="inlineStr">
        <is>
          <t>Yes</t>
        </is>
      </c>
      <c r="BM349" s="30">
        <f>IF(BL349="Yes",10,0)</f>
        <v/>
      </c>
      <c r="BN349" s="30" t="inlineStr">
        <is>
          <t>Less than 12%</t>
        </is>
      </c>
      <c r="BO349" s="30">
        <f>IF(BN349="More than 20%",10,IF(BN349="Between 12 to 20%",5,IF(BN349="Less than 12%",0,0)))</f>
        <v/>
      </c>
      <c r="BP349" s="30" t="inlineStr">
        <is>
          <t>No</t>
        </is>
      </c>
      <c r="BQ349" s="30">
        <f>IF(BP349="No",10,0)</f>
        <v/>
      </c>
      <c r="BR349" s="30" t="inlineStr">
        <is>
          <t>Yes</t>
        </is>
      </c>
      <c r="BS349" s="30">
        <f>IF(BR349="NO",5,0)</f>
        <v/>
      </c>
      <c r="BT349" s="30" t="inlineStr">
        <is>
          <t>Above 2</t>
        </is>
      </c>
      <c r="BU349" s="30">
        <f>IF(BT349="Above 2",0,IF(BT349="Between 1.5 to 2",5,IF(BT349="Less than 1.5",10,0)))</f>
        <v/>
      </c>
      <c r="BV349" s="30" t="inlineStr">
        <is>
          <t>Above 70%</t>
        </is>
      </c>
      <c r="BW349" s="30">
        <f>IF(BV349="Above 70%",10,IF(BV349="Between 50% to 70%",5,IF(BV349="Less than 50%",0,IF(BV349="Negative",-10,IF(BV349="Less than 50% and Borrowings are increasing",-5,0)))))</f>
        <v/>
      </c>
      <c r="BX349" s="30" t="inlineStr">
        <is>
          <t>Less than 0.7</t>
        </is>
      </c>
      <c r="BY349" s="30">
        <f>IF(BX349="More than 1.2",-10,IF(BX349="Between 0.7 to 1.2",0,IF(BX349="Less than 0.7",10,0)))</f>
        <v/>
      </c>
      <c r="BZ349" s="30" t="inlineStr">
        <is>
          <t>No</t>
        </is>
      </c>
      <c r="CA349" s="30">
        <f>IF(BZ349="Yes",-10,0)</f>
        <v/>
      </c>
      <c r="CB349" s="30" t="inlineStr">
        <is>
          <t>Less than 15%</t>
        </is>
      </c>
      <c r="CC349" s="30">
        <f>IF(CB349="More than 15%",-10,IF(CB349="Less than 15%",10,0))</f>
        <v/>
      </c>
      <c r="CD349" s="30" t="inlineStr">
        <is>
          <t>No</t>
        </is>
      </c>
      <c r="CE349" s="30">
        <f>IF(CD349="Yes, more than 10%",-10,IF(CD349="No",10,0))</f>
        <v/>
      </c>
    </row>
    <row r="350">
      <c r="A350" s="30">
        <f>IF(B350=0,"",RANK(B350,$B$2:$B$427,0))</f>
        <v/>
      </c>
      <c r="B350" s="31">
        <f>SUM(N350,Y350,AA350,AC350,AE350,AG350,AI350,AK350,AM350,AO350,AQ350,AS350,AU350,AW350,AY350,BA350,BC350,BE350,BG350,BI350,BK350,BM350,BO350,BQ350,BS350,BU350,BW350,BY350,CA350,CC350,CE350)</f>
        <v/>
      </c>
      <c r="C350" s="32" t="inlineStr">
        <is>
          <t>MAITHANALL</t>
        </is>
      </c>
      <c r="D350" s="32" t="inlineStr">
        <is>
          <t>Maithan Alloys Limited</t>
        </is>
      </c>
      <c r="E350" s="30" t="inlineStr">
        <is>
          <t>metals &amp; mining</t>
        </is>
      </c>
      <c r="F350" s="30" t="inlineStr">
        <is>
          <t>mining / minerals / metals</t>
        </is>
      </c>
      <c r="G350" s="30" t="inlineStr">
        <is>
          <t>smallcap</t>
        </is>
      </c>
      <c r="H350" s="31" t="n">
        <v>3307.65</v>
      </c>
      <c r="I350" s="31" t="n">
        <v>1111.2</v>
      </c>
      <c r="J350" s="31" t="n">
        <v>-2.2</v>
      </c>
      <c r="K350" s="31" t="n">
        <v>95747</v>
      </c>
      <c r="L350" s="30" t="n">
        <v>14</v>
      </c>
      <c r="M350" s="30" t="inlineStr">
        <is>
          <t>Underperforming</t>
        </is>
      </c>
      <c r="N350" s="31">
        <f>IF(M350="Underperforming",-5,IF(L350&gt;=95,15,IF(L350&gt;=90,10,IF(L350&gt;=80,5,0))))</f>
        <v/>
      </c>
      <c r="O350" s="31" t="n">
        <v>59.89</v>
      </c>
      <c r="P350" s="31" t="n">
        <v>16.53</v>
      </c>
      <c r="Q350" s="31" t="n">
        <v>849.25</v>
      </c>
      <c r="R350" s="30" t="inlineStr">
        <is>
          <t>Volume Spike / Accumulation</t>
        </is>
      </c>
      <c r="S350" s="30" t="inlineStr">
        <is>
          <t>Nifty Metal</t>
        </is>
      </c>
      <c r="T350" s="31" t="n">
        <v>42.48</v>
      </c>
      <c r="U350" s="31" t="n">
        <v>-0.82</v>
      </c>
      <c r="V350" s="31" t="n">
        <v>-30.39</v>
      </c>
      <c r="W350" s="31" t="n">
        <v>4.67</v>
      </c>
      <c r="X350" s="30" t="inlineStr">
        <is>
          <t>Cyclical in an Upturn</t>
        </is>
      </c>
      <c r="Y350" s="30">
        <f>IF(X350="Growing Industry",10,IF(X350="Cyclical in an Upturn",5,0))</f>
        <v/>
      </c>
      <c r="Z350" s="30" t="inlineStr">
        <is>
          <t>Too Many Players with High ROCE</t>
        </is>
      </c>
      <c r="AA350" s="30">
        <f>IF(Z350="Monopoly",10,IF(Z350="Oligopoly",5,IF(Z350="Duopoly that cooperate",10,IF(Z350="Duopoly that compete",5,IF(Z350="Too many players with High ROCE",5,0)))))</f>
        <v/>
      </c>
      <c r="AB350" s="30" t="inlineStr">
        <is>
          <t>No</t>
        </is>
      </c>
      <c r="AC350" s="30">
        <f>IF(AB350="No",5,0)</f>
        <v/>
      </c>
      <c r="AD350" s="30" t="inlineStr">
        <is>
          <t>Tailwind</t>
        </is>
      </c>
      <c r="AE350" s="30">
        <f>IF(AD350="Tailwind",10,0)</f>
        <v/>
      </c>
      <c r="AF350" s="30" t="inlineStr">
        <is>
          <t>Cyclical</t>
        </is>
      </c>
      <c r="AG350" s="30">
        <f>IF(AF350="Structural (10 Years Consistency)",10,IF(AF350="Shallow Cyclical (2 to 3 years growth)",5,0))</f>
        <v/>
      </c>
      <c r="AH350" s="30" t="inlineStr">
        <is>
          <t>No</t>
        </is>
      </c>
      <c r="AI350" s="30">
        <f>IF(AH350="Yes due to Product Mix change or Operating Leverage",10,IF(AH350="Yes, these are peak margins",-5,IF(AH350="No",5,0)))</f>
        <v/>
      </c>
      <c r="AJ350" s="30" t="inlineStr">
        <is>
          <t>Volatile</t>
        </is>
      </c>
      <c r="AK350" s="30">
        <f>IF(AJ350="Stable",10,0)</f>
        <v/>
      </c>
      <c r="AL350" s="30" t="inlineStr">
        <is>
          <t>Yes</t>
        </is>
      </c>
      <c r="AM350" s="30">
        <f>IF(AL350="Yes",10,0)</f>
        <v/>
      </c>
      <c r="AN350" s="30" t="inlineStr">
        <is>
          <t>B2B</t>
        </is>
      </c>
      <c r="AO350" s="30">
        <f>IF(AN350="B2C",10,IF(AN350="B2B",5,0))</f>
        <v/>
      </c>
      <c r="AP350" s="30" t="inlineStr">
        <is>
          <t>Yes</t>
        </is>
      </c>
      <c r="AQ350" s="30">
        <f>IF(AP350="Yes",10,0)</f>
        <v/>
      </c>
      <c r="AR350" s="30" t="inlineStr">
        <is>
          <t>Higher One Time, Lower Annuity</t>
        </is>
      </c>
      <c r="AS350" s="30">
        <f>IF(AR350="Fully Annuity",10,IF(AR350="Higher Annuity, Lower One Time",5,IF(AR350="Higher One Time, Lower Annuity",3,0)))</f>
        <v/>
      </c>
      <c r="AT350" s="30" t="inlineStr">
        <is>
          <t>Good</t>
        </is>
      </c>
      <c r="AU350" s="30">
        <f>IF(AT350="Good",10,0)</f>
        <v/>
      </c>
      <c r="AV350" s="30" t="inlineStr">
        <is>
          <t>Yes for more than 2 years</t>
        </is>
      </c>
      <c r="AW350" s="30">
        <f>IF(AV350="Yes for more than 2 years",10,IF(AV350="Yes only for next 1 to 2 years",5,0))</f>
        <v/>
      </c>
      <c r="AX350" s="30" t="inlineStr">
        <is>
          <t>0 to 20</t>
        </is>
      </c>
      <c r="AY350" s="30">
        <f>IF(AX350="Above 40",20,IF(AX350="20 to 40",10,IF(AX350="0 to 20",-5,0)))</f>
        <v/>
      </c>
      <c r="AZ350" s="30" t="inlineStr">
        <is>
          <t>Between 50 to 75</t>
        </is>
      </c>
      <c r="BA350" s="30">
        <f>IF(AZ350="Between 50 to 75",10,IF(AZ350="Above 75",0,0))</f>
        <v/>
      </c>
      <c r="BB350" s="30" t="inlineStr">
        <is>
          <t>Stage 2</t>
        </is>
      </c>
      <c r="BC350" s="30">
        <f>IF(BB350="Stage 2",20,IF(BB350="Stage 1",0,IF(BB350="Stage 3",5,IF(BB350="Stage 4",-5,0))))</f>
        <v/>
      </c>
      <c r="BD350" s="30" t="inlineStr">
        <is>
          <t>Positive Trend</t>
        </is>
      </c>
      <c r="BE350" s="30">
        <f>IF(BD350="Positive Trend",20,IF(BD350="Negative Trend",-10,0))</f>
        <v/>
      </c>
      <c r="BF350" s="30" t="inlineStr">
        <is>
          <t>Uptrend</t>
        </is>
      </c>
      <c r="BG350" s="30">
        <f>IF(BF350="Uptrend",10,IF(BF350="Sideways",5,0))</f>
        <v/>
      </c>
      <c r="BH350" s="30" t="inlineStr">
        <is>
          <t>Uptrend</t>
        </is>
      </c>
      <c r="BI350" s="30">
        <f>IF(BH350="Uptrend",10,IF(BH350="Sideways",5,0))</f>
        <v/>
      </c>
      <c r="BJ350" s="30" t="inlineStr">
        <is>
          <t>Close to 52 week high or retracement</t>
        </is>
      </c>
      <c r="BK350" s="30">
        <f>IF(BJ350="Overhead supply in last 2 years in last 2 years",-5,IF(BJ350="Close to 52 week high or retracement",5,IF(BJ350="Blue sky scenario",10,IF(BJ350="Long term Downtrend",-10,0))))</f>
        <v/>
      </c>
      <c r="BL350" s="30" t="inlineStr">
        <is>
          <t>Yes</t>
        </is>
      </c>
      <c r="BM350" s="30">
        <f>IF(BL350="Yes",10,0)</f>
        <v/>
      </c>
      <c r="BN350" s="30" t="inlineStr">
        <is>
          <t>Less than 12%</t>
        </is>
      </c>
      <c r="BO350" s="30">
        <f>IF(BN350="More than 20%",10,IF(BN350="Between 12 to 20%",5,IF(BN350="Less than 12%",0,0)))</f>
        <v/>
      </c>
      <c r="BP350" s="30" t="inlineStr">
        <is>
          <t>No</t>
        </is>
      </c>
      <c r="BQ350" s="30">
        <f>IF(BP350="No",10,0)</f>
        <v/>
      </c>
      <c r="BR350" s="30" t="inlineStr">
        <is>
          <t>No</t>
        </is>
      </c>
      <c r="BS350" s="30">
        <f>IF(BR350="NO",5,0)</f>
        <v/>
      </c>
      <c r="BT350" s="30" t="inlineStr">
        <is>
          <t>Above 2</t>
        </is>
      </c>
      <c r="BU350" s="30">
        <f>IF(BT350="Above 2",0,IF(BT350="Between 1.5 to 2",5,IF(BT350="Less than 1.5",10,0)))</f>
        <v/>
      </c>
      <c r="BV350" s="30" t="inlineStr">
        <is>
          <t>Above 70%</t>
        </is>
      </c>
      <c r="BW350" s="30">
        <f>IF(BV350="Above 70%",10,IF(BV350="Between 50% to 70%",5,IF(BV350="Less than 50%",0,IF(BV350="Negative",-10,IF(BV350="Less than 50% and Borrowings are increasing",-5,0)))))</f>
        <v/>
      </c>
      <c r="BX350" s="30" t="inlineStr">
        <is>
          <t>Less than 0.7</t>
        </is>
      </c>
      <c r="BY350" s="30">
        <f>IF(BX350="More than 1.2",-10,IF(BX350="Between 0.7 to 1.2",0,IF(BX350="Less than 0.7",10,0)))</f>
        <v/>
      </c>
      <c r="BZ350" s="30" t="inlineStr">
        <is>
          <t>No</t>
        </is>
      </c>
      <c r="CA350" s="30">
        <f>IF(BZ350="Yes",-10,0)</f>
        <v/>
      </c>
      <c r="CB350" s="30" t="inlineStr">
        <is>
          <t>Less than 15%</t>
        </is>
      </c>
      <c r="CC350" s="30">
        <f>IF(CB350="More than 15%",-10,IF(CB350="Less than 15%",10,0))</f>
        <v/>
      </c>
      <c r="CD350" s="30" t="inlineStr">
        <is>
          <t>No</t>
        </is>
      </c>
      <c r="CE350" s="30">
        <f>IF(CD350="Yes, more than 10%",-10,IF(CD350="No",10,0))</f>
        <v/>
      </c>
    </row>
    <row r="351">
      <c r="A351" s="30">
        <f>IF(B351=0,"",RANK(B351,$B$2:$B$427,0))</f>
        <v/>
      </c>
      <c r="B351" s="31">
        <f>SUM(N351,Y351,AA351,AC351,AE351,AG351,AI351,AK351,AM351,AO351,AQ351,AS351,AU351,AW351,AY351,BA351,BC351,BE351,BG351,BI351,BK351,BM351,BO351,BQ351,BS351,BU351,BW351,BY351,CA351,CC351,CE351)</f>
        <v/>
      </c>
      <c r="C351" s="32" t="inlineStr">
        <is>
          <t>DIVISLAB</t>
        </is>
      </c>
      <c r="D351" s="32" t="inlineStr">
        <is>
          <t>Divi's Laboratories Limited</t>
        </is>
      </c>
      <c r="E351" s="30" t="inlineStr">
        <is>
          <t>healthcare</t>
        </is>
      </c>
      <c r="F351" s="30" t="inlineStr">
        <is>
          <t>pharmaceuticals - indian - bulk drugs</t>
        </is>
      </c>
      <c r="G351" s="30" t="inlineStr">
        <is>
          <t>largecap</t>
        </is>
      </c>
      <c r="H351" s="31" t="n">
        <v>179642.59</v>
      </c>
      <c r="I351" s="31" t="n">
        <v>6743</v>
      </c>
      <c r="J351" s="31" t="n">
        <v>-0.35</v>
      </c>
      <c r="K351" s="31" t="n">
        <v>372371</v>
      </c>
      <c r="L351" s="30" t="n">
        <v>5</v>
      </c>
      <c r="M351" s="30" t="inlineStr">
        <is>
          <t>Underperforming</t>
        </is>
      </c>
      <c r="N351" s="31">
        <f>IF(M351="Underperforming",-5,IF(L351&gt;=95,15,IF(L351&gt;=90,10,IF(L351&gt;=80,5,0))))</f>
        <v/>
      </c>
      <c r="O351" s="31" t="n">
        <v>59.49</v>
      </c>
      <c r="P351" s="31" t="n">
        <v>13.96</v>
      </c>
      <c r="Q351" s="31" t="n">
        <v>5946.79</v>
      </c>
      <c r="R351" s="30" t="inlineStr">
        <is>
          <t>Near 52W High Breakout</t>
        </is>
      </c>
      <c r="S351" s="30" t="inlineStr">
        <is>
          <t>Nifty Pharma</t>
        </is>
      </c>
      <c r="T351" s="31" t="n">
        <v>13.17</v>
      </c>
      <c r="U351" s="31" t="n">
        <v>2.76</v>
      </c>
      <c r="V351" s="31" t="n">
        <v>-9.199999999999999</v>
      </c>
      <c r="W351" s="31" t="n">
        <v>2.84</v>
      </c>
      <c r="X351" s="30" t="inlineStr">
        <is>
          <t>Growing Industry</t>
        </is>
      </c>
      <c r="Y351" s="30">
        <f>IF(X351="Growing Industry",10,IF(X351="Cyclical in an Upturn",5,0))</f>
        <v/>
      </c>
      <c r="Z351" s="30" t="inlineStr">
        <is>
          <t>Too Many Players with High ROCE</t>
        </is>
      </c>
      <c r="AA351" s="30">
        <f>IF(Z351="Monopoly",10,IF(Z351="Oligopoly",5,IF(Z351="Duopoly that cooperate",10,IF(Z351="Duopoly that compete",5,IF(Z351="Too many players with High ROCE",5,0)))))</f>
        <v/>
      </c>
      <c r="AB351" s="30" t="inlineStr">
        <is>
          <t>Yes</t>
        </is>
      </c>
      <c r="AC351" s="30">
        <f>IF(AB351="No",5,0)</f>
        <v/>
      </c>
      <c r="AD351" s="30" t="inlineStr">
        <is>
          <t>Tailwind</t>
        </is>
      </c>
      <c r="AE351" s="30">
        <f>IF(AD351="Tailwind",10,0)</f>
        <v/>
      </c>
      <c r="AF351" s="30" t="inlineStr">
        <is>
          <t>Structural (10 Years Consistency)</t>
        </is>
      </c>
      <c r="AG351" s="30">
        <f>IF(AF351="Structural (10 Years Consistency)",10,IF(AF351="Shallow Cyclical (2 to 3 years growth)",5,0))</f>
        <v/>
      </c>
      <c r="AH351" s="30" t="inlineStr">
        <is>
          <t>No</t>
        </is>
      </c>
      <c r="AI351" s="30">
        <f>IF(AH351="Yes due to Product Mix change or Operating Leverage",10,IF(AH351="Yes, these are peak margins",-5,IF(AH351="No",5,0)))</f>
        <v/>
      </c>
      <c r="AJ351" s="30" t="inlineStr">
        <is>
          <t>Stable</t>
        </is>
      </c>
      <c r="AK351" s="30">
        <f>IF(AJ351="Stable",10,0)</f>
        <v/>
      </c>
      <c r="AL351" s="30" t="inlineStr">
        <is>
          <t>Yes</t>
        </is>
      </c>
      <c r="AM351" s="30">
        <f>IF(AL351="Yes",10,0)</f>
        <v/>
      </c>
      <c r="AN351" s="30" t="inlineStr">
        <is>
          <t>B2B</t>
        </is>
      </c>
      <c r="AO351" s="30">
        <f>IF(AN351="B2C",10,IF(AN351="B2B",5,0))</f>
        <v/>
      </c>
      <c r="AP351" s="30" t="inlineStr">
        <is>
          <t>Yes</t>
        </is>
      </c>
      <c r="AQ351" s="30">
        <f>IF(AP351="Yes",10,0)</f>
        <v/>
      </c>
      <c r="AR351" s="30" t="inlineStr">
        <is>
          <t>Higher Annuity, Lower One Time</t>
        </is>
      </c>
      <c r="AS351" s="30">
        <f>IF(AR351="Fully Annuity",10,IF(AR351="Higher Annuity, Lower One Time",5,IF(AR351="Higher One Time, Lower Annuity",3,0)))</f>
        <v/>
      </c>
      <c r="AT351" s="30" t="inlineStr">
        <is>
          <t>Good</t>
        </is>
      </c>
      <c r="AU351" s="30">
        <f>IF(AT351="Good",10,0)</f>
        <v/>
      </c>
      <c r="AV351" s="30" t="inlineStr">
        <is>
          <t>Yes for more than 2 years</t>
        </is>
      </c>
      <c r="AW351" s="30">
        <f>IF(AV351="Yes for more than 2 years",10,IF(AV351="Yes only for next 1 to 2 years",5,0))</f>
        <v/>
      </c>
      <c r="AX351" s="30" t="inlineStr">
        <is>
          <t>0 to 20</t>
        </is>
      </c>
      <c r="AY351" s="30">
        <f>IF(AX351="Above 40",20,IF(AX351="20 to 40",10,IF(AX351="0 to 20",-5,0)))</f>
        <v/>
      </c>
      <c r="AZ351" s="30" t="inlineStr">
        <is>
          <t>Between 50 to 75</t>
        </is>
      </c>
      <c r="BA351" s="30">
        <f>IF(AZ351="Between 50 to 75",10,IF(AZ351="Above 75",0,0))</f>
        <v/>
      </c>
      <c r="BB351" s="30" t="inlineStr">
        <is>
          <t>Stage 2</t>
        </is>
      </c>
      <c r="BC351" s="30">
        <f>IF(BB351="Stage 2",20,IF(BB351="Stage 1",0,IF(BB351="Stage 3",5,IF(BB351="Stage 4",-5,0))))</f>
        <v/>
      </c>
      <c r="BD351" s="30" t="inlineStr">
        <is>
          <t>Negative Trend</t>
        </is>
      </c>
      <c r="BE351" s="30">
        <f>IF(BD351="Positive Trend",20,IF(BD351="Negative Trend",-10,0))</f>
        <v/>
      </c>
      <c r="BF351" s="30" t="inlineStr">
        <is>
          <t>Uptrend</t>
        </is>
      </c>
      <c r="BG351" s="30">
        <f>IF(BF351="Uptrend",10,IF(BF351="Sideways",5,0))</f>
        <v/>
      </c>
      <c r="BH351" s="30" t="inlineStr">
        <is>
          <t>Uptrend</t>
        </is>
      </c>
      <c r="BI351" s="30">
        <f>IF(BH351="Uptrend",10,IF(BH351="Sideways",5,0))</f>
        <v/>
      </c>
      <c r="BJ351" s="30" t="inlineStr">
        <is>
          <t>Blue sky scenario</t>
        </is>
      </c>
      <c r="BK351" s="30">
        <f>IF(BJ351="Overhead supply in last 2 years in last 2 years",-5,IF(BJ351="Close to 52 week high or retracement",5,IF(BJ351="Blue sky scenario",10,IF(BJ351="Long term Downtrend",-10,0))))</f>
        <v/>
      </c>
      <c r="BL351" s="30" t="inlineStr">
        <is>
          <t>Yes</t>
        </is>
      </c>
      <c r="BM351" s="30">
        <f>IF(BL351="Yes",10,0)</f>
        <v/>
      </c>
      <c r="BN351" s="30" t="inlineStr">
        <is>
          <t>Between 12 to 20%</t>
        </is>
      </c>
      <c r="BO351" s="30">
        <f>IF(BN351="More than 20%",10,IF(BN351="Between 12 to 20%",5,IF(BN351="Less than 12%",0,0)))</f>
        <v/>
      </c>
      <c r="BP351" s="30" t="inlineStr">
        <is>
          <t>No</t>
        </is>
      </c>
      <c r="BQ351" s="30">
        <f>IF(BP351="No",10,0)</f>
        <v/>
      </c>
      <c r="BR351" s="30" t="inlineStr">
        <is>
          <t>Yes</t>
        </is>
      </c>
      <c r="BS351" s="30">
        <f>IF(BR351="NO",5,0)</f>
        <v/>
      </c>
      <c r="BT351" s="30" t="inlineStr">
        <is>
          <t>Above 2</t>
        </is>
      </c>
      <c r="BU351" s="30">
        <f>IF(BT351="Above 2",0,IF(BT351="Between 1.5 to 2",5,IF(BT351="Less than 1.5",10,0)))</f>
        <v/>
      </c>
      <c r="BV351" s="30" t="inlineStr">
        <is>
          <t>Above 70%</t>
        </is>
      </c>
      <c r="BW351" s="30">
        <f>IF(BV351="Above 70%",10,IF(BV351="Between 50% to 70%",5,IF(BV351="Less than 50%",0,IF(BV351="Negative",-10,IF(BV351="Less than 50% and Borrowings are increasing",-5,0)))))</f>
        <v/>
      </c>
      <c r="BX351" s="30" t="inlineStr">
        <is>
          <t>Less than 0.7</t>
        </is>
      </c>
      <c r="BY351" s="30">
        <f>IF(BX351="More than 1.2",-10,IF(BX351="Between 0.7 to 1.2",0,IF(BX351="Less than 0.7",10,0)))</f>
        <v/>
      </c>
      <c r="BZ351" s="30" t="inlineStr">
        <is>
          <t>No</t>
        </is>
      </c>
      <c r="CA351" s="30">
        <f>IF(BZ351="Yes",-10,0)</f>
        <v/>
      </c>
      <c r="CB351" s="30" t="inlineStr">
        <is>
          <t>Less than 15%</t>
        </is>
      </c>
      <c r="CC351" s="30">
        <f>IF(CB351="More than 15%",-10,IF(CB351="Less than 15%",10,0))</f>
        <v/>
      </c>
      <c r="CD351" s="30" t="inlineStr">
        <is>
          <t>No</t>
        </is>
      </c>
      <c r="CE351" s="30">
        <f>IF(CD351="Yes, more than 10%",-10,IF(CD351="No",10,0))</f>
        <v/>
      </c>
    </row>
    <row r="352">
      <c r="A352" s="30">
        <f>IF(B352=0,"",RANK(B352,$B$2:$B$427,0))</f>
        <v/>
      </c>
      <c r="B352" s="31">
        <f>SUM(N352,Y352,AA352,AC352,AE352,AG352,AI352,AK352,AM352,AO352,AQ352,AS352,AU352,AW352,AY352,BA352,BC352,BE352,BG352,BI352,BK352,BM352,BO352,BQ352,BS352,BU352,BW352,BY352,CA352,CC352,CE352)</f>
        <v/>
      </c>
      <c r="C352" s="30" t="inlineStr">
        <is>
          <t>RELTD</t>
        </is>
      </c>
      <c r="D352" s="30" t="inlineStr">
        <is>
          <t>Ravindra Energy Ltd</t>
        </is>
      </c>
      <c r="E352" s="30" t="inlineStr">
        <is>
          <t>industrials</t>
        </is>
      </c>
      <c r="F352" s="30" t="inlineStr">
        <is>
          <t>electric equipment</t>
        </is>
      </c>
      <c r="G352" s="30" t="inlineStr">
        <is>
          <t>smallcap</t>
        </is>
      </c>
      <c r="H352" s="31" t="n">
        <v>2571.48</v>
      </c>
      <c r="I352" s="31" t="n">
        <v>170.75</v>
      </c>
      <c r="J352" s="31" t="n">
        <v>18.61</v>
      </c>
      <c r="K352" s="31" t="n">
        <v>8980426</v>
      </c>
      <c r="L352" s="30" t="n">
        <v>51</v>
      </c>
      <c r="M352" s="30" t="inlineStr">
        <is>
          <t>Outperforming</t>
        </is>
      </c>
      <c r="N352" s="31">
        <f>IF(M352="Underperforming",-5,IF(L352&gt;=95,15,IF(L352&gt;=90,10,IF(L352&gt;=80,5,0))))</f>
        <v/>
      </c>
      <c r="O352" s="31" t="n">
        <v>64.58</v>
      </c>
      <c r="P352" s="31" t="n">
        <v>11.78</v>
      </c>
      <c r="Q352" s="31" t="n">
        <v>118.38</v>
      </c>
      <c r="R352" s="30" t="inlineStr">
        <is>
          <t>Volume Spike / Accumulation</t>
        </is>
      </c>
      <c r="S352" s="30" t="inlineStr">
        <is>
          <t>Nifty Infra</t>
        </is>
      </c>
      <c r="T352" s="31" t="n">
        <v>4.18</v>
      </c>
      <c r="U352" s="31" t="n">
        <v>27.87</v>
      </c>
      <c r="V352" s="31" t="n">
        <v>22.75</v>
      </c>
      <c r="W352" s="31" t="n">
        <v>13.16</v>
      </c>
      <c r="X352" s="30" t="inlineStr">
        <is>
          <t>Cyclical in an Upturn</t>
        </is>
      </c>
      <c r="Y352" s="30">
        <f>IF(X352="Growing Industry",10,IF(X352="Cyclical in an Upturn",5,0))</f>
        <v/>
      </c>
      <c r="Z352" s="30" t="inlineStr">
        <is>
          <t>Too Many Players with High ROCE</t>
        </is>
      </c>
      <c r="AA352" s="30">
        <f>IF(Z352="Monopoly",10,IF(Z352="Oligopoly",5,IF(Z352="Duopoly that cooperate",10,IF(Z352="Duopoly that compete",5,IF(Z352="Too many players with High ROCE",5,0)))))</f>
        <v/>
      </c>
      <c r="AB352" s="30" t="inlineStr">
        <is>
          <t>No</t>
        </is>
      </c>
      <c r="AC352" s="30">
        <f>IF(AB352="No",5,0)</f>
        <v/>
      </c>
      <c r="AD352" s="30" t="inlineStr">
        <is>
          <t>Tailwind</t>
        </is>
      </c>
      <c r="AE352" s="30">
        <f>IF(AD352="Tailwind",10,0)</f>
        <v/>
      </c>
      <c r="AF352" s="30" t="inlineStr">
        <is>
          <t>Structural (10 Years Consistency)</t>
        </is>
      </c>
      <c r="AG352" s="30">
        <f>IF(AF352="Structural (10 Years Consistency)",10,IF(AF352="Shallow Cyclical (2 to 3 years growth)",5,0))</f>
        <v/>
      </c>
      <c r="AH352" s="30" t="inlineStr">
        <is>
          <t>No</t>
        </is>
      </c>
      <c r="AI352" s="30">
        <f>IF(AH352="Yes due to Product Mix change or Operating Leverage",10,IF(AH352="Yes, these are peak margins",-5,IF(AH352="No",5,0)))</f>
        <v/>
      </c>
      <c r="AJ352" s="30" t="inlineStr">
        <is>
          <t>Stable</t>
        </is>
      </c>
      <c r="AK352" s="30">
        <f>IF(AJ352="Stable",10,0)</f>
        <v/>
      </c>
      <c r="AL352" s="30" t="inlineStr">
        <is>
          <t>Yes</t>
        </is>
      </c>
      <c r="AM352" s="30">
        <f>IF(AL352="Yes",10,0)</f>
        <v/>
      </c>
      <c r="AN352" s="30" t="inlineStr">
        <is>
          <t>B2B</t>
        </is>
      </c>
      <c r="AO352" s="30">
        <f>IF(AN352="B2C",10,IF(AN352="B2B",5,0))</f>
        <v/>
      </c>
      <c r="AP352" s="30" t="inlineStr">
        <is>
          <t>Yes</t>
        </is>
      </c>
      <c r="AQ352" s="30">
        <f>IF(AP352="Yes",10,0)</f>
        <v/>
      </c>
      <c r="AR352" s="30" t="inlineStr">
        <is>
          <t>Higher One Time, Lower Annuity</t>
        </is>
      </c>
      <c r="AS352" s="30">
        <f>IF(AR352="Fully Annuity",10,IF(AR352="Higher Annuity, Lower One Time",5,IF(AR352="Higher One Time, Lower Annuity",3,0)))</f>
        <v/>
      </c>
      <c r="AT352" s="30" t="inlineStr">
        <is>
          <t>Good</t>
        </is>
      </c>
      <c r="AU352" s="30">
        <f>IF(AT352="Good",10,0)</f>
        <v/>
      </c>
      <c r="AV352" s="30" t="inlineStr">
        <is>
          <t>Yes for more than 2 years</t>
        </is>
      </c>
      <c r="AW352" s="30">
        <f>IF(AV352="Yes for more than 2 years",10,IF(AV352="Yes only for next 1 to 2 years",5,0))</f>
        <v/>
      </c>
      <c r="AX352" s="30" t="inlineStr">
        <is>
          <t>0 to 20</t>
        </is>
      </c>
      <c r="AY352" s="30">
        <f>IF(AX352="Above 40",20,IF(AX352="20 to 40",10,IF(AX352="0 to 20",-5,0)))</f>
        <v/>
      </c>
      <c r="AZ352" s="30" t="inlineStr">
        <is>
          <t>Between 50 to 75</t>
        </is>
      </c>
      <c r="BA352" s="30">
        <f>IF(AZ352="Between 50 to 75",10,IF(AZ352="Above 75",0,0))</f>
        <v/>
      </c>
      <c r="BB352" s="30" t="inlineStr">
        <is>
          <t>Stage 1</t>
        </is>
      </c>
      <c r="BC352" s="30">
        <f>IF(BB352="Stage 2",20,IF(BB352="Stage 1",0,IF(BB352="Stage 3",5,IF(BB352="Stage 4",-5,0))))</f>
        <v/>
      </c>
      <c r="BD352" s="30" t="inlineStr">
        <is>
          <t>Positive Trend</t>
        </is>
      </c>
      <c r="BE352" s="30">
        <f>IF(BD352="Positive Trend",20,IF(BD352="Negative Trend",-10,0))</f>
        <v/>
      </c>
      <c r="BF352" s="30" t="inlineStr">
        <is>
          <t>Uptrend</t>
        </is>
      </c>
      <c r="BG352" s="30">
        <f>IF(BF352="Uptrend",10,IF(BF352="Sideways",5,0))</f>
        <v/>
      </c>
      <c r="BH352" s="30" t="inlineStr">
        <is>
          <t>Uptrend</t>
        </is>
      </c>
      <c r="BI352" s="30">
        <f>IF(BH352="Uptrend",10,IF(BH352="Sideways",5,0))</f>
        <v/>
      </c>
      <c r="BJ352" s="30" t="inlineStr">
        <is>
          <t>Close to 52 week high or retracement</t>
        </is>
      </c>
      <c r="BK352" s="30">
        <f>IF(BJ352="Overhead supply in last 2 years in last 2 years",-5,IF(BJ352="Close to 52 week high or retracement",5,IF(BJ352="Blue sky scenario",10,IF(BJ352="Long term Downtrend",-10,0))))</f>
        <v/>
      </c>
      <c r="BL352" s="30" t="inlineStr">
        <is>
          <t>Yes</t>
        </is>
      </c>
      <c r="BM352" s="30">
        <f>IF(BL352="Yes",10,0)</f>
        <v/>
      </c>
      <c r="BN352" s="30" t="inlineStr">
        <is>
          <t>More than 20%</t>
        </is>
      </c>
      <c r="BO352" s="30">
        <f>IF(BN352="More than 20%",10,IF(BN352="Between 12 to 20%",5,IF(BN352="Less than 12%",0,0)))</f>
        <v/>
      </c>
      <c r="BP352" s="30" t="inlineStr">
        <is>
          <t>No</t>
        </is>
      </c>
      <c r="BQ352" s="30">
        <f>IF(BP352="No",10,0)</f>
        <v/>
      </c>
      <c r="BR352" s="30" t="inlineStr">
        <is>
          <t>No</t>
        </is>
      </c>
      <c r="BS352" s="30">
        <f>IF(BR352="NO",5,0)</f>
        <v/>
      </c>
      <c r="BT352" s="30" t="inlineStr">
        <is>
          <t>Above 2</t>
        </is>
      </c>
      <c r="BU352" s="30">
        <f>IF(BT352="Above 2",0,IF(BT352="Between 1.5 to 2",5,IF(BT352="Less than 1.5",10,0)))</f>
        <v/>
      </c>
      <c r="BV352" s="30" t="inlineStr">
        <is>
          <t>Above 70%</t>
        </is>
      </c>
      <c r="BW352" s="30">
        <f>IF(BV352="Above 70%",10,IF(BV352="Between 50% to 70%",5,IF(BV352="Less than 50%",0,IF(BV352="Negative",-10,IF(BV352="Less than 50% and Borrowings are increasing",-5,0)))))</f>
        <v/>
      </c>
      <c r="BX352" s="30" t="inlineStr">
        <is>
          <t>More than 1.2</t>
        </is>
      </c>
      <c r="BY352" s="30">
        <f>IF(BX352="More than 1.2",-10,IF(BX352="Between 0.7 to 1.2",0,IF(BX352="Less than 0.7",10,0)))</f>
        <v/>
      </c>
      <c r="BZ352" s="30" t="inlineStr">
        <is>
          <t>No</t>
        </is>
      </c>
      <c r="CA352" s="30">
        <f>IF(BZ352="Yes",-10,0)</f>
        <v/>
      </c>
      <c r="CB352" s="30" t="inlineStr">
        <is>
          <t>Less than 15%</t>
        </is>
      </c>
      <c r="CC352" s="30">
        <f>IF(CB352="More than 15%",-10,IF(CB352="Less than 15%",10,0))</f>
        <v/>
      </c>
      <c r="CD352" s="30" t="inlineStr">
        <is>
          <t>No</t>
        </is>
      </c>
      <c r="CE352" s="30">
        <f>IF(CD352="Yes, more than 10%",-10,IF(CD352="No",10,0))</f>
        <v/>
      </c>
    </row>
    <row r="353">
      <c r="A353" s="30">
        <f>IF(B353=0,"",RANK(B353,$B$2:$B$427,0))</f>
        <v/>
      </c>
      <c r="B353" s="31">
        <f>SUM(N353,Y353,AA353,AC353,AE353,AG353,AI353,AK353,AM353,AO353,AQ353,AS353,AU353,AW353,AY353,BA353,BC353,BE353,BG353,BI353,BK353,BM353,BO353,BQ353,BS353,BU353,BW353,BY353,CA353,CC353,CE353)</f>
        <v/>
      </c>
      <c r="C353" s="30" t="inlineStr">
        <is>
          <t>GRASIM</t>
        </is>
      </c>
      <c r="D353" s="30" t="inlineStr">
        <is>
          <t>Grasim Industries Limited</t>
        </is>
      </c>
      <c r="E353" s="30" t="inlineStr">
        <is>
          <t>textiles</t>
        </is>
      </c>
      <c r="F353" s="30" t="inlineStr">
        <is>
          <t>textiles - manmade</t>
        </is>
      </c>
      <c r="G353" s="30" t="inlineStr">
        <is>
          <t>largecap</t>
        </is>
      </c>
      <c r="H353" s="31" t="n">
        <v>214049.4</v>
      </c>
      <c r="I353" s="31" t="n">
        <v>3149.5</v>
      </c>
      <c r="J353" s="31" t="n">
        <v>0.14</v>
      </c>
      <c r="K353" s="31" t="n">
        <v>534084</v>
      </c>
      <c r="L353" s="30" t="n">
        <v>26</v>
      </c>
      <c r="M353" s="30" t="inlineStr">
        <is>
          <t>Outperforming</t>
        </is>
      </c>
      <c r="N353" s="31">
        <f>IF(M353="Underperforming",-5,IF(L353&gt;=95,15,IF(L353&gt;=90,10,IF(L353&gt;=80,5,0))))</f>
        <v/>
      </c>
      <c r="O353" s="31" t="n">
        <v>66.27</v>
      </c>
      <c r="P353" s="31" t="n">
        <v>24.12</v>
      </c>
      <c r="Q353" s="31" t="n">
        <v>2751.06</v>
      </c>
      <c r="R353" s="30" t="inlineStr">
        <is>
          <t>Near 52W High Breakout</t>
        </is>
      </c>
      <c r="S353" s="30" t="inlineStr">
        <is>
          <t>Nifty 50</t>
        </is>
      </c>
      <c r="T353" s="31" t="n">
        <v>-4.38</v>
      </c>
      <c r="U353" s="31" t="n">
        <v>16.53</v>
      </c>
      <c r="V353" s="31" t="n">
        <v>21.86</v>
      </c>
      <c r="W353" s="31" t="n">
        <v>7.6</v>
      </c>
      <c r="X353" s="30" t="inlineStr">
        <is>
          <t>Growing Industry</t>
        </is>
      </c>
      <c r="Y353" s="30">
        <f>IF(X353="Growing Industry",10,IF(X353="Cyclical in an Upturn",5,0))</f>
        <v/>
      </c>
      <c r="Z353" s="30" t="inlineStr">
        <is>
          <t>Too Many Players with High ROCE</t>
        </is>
      </c>
      <c r="AA353" s="30">
        <f>IF(Z353="Monopoly",10,IF(Z353="Oligopoly",5,IF(Z353="Duopoly that cooperate",10,IF(Z353="Duopoly that compete",5,IF(Z353="Too many players with High ROCE",5,0)))))</f>
        <v/>
      </c>
      <c r="AB353" s="30" t="inlineStr">
        <is>
          <t>No</t>
        </is>
      </c>
      <c r="AC353" s="30">
        <f>IF(AB353="No",5,0)</f>
        <v/>
      </c>
      <c r="AD353" s="30" t="inlineStr">
        <is>
          <t>Tailwind</t>
        </is>
      </c>
      <c r="AE353" s="30">
        <f>IF(AD353="Tailwind",10,0)</f>
        <v/>
      </c>
      <c r="AF353" s="30" t="inlineStr">
        <is>
          <t>Structural (10 Years Consistency)</t>
        </is>
      </c>
      <c r="AG353" s="30">
        <f>IF(AF353="Structural (10 Years Consistency)",10,IF(AF353="Shallow Cyclical (2 to 3 years growth)",5,0))</f>
        <v/>
      </c>
      <c r="AH353" s="30" t="inlineStr">
        <is>
          <t>No</t>
        </is>
      </c>
      <c r="AI353" s="30">
        <f>IF(AH353="Yes due to Product Mix change or Operating Leverage",10,IF(AH353="Yes, these are peak margins",-5,IF(AH353="No",5,0)))</f>
        <v/>
      </c>
      <c r="AJ353" s="30" t="inlineStr">
        <is>
          <t>Stable</t>
        </is>
      </c>
      <c r="AK353" s="30">
        <f>IF(AJ353="Stable",10,0)</f>
        <v/>
      </c>
      <c r="AL353" s="30" t="inlineStr">
        <is>
          <t>Yes</t>
        </is>
      </c>
      <c r="AM353" s="30">
        <f>IF(AL353="Yes",10,0)</f>
        <v/>
      </c>
      <c r="AN353" s="30" t="inlineStr">
        <is>
          <t>B2B</t>
        </is>
      </c>
      <c r="AO353" s="30">
        <f>IF(AN353="B2C",10,IF(AN353="B2B",5,0))</f>
        <v/>
      </c>
      <c r="AP353" s="30" t="inlineStr">
        <is>
          <t>Yes</t>
        </is>
      </c>
      <c r="AQ353" s="30">
        <f>IF(AP353="Yes",10,0)</f>
        <v/>
      </c>
      <c r="AR353" s="30" t="inlineStr">
        <is>
          <t>Higher One Time, Lower Annuity</t>
        </is>
      </c>
      <c r="AS353" s="30">
        <f>IF(AR353="Fully Annuity",10,IF(AR353="Higher Annuity, Lower One Time",5,IF(AR353="Higher One Time, Lower Annuity",3,0)))</f>
        <v/>
      </c>
      <c r="AT353" s="30" t="inlineStr">
        <is>
          <t>Good</t>
        </is>
      </c>
      <c r="AU353" s="30">
        <f>IF(AT353="Good",10,0)</f>
        <v/>
      </c>
      <c r="AV353" s="30" t="inlineStr">
        <is>
          <t>Yes for more than 2 years</t>
        </is>
      </c>
      <c r="AW353" s="30">
        <f>IF(AV353="Yes for more than 2 years",10,IF(AV353="Yes only for next 1 to 2 years",5,0))</f>
        <v/>
      </c>
      <c r="AX353" s="30" t="inlineStr">
        <is>
          <t>20 to 40</t>
        </is>
      </c>
      <c r="AY353" s="30">
        <f>IF(AX353="Above 40",20,IF(AX353="20 to 40",10,IF(AX353="0 to 20",-5,0)))</f>
        <v/>
      </c>
      <c r="AZ353" s="30" t="inlineStr">
        <is>
          <t>Between 50 to 75</t>
        </is>
      </c>
      <c r="BA353" s="30">
        <f>IF(AZ353="Between 50 to 75",10,IF(AZ353="Above 75",0,0))</f>
        <v/>
      </c>
      <c r="BB353" s="30" t="inlineStr">
        <is>
          <t>Stage 2</t>
        </is>
      </c>
      <c r="BC353" s="30">
        <f>IF(BB353="Stage 2",20,IF(BB353="Stage 1",0,IF(BB353="Stage 3",5,IF(BB353="Stage 4",-5,0))))</f>
        <v/>
      </c>
      <c r="BD353" s="30" t="inlineStr">
        <is>
          <t>Negative Trend</t>
        </is>
      </c>
      <c r="BE353" s="30">
        <f>IF(BD353="Positive Trend",20,IF(BD353="Negative Trend",-10,0))</f>
        <v/>
      </c>
      <c r="BF353" s="30" t="inlineStr">
        <is>
          <t>Uptrend</t>
        </is>
      </c>
      <c r="BG353" s="30">
        <f>IF(BF353="Uptrend",10,IF(BF353="Sideways",5,0))</f>
        <v/>
      </c>
      <c r="BH353" s="30" t="inlineStr">
        <is>
          <t>Uptrend</t>
        </is>
      </c>
      <c r="BI353" s="30">
        <f>IF(BH353="Uptrend",10,IF(BH353="Sideways",5,0))</f>
        <v/>
      </c>
      <c r="BJ353" s="30" t="inlineStr">
        <is>
          <t>Blue sky scenario</t>
        </is>
      </c>
      <c r="BK353" s="30">
        <f>IF(BJ353="Overhead supply in last 2 years in last 2 years",-5,IF(BJ353="Close to 52 week high or retracement",5,IF(BJ353="Blue sky scenario",10,IF(BJ353="Long term Downtrend",-10,0))))</f>
        <v/>
      </c>
      <c r="BL353" s="30" t="inlineStr">
        <is>
          <t>Yes</t>
        </is>
      </c>
      <c r="BM353" s="30">
        <f>IF(BL353="Yes",10,0)</f>
        <v/>
      </c>
      <c r="BN353" s="30" t="inlineStr">
        <is>
          <t>More than 20%</t>
        </is>
      </c>
      <c r="BO353" s="30">
        <f>IF(BN353="More than 20%",10,IF(BN353="Between 12 to 20%",5,IF(BN353="Less than 12%",0,0)))</f>
        <v/>
      </c>
      <c r="BP353" s="30" t="inlineStr">
        <is>
          <t>No</t>
        </is>
      </c>
      <c r="BQ353" s="30">
        <f>IF(BP353="No",10,0)</f>
        <v/>
      </c>
      <c r="BR353" s="30" t="inlineStr">
        <is>
          <t>Yes</t>
        </is>
      </c>
      <c r="BS353" s="30">
        <f>IF(BR353="NO",5,0)</f>
        <v/>
      </c>
      <c r="BT353" s="30" t="inlineStr">
        <is>
          <t>Less than 1.5</t>
        </is>
      </c>
      <c r="BU353" s="30">
        <f>IF(BT353="Above 2",0,IF(BT353="Between 1.5 to 2",5,IF(BT353="Less than 1.5",10,0)))</f>
        <v/>
      </c>
      <c r="BV353" s="30" t="inlineStr">
        <is>
          <t>Negative</t>
        </is>
      </c>
      <c r="BW353" s="30">
        <f>IF(BV353="Above 70%",10,IF(BV353="Between 50% to 70%",5,IF(BV353="Less than 50%",0,IF(BV353="Negative",-10,IF(BV353="Less than 50% and Borrowings are increasing",-5,0)))))</f>
        <v/>
      </c>
      <c r="BX353" s="30" t="inlineStr">
        <is>
          <t>More than 1.2</t>
        </is>
      </c>
      <c r="BY353" s="30">
        <f>IF(BX353="More than 1.2",-10,IF(BX353="Between 0.7 to 1.2",0,IF(BX353="Less than 0.7",10,0)))</f>
        <v/>
      </c>
      <c r="BZ353" s="30" t="inlineStr">
        <is>
          <t>No</t>
        </is>
      </c>
      <c r="CA353" s="30">
        <f>IF(BZ353="Yes",-10,0)</f>
        <v/>
      </c>
      <c r="CB353" s="30" t="inlineStr">
        <is>
          <t>Less than 15%</t>
        </is>
      </c>
      <c r="CC353" s="30">
        <f>IF(CB353="More than 15%",-10,IF(CB353="Less than 15%",10,0))</f>
        <v/>
      </c>
      <c r="CD353" s="30" t="inlineStr">
        <is>
          <t>No</t>
        </is>
      </c>
      <c r="CE353" s="30">
        <f>IF(CD353="Yes, more than 10%",-10,IF(CD353="No",10,0))</f>
        <v/>
      </c>
    </row>
    <row r="354">
      <c r="A354" s="30">
        <f>IF(B354=0,"",RANK(B354,$B$2:$B$427,0))</f>
        <v/>
      </c>
      <c r="B354" s="31">
        <f>SUM(N354,Y354,AA354,AC354,AE354,AG354,AI354,AK354,AM354,AO354,AQ354,AS354,AU354,AW354,AY354,BA354,BC354,BE354,BG354,BI354,BK354,BM354,BO354,BQ354,BS354,BU354,BW354,BY354,CA354,CC354,CE354)</f>
        <v/>
      </c>
      <c r="C354" s="32" t="inlineStr">
        <is>
          <t>HAL</t>
        </is>
      </c>
      <c r="D354" s="32" t="inlineStr">
        <is>
          <t>Hindustan Aeronautics Ltd</t>
        </is>
      </c>
      <c r="E354" s="30" t="inlineStr">
        <is>
          <t>aerospace &amp; defence</t>
        </is>
      </c>
      <c r="F354" s="30" t="inlineStr">
        <is>
          <t>engineering</t>
        </is>
      </c>
      <c r="G354" s="30" t="inlineStr">
        <is>
          <t>largecap</t>
        </is>
      </c>
      <c r="H354" s="31" t="n">
        <v>295030.09</v>
      </c>
      <c r="I354" s="31" t="n">
        <v>4408.1</v>
      </c>
      <c r="J354" s="31" t="n">
        <v>-0.08</v>
      </c>
      <c r="K354" s="31" t="n">
        <v>834712</v>
      </c>
      <c r="L354" s="30" t="n">
        <v>3</v>
      </c>
      <c r="M354" s="30" t="inlineStr">
        <is>
          <t>Underperforming</t>
        </is>
      </c>
      <c r="N354" s="31">
        <f>IF(M354="Underperforming",-5,IF(L354&gt;=95,15,IF(L354&gt;=90,10,IF(L354&gt;=80,5,0))))</f>
        <v/>
      </c>
      <c r="O354" s="31" t="n">
        <v>53.43</v>
      </c>
      <c r="P354" s="31" t="n">
        <v>19.08</v>
      </c>
      <c r="Q354" s="31" t="n">
        <v>3989.71</v>
      </c>
      <c r="R354" s="30" t="inlineStr">
        <is>
          <t>Earnings / Momentum Support</t>
        </is>
      </c>
      <c r="S354" s="30" t="inlineStr">
        <is>
          <t>Nifty 500</t>
        </is>
      </c>
      <c r="T354" s="31" t="n">
        <v>0.45</v>
      </c>
      <c r="U354" s="31" t="n">
        <v>-10.32</v>
      </c>
      <c r="V354" s="31" t="n">
        <v>-10.72</v>
      </c>
      <c r="W354" s="31" t="n">
        <v>1.69</v>
      </c>
      <c r="X354" s="30" t="inlineStr">
        <is>
          <t>Growing Industry</t>
        </is>
      </c>
      <c r="Y354" s="30">
        <f>IF(X354="Growing Industry",10,IF(X354="Cyclical in an Upturn",5,0))</f>
        <v/>
      </c>
      <c r="Z354" s="30" t="inlineStr">
        <is>
          <t>Too Many Players with High ROCE</t>
        </is>
      </c>
      <c r="AA354" s="30">
        <f>IF(Z354="Monopoly",10,IF(Z354="Oligopoly",5,IF(Z354="Duopoly that cooperate",10,IF(Z354="Duopoly that compete",5,IF(Z354="Too many players with High ROCE",5,0)))))</f>
        <v/>
      </c>
      <c r="AB354" s="30" t="inlineStr">
        <is>
          <t>No</t>
        </is>
      </c>
      <c r="AC354" s="30">
        <f>IF(AB354="No",5,0)</f>
        <v/>
      </c>
      <c r="AD354" s="30" t="inlineStr">
        <is>
          <t>Tailwind</t>
        </is>
      </c>
      <c r="AE354" s="30">
        <f>IF(AD354="Tailwind",10,0)</f>
        <v/>
      </c>
      <c r="AF354" s="30" t="inlineStr">
        <is>
          <t>Structural (10 Years Consistency)</t>
        </is>
      </c>
      <c r="AG354" s="30">
        <f>IF(AF354="Structural (10 Years Consistency)",10,IF(AF354="Shallow Cyclical (2 to 3 years growth)",5,0))</f>
        <v/>
      </c>
      <c r="AH354" s="30" t="inlineStr">
        <is>
          <t>No</t>
        </is>
      </c>
      <c r="AI354" s="30">
        <f>IF(AH354="Yes due to Product Mix change or Operating Leverage",10,IF(AH354="Yes, these are peak margins",-5,IF(AH354="No",5,0)))</f>
        <v/>
      </c>
      <c r="AJ354" s="30" t="inlineStr">
        <is>
          <t>Stable</t>
        </is>
      </c>
      <c r="AK354" s="30">
        <f>IF(AJ354="Stable",10,0)</f>
        <v/>
      </c>
      <c r="AL354" s="30" t="inlineStr">
        <is>
          <t>Yes</t>
        </is>
      </c>
      <c r="AM354" s="30">
        <f>IF(AL354="Yes",10,0)</f>
        <v/>
      </c>
      <c r="AN354" s="30" t="inlineStr">
        <is>
          <t>B2B</t>
        </is>
      </c>
      <c r="AO354" s="30">
        <f>IF(AN354="B2C",10,IF(AN354="B2B",5,0))</f>
        <v/>
      </c>
      <c r="AP354" s="30" t="inlineStr">
        <is>
          <t>No</t>
        </is>
      </c>
      <c r="AQ354" s="30">
        <f>IF(AP354="Yes",10,0)</f>
        <v/>
      </c>
      <c r="AR354" s="30" t="inlineStr">
        <is>
          <t>Higher One Time, Lower Annuity</t>
        </is>
      </c>
      <c r="AS354" s="30">
        <f>IF(AR354="Fully Annuity",10,IF(AR354="Higher Annuity, Lower One Time",5,IF(AR354="Higher One Time, Lower Annuity",3,0)))</f>
        <v/>
      </c>
      <c r="AT354" s="30" t="inlineStr">
        <is>
          <t>Good</t>
        </is>
      </c>
      <c r="AU354" s="30">
        <f>IF(AT354="Good",10,0)</f>
        <v/>
      </c>
      <c r="AV354" s="30" t="inlineStr">
        <is>
          <t>Yes for more than 2 years</t>
        </is>
      </c>
      <c r="AW354" s="30">
        <f>IF(AV354="Yes for more than 2 years",10,IF(AV354="Yes only for next 1 to 2 years",5,0))</f>
        <v/>
      </c>
      <c r="AX354" s="30" t="inlineStr">
        <is>
          <t>0 to 20</t>
        </is>
      </c>
      <c r="AY354" s="30">
        <f>IF(AX354="Above 40",20,IF(AX354="20 to 40",10,IF(AX354="0 to 20",-5,0)))</f>
        <v/>
      </c>
      <c r="AZ354" s="30" t="inlineStr">
        <is>
          <t>Between 50 to 75</t>
        </is>
      </c>
      <c r="BA354" s="30">
        <f>IF(AZ354="Between 50 to 75",10,IF(AZ354="Above 75",0,0))</f>
        <v/>
      </c>
      <c r="BB354" s="30" t="inlineStr">
        <is>
          <t>Stage 1</t>
        </is>
      </c>
      <c r="BC354" s="30">
        <f>IF(BB354="Stage 2",20,IF(BB354="Stage 1",0,IF(BB354="Stage 3",5,IF(BB354="Stage 4",-5,0))))</f>
        <v/>
      </c>
      <c r="BD354" s="30" t="inlineStr">
        <is>
          <t>Positive Trend</t>
        </is>
      </c>
      <c r="BE354" s="30">
        <f>IF(BD354="Positive Trend",20,IF(BD354="Negative Trend",-10,0))</f>
        <v/>
      </c>
      <c r="BF354" s="30" t="inlineStr">
        <is>
          <t>Uptrend</t>
        </is>
      </c>
      <c r="BG354" s="30">
        <f>IF(BF354="Uptrend",10,IF(BF354="Sideways",5,0))</f>
        <v/>
      </c>
      <c r="BH354" s="30" t="inlineStr">
        <is>
          <t>Uptrend</t>
        </is>
      </c>
      <c r="BI354" s="30">
        <f>IF(BH354="Uptrend",10,IF(BH354="Sideways",5,0))</f>
        <v/>
      </c>
      <c r="BJ354" s="30" t="inlineStr">
        <is>
          <t>Close to 52 week high or retracement</t>
        </is>
      </c>
      <c r="BK354" s="30">
        <f>IF(BJ354="Overhead supply in last 2 years in last 2 years",-5,IF(BJ354="Close to 52 week high or retracement",5,IF(BJ354="Blue sky scenario",10,IF(BJ354="Long term Downtrend",-10,0))))</f>
        <v/>
      </c>
      <c r="BL354" s="30" t="inlineStr">
        <is>
          <t>Yes</t>
        </is>
      </c>
      <c r="BM354" s="30">
        <f>IF(BL354="Yes",10,0)</f>
        <v/>
      </c>
      <c r="BN354" s="30" t="inlineStr">
        <is>
          <t>Less than 12%</t>
        </is>
      </c>
      <c r="BO354" s="30">
        <f>IF(BN354="More than 20%",10,IF(BN354="Between 12 to 20%",5,IF(BN354="Less than 12%",0,0)))</f>
        <v/>
      </c>
      <c r="BP354" s="30" t="inlineStr">
        <is>
          <t>No</t>
        </is>
      </c>
      <c r="BQ354" s="30">
        <f>IF(BP354="No",10,0)</f>
        <v/>
      </c>
      <c r="BR354" s="30" t="inlineStr">
        <is>
          <t>No</t>
        </is>
      </c>
      <c r="BS354" s="30">
        <f>IF(BR354="NO",5,0)</f>
        <v/>
      </c>
      <c r="BT354" s="30" t="inlineStr">
        <is>
          <t>Above 2</t>
        </is>
      </c>
      <c r="BU354" s="30">
        <f>IF(BT354="Above 2",0,IF(BT354="Between 1.5 to 2",5,IF(BT354="Less than 1.5",10,0)))</f>
        <v/>
      </c>
      <c r="BV354" s="30" t="inlineStr">
        <is>
          <t>Above 70%</t>
        </is>
      </c>
      <c r="BW354" s="30">
        <f>IF(BV354="Above 70%",10,IF(BV354="Between 50% to 70%",5,IF(BV354="Less than 50%",0,IF(BV354="Negative",-10,IF(BV354="Less than 50% and Borrowings are increasing",-5,0)))))</f>
        <v/>
      </c>
      <c r="BX354" s="30" t="inlineStr">
        <is>
          <t>Less than 0.7</t>
        </is>
      </c>
      <c r="BY354" s="30">
        <f>IF(BX354="More than 1.2",-10,IF(BX354="Between 0.7 to 1.2",0,IF(BX354="Less than 0.7",10,0)))</f>
        <v/>
      </c>
      <c r="BZ354" s="30" t="inlineStr">
        <is>
          <t>No</t>
        </is>
      </c>
      <c r="CA354" s="30">
        <f>IF(BZ354="Yes",-10,0)</f>
        <v/>
      </c>
      <c r="CB354" s="30" t="inlineStr">
        <is>
          <t>Less than 15%</t>
        </is>
      </c>
      <c r="CC354" s="30">
        <f>IF(CB354="More than 15%",-10,IF(CB354="Less than 15%",10,0))</f>
        <v/>
      </c>
      <c r="CD354" s="30" t="inlineStr">
        <is>
          <t>No</t>
        </is>
      </c>
      <c r="CE354" s="30">
        <f>IF(CD354="Yes, more than 10%",-10,IF(CD354="No",10,0))</f>
        <v/>
      </c>
    </row>
    <row r="355">
      <c r="A355" s="30">
        <f>IF(B355=0,"",RANK(B355,$B$2:$B$427,0))</f>
        <v/>
      </c>
      <c r="B355" s="31">
        <f>SUM(N355,Y355,AA355,AC355,AE355,AG355,AI355,AK355,AM355,AO355,AQ355,AS355,AU355,AW355,AY355,BA355,BC355,BE355,BG355,BI355,BK355,BM355,BO355,BQ355,BS355,BU355,BW355,BY355,CA355,CC355,CE355)</f>
        <v/>
      </c>
      <c r="C355" s="30" t="inlineStr">
        <is>
          <t>PRESTIGE</t>
        </is>
      </c>
      <c r="D355" s="30" t="inlineStr">
        <is>
          <t>Prestige Estates Projects Limited</t>
        </is>
      </c>
      <c r="E355" s="30" t="inlineStr">
        <is>
          <t>realty</t>
        </is>
      </c>
      <c r="F355" s="30" t="inlineStr">
        <is>
          <t>construction</t>
        </is>
      </c>
      <c r="G355" s="30" t="inlineStr">
        <is>
          <t>largecap</t>
        </is>
      </c>
      <c r="H355" s="31" t="n">
        <v>65802.66</v>
      </c>
      <c r="I355" s="31" t="n">
        <v>1497.3</v>
      </c>
      <c r="J355" s="31" t="n">
        <v>-1.99</v>
      </c>
      <c r="K355" s="31" t="n">
        <v>810768</v>
      </c>
      <c r="L355" s="30" t="n">
        <v>4</v>
      </c>
      <c r="M355" s="30" t="inlineStr">
        <is>
          <t>Outperforming</t>
        </is>
      </c>
      <c r="N355" s="31">
        <f>IF(M355="Underperforming",-5,IF(L355&gt;=95,15,IF(L355&gt;=90,10,IF(L355&gt;=80,5,0))))</f>
        <v/>
      </c>
      <c r="O355" s="31" t="n">
        <v>54.74</v>
      </c>
      <c r="P355" s="31" t="n">
        <v>17.35</v>
      </c>
      <c r="Q355" s="31" t="n">
        <v>1172.45</v>
      </c>
      <c r="R355" s="30" t="inlineStr">
        <is>
          <t>Volume Spike / Accumulation</t>
        </is>
      </c>
      <c r="S355" s="30" t="inlineStr">
        <is>
          <t>Nifty Realty</t>
        </is>
      </c>
      <c r="T355" s="31" t="n">
        <v>-19.9</v>
      </c>
      <c r="U355" s="31" t="n">
        <v>-12.66</v>
      </c>
      <c r="V355" s="31" t="n">
        <v>9.039999999999999</v>
      </c>
      <c r="W355" s="31" t="n">
        <v>2.3</v>
      </c>
      <c r="X355" s="30" t="inlineStr">
        <is>
          <t>Growing Industry</t>
        </is>
      </c>
      <c r="Y355" s="30">
        <f>IF(X355="Growing Industry",10,IF(X355="Cyclical in an Upturn",5,0))</f>
        <v/>
      </c>
      <c r="Z355" s="30" t="inlineStr">
        <is>
          <t>Too Many Players with High ROCE</t>
        </is>
      </c>
      <c r="AA355" s="30">
        <f>IF(Z355="Monopoly",10,IF(Z355="Oligopoly",5,IF(Z355="Duopoly that cooperate",10,IF(Z355="Duopoly that compete",5,IF(Z355="Too many players with High ROCE",5,0)))))</f>
        <v/>
      </c>
      <c r="AB355" s="30" t="inlineStr">
        <is>
          <t>No</t>
        </is>
      </c>
      <c r="AC355" s="30">
        <f>IF(AB355="No",5,0)</f>
        <v/>
      </c>
      <c r="AD355" s="30" t="inlineStr">
        <is>
          <t>Headwind</t>
        </is>
      </c>
      <c r="AE355" s="30">
        <f>IF(AD355="Tailwind",10,0)</f>
        <v/>
      </c>
      <c r="AF355" s="30" t="inlineStr">
        <is>
          <t>Structural (10 Years Consistency)</t>
        </is>
      </c>
      <c r="AG355" s="30">
        <f>IF(AF355="Structural (10 Years Consistency)",10,IF(AF355="Shallow Cyclical (2 to 3 years growth)",5,0))</f>
        <v/>
      </c>
      <c r="AH355" s="30" t="inlineStr">
        <is>
          <t>No</t>
        </is>
      </c>
      <c r="AI355" s="30">
        <f>IF(AH355="Yes due to Product Mix change or Operating Leverage",10,IF(AH355="Yes, these are peak margins",-5,IF(AH355="No",5,0)))</f>
        <v/>
      </c>
      <c r="AJ355" s="30" t="inlineStr">
        <is>
          <t>Stable</t>
        </is>
      </c>
      <c r="AK355" s="30">
        <f>IF(AJ355="Stable",10,0)</f>
        <v/>
      </c>
      <c r="AL355" s="30" t="inlineStr">
        <is>
          <t>Yes</t>
        </is>
      </c>
      <c r="AM355" s="30">
        <f>IF(AL355="Yes",10,0)</f>
        <v/>
      </c>
      <c r="AN355" s="30" t="inlineStr">
        <is>
          <t>B2B</t>
        </is>
      </c>
      <c r="AO355" s="30">
        <f>IF(AN355="B2C",10,IF(AN355="B2B",5,0))</f>
        <v/>
      </c>
      <c r="AP355" s="30" t="inlineStr">
        <is>
          <t>Yes</t>
        </is>
      </c>
      <c r="AQ355" s="30">
        <f>IF(AP355="Yes",10,0)</f>
        <v/>
      </c>
      <c r="AR355" s="30" t="inlineStr">
        <is>
          <t>Higher One Time, Lower Annuity</t>
        </is>
      </c>
      <c r="AS355" s="30">
        <f>IF(AR355="Fully Annuity",10,IF(AR355="Higher Annuity, Lower One Time",5,IF(AR355="Higher One Time, Lower Annuity",3,0)))</f>
        <v/>
      </c>
      <c r="AT355" s="30" t="inlineStr">
        <is>
          <t>Good</t>
        </is>
      </c>
      <c r="AU355" s="30">
        <f>IF(AT355="Good",10,0)</f>
        <v/>
      </c>
      <c r="AV355" s="30" t="inlineStr">
        <is>
          <t>Yes for more than 2 years</t>
        </is>
      </c>
      <c r="AW355" s="30">
        <f>IF(AV355="Yes for more than 2 years",10,IF(AV355="Yes only for next 1 to 2 years",5,0))</f>
        <v/>
      </c>
      <c r="AX355" s="30" t="inlineStr">
        <is>
          <t>0 to 20</t>
        </is>
      </c>
      <c r="AY355" s="30">
        <f>IF(AX355="Above 40",20,IF(AX355="20 to 40",10,IF(AX355="0 to 20",-5,0)))</f>
        <v/>
      </c>
      <c r="AZ355" s="30" t="inlineStr">
        <is>
          <t>Between 50 to 75</t>
        </is>
      </c>
      <c r="BA355" s="30">
        <f>IF(AZ355="Between 50 to 75",10,IF(AZ355="Above 75",0,0))</f>
        <v/>
      </c>
      <c r="BB355" s="30" t="inlineStr">
        <is>
          <t>Stage 1</t>
        </is>
      </c>
      <c r="BC355" s="30">
        <f>IF(BB355="Stage 2",20,IF(BB355="Stage 1",0,IF(BB355="Stage 3",5,IF(BB355="Stage 4",-5,0))))</f>
        <v/>
      </c>
      <c r="BD355" s="30" t="inlineStr">
        <is>
          <t>Positive Trend</t>
        </is>
      </c>
      <c r="BE355" s="30">
        <f>IF(BD355="Positive Trend",20,IF(BD355="Negative Trend",-10,0))</f>
        <v/>
      </c>
      <c r="BF355" s="30" t="inlineStr">
        <is>
          <t>Uptrend</t>
        </is>
      </c>
      <c r="BG355" s="30">
        <f>IF(BF355="Uptrend",10,IF(BF355="Sideways",5,0))</f>
        <v/>
      </c>
      <c r="BH355" s="30" t="inlineStr">
        <is>
          <t>Uptrend</t>
        </is>
      </c>
      <c r="BI355" s="30">
        <f>IF(BH355="Uptrend",10,IF(BH355="Sideways",5,0))</f>
        <v/>
      </c>
      <c r="BJ355" s="30" t="inlineStr">
        <is>
          <t>Close to 52 week high or retracement</t>
        </is>
      </c>
      <c r="BK355" s="30">
        <f>IF(BJ355="Overhead supply in last 2 years in last 2 years",-5,IF(BJ355="Close to 52 week high or retracement",5,IF(BJ355="Blue sky scenario",10,IF(BJ355="Long term Downtrend",-10,0))))</f>
        <v/>
      </c>
      <c r="BL355" s="30" t="inlineStr">
        <is>
          <t>Yes</t>
        </is>
      </c>
      <c r="BM355" s="30">
        <f>IF(BL355="Yes",10,0)</f>
        <v/>
      </c>
      <c r="BN355" s="30" t="inlineStr">
        <is>
          <t>More than 20%</t>
        </is>
      </c>
      <c r="BO355" s="30">
        <f>IF(BN355="More than 20%",10,IF(BN355="Between 12 to 20%",5,IF(BN355="Less than 12%",0,0)))</f>
        <v/>
      </c>
      <c r="BP355" s="30" t="inlineStr">
        <is>
          <t>No</t>
        </is>
      </c>
      <c r="BQ355" s="30">
        <f>IF(BP355="No",10,0)</f>
        <v/>
      </c>
      <c r="BR355" s="30" t="inlineStr">
        <is>
          <t>Yes</t>
        </is>
      </c>
      <c r="BS355" s="30">
        <f>IF(BR355="NO",5,0)</f>
        <v/>
      </c>
      <c r="BT355" s="30" t="inlineStr">
        <is>
          <t>Above 2</t>
        </is>
      </c>
      <c r="BU355" s="30">
        <f>IF(BT355="Above 2",0,IF(BT355="Between 1.5 to 2",5,IF(BT355="Less than 1.5",10,0)))</f>
        <v/>
      </c>
      <c r="BV355" s="30" t="inlineStr">
        <is>
          <t>Above 70%</t>
        </is>
      </c>
      <c r="BW355" s="30">
        <f>IF(BV355="Above 70%",10,IF(BV355="Between 50% to 70%",5,IF(BV355="Less than 50%",0,IF(BV355="Negative",-10,IF(BV355="Less than 50% and Borrowings are increasing",-5,0)))))</f>
        <v/>
      </c>
      <c r="BX355" s="30" t="inlineStr">
        <is>
          <t>Between 0.7 to 1.2</t>
        </is>
      </c>
      <c r="BY355" s="30">
        <f>IF(BX355="More than 1.2",-10,IF(BX355="Between 0.7 to 1.2",0,IF(BX355="Less than 0.7",10,0)))</f>
        <v/>
      </c>
      <c r="BZ355" s="30" t="inlineStr">
        <is>
          <t>No</t>
        </is>
      </c>
      <c r="CA355" s="30">
        <f>IF(BZ355="Yes",-10,0)</f>
        <v/>
      </c>
      <c r="CB355" s="30" t="inlineStr">
        <is>
          <t>Less than 15%</t>
        </is>
      </c>
      <c r="CC355" s="30">
        <f>IF(CB355="More than 15%",-10,IF(CB355="Less than 15%",10,0))</f>
        <v/>
      </c>
      <c r="CD355" s="30" t="inlineStr">
        <is>
          <t>No</t>
        </is>
      </c>
      <c r="CE355" s="30">
        <f>IF(CD355="Yes, more than 10%",-10,IF(CD355="No",10,0))</f>
        <v/>
      </c>
    </row>
    <row r="356">
      <c r="A356" s="30">
        <f>IF(B356=0,"",RANK(B356,$B$2:$B$427,0))</f>
        <v/>
      </c>
      <c r="B356" s="31">
        <f>SUM(N356,Y356,AA356,AC356,AE356,AG356,AI356,AK356,AM356,AO356,AQ356,AS356,AU356,AW356,AY356,BA356,BC356,BE356,BG356,BI356,BK356,BM356,BO356,BQ356,BS356,BU356,BW356,BY356,CA356,CC356,CE356)</f>
        <v/>
      </c>
      <c r="C356" s="32" t="inlineStr">
        <is>
          <t>GOODLUCK</t>
        </is>
      </c>
      <c r="D356" s="32" t="inlineStr">
        <is>
          <t>Goodluck India Limited</t>
        </is>
      </c>
      <c r="E356" s="30" t="inlineStr">
        <is>
          <t>metals &amp; mining</t>
        </is>
      </c>
      <c r="F356" s="30" t="inlineStr">
        <is>
          <t>steel - medium / small</t>
        </is>
      </c>
      <c r="G356" s="30" t="inlineStr">
        <is>
          <t>smallcap</t>
        </is>
      </c>
      <c r="H356" s="31" t="n">
        <v>4503.15</v>
      </c>
      <c r="I356" s="31" t="n">
        <v>1423.4</v>
      </c>
      <c r="J356" s="31" t="n">
        <v>5.06</v>
      </c>
      <c r="K356" s="31" t="n">
        <v>571773</v>
      </c>
      <c r="L356" s="30" t="n">
        <v>57</v>
      </c>
      <c r="M356" s="30" t="inlineStr">
        <is>
          <t>Underperforming</t>
        </is>
      </c>
      <c r="N356" s="31">
        <f>IF(M356="Underperforming",-5,IF(L356&gt;=95,15,IF(L356&gt;=90,10,IF(L356&gt;=80,5,0))))</f>
        <v/>
      </c>
      <c r="O356" s="31" t="n">
        <v>61.1</v>
      </c>
      <c r="P356" s="31" t="n">
        <v>24.93</v>
      </c>
      <c r="Q356" s="31" t="n">
        <v>1061.73</v>
      </c>
      <c r="R356" s="30" t="inlineStr">
        <is>
          <t>Near 52W High Breakout</t>
        </is>
      </c>
      <c r="S356" s="30" t="inlineStr">
        <is>
          <t>Nifty Metal</t>
        </is>
      </c>
      <c r="T356" s="31" t="n">
        <v>42.48</v>
      </c>
      <c r="U356" s="31" t="n">
        <v>31.64</v>
      </c>
      <c r="V356" s="31" t="n">
        <v>-7.61</v>
      </c>
      <c r="W356" s="31" t="n">
        <v>14.77</v>
      </c>
      <c r="X356" s="30" t="inlineStr">
        <is>
          <t>Cyclical in an Upturn</t>
        </is>
      </c>
      <c r="Y356" s="30">
        <f>IF(X356="Growing Industry",10,IF(X356="Cyclical in an Upturn",5,0))</f>
        <v/>
      </c>
      <c r="Z356" s="30" t="inlineStr">
        <is>
          <t>Too Many Players with High ROCE</t>
        </is>
      </c>
      <c r="AA356" s="30">
        <f>IF(Z356="Monopoly",10,IF(Z356="Oligopoly",5,IF(Z356="Duopoly that cooperate",10,IF(Z356="Duopoly that compete",5,IF(Z356="Too many players with High ROCE",5,0)))))</f>
        <v/>
      </c>
      <c r="AB356" s="30" t="inlineStr">
        <is>
          <t>No</t>
        </is>
      </c>
      <c r="AC356" s="30">
        <f>IF(AB356="No",5,0)</f>
        <v/>
      </c>
      <c r="AD356" s="30" t="inlineStr">
        <is>
          <t>Tailwind</t>
        </is>
      </c>
      <c r="AE356" s="30">
        <f>IF(AD356="Tailwind",10,0)</f>
        <v/>
      </c>
      <c r="AF356" s="30" t="inlineStr">
        <is>
          <t>Cyclical</t>
        </is>
      </c>
      <c r="AG356" s="30">
        <f>IF(AF356="Structural (10 Years Consistency)",10,IF(AF356="Shallow Cyclical (2 to 3 years growth)",5,0))</f>
        <v/>
      </c>
      <c r="AH356" s="30" t="inlineStr">
        <is>
          <t>No</t>
        </is>
      </c>
      <c r="AI356" s="30">
        <f>IF(AH356="Yes due to Product Mix change or Operating Leverage",10,IF(AH356="Yes, these are peak margins",-5,IF(AH356="No",5,0)))</f>
        <v/>
      </c>
      <c r="AJ356" s="30" t="inlineStr">
        <is>
          <t>Volatile</t>
        </is>
      </c>
      <c r="AK356" s="30">
        <f>IF(AJ356="Stable",10,0)</f>
        <v/>
      </c>
      <c r="AL356" s="30" t="inlineStr">
        <is>
          <t>Yes</t>
        </is>
      </c>
      <c r="AM356" s="30">
        <f>IF(AL356="Yes",10,0)</f>
        <v/>
      </c>
      <c r="AN356" s="30" t="inlineStr">
        <is>
          <t>B2B</t>
        </is>
      </c>
      <c r="AO356" s="30">
        <f>IF(AN356="B2C",10,IF(AN356="B2B",5,0))</f>
        <v/>
      </c>
      <c r="AP356" s="30" t="inlineStr">
        <is>
          <t>Yes</t>
        </is>
      </c>
      <c r="AQ356" s="30">
        <f>IF(AP356="Yes",10,0)</f>
        <v/>
      </c>
      <c r="AR356" s="30" t="inlineStr">
        <is>
          <t>Higher One Time, Lower Annuity</t>
        </is>
      </c>
      <c r="AS356" s="30">
        <f>IF(AR356="Fully Annuity",10,IF(AR356="Higher Annuity, Lower One Time",5,IF(AR356="Higher One Time, Lower Annuity",3,0)))</f>
        <v/>
      </c>
      <c r="AT356" s="30" t="inlineStr">
        <is>
          <t>Good</t>
        </is>
      </c>
      <c r="AU356" s="30">
        <f>IF(AT356="Good",10,0)</f>
        <v/>
      </c>
      <c r="AV356" s="30" t="inlineStr">
        <is>
          <t>Yes for more than 2 years</t>
        </is>
      </c>
      <c r="AW356" s="30">
        <f>IF(AV356="Yes for more than 2 years",10,IF(AV356="Yes only for next 1 to 2 years",5,0))</f>
        <v/>
      </c>
      <c r="AX356" s="30" t="inlineStr">
        <is>
          <t>20 to 40</t>
        </is>
      </c>
      <c r="AY356" s="30">
        <f>IF(AX356="Above 40",20,IF(AX356="20 to 40",10,IF(AX356="0 to 20",-5,0)))</f>
        <v/>
      </c>
      <c r="AZ356" s="30" t="inlineStr">
        <is>
          <t>Between 50 to 75</t>
        </is>
      </c>
      <c r="BA356" s="30">
        <f>IF(AZ356="Between 50 to 75",10,IF(AZ356="Above 75",0,0))</f>
        <v/>
      </c>
      <c r="BB356" s="30" t="inlineStr">
        <is>
          <t>Stage 2</t>
        </is>
      </c>
      <c r="BC356" s="30">
        <f>IF(BB356="Stage 2",20,IF(BB356="Stage 1",0,IF(BB356="Stage 3",5,IF(BB356="Stage 4",-5,0))))</f>
        <v/>
      </c>
      <c r="BD356" s="30" t="inlineStr">
        <is>
          <t>Negative Trend</t>
        </is>
      </c>
      <c r="BE356" s="30">
        <f>IF(BD356="Positive Trend",20,IF(BD356="Negative Trend",-10,0))</f>
        <v/>
      </c>
      <c r="BF356" s="30" t="inlineStr">
        <is>
          <t>Uptrend</t>
        </is>
      </c>
      <c r="BG356" s="30">
        <f>IF(BF356="Uptrend",10,IF(BF356="Sideways",5,0))</f>
        <v/>
      </c>
      <c r="BH356" s="30" t="inlineStr">
        <is>
          <t>Uptrend</t>
        </is>
      </c>
      <c r="BI356" s="30">
        <f>IF(BH356="Uptrend",10,IF(BH356="Sideways",5,0))</f>
        <v/>
      </c>
      <c r="BJ356" s="30" t="inlineStr">
        <is>
          <t>Blue sky scenario</t>
        </is>
      </c>
      <c r="BK356" s="30">
        <f>IF(BJ356="Overhead supply in last 2 years in last 2 years",-5,IF(BJ356="Close to 52 week high or retracement",5,IF(BJ356="Blue sky scenario",10,IF(BJ356="Long term Downtrend",-10,0))))</f>
        <v/>
      </c>
      <c r="BL356" s="30" t="inlineStr">
        <is>
          <t>Yes</t>
        </is>
      </c>
      <c r="BM356" s="30">
        <f>IF(BL356="Yes",10,0)</f>
        <v/>
      </c>
      <c r="BN356" s="30" t="inlineStr">
        <is>
          <t>More than 20%</t>
        </is>
      </c>
      <c r="BO356" s="30">
        <f>IF(BN356="More than 20%",10,IF(BN356="Between 12 to 20%",5,IF(BN356="Less than 12%",0,0)))</f>
        <v/>
      </c>
      <c r="BP356" s="30" t="inlineStr">
        <is>
          <t>No</t>
        </is>
      </c>
      <c r="BQ356" s="30">
        <f>IF(BP356="No",10,0)</f>
        <v/>
      </c>
      <c r="BR356" s="30" t="inlineStr">
        <is>
          <t>No</t>
        </is>
      </c>
      <c r="BS356" s="30">
        <f>IF(BR356="NO",5,0)</f>
        <v/>
      </c>
      <c r="BT356" s="30" t="inlineStr">
        <is>
          <t>Less than 1.5</t>
        </is>
      </c>
      <c r="BU356" s="30">
        <f>IF(BT356="Above 2",0,IF(BT356="Between 1.5 to 2",5,IF(BT356="Less than 1.5",10,0)))</f>
        <v/>
      </c>
      <c r="BV356" s="30" t="inlineStr">
        <is>
          <t>Less than 50%</t>
        </is>
      </c>
      <c r="BW356" s="30">
        <f>IF(BV356="Above 70%",10,IF(BV356="Between 50% to 70%",5,IF(BV356="Less than 50%",0,IF(BV356="Negative",-10,IF(BV356="Less than 50% and Borrowings are increasing",-5,0)))))</f>
        <v/>
      </c>
      <c r="BX356" s="30" t="inlineStr">
        <is>
          <t>Between 0.7 to 1.2</t>
        </is>
      </c>
      <c r="BY356" s="30">
        <f>IF(BX356="More than 1.2",-10,IF(BX356="Between 0.7 to 1.2",0,IF(BX356="Less than 0.7",10,0)))</f>
        <v/>
      </c>
      <c r="BZ356" s="30" t="inlineStr">
        <is>
          <t>No</t>
        </is>
      </c>
      <c r="CA356" s="30">
        <f>IF(BZ356="Yes",-10,0)</f>
        <v/>
      </c>
      <c r="CB356" s="30" t="inlineStr">
        <is>
          <t>Less than 15%</t>
        </is>
      </c>
      <c r="CC356" s="30">
        <f>IF(CB356="More than 15%",-10,IF(CB356="Less than 15%",10,0))</f>
        <v/>
      </c>
      <c r="CD356" s="30" t="inlineStr">
        <is>
          <t>No</t>
        </is>
      </c>
      <c r="CE356" s="30">
        <f>IF(CD356="Yes, more than 10%",-10,IF(CD356="No",10,0))</f>
        <v/>
      </c>
    </row>
    <row r="357">
      <c r="A357" s="30">
        <f>IF(B357=0,"",RANK(B357,$B$2:$B$427,0))</f>
        <v/>
      </c>
      <c r="B357" s="31">
        <f>SUM(N357,Y357,AA357,AC357,AE357,AG357,AI357,AK357,AM357,AO357,AQ357,AS357,AU357,AW357,AY357,BA357,BC357,BE357,BG357,BI357,BK357,BM357,BO357,BQ357,BS357,BU357,BW357,BY357,CA357,CC357,CE357)</f>
        <v/>
      </c>
      <c r="C357" s="32" t="inlineStr">
        <is>
          <t>GOKEX</t>
        </is>
      </c>
      <c r="D357" s="32" t="inlineStr">
        <is>
          <t>Gokaldas Exports Limited</t>
        </is>
      </c>
      <c r="E357" s="30" t="inlineStr">
        <is>
          <t>consumer discretionary</t>
        </is>
      </c>
      <c r="F357" s="30" t="inlineStr">
        <is>
          <t>textiles - products</t>
        </is>
      </c>
      <c r="G357" s="30" t="inlineStr">
        <is>
          <t>midcap</t>
        </is>
      </c>
      <c r="H357" s="31" t="n">
        <v>5743.32</v>
      </c>
      <c r="I357" s="31" t="n">
        <v>818.7</v>
      </c>
      <c r="J357" s="31" t="n">
        <v>4.41</v>
      </c>
      <c r="K357" s="31" t="n">
        <v>3078701</v>
      </c>
      <c r="L357" s="30" t="n">
        <v>35</v>
      </c>
      <c r="M357" s="30" t="inlineStr">
        <is>
          <t>Underperforming</t>
        </is>
      </c>
      <c r="N357" s="31">
        <f>IF(M357="Underperforming",-5,IF(L357&gt;=95,15,IF(L357&gt;=90,10,IF(L357&gt;=80,5,0))))</f>
        <v/>
      </c>
      <c r="O357" s="31" t="n">
        <v>59.54</v>
      </c>
      <c r="P357" s="31" t="n">
        <v>11.3</v>
      </c>
      <c r="Q357" s="31" t="n">
        <v>576.77</v>
      </c>
      <c r="R357" s="30" t="inlineStr">
        <is>
          <t>Volume Spike / Accumulation</t>
        </is>
      </c>
      <c r="S357" s="30" t="inlineStr">
        <is>
          <t>Nifty 50</t>
        </is>
      </c>
      <c r="T357" s="31" t="n">
        <v>-4.38</v>
      </c>
      <c r="U357" s="31" t="n">
        <v>-5.64</v>
      </c>
      <c r="V357" s="31" t="n">
        <v>-1.32</v>
      </c>
      <c r="W357" s="31" t="n">
        <v>9.24</v>
      </c>
      <c r="X357" s="30" t="inlineStr">
        <is>
          <t>Growing Industry</t>
        </is>
      </c>
      <c r="Y357" s="30">
        <f>IF(X357="Growing Industry",10,IF(X357="Cyclical in an Upturn",5,0))</f>
        <v/>
      </c>
      <c r="Z357" s="30" t="inlineStr">
        <is>
          <t>Too Many Players with High ROCE</t>
        </is>
      </c>
      <c r="AA357" s="30">
        <f>IF(Z357="Monopoly",10,IF(Z357="Oligopoly",5,IF(Z357="Duopoly that cooperate",10,IF(Z357="Duopoly that compete",5,IF(Z357="Too many players with High ROCE",5,0)))))</f>
        <v/>
      </c>
      <c r="AB357" s="30" t="inlineStr">
        <is>
          <t>No</t>
        </is>
      </c>
      <c r="AC357" s="30">
        <f>IF(AB357="No",5,0)</f>
        <v/>
      </c>
      <c r="AD357" s="30" t="inlineStr">
        <is>
          <t>Tailwind</t>
        </is>
      </c>
      <c r="AE357" s="30">
        <f>IF(AD357="Tailwind",10,0)</f>
        <v/>
      </c>
      <c r="AF357" s="30" t="inlineStr">
        <is>
          <t>Structural (10 Years Consistency)</t>
        </is>
      </c>
      <c r="AG357" s="30">
        <f>IF(AF357="Structural (10 Years Consistency)",10,IF(AF357="Shallow Cyclical (2 to 3 years growth)",5,0))</f>
        <v/>
      </c>
      <c r="AH357" s="30" t="inlineStr">
        <is>
          <t>No</t>
        </is>
      </c>
      <c r="AI357" s="30">
        <f>IF(AH357="Yes due to Product Mix change or Operating Leverage",10,IF(AH357="Yes, these are peak margins",-5,IF(AH357="No",5,0)))</f>
        <v/>
      </c>
      <c r="AJ357" s="30" t="inlineStr">
        <is>
          <t>Stable</t>
        </is>
      </c>
      <c r="AK357" s="30">
        <f>IF(AJ357="Stable",10,0)</f>
        <v/>
      </c>
      <c r="AL357" s="30" t="inlineStr">
        <is>
          <t>Yes</t>
        </is>
      </c>
      <c r="AM357" s="30">
        <f>IF(AL357="Yes",10,0)</f>
        <v/>
      </c>
      <c r="AN357" s="30" t="inlineStr">
        <is>
          <t>B2B</t>
        </is>
      </c>
      <c r="AO357" s="30">
        <f>IF(AN357="B2C",10,IF(AN357="B2B",5,0))</f>
        <v/>
      </c>
      <c r="AP357" s="30" t="inlineStr">
        <is>
          <t>Yes</t>
        </is>
      </c>
      <c r="AQ357" s="30">
        <f>IF(AP357="Yes",10,0)</f>
        <v/>
      </c>
      <c r="AR357" s="30" t="inlineStr">
        <is>
          <t>Higher One Time, Lower Annuity</t>
        </is>
      </c>
      <c r="AS357" s="30">
        <f>IF(AR357="Fully Annuity",10,IF(AR357="Higher Annuity, Lower One Time",5,IF(AR357="Higher One Time, Lower Annuity",3,0)))</f>
        <v/>
      </c>
      <c r="AT357" s="30" t="inlineStr">
        <is>
          <t>Good</t>
        </is>
      </c>
      <c r="AU357" s="30">
        <f>IF(AT357="Good",10,0)</f>
        <v/>
      </c>
      <c r="AV357" s="30" t="inlineStr">
        <is>
          <t>Yes for more than 2 years</t>
        </is>
      </c>
      <c r="AW357" s="30">
        <f>IF(AV357="Yes for more than 2 years",10,IF(AV357="Yes only for next 1 to 2 years",5,0))</f>
        <v/>
      </c>
      <c r="AX357" s="30" t="inlineStr">
        <is>
          <t>0 to 20</t>
        </is>
      </c>
      <c r="AY357" s="30">
        <f>IF(AX357="Above 40",20,IF(AX357="20 to 40",10,IF(AX357="0 to 20",-5,0)))</f>
        <v/>
      </c>
      <c r="AZ357" s="30" t="inlineStr">
        <is>
          <t>Between 50 to 75</t>
        </is>
      </c>
      <c r="BA357" s="30">
        <f>IF(AZ357="Between 50 to 75",10,IF(AZ357="Above 75",0,0))</f>
        <v/>
      </c>
      <c r="BB357" s="30" t="inlineStr">
        <is>
          <t>Stage 1</t>
        </is>
      </c>
      <c r="BC357" s="30">
        <f>IF(BB357="Stage 2",20,IF(BB357="Stage 1",0,IF(BB357="Stage 3",5,IF(BB357="Stage 4",-5,0))))</f>
        <v/>
      </c>
      <c r="BD357" s="30" t="inlineStr">
        <is>
          <t>Positive Trend</t>
        </is>
      </c>
      <c r="BE357" s="30">
        <f>IF(BD357="Positive Trend",20,IF(BD357="Negative Trend",-10,0))</f>
        <v/>
      </c>
      <c r="BF357" s="30" t="inlineStr">
        <is>
          <t>Uptrend</t>
        </is>
      </c>
      <c r="BG357" s="30">
        <f>IF(BF357="Uptrend",10,IF(BF357="Sideways",5,0))</f>
        <v/>
      </c>
      <c r="BH357" s="30" t="inlineStr">
        <is>
          <t>Uptrend</t>
        </is>
      </c>
      <c r="BI357" s="30">
        <f>IF(BH357="Uptrend",10,IF(BH357="Sideways",5,0))</f>
        <v/>
      </c>
      <c r="BJ357" s="30" t="inlineStr">
        <is>
          <t>Close to 52 week high or retracement</t>
        </is>
      </c>
      <c r="BK357" s="30">
        <f>IF(BJ357="Overhead supply in last 2 years in last 2 years",-5,IF(BJ357="Close to 52 week high or retracement",5,IF(BJ357="Blue sky scenario",10,IF(BJ357="Long term Downtrend",-10,0))))</f>
        <v/>
      </c>
      <c r="BL357" s="30" t="inlineStr">
        <is>
          <t>Yes</t>
        </is>
      </c>
      <c r="BM357" s="30">
        <f>IF(BL357="Yes",10,0)</f>
        <v/>
      </c>
      <c r="BN357" s="30" t="inlineStr">
        <is>
          <t>Less than 12%</t>
        </is>
      </c>
      <c r="BO357" s="30">
        <f>IF(BN357="More than 20%",10,IF(BN357="Between 12 to 20%",5,IF(BN357="Less than 12%",0,0)))</f>
        <v/>
      </c>
      <c r="BP357" s="30" t="inlineStr">
        <is>
          <t>No</t>
        </is>
      </c>
      <c r="BQ357" s="30">
        <f>IF(BP357="No",10,0)</f>
        <v/>
      </c>
      <c r="BR357" s="30" t="inlineStr">
        <is>
          <t>Yes</t>
        </is>
      </c>
      <c r="BS357" s="30">
        <f>IF(BR357="NO",5,0)</f>
        <v/>
      </c>
      <c r="BT357" s="30" t="inlineStr">
        <is>
          <t>Above 2</t>
        </is>
      </c>
      <c r="BU357" s="30">
        <f>IF(BT357="Above 2",0,IF(BT357="Between 1.5 to 2",5,IF(BT357="Less than 1.5",10,0)))</f>
        <v/>
      </c>
      <c r="BV357" s="30" t="inlineStr">
        <is>
          <t>Less than 50%</t>
        </is>
      </c>
      <c r="BW357" s="30">
        <f>IF(BV357="Above 70%",10,IF(BV357="Between 50% to 70%",5,IF(BV357="Less than 50%",0,IF(BV357="Negative",-10,IF(BV357="Less than 50% and Borrowings are increasing",-5,0)))))</f>
        <v/>
      </c>
      <c r="BX357" s="30" t="inlineStr">
        <is>
          <t>Less than 0.7</t>
        </is>
      </c>
      <c r="BY357" s="30">
        <f>IF(BX357="More than 1.2",-10,IF(BX357="Between 0.7 to 1.2",0,IF(BX357="Less than 0.7",10,0)))</f>
        <v/>
      </c>
      <c r="BZ357" s="30" t="inlineStr">
        <is>
          <t>No</t>
        </is>
      </c>
      <c r="CA357" s="30">
        <f>IF(BZ357="Yes",-10,0)</f>
        <v/>
      </c>
      <c r="CB357" s="30" t="inlineStr">
        <is>
          <t>Less than 15%</t>
        </is>
      </c>
      <c r="CC357" s="30">
        <f>IF(CB357="More than 15%",-10,IF(CB357="Less than 15%",10,0))</f>
        <v/>
      </c>
      <c r="CD357" s="30" t="inlineStr">
        <is>
          <t>No</t>
        </is>
      </c>
      <c r="CE357" s="30">
        <f>IF(CD357="Yes, more than 10%",-10,IF(CD357="No",10,0))</f>
        <v/>
      </c>
    </row>
    <row r="358">
      <c r="A358" s="30">
        <f>IF(B358=0,"",RANK(B358,$B$2:$B$427,0))</f>
        <v/>
      </c>
      <c r="B358" s="31">
        <f>SUM(N358,Y358,AA358,AC358,AE358,AG358,AI358,AK358,AM358,AO358,AQ358,AS358,AU358,AW358,AY358,BA358,BC358,BE358,BG358,BI358,BK358,BM358,BO358,BQ358,BS358,BU358,BW358,BY358,CA358,CC358,CE358)</f>
        <v/>
      </c>
      <c r="C358" s="30" t="inlineStr">
        <is>
          <t>ITI</t>
        </is>
      </c>
      <c r="D358" s="30" t="inlineStr">
        <is>
          <t>Iti Limited</t>
        </is>
      </c>
      <c r="E358" s="30" t="inlineStr">
        <is>
          <t>aerospace &amp; defence</t>
        </is>
      </c>
      <c r="F358" s="30" t="inlineStr">
        <is>
          <t>telecommunications - equipment</t>
        </is>
      </c>
      <c r="G358" s="30" t="inlineStr">
        <is>
          <t>largecap</t>
        </is>
      </c>
      <c r="H358" s="31" t="n">
        <v>29959.14</v>
      </c>
      <c r="I358" s="31" t="n">
        <v>312.45</v>
      </c>
      <c r="J358" s="31" t="n">
        <v>0.42</v>
      </c>
      <c r="K358" s="31" t="n">
        <v>2700187</v>
      </c>
      <c r="L358" s="30" t="n">
        <v>10</v>
      </c>
      <c r="M358" s="30" t="inlineStr">
        <is>
          <t>Outperforming</t>
        </is>
      </c>
      <c r="N358" s="31">
        <f>IF(M358="Underperforming",-5,IF(L358&gt;=95,15,IF(L358&gt;=90,10,IF(L358&gt;=80,5,0))))</f>
        <v/>
      </c>
      <c r="O358" s="31" t="n">
        <v>58.26</v>
      </c>
      <c r="P358" s="31" t="n">
        <v>17.47</v>
      </c>
      <c r="Q358" s="31" t="n">
        <v>239.97</v>
      </c>
      <c r="R358" s="30" t="inlineStr">
        <is>
          <t>Earnings / Momentum Support</t>
        </is>
      </c>
      <c r="S358" s="30" t="inlineStr">
        <is>
          <t>Nifty 50</t>
        </is>
      </c>
      <c r="T358" s="31" t="n">
        <v>-4.38</v>
      </c>
      <c r="U358" s="31" t="n">
        <v>0.9</v>
      </c>
      <c r="V358" s="31" t="n">
        <v>5.52</v>
      </c>
      <c r="W358" s="31" t="n">
        <v>3.72</v>
      </c>
      <c r="X358" s="30" t="inlineStr">
        <is>
          <t>Growing Industry</t>
        </is>
      </c>
      <c r="Y358" s="30">
        <f>IF(X358="Growing Industry",10,IF(X358="Cyclical in an Upturn",5,0))</f>
        <v/>
      </c>
      <c r="Z358" s="30" t="inlineStr">
        <is>
          <t>Oligopoly</t>
        </is>
      </c>
      <c r="AA358" s="30">
        <f>IF(Z358="Monopoly",10,IF(Z358="Oligopoly",5,IF(Z358="Duopoly that cooperate",10,IF(Z358="Duopoly that compete",5,IF(Z358="Too many players with High ROCE",5,0)))))</f>
        <v/>
      </c>
      <c r="AB358" s="30" t="inlineStr">
        <is>
          <t>Yes</t>
        </is>
      </c>
      <c r="AC358" s="30">
        <f>IF(AB358="No",5,0)</f>
        <v/>
      </c>
      <c r="AD358" s="30" t="inlineStr">
        <is>
          <t>Headwind</t>
        </is>
      </c>
      <c r="AE358" s="30">
        <f>IF(AD358="Tailwind",10,0)</f>
        <v/>
      </c>
      <c r="AF358" s="30" t="inlineStr">
        <is>
          <t>Structural (10 Years Consistency)</t>
        </is>
      </c>
      <c r="AG358" s="30">
        <f>IF(AF358="Structural (10 Years Consistency)",10,IF(AF358="Shallow Cyclical (2 to 3 years growth)",5,0))</f>
        <v/>
      </c>
      <c r="AH358" s="30" t="inlineStr">
        <is>
          <t>No</t>
        </is>
      </c>
      <c r="AI358" s="30">
        <f>IF(AH358="Yes due to Product Mix change or Operating Leverage",10,IF(AH358="Yes, these are peak margins",-5,IF(AH358="No",5,0)))</f>
        <v/>
      </c>
      <c r="AJ358" s="30" t="inlineStr">
        <is>
          <t>Stable</t>
        </is>
      </c>
      <c r="AK358" s="30">
        <f>IF(AJ358="Stable",10,0)</f>
        <v/>
      </c>
      <c r="AL358" s="30" t="inlineStr">
        <is>
          <t>Yes</t>
        </is>
      </c>
      <c r="AM358" s="30">
        <f>IF(AL358="Yes",10,0)</f>
        <v/>
      </c>
      <c r="AN358" s="30" t="inlineStr">
        <is>
          <t>B2B</t>
        </is>
      </c>
      <c r="AO358" s="30">
        <f>IF(AN358="B2C",10,IF(AN358="B2B",5,0))</f>
        <v/>
      </c>
      <c r="AP358" s="30" t="inlineStr">
        <is>
          <t>No</t>
        </is>
      </c>
      <c r="AQ358" s="30">
        <f>IF(AP358="Yes",10,0)</f>
        <v/>
      </c>
      <c r="AR358" s="30" t="inlineStr">
        <is>
          <t>Higher One Time, Lower Annuity</t>
        </is>
      </c>
      <c r="AS358" s="30">
        <f>IF(AR358="Fully Annuity",10,IF(AR358="Higher Annuity, Lower One Time",5,IF(AR358="Higher One Time, Lower Annuity",3,0)))</f>
        <v/>
      </c>
      <c r="AT358" s="30" t="inlineStr">
        <is>
          <t>Good</t>
        </is>
      </c>
      <c r="AU358" s="30">
        <f>IF(AT358="Good",10,0)</f>
        <v/>
      </c>
      <c r="AV358" s="30" t="inlineStr">
        <is>
          <t>Yes for more than 2 years</t>
        </is>
      </c>
      <c r="AW358" s="30">
        <f>IF(AV358="Yes for more than 2 years",10,IF(AV358="Yes only for next 1 to 2 years",5,0))</f>
        <v/>
      </c>
      <c r="AX358" s="30" t="inlineStr">
        <is>
          <t>0 to 20</t>
        </is>
      </c>
      <c r="AY358" s="30">
        <f>IF(AX358="Above 40",20,IF(AX358="20 to 40",10,IF(AX358="0 to 20",-5,0)))</f>
        <v/>
      </c>
      <c r="AZ358" s="30" t="inlineStr">
        <is>
          <t>Between 50 to 75</t>
        </is>
      </c>
      <c r="BA358" s="30">
        <f>IF(AZ358="Between 50 to 75",10,IF(AZ358="Above 75",0,0))</f>
        <v/>
      </c>
      <c r="BB358" s="30" t="inlineStr">
        <is>
          <t>Stage 2</t>
        </is>
      </c>
      <c r="BC358" s="30">
        <f>IF(BB358="Stage 2",20,IF(BB358="Stage 1",0,IF(BB358="Stage 3",5,IF(BB358="Stage 4",-5,0))))</f>
        <v/>
      </c>
      <c r="BD358" s="30" t="inlineStr">
        <is>
          <t>Positive Trend</t>
        </is>
      </c>
      <c r="BE358" s="30">
        <f>IF(BD358="Positive Trend",20,IF(BD358="Negative Trend",-10,0))</f>
        <v/>
      </c>
      <c r="BF358" s="30" t="inlineStr">
        <is>
          <t>Uptrend</t>
        </is>
      </c>
      <c r="BG358" s="30">
        <f>IF(BF358="Uptrend",10,IF(BF358="Sideways",5,0))</f>
        <v/>
      </c>
      <c r="BH358" s="30" t="inlineStr">
        <is>
          <t>Uptrend</t>
        </is>
      </c>
      <c r="BI358" s="30">
        <f>IF(BH358="Uptrend",10,IF(BH358="Sideways",5,0))</f>
        <v/>
      </c>
      <c r="BJ358" s="30" t="inlineStr">
        <is>
          <t>Close to 52 week high or retracement</t>
        </is>
      </c>
      <c r="BK358" s="30">
        <f>IF(BJ358="Overhead supply in last 2 years in last 2 years",-5,IF(BJ358="Close to 52 week high or retracement",5,IF(BJ358="Blue sky scenario",10,IF(BJ358="Long term Downtrend",-10,0))))</f>
        <v/>
      </c>
      <c r="BL358" s="30" t="inlineStr">
        <is>
          <t>Yes</t>
        </is>
      </c>
      <c r="BM358" s="30">
        <f>IF(BL358="Yes",10,0)</f>
        <v/>
      </c>
      <c r="BN358" s="30" t="inlineStr">
        <is>
          <t>More than 20%</t>
        </is>
      </c>
      <c r="BO358" s="30">
        <f>IF(BN358="More than 20%",10,IF(BN358="Between 12 to 20%",5,IF(BN358="Less than 12%",0,0)))</f>
        <v/>
      </c>
      <c r="BP358" s="30" t="inlineStr">
        <is>
          <t>No</t>
        </is>
      </c>
      <c r="BQ358" s="30">
        <f>IF(BP358="No",10,0)</f>
        <v/>
      </c>
      <c r="BR358" s="30" t="inlineStr">
        <is>
          <t>Yes</t>
        </is>
      </c>
      <c r="BS358" s="30">
        <f>IF(BR358="NO",5,0)</f>
        <v/>
      </c>
      <c r="BT358" s="30" t="inlineStr">
        <is>
          <t>Above 2</t>
        </is>
      </c>
      <c r="BU358" s="30">
        <f>IF(BT358="Above 2",0,IF(BT358="Between 1.5 to 2",5,IF(BT358="Less than 1.5",10,0)))</f>
        <v/>
      </c>
      <c r="BV358" s="30" t="inlineStr">
        <is>
          <t>Negative</t>
        </is>
      </c>
      <c r="BW358" s="30">
        <f>IF(BV358="Above 70%",10,IF(BV358="Between 50% to 70%",5,IF(BV358="Less than 50%",0,IF(BV358="Negative",-10,IF(BV358="Less than 50% and Borrowings are increasing",-5,0)))))</f>
        <v/>
      </c>
      <c r="BX358" s="30" t="inlineStr">
        <is>
          <t>Less than 0.7</t>
        </is>
      </c>
      <c r="BY358" s="30">
        <f>IF(BX358="More than 1.2",-10,IF(BX358="Between 0.7 to 1.2",0,IF(BX358="Less than 0.7",10,0)))</f>
        <v/>
      </c>
      <c r="BZ358" s="30" t="inlineStr">
        <is>
          <t>No</t>
        </is>
      </c>
      <c r="CA358" s="30">
        <f>IF(BZ358="Yes",-10,0)</f>
        <v/>
      </c>
      <c r="CB358" s="30" t="inlineStr">
        <is>
          <t>Less than 15%</t>
        </is>
      </c>
      <c r="CC358" s="30">
        <f>IF(CB358="More than 15%",-10,IF(CB358="Less than 15%",10,0))</f>
        <v/>
      </c>
      <c r="CD358" s="30" t="inlineStr">
        <is>
          <t>No</t>
        </is>
      </c>
      <c r="CE358" s="30">
        <f>IF(CD358="Yes, more than 10%",-10,IF(CD358="No",10,0))</f>
        <v/>
      </c>
    </row>
    <row r="359">
      <c r="A359" s="30">
        <f>IF(B359=0,"",RANK(B359,$B$2:$B$427,0))</f>
        <v/>
      </c>
      <c r="B359" s="31">
        <f>SUM(N359,Y359,AA359,AC359,AE359,AG359,AI359,AK359,AM359,AO359,AQ359,AS359,AU359,AW359,AY359,BA359,BC359,BE359,BG359,BI359,BK359,BM359,BO359,BQ359,BS359,BU359,BW359,BY359,CA359,CC359,CE359)</f>
        <v/>
      </c>
      <c r="C359" s="32" t="inlineStr">
        <is>
          <t>ENDURANCE</t>
        </is>
      </c>
      <c r="D359" s="32" t="inlineStr">
        <is>
          <t>Endurance Technologies Limited</t>
        </is>
      </c>
      <c r="E359" s="30" t="inlineStr">
        <is>
          <t>auto</t>
        </is>
      </c>
      <c r="F359" s="30" t="inlineStr">
        <is>
          <t>auto ancillaries</t>
        </is>
      </c>
      <c r="G359" s="30" t="inlineStr">
        <is>
          <t>largecap</t>
        </is>
      </c>
      <c r="H359" s="31" t="n">
        <v>36900.08</v>
      </c>
      <c r="I359" s="31" t="n">
        <v>2622.4</v>
      </c>
      <c r="J359" s="31" t="n">
        <v>-0.03</v>
      </c>
      <c r="K359" s="31" t="n">
        <v>79748</v>
      </c>
      <c r="L359" s="30" t="n">
        <v>11</v>
      </c>
      <c r="M359" s="30" t="inlineStr">
        <is>
          <t>Underperforming</t>
        </is>
      </c>
      <c r="N359" s="31">
        <f>IF(M359="Underperforming",-5,IF(L359&gt;=95,15,IF(L359&gt;=90,10,IF(L359&gt;=80,5,0))))</f>
        <v/>
      </c>
      <c r="O359" s="31" t="n">
        <v>54.54</v>
      </c>
      <c r="P359" s="31" t="n">
        <v>13.86</v>
      </c>
      <c r="Q359" s="31" t="n">
        <v>2167.28</v>
      </c>
      <c r="R359" s="30" t="inlineStr">
        <is>
          <t>Earnings / Momentum Support</t>
        </is>
      </c>
      <c r="S359" s="30" t="inlineStr">
        <is>
          <t>Nifty Auto</t>
        </is>
      </c>
      <c r="T359" s="31" t="n">
        <v>12.26</v>
      </c>
      <c r="U359" s="31" t="n">
        <v>2.2</v>
      </c>
      <c r="V359" s="31" t="n">
        <v>-8.960000000000001</v>
      </c>
      <c r="W359" s="31" t="n">
        <v>4.09</v>
      </c>
      <c r="X359" s="30" t="inlineStr">
        <is>
          <t>Growing Industry</t>
        </is>
      </c>
      <c r="Y359" s="30">
        <f>IF(X359="Growing Industry",10,IF(X359="Cyclical in an Upturn",5,0))</f>
        <v/>
      </c>
      <c r="Z359" s="30" t="inlineStr">
        <is>
          <t>Too Many Players with High ROCE</t>
        </is>
      </c>
      <c r="AA359" s="30">
        <f>IF(Z359="Monopoly",10,IF(Z359="Oligopoly",5,IF(Z359="Duopoly that cooperate",10,IF(Z359="Duopoly that compete",5,IF(Z359="Too many players with High ROCE",5,0)))))</f>
        <v/>
      </c>
      <c r="AB359" s="30" t="inlineStr">
        <is>
          <t>No</t>
        </is>
      </c>
      <c r="AC359" s="30">
        <f>IF(AB359="No",5,0)</f>
        <v/>
      </c>
      <c r="AD359" s="30" t="inlineStr">
        <is>
          <t>Tailwind</t>
        </is>
      </c>
      <c r="AE359" s="30">
        <f>IF(AD359="Tailwind",10,0)</f>
        <v/>
      </c>
      <c r="AF359" s="30" t="inlineStr">
        <is>
          <t>Structural (10 Years Consistency)</t>
        </is>
      </c>
      <c r="AG359" s="30">
        <f>IF(AF359="Structural (10 Years Consistency)",10,IF(AF359="Shallow Cyclical (2 to 3 years growth)",5,0))</f>
        <v/>
      </c>
      <c r="AH359" s="30" t="inlineStr">
        <is>
          <t>No</t>
        </is>
      </c>
      <c r="AI359" s="30">
        <f>IF(AH359="Yes due to Product Mix change or Operating Leverage",10,IF(AH359="Yes, these are peak margins",-5,IF(AH359="No",5,0)))</f>
        <v/>
      </c>
      <c r="AJ359" s="30" t="inlineStr">
        <is>
          <t>Stable</t>
        </is>
      </c>
      <c r="AK359" s="30">
        <f>IF(AJ359="Stable",10,0)</f>
        <v/>
      </c>
      <c r="AL359" s="30" t="inlineStr">
        <is>
          <t>Yes</t>
        </is>
      </c>
      <c r="AM359" s="30">
        <f>IF(AL359="Yes",10,0)</f>
        <v/>
      </c>
      <c r="AN359" s="30" t="inlineStr">
        <is>
          <t>B2B</t>
        </is>
      </c>
      <c r="AO359" s="30">
        <f>IF(AN359="B2C",10,IF(AN359="B2B",5,0))</f>
        <v/>
      </c>
      <c r="AP359" s="30" t="inlineStr">
        <is>
          <t>No</t>
        </is>
      </c>
      <c r="AQ359" s="30">
        <f>IF(AP359="Yes",10,0)</f>
        <v/>
      </c>
      <c r="AR359" s="30" t="inlineStr">
        <is>
          <t>Higher One Time, Lower Annuity</t>
        </is>
      </c>
      <c r="AS359" s="30">
        <f>IF(AR359="Fully Annuity",10,IF(AR359="Higher Annuity, Lower One Time",5,IF(AR359="Higher One Time, Lower Annuity",3,0)))</f>
        <v/>
      </c>
      <c r="AT359" s="30" t="inlineStr">
        <is>
          <t>Good</t>
        </is>
      </c>
      <c r="AU359" s="30">
        <f>IF(AT359="Good",10,0)</f>
        <v/>
      </c>
      <c r="AV359" s="30" t="inlineStr">
        <is>
          <t>Yes for more than 2 years</t>
        </is>
      </c>
      <c r="AW359" s="30">
        <f>IF(AV359="Yes for more than 2 years",10,IF(AV359="Yes only for next 1 to 2 years",5,0))</f>
        <v/>
      </c>
      <c r="AX359" s="30" t="inlineStr">
        <is>
          <t>0 to 20</t>
        </is>
      </c>
      <c r="AY359" s="30">
        <f>IF(AX359="Above 40",20,IF(AX359="20 to 40",10,IF(AX359="0 to 20",-5,0)))</f>
        <v/>
      </c>
      <c r="AZ359" s="30" t="inlineStr">
        <is>
          <t>Between 50 to 75</t>
        </is>
      </c>
      <c r="BA359" s="30">
        <f>IF(AZ359="Between 50 to 75",10,IF(AZ359="Above 75",0,0))</f>
        <v/>
      </c>
      <c r="BB359" s="30" t="inlineStr">
        <is>
          <t>Stage 2</t>
        </is>
      </c>
      <c r="BC359" s="30">
        <f>IF(BB359="Stage 2",20,IF(BB359="Stage 1",0,IF(BB359="Stage 3",5,IF(BB359="Stage 4",-5,0))))</f>
        <v/>
      </c>
      <c r="BD359" s="30" t="inlineStr">
        <is>
          <t>Negative Trend</t>
        </is>
      </c>
      <c r="BE359" s="30">
        <f>IF(BD359="Positive Trend",20,IF(BD359="Negative Trend",-10,0))</f>
        <v/>
      </c>
      <c r="BF359" s="30" t="inlineStr">
        <is>
          <t>Uptrend</t>
        </is>
      </c>
      <c r="BG359" s="30">
        <f>IF(BF359="Uptrend",10,IF(BF359="Sideways",5,0))</f>
        <v/>
      </c>
      <c r="BH359" s="30" t="inlineStr">
        <is>
          <t>Uptrend</t>
        </is>
      </c>
      <c r="BI359" s="30">
        <f>IF(BH359="Uptrend",10,IF(BH359="Sideways",5,0))</f>
        <v/>
      </c>
      <c r="BJ359" s="30" t="inlineStr">
        <is>
          <t>Close to 52 week high or retracement</t>
        </is>
      </c>
      <c r="BK359" s="30">
        <f>IF(BJ359="Overhead supply in last 2 years in last 2 years",-5,IF(BJ359="Close to 52 week high or retracement",5,IF(BJ359="Blue sky scenario",10,IF(BJ359="Long term Downtrend",-10,0))))</f>
        <v/>
      </c>
      <c r="BL359" s="30" t="inlineStr">
        <is>
          <t>Yes</t>
        </is>
      </c>
      <c r="BM359" s="30">
        <f>IF(BL359="Yes",10,0)</f>
        <v/>
      </c>
      <c r="BN359" s="30" t="inlineStr">
        <is>
          <t>Between 12 to 20%</t>
        </is>
      </c>
      <c r="BO359" s="30">
        <f>IF(BN359="More than 20%",10,IF(BN359="Between 12 to 20%",5,IF(BN359="Less than 12%",0,0)))</f>
        <v/>
      </c>
      <c r="BP359" s="30" t="inlineStr">
        <is>
          <t>No</t>
        </is>
      </c>
      <c r="BQ359" s="30">
        <f>IF(BP359="No",10,0)</f>
        <v/>
      </c>
      <c r="BR359" s="30" t="inlineStr">
        <is>
          <t>No</t>
        </is>
      </c>
      <c r="BS359" s="30">
        <f>IF(BR359="NO",5,0)</f>
        <v/>
      </c>
      <c r="BT359" s="30" t="inlineStr">
        <is>
          <t>Above 2</t>
        </is>
      </c>
      <c r="BU359" s="30">
        <f>IF(BT359="Above 2",0,IF(BT359="Between 1.5 to 2",5,IF(BT359="Less than 1.5",10,0)))</f>
        <v/>
      </c>
      <c r="BV359" s="30" t="inlineStr">
        <is>
          <t>Above 70%</t>
        </is>
      </c>
      <c r="BW359" s="30">
        <f>IF(BV359="Above 70%",10,IF(BV359="Between 50% to 70%",5,IF(BV359="Less than 50%",0,IF(BV359="Negative",-10,IF(BV359="Less than 50% and Borrowings are increasing",-5,0)))))</f>
        <v/>
      </c>
      <c r="BX359" s="30" t="inlineStr">
        <is>
          <t>Less than 0.7</t>
        </is>
      </c>
      <c r="BY359" s="30">
        <f>IF(BX359="More than 1.2",-10,IF(BX359="Between 0.7 to 1.2",0,IF(BX359="Less than 0.7",10,0)))</f>
        <v/>
      </c>
      <c r="BZ359" s="30" t="inlineStr">
        <is>
          <t>No</t>
        </is>
      </c>
      <c r="CA359" s="30">
        <f>IF(BZ359="Yes",-10,0)</f>
        <v/>
      </c>
      <c r="CB359" s="30" t="inlineStr">
        <is>
          <t>Less than 15%</t>
        </is>
      </c>
      <c r="CC359" s="30">
        <f>IF(CB359="More than 15%",-10,IF(CB359="Less than 15%",10,0))</f>
        <v/>
      </c>
      <c r="CD359" s="30" t="inlineStr">
        <is>
          <t>No</t>
        </is>
      </c>
      <c r="CE359" s="30">
        <f>IF(CD359="Yes, more than 10%",-10,IF(CD359="No",10,0))</f>
        <v/>
      </c>
    </row>
    <row r="360">
      <c r="A360" s="30">
        <f>IF(B360=0,"",RANK(B360,$B$2:$B$427,0))</f>
        <v/>
      </c>
      <c r="B360" s="31">
        <f>SUM(N360,Y360,AA360,AC360,AE360,AG360,AI360,AK360,AM360,AO360,AQ360,AS360,AU360,AW360,AY360,BA360,BC360,BE360,BG360,BI360,BK360,BM360,BO360,BQ360,BS360,BU360,BW360,BY360,CA360,CC360,CE360)</f>
        <v/>
      </c>
      <c r="C360" s="30" t="inlineStr">
        <is>
          <t>SGIL</t>
        </is>
      </c>
      <c r="D360" s="30" t="inlineStr">
        <is>
          <t>Synergy Green Industries Ltd</t>
        </is>
      </c>
      <c r="E360" s="30" t="inlineStr">
        <is>
          <t>industrials</t>
        </is>
      </c>
      <c r="F360" s="30" t="inlineStr">
        <is>
          <t>castings &amp; forgings</t>
        </is>
      </c>
      <c r="G360" s="30" t="inlineStr">
        <is>
          <t>smallcap</t>
        </is>
      </c>
      <c r="H360" s="31" t="n">
        <v>916.96</v>
      </c>
      <c r="I360" s="31" t="n">
        <v>586.4</v>
      </c>
      <c r="J360" s="31" t="n">
        <v>-0.6</v>
      </c>
      <c r="K360" s="31" t="n">
        <v>4722</v>
      </c>
      <c r="L360" s="30" t="n">
        <v>16</v>
      </c>
      <c r="M360" s="30" t="inlineStr">
        <is>
          <t>Outperforming</t>
        </is>
      </c>
      <c r="N360" s="31">
        <f>IF(M360="Underperforming",-5,IF(L360&gt;=95,15,IF(L360&gt;=90,10,IF(L360&gt;=80,5,0))))</f>
        <v/>
      </c>
      <c r="O360" s="31" t="n">
        <v>59.64</v>
      </c>
      <c r="P360" s="31" t="n">
        <v>19.86</v>
      </c>
      <c r="Q360" s="31" t="n">
        <v>436.99</v>
      </c>
      <c r="R360" s="30" t="inlineStr">
        <is>
          <t>Near 52W High Breakout</t>
        </is>
      </c>
      <c r="S360" s="30" t="inlineStr">
        <is>
          <t>Nifty Infra</t>
        </is>
      </c>
      <c r="T360" s="31" t="n">
        <v>4.18</v>
      </c>
      <c r="U360" s="31" t="n">
        <v>5.96</v>
      </c>
      <c r="V360" s="31" t="n">
        <v>1.71</v>
      </c>
      <c r="W360" s="31" t="n">
        <v>4.9</v>
      </c>
      <c r="X360" s="30" t="inlineStr">
        <is>
          <t>Cyclical in an Upturn</t>
        </is>
      </c>
      <c r="Y360" s="30">
        <f>IF(X360="Growing Industry",10,IF(X360="Cyclical in an Upturn",5,0))</f>
        <v/>
      </c>
      <c r="Z360" s="30" t="inlineStr">
        <is>
          <t>Too Many Players with High ROCE</t>
        </is>
      </c>
      <c r="AA360" s="30">
        <f>IF(Z360="Monopoly",10,IF(Z360="Oligopoly",5,IF(Z360="Duopoly that cooperate",10,IF(Z360="Duopoly that compete",5,IF(Z360="Too many players with High ROCE",5,0)))))</f>
        <v/>
      </c>
      <c r="AB360" s="30" t="inlineStr">
        <is>
          <t>No</t>
        </is>
      </c>
      <c r="AC360" s="30">
        <f>IF(AB360="No",5,0)</f>
        <v/>
      </c>
      <c r="AD360" s="30" t="inlineStr">
        <is>
          <t>Tailwind</t>
        </is>
      </c>
      <c r="AE360" s="30">
        <f>IF(AD360="Tailwind",10,0)</f>
        <v/>
      </c>
      <c r="AF360" s="30" t="inlineStr">
        <is>
          <t>Structural (10 Years Consistency)</t>
        </is>
      </c>
      <c r="AG360" s="30">
        <f>IF(AF360="Structural (10 Years Consistency)",10,IF(AF360="Shallow Cyclical (2 to 3 years growth)",5,0))</f>
        <v/>
      </c>
      <c r="AH360" s="30" t="inlineStr">
        <is>
          <t>No</t>
        </is>
      </c>
      <c r="AI360" s="30">
        <f>IF(AH360="Yes due to Product Mix change or Operating Leverage",10,IF(AH360="Yes, these are peak margins",-5,IF(AH360="No",5,0)))</f>
        <v/>
      </c>
      <c r="AJ360" s="30" t="inlineStr">
        <is>
          <t>Stable</t>
        </is>
      </c>
      <c r="AK360" s="30">
        <f>IF(AJ360="Stable",10,0)</f>
        <v/>
      </c>
      <c r="AL360" s="30" t="inlineStr">
        <is>
          <t>Yes</t>
        </is>
      </c>
      <c r="AM360" s="30">
        <f>IF(AL360="Yes",10,0)</f>
        <v/>
      </c>
      <c r="AN360" s="30" t="inlineStr">
        <is>
          <t>B2B</t>
        </is>
      </c>
      <c r="AO360" s="30">
        <f>IF(AN360="B2C",10,IF(AN360="B2B",5,0))</f>
        <v/>
      </c>
      <c r="AP360" s="30" t="inlineStr">
        <is>
          <t>Yes</t>
        </is>
      </c>
      <c r="AQ360" s="30">
        <f>IF(AP360="Yes",10,0)</f>
        <v/>
      </c>
      <c r="AR360" s="30" t="inlineStr">
        <is>
          <t>Higher One Time, Lower Annuity</t>
        </is>
      </c>
      <c r="AS360" s="30">
        <f>IF(AR360="Fully Annuity",10,IF(AR360="Higher Annuity, Lower One Time",5,IF(AR360="Higher One Time, Lower Annuity",3,0)))</f>
        <v/>
      </c>
      <c r="AT360" s="30" t="inlineStr">
        <is>
          <t>Good</t>
        </is>
      </c>
      <c r="AU360" s="30">
        <f>IF(AT360="Good",10,0)</f>
        <v/>
      </c>
      <c r="AV360" s="30" t="inlineStr">
        <is>
          <t>Yes for more than 2 years</t>
        </is>
      </c>
      <c r="AW360" s="30">
        <f>IF(AV360="Yes for more than 2 years",10,IF(AV360="Yes only for next 1 to 2 years",5,0))</f>
        <v/>
      </c>
      <c r="AX360" s="30" t="inlineStr">
        <is>
          <t>0 to 20</t>
        </is>
      </c>
      <c r="AY360" s="30">
        <f>IF(AX360="Above 40",20,IF(AX360="20 to 40",10,IF(AX360="0 to 20",-5,0)))</f>
        <v/>
      </c>
      <c r="AZ360" s="30" t="inlineStr">
        <is>
          <t>Between 50 to 75</t>
        </is>
      </c>
      <c r="BA360" s="30">
        <f>IF(AZ360="Between 50 to 75",10,IF(AZ360="Above 75",0,0))</f>
        <v/>
      </c>
      <c r="BB360" s="30" t="inlineStr">
        <is>
          <t>Stage 2</t>
        </is>
      </c>
      <c r="BC360" s="30">
        <f>IF(BB360="Stage 2",20,IF(BB360="Stage 1",0,IF(BB360="Stage 3",5,IF(BB360="Stage 4",-5,0))))</f>
        <v/>
      </c>
      <c r="BD360" s="30" t="inlineStr">
        <is>
          <t>Positive Trend</t>
        </is>
      </c>
      <c r="BE360" s="30">
        <f>IF(BD360="Positive Trend",20,IF(BD360="Negative Trend",-10,0))</f>
        <v/>
      </c>
      <c r="BF360" s="30" t="inlineStr">
        <is>
          <t>Uptrend</t>
        </is>
      </c>
      <c r="BG360" s="30">
        <f>IF(BF360="Uptrend",10,IF(BF360="Sideways",5,0))</f>
        <v/>
      </c>
      <c r="BH360" s="30" t="inlineStr">
        <is>
          <t>Uptrend</t>
        </is>
      </c>
      <c r="BI360" s="30">
        <f>IF(BH360="Uptrend",10,IF(BH360="Sideways",5,0))</f>
        <v/>
      </c>
      <c r="BJ360" s="30" t="inlineStr">
        <is>
          <t>Blue sky scenario</t>
        </is>
      </c>
      <c r="BK360" s="30">
        <f>IF(BJ360="Overhead supply in last 2 years in last 2 years",-5,IF(BJ360="Close to 52 week high or retracement",5,IF(BJ360="Blue sky scenario",10,IF(BJ360="Long term Downtrend",-10,0))))</f>
        <v/>
      </c>
      <c r="BL360" s="30" t="inlineStr">
        <is>
          <t>Yes</t>
        </is>
      </c>
      <c r="BM360" s="30">
        <f>IF(BL360="Yes",10,0)</f>
        <v/>
      </c>
      <c r="BN360" s="30" t="inlineStr">
        <is>
          <t>Less than 12%</t>
        </is>
      </c>
      <c r="BO360" s="30">
        <f>IF(BN360="More than 20%",10,IF(BN360="Between 12 to 20%",5,IF(BN360="Less than 12%",0,0)))</f>
        <v/>
      </c>
      <c r="BP360" s="30" t="inlineStr">
        <is>
          <t>No</t>
        </is>
      </c>
      <c r="BQ360" s="30">
        <f>IF(BP360="No",10,0)</f>
        <v/>
      </c>
      <c r="BR360" s="30" t="inlineStr">
        <is>
          <t>Yes</t>
        </is>
      </c>
      <c r="BS360" s="30">
        <f>IF(BR360="NO",5,0)</f>
        <v/>
      </c>
      <c r="BT360" s="30" t="inlineStr">
        <is>
          <t>Above 2</t>
        </is>
      </c>
      <c r="BU360" s="30">
        <f>IF(BT360="Above 2",0,IF(BT360="Between 1.5 to 2",5,IF(BT360="Less than 1.5",10,0)))</f>
        <v/>
      </c>
      <c r="BV360" s="30" t="inlineStr">
        <is>
          <t>Less than 50% and Borrowings are increasing</t>
        </is>
      </c>
      <c r="BW360" s="30">
        <f>IF(BV360="Above 70%",10,IF(BV360="Between 50% to 70%",5,IF(BV360="Less than 50%",0,IF(BV360="Negative",-10,IF(BV360="Less than 50% and Borrowings are increasing",-5,0)))))</f>
        <v/>
      </c>
      <c r="BX360" s="30" t="inlineStr">
        <is>
          <t>More than 1.2</t>
        </is>
      </c>
      <c r="BY360" s="30">
        <f>IF(BX360="More than 1.2",-10,IF(BX360="Between 0.7 to 1.2",0,IF(BX360="Less than 0.7",10,0)))</f>
        <v/>
      </c>
      <c r="BZ360" s="30" t="inlineStr">
        <is>
          <t>No</t>
        </is>
      </c>
      <c r="CA360" s="30">
        <f>IF(BZ360="Yes",-10,0)</f>
        <v/>
      </c>
      <c r="CB360" s="30" t="inlineStr">
        <is>
          <t>Less than 15%</t>
        </is>
      </c>
      <c r="CC360" s="30">
        <f>IF(CB360="More than 15%",-10,IF(CB360="Less than 15%",10,0))</f>
        <v/>
      </c>
      <c r="CD360" s="30" t="inlineStr">
        <is>
          <t>No</t>
        </is>
      </c>
      <c r="CE360" s="30">
        <f>IF(CD360="Yes, more than 10%",-10,IF(CD360="No",10,0))</f>
        <v/>
      </c>
    </row>
    <row r="361">
      <c r="A361" s="30">
        <f>IF(B361=0,"",RANK(B361,$B$2:$B$427,0))</f>
        <v/>
      </c>
      <c r="B361" s="31">
        <f>SUM(N361,Y361,AA361,AC361,AE361,AG361,AI361,AK361,AM361,AO361,AQ361,AS361,AU361,AW361,AY361,BA361,BC361,BE361,BG361,BI361,BK361,BM361,BO361,BQ361,BS361,BU361,BW361,BY361,CA361,CC361,CE361)</f>
        <v/>
      </c>
      <c r="C361" s="32" t="inlineStr">
        <is>
          <t>SILVERTUC</t>
        </is>
      </c>
      <c r="D361" s="32" t="inlineStr">
        <is>
          <t>Silver Touch Technologies Ltd</t>
        </is>
      </c>
      <c r="E361" s="30" t="inlineStr">
        <is>
          <t>i.t</t>
        </is>
      </c>
      <c r="F361" s="30" t="inlineStr">
        <is>
          <t>computers - software - medium / small</t>
        </is>
      </c>
      <c r="G361" s="30" t="inlineStr">
        <is>
          <t>smallcap</t>
        </is>
      </c>
      <c r="H361" s="31" t="n">
        <v>2354.73</v>
      </c>
      <c r="I361" s="31" t="n">
        <v>186.06</v>
      </c>
      <c r="J361" s="31" t="n">
        <v>0.2</v>
      </c>
      <c r="K361" s="31" t="n">
        <v>444863</v>
      </c>
      <c r="L361" s="30" t="n">
        <v>20</v>
      </c>
      <c r="M361" s="30" t="inlineStr">
        <is>
          <t>Underperforming</t>
        </is>
      </c>
      <c r="N361" s="31">
        <f>IF(M361="Underperforming",-5,IF(L361&gt;=95,15,IF(L361&gt;=90,10,IF(L361&gt;=80,5,0))))</f>
        <v/>
      </c>
      <c r="O361" s="31" t="n">
        <v>39.97</v>
      </c>
      <c r="P361" s="31" t="n">
        <v>39.89</v>
      </c>
      <c r="Q361" s="31" t="n">
        <v>79.65000000000001</v>
      </c>
      <c r="R361" s="30" t="inlineStr">
        <is>
          <t>Earnings / Momentum Support</t>
        </is>
      </c>
      <c r="S361" s="30" t="inlineStr">
        <is>
          <t>Nifty IT</t>
        </is>
      </c>
      <c r="T361" s="31" t="n">
        <v>-29.66</v>
      </c>
      <c r="U361" s="31" t="n">
        <v>-75.68000000000001</v>
      </c>
      <c r="V361" s="31" t="n">
        <v>-65.42</v>
      </c>
      <c r="W361" s="31" t="n">
        <v>5.79</v>
      </c>
      <c r="X361" s="30" t="inlineStr">
        <is>
          <t>Growing Industry</t>
        </is>
      </c>
      <c r="Y361" s="30">
        <f>IF(X361="Growing Industry",10,IF(X361="Cyclical in an Upturn",5,0))</f>
        <v/>
      </c>
      <c r="Z361" s="30" t="inlineStr">
        <is>
          <t>Too Many Players with High ROCE</t>
        </is>
      </c>
      <c r="AA361" s="30">
        <f>IF(Z361="Monopoly",10,IF(Z361="Oligopoly",5,IF(Z361="Duopoly that cooperate",10,IF(Z361="Duopoly that compete",5,IF(Z361="Too many players with High ROCE",5,0)))))</f>
        <v/>
      </c>
      <c r="AB361" s="30" t="inlineStr">
        <is>
          <t>No</t>
        </is>
      </c>
      <c r="AC361" s="30">
        <f>IF(AB361="No",5,0)</f>
        <v/>
      </c>
      <c r="AD361" s="30" t="inlineStr">
        <is>
          <t>Headwind</t>
        </is>
      </c>
      <c r="AE361" s="30">
        <f>IF(AD361="Tailwind",10,0)</f>
        <v/>
      </c>
      <c r="AF361" s="30" t="inlineStr">
        <is>
          <t>Structural (10 Years Consistency)</t>
        </is>
      </c>
      <c r="AG361" s="30">
        <f>IF(AF361="Structural (10 Years Consistency)",10,IF(AF361="Shallow Cyclical (2 to 3 years growth)",5,0))</f>
        <v/>
      </c>
      <c r="AH361" s="30" t="inlineStr">
        <is>
          <t>No</t>
        </is>
      </c>
      <c r="AI361" s="30">
        <f>IF(AH361="Yes due to Product Mix change or Operating Leverage",10,IF(AH361="Yes, these are peak margins",-5,IF(AH361="No",5,0)))</f>
        <v/>
      </c>
      <c r="AJ361" s="30" t="inlineStr">
        <is>
          <t>Stable</t>
        </is>
      </c>
      <c r="AK361" s="30">
        <f>IF(AJ361="Stable",10,0)</f>
        <v/>
      </c>
      <c r="AL361" s="30" t="inlineStr">
        <is>
          <t>Yes</t>
        </is>
      </c>
      <c r="AM361" s="30">
        <f>IF(AL361="Yes",10,0)</f>
        <v/>
      </c>
      <c r="AN361" s="30" t="inlineStr">
        <is>
          <t>B2B</t>
        </is>
      </c>
      <c r="AO361" s="30">
        <f>IF(AN361="B2C",10,IF(AN361="B2B",5,0))</f>
        <v/>
      </c>
      <c r="AP361" s="30" t="inlineStr">
        <is>
          <t>No</t>
        </is>
      </c>
      <c r="AQ361" s="30">
        <f>IF(AP361="Yes",10,0)</f>
        <v/>
      </c>
      <c r="AR361" s="30" t="inlineStr">
        <is>
          <t>Higher Annuity, Lower One Time</t>
        </is>
      </c>
      <c r="AS361" s="30">
        <f>IF(AR361="Fully Annuity",10,IF(AR361="Higher Annuity, Lower One Time",5,IF(AR361="Higher One Time, Lower Annuity",3,0)))</f>
        <v/>
      </c>
      <c r="AT361" s="30" t="inlineStr">
        <is>
          <t>Good</t>
        </is>
      </c>
      <c r="AU361" s="30">
        <f>IF(AT361="Good",10,0)</f>
        <v/>
      </c>
      <c r="AV361" s="30" t="inlineStr">
        <is>
          <t>Yes for more than 2 years</t>
        </is>
      </c>
      <c r="AW361" s="30">
        <f>IF(AV361="Yes for more than 2 years",10,IF(AV361="Yes only for next 1 to 2 years",5,0))</f>
        <v/>
      </c>
      <c r="AX361" s="30" t="inlineStr">
        <is>
          <t>20 to 40</t>
        </is>
      </c>
      <c r="AY361" s="30">
        <f>IF(AX361="Above 40",20,IF(AX361="20 to 40",10,IF(AX361="0 to 20",-5,0)))</f>
        <v/>
      </c>
      <c r="AZ361" s="30" t="inlineStr">
        <is>
          <t>Below 45</t>
        </is>
      </c>
      <c r="BA361" s="30">
        <f>IF(AZ361="Between 50 to 75",10,IF(AZ361="Above 75",0,0))</f>
        <v/>
      </c>
      <c r="BB361" s="30" t="inlineStr">
        <is>
          <t>Stage 4</t>
        </is>
      </c>
      <c r="BC361" s="30">
        <f>IF(BB361="Stage 2",20,IF(BB361="Stage 1",0,IF(BB361="Stage 3",5,IF(BB361="Stage 4",-5,0))))</f>
        <v/>
      </c>
      <c r="BD361" s="30" t="inlineStr">
        <is>
          <t>Positive Trend</t>
        </is>
      </c>
      <c r="BE361" s="30">
        <f>IF(BD361="Positive Trend",20,IF(BD361="Negative Trend",-10,0))</f>
        <v/>
      </c>
      <c r="BF361" s="30" t="inlineStr">
        <is>
          <t>Uptrend</t>
        </is>
      </c>
      <c r="BG361" s="30">
        <f>IF(BF361="Uptrend",10,IF(BF361="Sideways",5,0))</f>
        <v/>
      </c>
      <c r="BH361" s="30" t="inlineStr">
        <is>
          <t>Uptrend</t>
        </is>
      </c>
      <c r="BI361" s="30">
        <f>IF(BH361="Uptrend",10,IF(BH361="Sideways",5,0))</f>
        <v/>
      </c>
      <c r="BJ361" s="30" t="inlineStr">
        <is>
          <t>Close to 52 week high or retracement</t>
        </is>
      </c>
      <c r="BK361" s="30">
        <f>IF(BJ361="Overhead supply in last 2 years in last 2 years",-5,IF(BJ361="Close to 52 week high or retracement",5,IF(BJ361="Blue sky scenario",10,IF(BJ361="Long term Downtrend",-10,0))))</f>
        <v/>
      </c>
      <c r="BL361" s="30" t="inlineStr">
        <is>
          <t>Yes</t>
        </is>
      </c>
      <c r="BM361" s="30">
        <f>IF(BL361="Yes",10,0)</f>
        <v/>
      </c>
      <c r="BN361" s="30" t="inlineStr">
        <is>
          <t>More than 20%</t>
        </is>
      </c>
      <c r="BO361" s="30">
        <f>IF(BN361="More than 20%",10,IF(BN361="Between 12 to 20%",5,IF(BN361="Less than 12%",0,0)))</f>
        <v/>
      </c>
      <c r="BP361" s="30" t="inlineStr">
        <is>
          <t>No</t>
        </is>
      </c>
      <c r="BQ361" s="30">
        <f>IF(BP361="No",10,0)</f>
        <v/>
      </c>
      <c r="BR361" s="30" t="inlineStr">
        <is>
          <t>Yes</t>
        </is>
      </c>
      <c r="BS361" s="30">
        <f>IF(BR361="NO",5,0)</f>
        <v/>
      </c>
      <c r="BT361" s="30" t="inlineStr">
        <is>
          <t>Between 1.5 to 2</t>
        </is>
      </c>
      <c r="BU361" s="30">
        <f>IF(BT361="Above 2",0,IF(BT361="Between 1.5 to 2",5,IF(BT361="Less than 1.5",10,0)))</f>
        <v/>
      </c>
      <c r="BV361" s="30" t="inlineStr">
        <is>
          <t>Less than 50%</t>
        </is>
      </c>
      <c r="BW361" s="30">
        <f>IF(BV361="Above 70%",10,IF(BV361="Between 50% to 70%",5,IF(BV361="Less than 50%",0,IF(BV361="Negative",-10,IF(BV361="Less than 50% and Borrowings are increasing",-5,0)))))</f>
        <v/>
      </c>
      <c r="BX361" s="30" t="inlineStr">
        <is>
          <t>Less than 0.7</t>
        </is>
      </c>
      <c r="BY361" s="30">
        <f>IF(BX361="More than 1.2",-10,IF(BX361="Between 0.7 to 1.2",0,IF(BX361="Less than 0.7",10,0)))</f>
        <v/>
      </c>
      <c r="BZ361" s="30" t="inlineStr">
        <is>
          <t>No</t>
        </is>
      </c>
      <c r="CA361" s="30">
        <f>IF(BZ361="Yes",-10,0)</f>
        <v/>
      </c>
      <c r="CB361" s="30" t="inlineStr">
        <is>
          <t>Less than 15%</t>
        </is>
      </c>
      <c r="CC361" s="30">
        <f>IF(CB361="More than 15%",-10,IF(CB361="Less than 15%",10,0))</f>
        <v/>
      </c>
      <c r="CD361" s="30" t="inlineStr">
        <is>
          <t>No</t>
        </is>
      </c>
      <c r="CE361" s="30">
        <f>IF(CD361="Yes, more than 10%",-10,IF(CD361="No",10,0))</f>
        <v/>
      </c>
    </row>
    <row r="362">
      <c r="A362" s="30">
        <f>IF(B362=0,"",RANK(B362,$B$2:$B$427,0))</f>
        <v/>
      </c>
      <c r="B362" s="31">
        <f>SUM(N362,Y362,AA362,AC362,AE362,AG362,AI362,AK362,AM362,AO362,AQ362,AS362,AU362,AW362,AY362,BA362,BC362,BE362,BG362,BI362,BK362,BM362,BO362,BQ362,BS362,BU362,BW362,BY362,CA362,CC362,CE362)</f>
        <v/>
      </c>
      <c r="C362" s="30" t="inlineStr">
        <is>
          <t>ASIANENE</t>
        </is>
      </c>
      <c r="D362" s="30" t="inlineStr">
        <is>
          <t>Asian Energy Services Ltd</t>
        </is>
      </c>
      <c r="E362" s="30" t="inlineStr">
        <is>
          <t>energy</t>
        </is>
      </c>
      <c r="F362" s="30" t="inlineStr">
        <is>
          <t>oil drilling / allied services</t>
        </is>
      </c>
      <c r="G362" s="30" t="inlineStr">
        <is>
          <t>smallcap</t>
        </is>
      </c>
      <c r="H362" s="31" t="n">
        <v>1723.5</v>
      </c>
      <c r="I362" s="31" t="n">
        <v>367.25</v>
      </c>
      <c r="J362" s="31" t="n">
        <v>3.58</v>
      </c>
      <c r="K362" s="31" t="n">
        <v>510795</v>
      </c>
      <c r="L362" s="30" t="n">
        <v>46</v>
      </c>
      <c r="M362" s="30" t="inlineStr">
        <is>
          <t>Outperforming</t>
        </is>
      </c>
      <c r="N362" s="31">
        <f>IF(M362="Underperforming",-5,IF(L362&gt;=95,15,IF(L362&gt;=90,10,IF(L362&gt;=80,5,0))))</f>
        <v/>
      </c>
      <c r="O362" s="31" t="n">
        <v>61.87</v>
      </c>
      <c r="P362" s="31" t="n">
        <v>13.59</v>
      </c>
      <c r="Q362" s="31" t="n">
        <v>274.12</v>
      </c>
      <c r="R362" s="30" t="inlineStr">
        <is>
          <t>Near 52W High Breakout</t>
        </is>
      </c>
      <c r="S362" s="30" t="inlineStr">
        <is>
          <t>Nifty Energy</t>
        </is>
      </c>
      <c r="T362" s="31" t="n">
        <v>13.9</v>
      </c>
      <c r="U362" s="31" t="n">
        <v>25.04</v>
      </c>
      <c r="V362" s="31" t="n">
        <v>9.779999999999999</v>
      </c>
      <c r="W362" s="31" t="n">
        <v>11.81</v>
      </c>
      <c r="X362" s="30" t="inlineStr">
        <is>
          <t>Cyclical in an Upturn</t>
        </is>
      </c>
      <c r="Y362" s="30">
        <f>IF(X362="Growing Industry",10,IF(X362="Cyclical in an Upturn",5,0))</f>
        <v/>
      </c>
      <c r="Z362" s="30" t="inlineStr">
        <is>
          <t>Oligopoly</t>
        </is>
      </c>
      <c r="AA362" s="30">
        <f>IF(Z362="Monopoly",10,IF(Z362="Oligopoly",5,IF(Z362="Duopoly that cooperate",10,IF(Z362="Duopoly that compete",5,IF(Z362="Too many players with High ROCE",5,0)))))</f>
        <v/>
      </c>
      <c r="AB362" s="30" t="inlineStr">
        <is>
          <t>Yes</t>
        </is>
      </c>
      <c r="AC362" s="30">
        <f>IF(AB362="No",5,0)</f>
        <v/>
      </c>
      <c r="AD362" s="30" t="inlineStr">
        <is>
          <t>Tailwind</t>
        </is>
      </c>
      <c r="AE362" s="30">
        <f>IF(AD362="Tailwind",10,0)</f>
        <v/>
      </c>
      <c r="AF362" s="30" t="inlineStr">
        <is>
          <t>Cyclical</t>
        </is>
      </c>
      <c r="AG362" s="30">
        <f>IF(AF362="Structural (10 Years Consistency)",10,IF(AF362="Shallow Cyclical (2 to 3 years growth)",5,0))</f>
        <v/>
      </c>
      <c r="AH362" s="30" t="inlineStr">
        <is>
          <t>No</t>
        </is>
      </c>
      <c r="AI362" s="30">
        <f>IF(AH362="Yes due to Product Mix change or Operating Leverage",10,IF(AH362="Yes, these are peak margins",-5,IF(AH362="No",5,0)))</f>
        <v/>
      </c>
      <c r="AJ362" s="30" t="inlineStr">
        <is>
          <t>Volatile</t>
        </is>
      </c>
      <c r="AK362" s="30">
        <f>IF(AJ362="Stable",10,0)</f>
        <v/>
      </c>
      <c r="AL362" s="30" t="inlineStr">
        <is>
          <t>Yes</t>
        </is>
      </c>
      <c r="AM362" s="30">
        <f>IF(AL362="Yes",10,0)</f>
        <v/>
      </c>
      <c r="AN362" s="30" t="inlineStr">
        <is>
          <t>B2B</t>
        </is>
      </c>
      <c r="AO362" s="30">
        <f>IF(AN362="B2C",10,IF(AN362="B2B",5,0))</f>
        <v/>
      </c>
      <c r="AP362" s="30" t="inlineStr">
        <is>
          <t>Yes</t>
        </is>
      </c>
      <c r="AQ362" s="30">
        <f>IF(AP362="Yes",10,0)</f>
        <v/>
      </c>
      <c r="AR362" s="30" t="inlineStr">
        <is>
          <t>Higher One Time, Lower Annuity</t>
        </is>
      </c>
      <c r="AS362" s="30">
        <f>IF(AR362="Fully Annuity",10,IF(AR362="Higher Annuity, Lower One Time",5,IF(AR362="Higher One Time, Lower Annuity",3,0)))</f>
        <v/>
      </c>
      <c r="AT362" s="30" t="inlineStr">
        <is>
          <t>Good</t>
        </is>
      </c>
      <c r="AU362" s="30">
        <f>IF(AT362="Good",10,0)</f>
        <v/>
      </c>
      <c r="AV362" s="30" t="inlineStr">
        <is>
          <t>Yes for more than 2 years</t>
        </is>
      </c>
      <c r="AW362" s="30">
        <f>IF(AV362="Yes for more than 2 years",10,IF(AV362="Yes only for next 1 to 2 years",5,0))</f>
        <v/>
      </c>
      <c r="AX362" s="30" t="inlineStr">
        <is>
          <t>0 to 20</t>
        </is>
      </c>
      <c r="AY362" s="30">
        <f>IF(AX362="Above 40",20,IF(AX362="20 to 40",10,IF(AX362="0 to 20",-5,0)))</f>
        <v/>
      </c>
      <c r="AZ362" s="30" t="inlineStr">
        <is>
          <t>Between 50 to 75</t>
        </is>
      </c>
      <c r="BA362" s="30">
        <f>IF(AZ362="Between 50 to 75",10,IF(AZ362="Above 75",0,0))</f>
        <v/>
      </c>
      <c r="BB362" s="30" t="inlineStr">
        <is>
          <t>Stage 2</t>
        </is>
      </c>
      <c r="BC362" s="30">
        <f>IF(BB362="Stage 2",20,IF(BB362="Stage 1",0,IF(BB362="Stage 3",5,IF(BB362="Stage 4",-5,0))))</f>
        <v/>
      </c>
      <c r="BD362" s="30" t="inlineStr">
        <is>
          <t>Negative Trend</t>
        </is>
      </c>
      <c r="BE362" s="30">
        <f>IF(BD362="Positive Trend",20,IF(BD362="Negative Trend",-10,0))</f>
        <v/>
      </c>
      <c r="BF362" s="30" t="inlineStr">
        <is>
          <t>Uptrend</t>
        </is>
      </c>
      <c r="BG362" s="30">
        <f>IF(BF362="Uptrend",10,IF(BF362="Sideways",5,0))</f>
        <v/>
      </c>
      <c r="BH362" s="30" t="inlineStr">
        <is>
          <t>Uptrend</t>
        </is>
      </c>
      <c r="BI362" s="30">
        <f>IF(BH362="Uptrend",10,IF(BH362="Sideways",5,0))</f>
        <v/>
      </c>
      <c r="BJ362" s="30" t="inlineStr">
        <is>
          <t>Close to 52 week high or retracement</t>
        </is>
      </c>
      <c r="BK362" s="30">
        <f>IF(BJ362="Overhead supply in last 2 years in last 2 years",-5,IF(BJ362="Close to 52 week high or retracement",5,IF(BJ362="Blue sky scenario",10,IF(BJ362="Long term Downtrend",-10,0))))</f>
        <v/>
      </c>
      <c r="BL362" s="30" t="inlineStr">
        <is>
          <t>Yes</t>
        </is>
      </c>
      <c r="BM362" s="30">
        <f>IF(BL362="Yes",10,0)</f>
        <v/>
      </c>
      <c r="BN362" s="30" t="inlineStr">
        <is>
          <t>More than 20%</t>
        </is>
      </c>
      <c r="BO362" s="30">
        <f>IF(BN362="More than 20%",10,IF(BN362="Between 12 to 20%",5,IF(BN362="Less than 12%",0,0)))</f>
        <v/>
      </c>
      <c r="BP362" s="30" t="inlineStr">
        <is>
          <t>No</t>
        </is>
      </c>
      <c r="BQ362" s="30">
        <f>IF(BP362="No",10,0)</f>
        <v/>
      </c>
      <c r="BR362" s="30" t="inlineStr">
        <is>
          <t>No</t>
        </is>
      </c>
      <c r="BS362" s="30">
        <f>IF(BR362="NO",5,0)</f>
        <v/>
      </c>
      <c r="BT362" s="30" t="inlineStr">
        <is>
          <t>Less than 1.5</t>
        </is>
      </c>
      <c r="BU362" s="30">
        <f>IF(BT362="Above 2",0,IF(BT362="Between 1.5 to 2",5,IF(BT362="Less than 1.5",10,0)))</f>
        <v/>
      </c>
      <c r="BV362" s="30" t="inlineStr">
        <is>
          <t>Between 50% to 70%</t>
        </is>
      </c>
      <c r="BW362" s="30">
        <f>IF(BV362="Above 70%",10,IF(BV362="Between 50% to 70%",5,IF(BV362="Less than 50%",0,IF(BV362="Negative",-10,IF(BV362="Less than 50% and Borrowings are increasing",-5,0)))))</f>
        <v/>
      </c>
      <c r="BX362" s="30" t="inlineStr">
        <is>
          <t>Less than 0.7</t>
        </is>
      </c>
      <c r="BY362" s="30">
        <f>IF(BX362="More than 1.2",-10,IF(BX362="Between 0.7 to 1.2",0,IF(BX362="Less than 0.7",10,0)))</f>
        <v/>
      </c>
      <c r="BZ362" s="30" t="inlineStr">
        <is>
          <t>No</t>
        </is>
      </c>
      <c r="CA362" s="30">
        <f>IF(BZ362="Yes",-10,0)</f>
        <v/>
      </c>
      <c r="CB362" s="30" t="inlineStr">
        <is>
          <t>Less than 15%</t>
        </is>
      </c>
      <c r="CC362" s="30">
        <f>IF(CB362="More than 15%",-10,IF(CB362="Less than 15%",10,0))</f>
        <v/>
      </c>
      <c r="CD362" s="30" t="inlineStr">
        <is>
          <t>No</t>
        </is>
      </c>
      <c r="CE362" s="30">
        <f>IF(CD362="Yes, more than 10%",-10,IF(CD362="No",10,0))</f>
        <v/>
      </c>
    </row>
    <row r="363">
      <c r="A363" s="30">
        <f>IF(B363=0,"",RANK(B363,$B$2:$B$427,0))</f>
        <v/>
      </c>
      <c r="B363" s="31">
        <f>SUM(N363,Y363,AA363,AC363,AE363,AG363,AI363,AK363,AM363,AO363,AQ363,AS363,AU363,AW363,AY363,BA363,BC363,BE363,BG363,BI363,BK363,BM363,BO363,BQ363,BS363,BU363,BW363,BY363,CA363,CC363,CE363)</f>
        <v/>
      </c>
      <c r="C363" s="32" t="inlineStr">
        <is>
          <t>INDHOTEL</t>
        </is>
      </c>
      <c r="D363" s="32" t="inlineStr">
        <is>
          <t>The Indian Hotels Company Limited</t>
        </is>
      </c>
      <c r="E363" s="30" t="inlineStr">
        <is>
          <t>services</t>
        </is>
      </c>
      <c r="F363" s="30" t="inlineStr">
        <is>
          <t>hotels</t>
        </is>
      </c>
      <c r="G363" s="30" t="inlineStr">
        <is>
          <t>largecap</t>
        </is>
      </c>
      <c r="H363" s="31" t="n">
        <v>101127.74</v>
      </c>
      <c r="I363" s="31" t="n">
        <v>724.75</v>
      </c>
      <c r="J363" s="31" t="n">
        <v>2.01</v>
      </c>
      <c r="K363" s="31" t="n">
        <v>3177687</v>
      </c>
      <c r="L363" s="30" t="n">
        <v>6</v>
      </c>
      <c r="M363" s="30" t="inlineStr">
        <is>
          <t>Underperforming</t>
        </is>
      </c>
      <c r="N363" s="31">
        <f>IF(M363="Underperforming",-5,IF(L363&gt;=95,15,IF(L363&gt;=90,10,IF(L363&gt;=80,5,0))))</f>
        <v/>
      </c>
      <c r="O363" s="31" t="n">
        <v>60.38</v>
      </c>
      <c r="P363" s="31" t="n">
        <v>18.12</v>
      </c>
      <c r="Q363" s="31" t="n">
        <v>607.34</v>
      </c>
      <c r="R363" s="30" t="inlineStr">
        <is>
          <t>Earnings / Momentum Support</t>
        </is>
      </c>
      <c r="S363" s="30" t="inlineStr">
        <is>
          <t>Nifty 500</t>
        </is>
      </c>
      <c r="T363" s="31" t="n">
        <v>0.45</v>
      </c>
      <c r="U363" s="31" t="n">
        <v>-5.06</v>
      </c>
      <c r="V363" s="31" t="n">
        <v>-5.49</v>
      </c>
      <c r="W363" s="31" t="n">
        <v>3.11</v>
      </c>
      <c r="X363" s="30" t="inlineStr">
        <is>
          <t>Growing Industry</t>
        </is>
      </c>
      <c r="Y363" s="30">
        <f>IF(X363="Growing Industry",10,IF(X363="Cyclical in an Upturn",5,0))</f>
        <v/>
      </c>
      <c r="Z363" s="30" t="inlineStr">
        <is>
          <t>Too Many Players with High ROCE</t>
        </is>
      </c>
      <c r="AA363" s="30">
        <f>IF(Z363="Monopoly",10,IF(Z363="Oligopoly",5,IF(Z363="Duopoly that cooperate",10,IF(Z363="Duopoly that compete",5,IF(Z363="Too many players with High ROCE",5,0)))))</f>
        <v/>
      </c>
      <c r="AB363" s="30" t="inlineStr">
        <is>
          <t>No</t>
        </is>
      </c>
      <c r="AC363" s="30">
        <f>IF(AB363="No",5,0)</f>
        <v/>
      </c>
      <c r="AD363" s="30" t="inlineStr">
        <is>
          <t>Headwind</t>
        </is>
      </c>
      <c r="AE363" s="30">
        <f>IF(AD363="Tailwind",10,0)</f>
        <v/>
      </c>
      <c r="AF363" s="30" t="inlineStr">
        <is>
          <t>Structural (10 Years Consistency)</t>
        </is>
      </c>
      <c r="AG363" s="30">
        <f>IF(AF363="Structural (10 Years Consistency)",10,IF(AF363="Shallow Cyclical (2 to 3 years growth)",5,0))</f>
        <v/>
      </c>
      <c r="AH363" s="30" t="inlineStr">
        <is>
          <t>No</t>
        </is>
      </c>
      <c r="AI363" s="30">
        <f>IF(AH363="Yes due to Product Mix change or Operating Leverage",10,IF(AH363="Yes, these are peak margins",-5,IF(AH363="No",5,0)))</f>
        <v/>
      </c>
      <c r="AJ363" s="30" t="inlineStr">
        <is>
          <t>Stable</t>
        </is>
      </c>
      <c r="AK363" s="30">
        <f>IF(AJ363="Stable",10,0)</f>
        <v/>
      </c>
      <c r="AL363" s="30" t="inlineStr">
        <is>
          <t>Yes</t>
        </is>
      </c>
      <c r="AM363" s="30">
        <f>IF(AL363="Yes",10,0)</f>
        <v/>
      </c>
      <c r="AN363" s="30" t="inlineStr">
        <is>
          <t>B2B</t>
        </is>
      </c>
      <c r="AO363" s="30">
        <f>IF(AN363="B2C",10,IF(AN363="B2B",5,0))</f>
        <v/>
      </c>
      <c r="AP363" s="30" t="inlineStr">
        <is>
          <t>No</t>
        </is>
      </c>
      <c r="AQ363" s="30">
        <f>IF(AP363="Yes",10,0)</f>
        <v/>
      </c>
      <c r="AR363" s="30" t="inlineStr">
        <is>
          <t>Higher One Time, Lower Annuity</t>
        </is>
      </c>
      <c r="AS363" s="30">
        <f>IF(AR363="Fully Annuity",10,IF(AR363="Higher Annuity, Lower One Time",5,IF(AR363="Higher One Time, Lower Annuity",3,0)))</f>
        <v/>
      </c>
      <c r="AT363" s="30" t="inlineStr">
        <is>
          <t>Good</t>
        </is>
      </c>
      <c r="AU363" s="30">
        <f>IF(AT363="Good",10,0)</f>
        <v/>
      </c>
      <c r="AV363" s="30" t="inlineStr">
        <is>
          <t>Yes for more than 2 years</t>
        </is>
      </c>
      <c r="AW363" s="30">
        <f>IF(AV363="Yes for more than 2 years",10,IF(AV363="Yes only for next 1 to 2 years",5,0))</f>
        <v/>
      </c>
      <c r="AX363" s="30" t="inlineStr">
        <is>
          <t>0 to 20</t>
        </is>
      </c>
      <c r="AY363" s="30">
        <f>IF(AX363="Above 40",20,IF(AX363="20 to 40",10,IF(AX363="0 to 20",-5,0)))</f>
        <v/>
      </c>
      <c r="AZ363" s="30" t="inlineStr">
        <is>
          <t>Between 50 to 75</t>
        </is>
      </c>
      <c r="BA363" s="30">
        <f>IF(AZ363="Between 50 to 75",10,IF(AZ363="Above 75",0,0))</f>
        <v/>
      </c>
      <c r="BB363" s="30" t="inlineStr">
        <is>
          <t>Stage 1</t>
        </is>
      </c>
      <c r="BC363" s="30">
        <f>IF(BB363="Stage 2",20,IF(BB363="Stage 1",0,IF(BB363="Stage 3",5,IF(BB363="Stage 4",-5,0))))</f>
        <v/>
      </c>
      <c r="BD363" s="30" t="inlineStr">
        <is>
          <t>Positive Trend</t>
        </is>
      </c>
      <c r="BE363" s="30">
        <f>IF(BD363="Positive Trend",20,IF(BD363="Negative Trend",-10,0))</f>
        <v/>
      </c>
      <c r="BF363" s="30" t="inlineStr">
        <is>
          <t>Uptrend</t>
        </is>
      </c>
      <c r="BG363" s="30">
        <f>IF(BF363="Uptrend",10,IF(BF363="Sideways",5,0))</f>
        <v/>
      </c>
      <c r="BH363" s="30" t="inlineStr">
        <is>
          <t>Uptrend</t>
        </is>
      </c>
      <c r="BI363" s="30">
        <f>IF(BH363="Uptrend",10,IF(BH363="Sideways",5,0))</f>
        <v/>
      </c>
      <c r="BJ363" s="30" t="inlineStr">
        <is>
          <t>Close to 52 week high or retracement</t>
        </is>
      </c>
      <c r="BK363" s="30">
        <f>IF(BJ363="Overhead supply in last 2 years in last 2 years",-5,IF(BJ363="Close to 52 week high or retracement",5,IF(BJ363="Blue sky scenario",10,IF(BJ363="Long term Downtrend",-10,0))))</f>
        <v/>
      </c>
      <c r="BL363" s="30" t="inlineStr">
        <is>
          <t>Yes</t>
        </is>
      </c>
      <c r="BM363" s="30">
        <f>IF(BL363="Yes",10,0)</f>
        <v/>
      </c>
      <c r="BN363" s="30" t="inlineStr">
        <is>
          <t>Between 12 to 20%</t>
        </is>
      </c>
      <c r="BO363" s="30">
        <f>IF(BN363="More than 20%",10,IF(BN363="Between 12 to 20%",5,IF(BN363="Less than 12%",0,0)))</f>
        <v/>
      </c>
      <c r="BP363" s="30" t="inlineStr">
        <is>
          <t>No</t>
        </is>
      </c>
      <c r="BQ363" s="30">
        <f>IF(BP363="No",10,0)</f>
        <v/>
      </c>
      <c r="BR363" s="30" t="inlineStr">
        <is>
          <t>Yes</t>
        </is>
      </c>
      <c r="BS363" s="30">
        <f>IF(BR363="NO",5,0)</f>
        <v/>
      </c>
      <c r="BT363" s="30" t="inlineStr">
        <is>
          <t>Above 2</t>
        </is>
      </c>
      <c r="BU363" s="30">
        <f>IF(BT363="Above 2",0,IF(BT363="Between 1.5 to 2",5,IF(BT363="Less than 1.5",10,0)))</f>
        <v/>
      </c>
      <c r="BV363" s="30" t="inlineStr">
        <is>
          <t>Above 70%</t>
        </is>
      </c>
      <c r="BW363" s="30">
        <f>IF(BV363="Above 70%",10,IF(BV363="Between 50% to 70%",5,IF(BV363="Less than 50%",0,IF(BV363="Negative",-10,IF(BV363="Less than 50% and Borrowings are increasing",-5,0)))))</f>
        <v/>
      </c>
      <c r="BX363" s="30" t="inlineStr">
        <is>
          <t>Less than 0.7</t>
        </is>
      </c>
      <c r="BY363" s="30">
        <f>IF(BX363="More than 1.2",-10,IF(BX363="Between 0.7 to 1.2",0,IF(BX363="Less than 0.7",10,0)))</f>
        <v/>
      </c>
      <c r="BZ363" s="30" t="inlineStr">
        <is>
          <t>No</t>
        </is>
      </c>
      <c r="CA363" s="30">
        <f>IF(BZ363="Yes",-10,0)</f>
        <v/>
      </c>
      <c r="CB363" s="30" t="inlineStr">
        <is>
          <t>Less than 15%</t>
        </is>
      </c>
      <c r="CC363" s="30">
        <f>IF(CB363="More than 15%",-10,IF(CB363="Less than 15%",10,0))</f>
        <v/>
      </c>
      <c r="CD363" s="30" t="inlineStr">
        <is>
          <t>No</t>
        </is>
      </c>
      <c r="CE363" s="30">
        <f>IF(CD363="Yes, more than 10%",-10,IF(CD363="No",10,0))</f>
        <v/>
      </c>
    </row>
    <row r="364">
      <c r="A364" s="30">
        <f>IF(B364=0,"",RANK(B364,$B$2:$B$427,0))</f>
        <v/>
      </c>
      <c r="B364" s="31">
        <f>SUM(N364,Y364,AA364,AC364,AE364,AG364,AI364,AK364,AM364,AO364,AQ364,AS364,AU364,AW364,AY364,BA364,BC364,BE364,BG364,BI364,BK364,BM364,BO364,BQ364,BS364,BU364,BW364,BY364,CA364,CC364,CE364)</f>
        <v/>
      </c>
      <c r="C364" s="30" t="inlineStr">
        <is>
          <t>BHARTIARTL</t>
        </is>
      </c>
      <c r="D364" s="30" t="inlineStr">
        <is>
          <t>Bharti Airtel Limited</t>
        </is>
      </c>
      <c r="E364" s="30" t="inlineStr">
        <is>
          <t>telecom-service</t>
        </is>
      </c>
      <c r="F364" s="30" t="inlineStr">
        <is>
          <t>telecommunications - service provider</t>
        </is>
      </c>
      <c r="G364" s="30" t="inlineStr">
        <is>
          <t>largecap</t>
        </is>
      </c>
      <c r="H364" s="31" t="n">
        <v>1142576.8</v>
      </c>
      <c r="I364" s="31" t="n">
        <v>1910.8</v>
      </c>
      <c r="J364" s="31" t="n">
        <v>1.92</v>
      </c>
      <c r="K364" s="31" t="n">
        <v>15918432</v>
      </c>
      <c r="L364" s="30" t="n">
        <v>1</v>
      </c>
      <c r="M364" s="30" t="inlineStr">
        <is>
          <t>Outperforming</t>
        </is>
      </c>
      <c r="N364" s="31">
        <f>IF(M364="Underperforming",-5,IF(L364&gt;=95,15,IF(L364&gt;=90,10,IF(L364&gt;=80,5,0))))</f>
        <v/>
      </c>
      <c r="O364" s="31" t="n">
        <v>51.65</v>
      </c>
      <c r="P364" s="31" t="n">
        <v>27.93</v>
      </c>
      <c r="Q364" s="31" t="n">
        <v>1644.73</v>
      </c>
      <c r="R364" s="30" t="inlineStr">
        <is>
          <t>Earnings / Momentum Support</t>
        </is>
      </c>
      <c r="S364" s="30" t="inlineStr">
        <is>
          <t>Nifty 50</t>
        </is>
      </c>
      <c r="T364" s="31" t="n">
        <v>-4.38</v>
      </c>
      <c r="U364" s="31" t="n">
        <v>-0.51</v>
      </c>
      <c r="V364" s="31" t="n">
        <v>4.04</v>
      </c>
      <c r="W364" s="31" t="n">
        <v>0.82</v>
      </c>
      <c r="X364" s="30" t="inlineStr">
        <is>
          <t>Growing Industry</t>
        </is>
      </c>
      <c r="Y364" s="30">
        <f>IF(X364="Growing Industry",10,IF(X364="Cyclical in an Upturn",5,0))</f>
        <v/>
      </c>
      <c r="Z364" s="30" t="inlineStr">
        <is>
          <t>Oligopoly</t>
        </is>
      </c>
      <c r="AA364" s="30">
        <f>IF(Z364="Monopoly",10,IF(Z364="Oligopoly",5,IF(Z364="Duopoly that cooperate",10,IF(Z364="Duopoly that compete",5,IF(Z364="Too many players with High ROCE",5,0)))))</f>
        <v/>
      </c>
      <c r="AB364" s="30" t="inlineStr">
        <is>
          <t>Yes</t>
        </is>
      </c>
      <c r="AC364" s="30">
        <f>IF(AB364="No",5,0)</f>
        <v/>
      </c>
      <c r="AD364" s="30" t="inlineStr">
        <is>
          <t>Headwind</t>
        </is>
      </c>
      <c r="AE364" s="30">
        <f>IF(AD364="Tailwind",10,0)</f>
        <v/>
      </c>
      <c r="AF364" s="30" t="inlineStr">
        <is>
          <t>Structural (10 Years Consistency)</t>
        </is>
      </c>
      <c r="AG364" s="30">
        <f>IF(AF364="Structural (10 Years Consistency)",10,IF(AF364="Shallow Cyclical (2 to 3 years growth)",5,0))</f>
        <v/>
      </c>
      <c r="AH364" s="30" t="inlineStr">
        <is>
          <t>No</t>
        </is>
      </c>
      <c r="AI364" s="30">
        <f>IF(AH364="Yes due to Product Mix change or Operating Leverage",10,IF(AH364="Yes, these are peak margins",-5,IF(AH364="No",5,0)))</f>
        <v/>
      </c>
      <c r="AJ364" s="30" t="inlineStr">
        <is>
          <t>Stable</t>
        </is>
      </c>
      <c r="AK364" s="30">
        <f>IF(AJ364="Stable",10,0)</f>
        <v/>
      </c>
      <c r="AL364" s="30" t="inlineStr">
        <is>
          <t>Yes</t>
        </is>
      </c>
      <c r="AM364" s="30">
        <f>IF(AL364="Yes",10,0)</f>
        <v/>
      </c>
      <c r="AN364" s="30" t="inlineStr">
        <is>
          <t>B2B</t>
        </is>
      </c>
      <c r="AO364" s="30">
        <f>IF(AN364="B2C",10,IF(AN364="B2B",5,0))</f>
        <v/>
      </c>
      <c r="AP364" s="30" t="inlineStr">
        <is>
          <t>No</t>
        </is>
      </c>
      <c r="AQ364" s="30">
        <f>IF(AP364="Yes",10,0)</f>
        <v/>
      </c>
      <c r="AR364" s="30" t="inlineStr">
        <is>
          <t>Higher One Time, Lower Annuity</t>
        </is>
      </c>
      <c r="AS364" s="30">
        <f>IF(AR364="Fully Annuity",10,IF(AR364="Higher Annuity, Lower One Time",5,IF(AR364="Higher One Time, Lower Annuity",3,0)))</f>
        <v/>
      </c>
      <c r="AT364" s="30" t="inlineStr">
        <is>
          <t>Good</t>
        </is>
      </c>
      <c r="AU364" s="30">
        <f>IF(AT364="Good",10,0)</f>
        <v/>
      </c>
      <c r="AV364" s="30" t="inlineStr">
        <is>
          <t>Yes for more than 2 years</t>
        </is>
      </c>
      <c r="AW364" s="30">
        <f>IF(AV364="Yes for more than 2 years",10,IF(AV364="Yes only for next 1 to 2 years",5,0))</f>
        <v/>
      </c>
      <c r="AX364" s="30" t="inlineStr">
        <is>
          <t>20 to 40</t>
        </is>
      </c>
      <c r="AY364" s="30">
        <f>IF(AX364="Above 40",20,IF(AX364="20 to 40",10,IF(AX364="0 to 20",-5,0)))</f>
        <v/>
      </c>
      <c r="AZ364" s="30" t="inlineStr">
        <is>
          <t>Between 50 to 75</t>
        </is>
      </c>
      <c r="BA364" s="30">
        <f>IF(AZ364="Between 50 to 75",10,IF(AZ364="Above 75",0,0))</f>
        <v/>
      </c>
      <c r="BB364" s="30" t="inlineStr">
        <is>
          <t>Stage 1</t>
        </is>
      </c>
      <c r="BC364" s="30">
        <f>IF(BB364="Stage 2",20,IF(BB364="Stage 1",0,IF(BB364="Stage 3",5,IF(BB364="Stage 4",-5,0))))</f>
        <v/>
      </c>
      <c r="BD364" s="30" t="inlineStr">
        <is>
          <t>Positive Trend</t>
        </is>
      </c>
      <c r="BE364" s="30">
        <f>IF(BD364="Positive Trend",20,IF(BD364="Negative Trend",-10,0))</f>
        <v/>
      </c>
      <c r="BF364" s="30" t="inlineStr">
        <is>
          <t>Uptrend</t>
        </is>
      </c>
      <c r="BG364" s="30">
        <f>IF(BF364="Uptrend",10,IF(BF364="Sideways",5,0))</f>
        <v/>
      </c>
      <c r="BH364" s="30" t="inlineStr">
        <is>
          <t>Uptrend</t>
        </is>
      </c>
      <c r="BI364" s="30">
        <f>IF(BH364="Uptrend",10,IF(BH364="Sideways",5,0))</f>
        <v/>
      </c>
      <c r="BJ364" s="30" t="inlineStr">
        <is>
          <t>Close to 52 week high or retracement</t>
        </is>
      </c>
      <c r="BK364" s="30">
        <f>IF(BJ364="Overhead supply in last 2 years in last 2 years",-5,IF(BJ364="Close to 52 week high or retracement",5,IF(BJ364="Blue sky scenario",10,IF(BJ364="Long term Downtrend",-10,0))))</f>
        <v/>
      </c>
      <c r="BL364" s="30" t="inlineStr">
        <is>
          <t>Yes</t>
        </is>
      </c>
      <c r="BM364" s="30">
        <f>IF(BL364="Yes",10,0)</f>
        <v/>
      </c>
      <c r="BN364" s="30" t="inlineStr">
        <is>
          <t>Less than 12%</t>
        </is>
      </c>
      <c r="BO364" s="30">
        <f>IF(BN364="More than 20%",10,IF(BN364="Between 12 to 20%",5,IF(BN364="Less than 12%",0,0)))</f>
        <v/>
      </c>
      <c r="BP364" s="30" t="inlineStr">
        <is>
          <t>No</t>
        </is>
      </c>
      <c r="BQ364" s="30">
        <f>IF(BP364="No",10,0)</f>
        <v/>
      </c>
      <c r="BR364" s="30" t="inlineStr">
        <is>
          <t>Yes</t>
        </is>
      </c>
      <c r="BS364" s="30">
        <f>IF(BR364="NO",5,0)</f>
        <v/>
      </c>
      <c r="BT364" s="30" t="inlineStr">
        <is>
          <t>Above 2</t>
        </is>
      </c>
      <c r="BU364" s="30">
        <f>IF(BT364="Above 2",0,IF(BT364="Between 1.5 to 2",5,IF(BT364="Less than 1.5",10,0)))</f>
        <v/>
      </c>
      <c r="BV364" s="30" t="inlineStr">
        <is>
          <t>Above 70%</t>
        </is>
      </c>
      <c r="BW364" s="30">
        <f>IF(BV364="Above 70%",10,IF(BV364="Between 50% to 70%",5,IF(BV364="Less than 50%",0,IF(BV364="Negative",-10,IF(BV364="Less than 50% and Borrowings are increasing",-5,0)))))</f>
        <v/>
      </c>
      <c r="BX364" s="30" t="inlineStr">
        <is>
          <t>Between 0.7 to 1.2</t>
        </is>
      </c>
      <c r="BY364" s="30">
        <f>IF(BX364="More than 1.2",-10,IF(BX364="Between 0.7 to 1.2",0,IF(BX364="Less than 0.7",10,0)))</f>
        <v/>
      </c>
      <c r="BZ364" s="30" t="inlineStr">
        <is>
          <t>No</t>
        </is>
      </c>
      <c r="CA364" s="30">
        <f>IF(BZ364="Yes",-10,0)</f>
        <v/>
      </c>
      <c r="CB364" s="30" t="inlineStr">
        <is>
          <t>Less than 15%</t>
        </is>
      </c>
      <c r="CC364" s="30">
        <f>IF(CB364="More than 15%",-10,IF(CB364="Less than 15%",10,0))</f>
        <v/>
      </c>
      <c r="CD364" s="30" t="inlineStr">
        <is>
          <t>No</t>
        </is>
      </c>
      <c r="CE364" s="30">
        <f>IF(CD364="Yes, more than 10%",-10,IF(CD364="No",10,0))</f>
        <v/>
      </c>
    </row>
    <row r="365">
      <c r="A365" s="30">
        <f>IF(B365=0,"",RANK(B365,$B$2:$B$427,0))</f>
        <v/>
      </c>
      <c r="B365" s="31">
        <f>SUM(N365,Y365,AA365,AC365,AE365,AG365,AI365,AK365,AM365,AO365,AQ365,AS365,AU365,AW365,AY365,BA365,BC365,BE365,BG365,BI365,BK365,BM365,BO365,BQ365,BS365,BU365,BW365,BY365,CA365,CC365,CE365)</f>
        <v/>
      </c>
      <c r="C365" s="30" t="inlineStr">
        <is>
          <t>SIEMENS</t>
        </is>
      </c>
      <c r="D365" s="30" t="inlineStr">
        <is>
          <t>Siemens Limited</t>
        </is>
      </c>
      <c r="E365" s="30" t="inlineStr">
        <is>
          <t>industrials</t>
        </is>
      </c>
      <c r="F365" s="30" t="inlineStr">
        <is>
          <t>electric equipment</t>
        </is>
      </c>
      <c r="G365" s="30" t="inlineStr">
        <is>
          <t>largecap</t>
        </is>
      </c>
      <c r="H365" s="31" t="n">
        <v>133409.86</v>
      </c>
      <c r="I365" s="31" t="n">
        <v>3759.6</v>
      </c>
      <c r="J365" s="31" t="n">
        <v>0.36</v>
      </c>
      <c r="K365" s="31" t="n">
        <v>339876</v>
      </c>
      <c r="L365" s="30" t="n">
        <v>26</v>
      </c>
      <c r="M365" s="30" t="inlineStr">
        <is>
          <t>Outperforming</t>
        </is>
      </c>
      <c r="N365" s="31">
        <f>IF(M365="Underperforming",-5,IF(L365&gt;=95,15,IF(L365&gt;=90,10,IF(L365&gt;=80,5,0))))</f>
        <v/>
      </c>
      <c r="O365" s="31" t="n">
        <v>59.44</v>
      </c>
      <c r="P365" s="31" t="n">
        <v>24.31</v>
      </c>
      <c r="Q365" s="31" t="n">
        <v>3121.21</v>
      </c>
      <c r="R365" s="30" t="inlineStr">
        <is>
          <t>Near 52W High Breakout</t>
        </is>
      </c>
      <c r="S365" s="30" t="inlineStr">
        <is>
          <t>Nifty 50</t>
        </is>
      </c>
      <c r="T365" s="31" t="n">
        <v>-4.38</v>
      </c>
      <c r="U365" s="31" t="n">
        <v>16.97</v>
      </c>
      <c r="V365" s="31" t="n">
        <v>22.32</v>
      </c>
      <c r="W365" s="31" t="n">
        <v>7.57</v>
      </c>
      <c r="X365" s="30" t="inlineStr">
        <is>
          <t>Cyclical in an Upturn</t>
        </is>
      </c>
      <c r="Y365" s="30">
        <f>IF(X365="Growing Industry",10,IF(X365="Cyclical in an Upturn",5,0))</f>
        <v/>
      </c>
      <c r="Z365" s="30" t="inlineStr">
        <is>
          <t>Too Many Players with High ROCE</t>
        </is>
      </c>
      <c r="AA365" s="30">
        <f>IF(Z365="Monopoly",10,IF(Z365="Oligopoly",5,IF(Z365="Duopoly that cooperate",10,IF(Z365="Duopoly that compete",5,IF(Z365="Too many players with High ROCE",5,0)))))</f>
        <v/>
      </c>
      <c r="AB365" s="30" t="inlineStr">
        <is>
          <t>No</t>
        </is>
      </c>
      <c r="AC365" s="30">
        <f>IF(AB365="No",5,0)</f>
        <v/>
      </c>
      <c r="AD365" s="30" t="inlineStr">
        <is>
          <t>Tailwind</t>
        </is>
      </c>
      <c r="AE365" s="30">
        <f>IF(AD365="Tailwind",10,0)</f>
        <v/>
      </c>
      <c r="AF365" s="30" t="inlineStr">
        <is>
          <t>Structural (10 Years Consistency)</t>
        </is>
      </c>
      <c r="AG365" s="30">
        <f>IF(AF365="Structural (10 Years Consistency)",10,IF(AF365="Shallow Cyclical (2 to 3 years growth)",5,0))</f>
        <v/>
      </c>
      <c r="AH365" s="30" t="inlineStr">
        <is>
          <t>No</t>
        </is>
      </c>
      <c r="AI365" s="30">
        <f>IF(AH365="Yes due to Product Mix change or Operating Leverage",10,IF(AH365="Yes, these are peak margins",-5,IF(AH365="No",5,0)))</f>
        <v/>
      </c>
      <c r="AJ365" s="30" t="inlineStr">
        <is>
          <t>Stable</t>
        </is>
      </c>
      <c r="AK365" s="30">
        <f>IF(AJ365="Stable",10,0)</f>
        <v/>
      </c>
      <c r="AL365" s="30" t="inlineStr">
        <is>
          <t>Yes</t>
        </is>
      </c>
      <c r="AM365" s="30">
        <f>IF(AL365="Yes",10,0)</f>
        <v/>
      </c>
      <c r="AN365" s="30" t="inlineStr">
        <is>
          <t>B2B</t>
        </is>
      </c>
      <c r="AO365" s="30">
        <f>IF(AN365="B2C",10,IF(AN365="B2B",5,0))</f>
        <v/>
      </c>
      <c r="AP365" s="30" t="inlineStr">
        <is>
          <t>Yes</t>
        </is>
      </c>
      <c r="AQ365" s="30">
        <f>IF(AP365="Yes",10,0)</f>
        <v/>
      </c>
      <c r="AR365" s="30" t="inlineStr">
        <is>
          <t>Higher One Time, Lower Annuity</t>
        </is>
      </c>
      <c r="AS365" s="30">
        <f>IF(AR365="Fully Annuity",10,IF(AR365="Higher Annuity, Lower One Time",5,IF(AR365="Higher One Time, Lower Annuity",3,0)))</f>
        <v/>
      </c>
      <c r="AT365" s="30" t="inlineStr">
        <is>
          <t>Good</t>
        </is>
      </c>
      <c r="AU365" s="30">
        <f>IF(AT365="Good",10,0)</f>
        <v/>
      </c>
      <c r="AV365" s="30" t="inlineStr">
        <is>
          <t>Yes for more than 2 years</t>
        </is>
      </c>
      <c r="AW365" s="30">
        <f>IF(AV365="Yes for more than 2 years",10,IF(AV365="Yes only for next 1 to 2 years",5,0))</f>
        <v/>
      </c>
      <c r="AX365" s="30" t="inlineStr">
        <is>
          <t>20 to 40</t>
        </is>
      </c>
      <c r="AY365" s="30">
        <f>IF(AX365="Above 40",20,IF(AX365="20 to 40",10,IF(AX365="0 to 20",-5,0)))</f>
        <v/>
      </c>
      <c r="AZ365" s="30" t="inlineStr">
        <is>
          <t>Between 50 to 75</t>
        </is>
      </c>
      <c r="BA365" s="30">
        <f>IF(AZ365="Between 50 to 75",10,IF(AZ365="Above 75",0,0))</f>
        <v/>
      </c>
      <c r="BB365" s="30" t="inlineStr">
        <is>
          <t>Stage 2</t>
        </is>
      </c>
      <c r="BC365" s="30">
        <f>IF(BB365="Stage 2",20,IF(BB365="Stage 1",0,IF(BB365="Stage 3",5,IF(BB365="Stage 4",-5,0))))</f>
        <v/>
      </c>
      <c r="BD365" s="30" t="inlineStr">
        <is>
          <t>Negative Trend</t>
        </is>
      </c>
      <c r="BE365" s="30">
        <f>IF(BD365="Positive Trend",20,IF(BD365="Negative Trend",-10,0))</f>
        <v/>
      </c>
      <c r="BF365" s="30" t="inlineStr">
        <is>
          <t>Uptrend</t>
        </is>
      </c>
      <c r="BG365" s="30">
        <f>IF(BF365="Uptrend",10,IF(BF365="Sideways",5,0))</f>
        <v/>
      </c>
      <c r="BH365" s="30" t="inlineStr">
        <is>
          <t>Uptrend</t>
        </is>
      </c>
      <c r="BI365" s="30">
        <f>IF(BH365="Uptrend",10,IF(BH365="Sideways",5,0))</f>
        <v/>
      </c>
      <c r="BJ365" s="30" t="inlineStr">
        <is>
          <t>Close to 52 week high or retracement</t>
        </is>
      </c>
      <c r="BK365" s="30">
        <f>IF(BJ365="Overhead supply in last 2 years in last 2 years",-5,IF(BJ365="Close to 52 week high or retracement",5,IF(BJ365="Blue sky scenario",10,IF(BJ365="Long term Downtrend",-10,0))))</f>
        <v/>
      </c>
      <c r="BL365" s="30" t="inlineStr">
        <is>
          <t>Yes</t>
        </is>
      </c>
      <c r="BM365" s="30">
        <f>IF(BL365="Yes",10,0)</f>
        <v/>
      </c>
      <c r="BN365" s="30" t="inlineStr">
        <is>
          <t>Less than 12%</t>
        </is>
      </c>
      <c r="BO365" s="30">
        <f>IF(BN365="More than 20%",10,IF(BN365="Between 12 to 20%",5,IF(BN365="Less than 12%",0,0)))</f>
        <v/>
      </c>
      <c r="BP365" s="30" t="inlineStr">
        <is>
          <t>No</t>
        </is>
      </c>
      <c r="BQ365" s="30">
        <f>IF(BP365="No",10,0)</f>
        <v/>
      </c>
      <c r="BR365" s="30" t="inlineStr">
        <is>
          <t>Yes</t>
        </is>
      </c>
      <c r="BS365" s="30">
        <f>IF(BR365="NO",5,0)</f>
        <v/>
      </c>
      <c r="BT365" s="30" t="inlineStr">
        <is>
          <t>Above 2</t>
        </is>
      </c>
      <c r="BU365" s="30">
        <f>IF(BT365="Above 2",0,IF(BT365="Between 1.5 to 2",5,IF(BT365="Less than 1.5",10,0)))</f>
        <v/>
      </c>
      <c r="BV365" s="30" t="inlineStr">
        <is>
          <t>Negative</t>
        </is>
      </c>
      <c r="BW365" s="30">
        <f>IF(BV365="Above 70%",10,IF(BV365="Between 50% to 70%",5,IF(BV365="Less than 50%",0,IF(BV365="Negative",-10,IF(BV365="Less than 50% and Borrowings are increasing",-5,0)))))</f>
        <v/>
      </c>
      <c r="BX365" s="30" t="inlineStr">
        <is>
          <t>Less than 0.7</t>
        </is>
      </c>
      <c r="BY365" s="30">
        <f>IF(BX365="More than 1.2",-10,IF(BX365="Between 0.7 to 1.2",0,IF(BX365="Less than 0.7",10,0)))</f>
        <v/>
      </c>
      <c r="BZ365" s="30" t="inlineStr">
        <is>
          <t>No</t>
        </is>
      </c>
      <c r="CA365" s="30">
        <f>IF(BZ365="Yes",-10,0)</f>
        <v/>
      </c>
      <c r="CB365" s="30" t="inlineStr">
        <is>
          <t>Less than 15%</t>
        </is>
      </c>
      <c r="CC365" s="30">
        <f>IF(CB365="More than 15%",-10,IF(CB365="Less than 15%",10,0))</f>
        <v/>
      </c>
      <c r="CD365" s="30" t="inlineStr">
        <is>
          <t>No</t>
        </is>
      </c>
      <c r="CE365" s="30">
        <f>IF(CD365="Yes, more than 10%",-10,IF(CD365="No",10,0))</f>
        <v/>
      </c>
    </row>
    <row r="366">
      <c r="A366" s="30">
        <f>IF(B366=0,"",RANK(B366,$B$2:$B$427,0))</f>
        <v/>
      </c>
      <c r="B366" s="31">
        <f>SUM(N366,Y366,AA366,AC366,AE366,AG366,AI366,AK366,AM366,AO366,AQ366,AS366,AU366,AW366,AY366,BA366,BC366,BE366,BG366,BI366,BK366,BM366,BO366,BQ366,BS366,BU366,BW366,BY366,CA366,CC366,CE366)</f>
        <v/>
      </c>
      <c r="C366" s="30" t="inlineStr">
        <is>
          <t>TEXINFRA</t>
        </is>
      </c>
      <c r="D366" s="30" t="inlineStr">
        <is>
          <t>Texmaco Infrastructure &amp; Holdings Limited</t>
        </is>
      </c>
      <c r="E366" s="30" t="inlineStr">
        <is>
          <t>realty</t>
        </is>
      </c>
      <c r="F366" s="30" t="inlineStr">
        <is>
          <t>construction</t>
        </is>
      </c>
      <c r="G366" s="30" t="inlineStr">
        <is>
          <t>smallcap</t>
        </is>
      </c>
      <c r="H366" s="31" t="n">
        <v>1302.68</v>
      </c>
      <c r="I366" s="31" t="n">
        <v>102.39</v>
      </c>
      <c r="J366" s="31" t="n">
        <v>0.16</v>
      </c>
      <c r="K366" s="31" t="n">
        <v>90151</v>
      </c>
      <c r="L366" s="30" t="n">
        <v>11</v>
      </c>
      <c r="M366" s="30" t="inlineStr">
        <is>
          <t>Outperforming</t>
        </is>
      </c>
      <c r="N366" s="31">
        <f>IF(M366="Underperforming",-5,IF(L366&gt;=95,15,IF(L366&gt;=90,10,IF(L366&gt;=80,5,0))))</f>
        <v/>
      </c>
      <c r="O366" s="31" t="n">
        <v>56.39</v>
      </c>
      <c r="P366" s="31" t="n">
        <v>15.67</v>
      </c>
      <c r="Q366" s="31" t="n">
        <v>82.73</v>
      </c>
      <c r="R366" s="30" t="inlineStr">
        <is>
          <t>Near 52W High Breakout</t>
        </is>
      </c>
      <c r="S366" s="30" t="inlineStr">
        <is>
          <t>Nifty Realty</t>
        </is>
      </c>
      <c r="T366" s="31" t="n">
        <v>-19.9</v>
      </c>
      <c r="U366" s="31" t="n">
        <v>2.2</v>
      </c>
      <c r="V366" s="31" t="n">
        <v>27.59</v>
      </c>
      <c r="W366" s="31" t="n">
        <v>3.95</v>
      </c>
      <c r="X366" s="30" t="inlineStr">
        <is>
          <t>Growing Industry</t>
        </is>
      </c>
      <c r="Y366" s="30">
        <f>IF(X366="Growing Industry",10,IF(X366="Cyclical in an Upturn",5,0))</f>
        <v/>
      </c>
      <c r="Z366" s="30" t="inlineStr">
        <is>
          <t>Too Many Players with High ROCE</t>
        </is>
      </c>
      <c r="AA366" s="30">
        <f>IF(Z366="Monopoly",10,IF(Z366="Oligopoly",5,IF(Z366="Duopoly that cooperate",10,IF(Z366="Duopoly that compete",5,IF(Z366="Too many players with High ROCE",5,0)))))</f>
        <v/>
      </c>
      <c r="AB366" s="30" t="inlineStr">
        <is>
          <t>No</t>
        </is>
      </c>
      <c r="AC366" s="30">
        <f>IF(AB366="No",5,0)</f>
        <v/>
      </c>
      <c r="AD366" s="30" t="inlineStr">
        <is>
          <t>Tailwind</t>
        </is>
      </c>
      <c r="AE366" s="30">
        <f>IF(AD366="Tailwind",10,0)</f>
        <v/>
      </c>
      <c r="AF366" s="30" t="inlineStr">
        <is>
          <t>Structural (10 Years Consistency)</t>
        </is>
      </c>
      <c r="AG366" s="30">
        <f>IF(AF366="Structural (10 Years Consistency)",10,IF(AF366="Shallow Cyclical (2 to 3 years growth)",5,0))</f>
        <v/>
      </c>
      <c r="AH366" s="30" t="inlineStr">
        <is>
          <t>No</t>
        </is>
      </c>
      <c r="AI366" s="30">
        <f>IF(AH366="Yes due to Product Mix change or Operating Leverage",10,IF(AH366="Yes, these are peak margins",-5,IF(AH366="No",5,0)))</f>
        <v/>
      </c>
      <c r="AJ366" s="30" t="inlineStr">
        <is>
          <t>Stable</t>
        </is>
      </c>
      <c r="AK366" s="30">
        <f>IF(AJ366="Stable",10,0)</f>
        <v/>
      </c>
      <c r="AL366" s="30" t="inlineStr">
        <is>
          <t>Yes</t>
        </is>
      </c>
      <c r="AM366" s="30">
        <f>IF(AL366="Yes",10,0)</f>
        <v/>
      </c>
      <c r="AN366" s="30" t="inlineStr">
        <is>
          <t>B2B</t>
        </is>
      </c>
      <c r="AO366" s="30">
        <f>IF(AN366="B2C",10,IF(AN366="B2B",5,0))</f>
        <v/>
      </c>
      <c r="AP366" s="30" t="inlineStr">
        <is>
          <t>Yes</t>
        </is>
      </c>
      <c r="AQ366" s="30">
        <f>IF(AP366="Yes",10,0)</f>
        <v/>
      </c>
      <c r="AR366" s="30" t="inlineStr">
        <is>
          <t>Higher One Time, Lower Annuity</t>
        </is>
      </c>
      <c r="AS366" s="30">
        <f>IF(AR366="Fully Annuity",10,IF(AR366="Higher Annuity, Lower One Time",5,IF(AR366="Higher One Time, Lower Annuity",3,0)))</f>
        <v/>
      </c>
      <c r="AT366" s="30" t="inlineStr">
        <is>
          <t>Good</t>
        </is>
      </c>
      <c r="AU366" s="30">
        <f>IF(AT366="Good",10,0)</f>
        <v/>
      </c>
      <c r="AV366" s="30" t="inlineStr">
        <is>
          <t>Yes for more than 2 years</t>
        </is>
      </c>
      <c r="AW366" s="30">
        <f>IF(AV366="Yes for more than 2 years",10,IF(AV366="Yes only for next 1 to 2 years",5,0))</f>
        <v/>
      </c>
      <c r="AX366" s="30" t="inlineStr">
        <is>
          <t>0 to 20</t>
        </is>
      </c>
      <c r="AY366" s="30">
        <f>IF(AX366="Above 40",20,IF(AX366="20 to 40",10,IF(AX366="0 to 20",-5,0)))</f>
        <v/>
      </c>
      <c r="AZ366" s="30" t="inlineStr">
        <is>
          <t>Between 50 to 75</t>
        </is>
      </c>
      <c r="BA366" s="30">
        <f>IF(AZ366="Between 50 to 75",10,IF(AZ366="Above 75",0,0))</f>
        <v/>
      </c>
      <c r="BB366" s="30" t="inlineStr">
        <is>
          <t>Stage 1</t>
        </is>
      </c>
      <c r="BC366" s="30">
        <f>IF(BB366="Stage 2",20,IF(BB366="Stage 1",0,IF(BB366="Stage 3",5,IF(BB366="Stage 4",-5,0))))</f>
        <v/>
      </c>
      <c r="BD366" s="30" t="inlineStr">
        <is>
          <t>Positive Trend</t>
        </is>
      </c>
      <c r="BE366" s="30">
        <f>IF(BD366="Positive Trend",20,IF(BD366="Negative Trend",-10,0))</f>
        <v/>
      </c>
      <c r="BF366" s="30" t="inlineStr">
        <is>
          <t>Uptrend</t>
        </is>
      </c>
      <c r="BG366" s="30">
        <f>IF(BF366="Uptrend",10,IF(BF366="Sideways",5,0))</f>
        <v/>
      </c>
      <c r="BH366" s="30" t="inlineStr">
        <is>
          <t>Uptrend</t>
        </is>
      </c>
      <c r="BI366" s="30">
        <f>IF(BH366="Uptrend",10,IF(BH366="Sideways",5,0))</f>
        <v/>
      </c>
      <c r="BJ366" s="30" t="inlineStr">
        <is>
          <t>Close to 52 week high or retracement</t>
        </is>
      </c>
      <c r="BK366" s="30">
        <f>IF(BJ366="Overhead supply in last 2 years in last 2 years",-5,IF(BJ366="Close to 52 week high or retracement",5,IF(BJ366="Blue sky scenario",10,IF(BJ366="Long term Downtrend",-10,0))))</f>
        <v/>
      </c>
      <c r="BL366" s="30" t="inlineStr">
        <is>
          <t>Yes</t>
        </is>
      </c>
      <c r="BM366" s="30">
        <f>IF(BL366="Yes",10,0)</f>
        <v/>
      </c>
      <c r="BN366" s="30" t="inlineStr">
        <is>
          <t>Less than 12%</t>
        </is>
      </c>
      <c r="BO366" s="30">
        <f>IF(BN366="More than 20%",10,IF(BN366="Between 12 to 20%",5,IF(BN366="Less than 12%",0,0)))</f>
        <v/>
      </c>
      <c r="BP366" s="30" t="inlineStr">
        <is>
          <t>No</t>
        </is>
      </c>
      <c r="BQ366" s="30">
        <f>IF(BP366="No",10,0)</f>
        <v/>
      </c>
      <c r="BR366" s="30" t="inlineStr">
        <is>
          <t>Yes</t>
        </is>
      </c>
      <c r="BS366" s="30">
        <f>IF(BR366="NO",5,0)</f>
        <v/>
      </c>
      <c r="BT366" s="30" t="inlineStr">
        <is>
          <t>Above 2</t>
        </is>
      </c>
      <c r="BU366" s="30">
        <f>IF(BT366="Above 2",0,IF(BT366="Between 1.5 to 2",5,IF(BT366="Less than 1.5",10,0)))</f>
        <v/>
      </c>
      <c r="BV366" s="30" t="inlineStr">
        <is>
          <t>Negative</t>
        </is>
      </c>
      <c r="BW366" s="30">
        <f>IF(BV366="Above 70%",10,IF(BV366="Between 50% to 70%",5,IF(BV366="Less than 50%",0,IF(BV366="Negative",-10,IF(BV366="Less than 50% and Borrowings are increasing",-5,0)))))</f>
        <v/>
      </c>
      <c r="BX366" s="30" t="inlineStr">
        <is>
          <t>Less than 0.7</t>
        </is>
      </c>
      <c r="BY366" s="30">
        <f>IF(BX366="More than 1.2",-10,IF(BX366="Between 0.7 to 1.2",0,IF(BX366="Less than 0.7",10,0)))</f>
        <v/>
      </c>
      <c r="BZ366" s="30" t="inlineStr">
        <is>
          <t>No</t>
        </is>
      </c>
      <c r="CA366" s="30">
        <f>IF(BZ366="Yes",-10,0)</f>
        <v/>
      </c>
      <c r="CB366" s="30" t="inlineStr">
        <is>
          <t>Less than 15%</t>
        </is>
      </c>
      <c r="CC366" s="30">
        <f>IF(CB366="More than 15%",-10,IF(CB366="Less than 15%",10,0))</f>
        <v/>
      </c>
      <c r="CD366" s="30" t="inlineStr">
        <is>
          <t>No</t>
        </is>
      </c>
      <c r="CE366" s="30">
        <f>IF(CD366="Yes, more than 10%",-10,IF(CD366="No",10,0))</f>
        <v/>
      </c>
    </row>
    <row r="367">
      <c r="A367" s="30">
        <f>IF(B367=0,"",RANK(B367,$B$2:$B$427,0))</f>
        <v/>
      </c>
      <c r="B367" s="31">
        <f>SUM(N367,Y367,AA367,AC367,AE367,AG367,AI367,AK367,AM367,AO367,AQ367,AS367,AU367,AW367,AY367,BA367,BC367,BE367,BG367,BI367,BK367,BM367,BO367,BQ367,BS367,BU367,BW367,BY367,CA367,CC367,CE367)</f>
        <v/>
      </c>
      <c r="C367" s="32" t="inlineStr">
        <is>
          <t>PETRONET</t>
        </is>
      </c>
      <c r="D367" s="32" t="inlineStr">
        <is>
          <t>Petronet Lng Limited</t>
        </is>
      </c>
      <c r="E367" s="30" t="inlineStr">
        <is>
          <t>energy</t>
        </is>
      </c>
      <c r="F367" s="30" t="inlineStr">
        <is>
          <t>miscellaneous</t>
        </is>
      </c>
      <c r="G367" s="30" t="inlineStr">
        <is>
          <t>largecap</t>
        </is>
      </c>
      <c r="H367" s="31" t="n">
        <v>43237.5</v>
      </c>
      <c r="I367" s="31" t="n">
        <v>288.7</v>
      </c>
      <c r="J367" s="31" t="n">
        <v>0.16</v>
      </c>
      <c r="K367" s="31" t="n">
        <v>2152318</v>
      </c>
      <c r="L367" s="30" t="n">
        <v>8</v>
      </c>
      <c r="M367" s="30" t="inlineStr">
        <is>
          <t>Underperforming</t>
        </is>
      </c>
      <c r="N367" s="31">
        <f>IF(M367="Underperforming",-5,IF(L367&gt;=95,15,IF(L367&gt;=90,10,IF(L367&gt;=80,5,0))))</f>
        <v/>
      </c>
      <c r="O367" s="31" t="n">
        <v>56.51</v>
      </c>
      <c r="P367" s="31" t="n">
        <v>7.57</v>
      </c>
      <c r="Q367" s="31" t="n">
        <v>233.92</v>
      </c>
      <c r="R367" s="30" t="inlineStr">
        <is>
          <t>Earnings / Momentum Support</t>
        </is>
      </c>
      <c r="S367" s="30" t="inlineStr">
        <is>
          <t>Nifty Energy</t>
        </is>
      </c>
      <c r="T367" s="31" t="n">
        <v>13.9</v>
      </c>
      <c r="U367" s="31" t="n">
        <v>2.43</v>
      </c>
      <c r="V367" s="31" t="n">
        <v>-10.07</v>
      </c>
      <c r="W367" s="31" t="n">
        <v>3.37</v>
      </c>
      <c r="X367" s="30" t="inlineStr">
        <is>
          <t>Cyclical in an Upturn</t>
        </is>
      </c>
      <c r="Y367" s="30">
        <f>IF(X367="Growing Industry",10,IF(X367="Cyclical in an Upturn",5,0))</f>
        <v/>
      </c>
      <c r="Z367" s="30" t="inlineStr">
        <is>
          <t>Oligopoly</t>
        </is>
      </c>
      <c r="AA367" s="30">
        <f>IF(Z367="Monopoly",10,IF(Z367="Oligopoly",5,IF(Z367="Duopoly that cooperate",10,IF(Z367="Duopoly that compete",5,IF(Z367="Too many players with High ROCE",5,0)))))</f>
        <v/>
      </c>
      <c r="AB367" s="30" t="inlineStr">
        <is>
          <t>Yes</t>
        </is>
      </c>
      <c r="AC367" s="30">
        <f>IF(AB367="No",5,0)</f>
        <v/>
      </c>
      <c r="AD367" s="30" t="inlineStr">
        <is>
          <t>Tailwind</t>
        </is>
      </c>
      <c r="AE367" s="30">
        <f>IF(AD367="Tailwind",10,0)</f>
        <v/>
      </c>
      <c r="AF367" s="30" t="inlineStr">
        <is>
          <t>Cyclical</t>
        </is>
      </c>
      <c r="AG367" s="30">
        <f>IF(AF367="Structural (10 Years Consistency)",10,IF(AF367="Shallow Cyclical (2 to 3 years growth)",5,0))</f>
        <v/>
      </c>
      <c r="AH367" s="30" t="inlineStr">
        <is>
          <t>No</t>
        </is>
      </c>
      <c r="AI367" s="30">
        <f>IF(AH367="Yes due to Product Mix change or Operating Leverage",10,IF(AH367="Yes, these are peak margins",-5,IF(AH367="No",5,0)))</f>
        <v/>
      </c>
      <c r="AJ367" s="30" t="inlineStr">
        <is>
          <t>Volatile</t>
        </is>
      </c>
      <c r="AK367" s="30">
        <f>IF(AJ367="Stable",10,0)</f>
        <v/>
      </c>
      <c r="AL367" s="30" t="inlineStr">
        <is>
          <t>Yes</t>
        </is>
      </c>
      <c r="AM367" s="30">
        <f>IF(AL367="Yes",10,0)</f>
        <v/>
      </c>
      <c r="AN367" s="30" t="inlineStr">
        <is>
          <t>B2B</t>
        </is>
      </c>
      <c r="AO367" s="30">
        <f>IF(AN367="B2C",10,IF(AN367="B2B",5,0))</f>
        <v/>
      </c>
      <c r="AP367" s="30" t="inlineStr">
        <is>
          <t>No</t>
        </is>
      </c>
      <c r="AQ367" s="30">
        <f>IF(AP367="Yes",10,0)</f>
        <v/>
      </c>
      <c r="AR367" s="30" t="inlineStr">
        <is>
          <t>Higher One Time, Lower Annuity</t>
        </is>
      </c>
      <c r="AS367" s="30">
        <f>IF(AR367="Fully Annuity",10,IF(AR367="Higher Annuity, Lower One Time",5,IF(AR367="Higher One Time, Lower Annuity",3,0)))</f>
        <v/>
      </c>
      <c r="AT367" s="30" t="inlineStr">
        <is>
          <t>Good</t>
        </is>
      </c>
      <c r="AU367" s="30">
        <f>IF(AT367="Good",10,0)</f>
        <v/>
      </c>
      <c r="AV367" s="30" t="inlineStr">
        <is>
          <t>Yes for more than 2 years</t>
        </is>
      </c>
      <c r="AW367" s="30">
        <f>IF(AV367="Yes for more than 2 years",10,IF(AV367="Yes only for next 1 to 2 years",5,0))</f>
        <v/>
      </c>
      <c r="AX367" s="30" t="inlineStr">
        <is>
          <t>0 to 20</t>
        </is>
      </c>
      <c r="AY367" s="30">
        <f>IF(AX367="Above 40",20,IF(AX367="20 to 40",10,IF(AX367="0 to 20",-5,0)))</f>
        <v/>
      </c>
      <c r="AZ367" s="30" t="inlineStr">
        <is>
          <t>Between 50 to 75</t>
        </is>
      </c>
      <c r="BA367" s="30">
        <f>IF(AZ367="Between 50 to 75",10,IF(AZ367="Above 75",0,0))</f>
        <v/>
      </c>
      <c r="BB367" s="30" t="inlineStr">
        <is>
          <t>Stage 1</t>
        </is>
      </c>
      <c r="BC367" s="30">
        <f>IF(BB367="Stage 2",20,IF(BB367="Stage 1",0,IF(BB367="Stage 3",5,IF(BB367="Stage 4",-5,0))))</f>
        <v/>
      </c>
      <c r="BD367" s="30" t="inlineStr">
        <is>
          <t>Positive Trend</t>
        </is>
      </c>
      <c r="BE367" s="30">
        <f>IF(BD367="Positive Trend",20,IF(BD367="Negative Trend",-10,0))</f>
        <v/>
      </c>
      <c r="BF367" s="30" t="inlineStr">
        <is>
          <t>Uptrend</t>
        </is>
      </c>
      <c r="BG367" s="30">
        <f>IF(BF367="Uptrend",10,IF(BF367="Sideways",5,0))</f>
        <v/>
      </c>
      <c r="BH367" s="30" t="inlineStr">
        <is>
          <t>Uptrend</t>
        </is>
      </c>
      <c r="BI367" s="30">
        <f>IF(BH367="Uptrend",10,IF(BH367="Sideways",5,0))</f>
        <v/>
      </c>
      <c r="BJ367" s="30" t="inlineStr">
        <is>
          <t>Close to 52 week high or retracement</t>
        </is>
      </c>
      <c r="BK367" s="30">
        <f>IF(BJ367="Overhead supply in last 2 years in last 2 years",-5,IF(BJ367="Close to 52 week high or retracement",5,IF(BJ367="Blue sky scenario",10,IF(BJ367="Long term Downtrend",-10,0))))</f>
        <v/>
      </c>
      <c r="BL367" s="30" t="inlineStr">
        <is>
          <t>Yes</t>
        </is>
      </c>
      <c r="BM367" s="30">
        <f>IF(BL367="Yes",10,0)</f>
        <v/>
      </c>
      <c r="BN367" s="30" t="inlineStr">
        <is>
          <t>More than 20%</t>
        </is>
      </c>
      <c r="BO367" s="30">
        <f>IF(BN367="More than 20%",10,IF(BN367="Between 12 to 20%",5,IF(BN367="Less than 12%",0,0)))</f>
        <v/>
      </c>
      <c r="BP367" s="30" t="inlineStr">
        <is>
          <t>No</t>
        </is>
      </c>
      <c r="BQ367" s="30">
        <f>IF(BP367="No",10,0)</f>
        <v/>
      </c>
      <c r="BR367" s="30" t="inlineStr">
        <is>
          <t>No</t>
        </is>
      </c>
      <c r="BS367" s="30">
        <f>IF(BR367="NO",5,0)</f>
        <v/>
      </c>
      <c r="BT367" s="30" t="inlineStr">
        <is>
          <t>Less than 1.5</t>
        </is>
      </c>
      <c r="BU367" s="30">
        <f>IF(BT367="Above 2",0,IF(BT367="Between 1.5 to 2",5,IF(BT367="Less than 1.5",10,0)))</f>
        <v/>
      </c>
      <c r="BV367" s="30" t="inlineStr">
        <is>
          <t>Above 70%</t>
        </is>
      </c>
      <c r="BW367" s="30">
        <f>IF(BV367="Above 70%",10,IF(BV367="Between 50% to 70%",5,IF(BV367="Less than 50%",0,IF(BV367="Negative",-10,IF(BV367="Less than 50% and Borrowings are increasing",-5,0)))))</f>
        <v/>
      </c>
      <c r="BX367" s="30" t="inlineStr">
        <is>
          <t>Less than 0.7</t>
        </is>
      </c>
      <c r="BY367" s="30">
        <f>IF(BX367="More than 1.2",-10,IF(BX367="Between 0.7 to 1.2",0,IF(BX367="Less than 0.7",10,0)))</f>
        <v/>
      </c>
      <c r="BZ367" s="30" t="inlineStr">
        <is>
          <t>No</t>
        </is>
      </c>
      <c r="CA367" s="30">
        <f>IF(BZ367="Yes",-10,0)</f>
        <v/>
      </c>
      <c r="CB367" s="30" t="inlineStr">
        <is>
          <t>Less than 15%</t>
        </is>
      </c>
      <c r="CC367" s="30">
        <f>IF(CB367="More than 15%",-10,IF(CB367="Less than 15%",10,0))</f>
        <v/>
      </c>
      <c r="CD367" s="30" t="inlineStr">
        <is>
          <t>No</t>
        </is>
      </c>
      <c r="CE367" s="30">
        <f>IF(CD367="Yes, more than 10%",-10,IF(CD367="No",10,0))</f>
        <v/>
      </c>
    </row>
    <row r="368">
      <c r="A368" s="30">
        <f>IF(B368=0,"",RANK(B368,$B$2:$B$427,0))</f>
        <v/>
      </c>
      <c r="B368" s="31">
        <f>SUM(N368,Y368,AA368,AC368,AE368,AG368,AI368,AK368,AM368,AO368,AQ368,AS368,AU368,AW368,AY368,BA368,BC368,BE368,BG368,BI368,BK368,BM368,BO368,BQ368,BS368,BU368,BW368,BY368,CA368,CC368,CE368)</f>
        <v/>
      </c>
      <c r="C368" s="30" t="inlineStr">
        <is>
          <t>MAXESTATES</t>
        </is>
      </c>
      <c r="D368" s="30" t="inlineStr">
        <is>
          <t>Max Estates Ltd</t>
        </is>
      </c>
      <c r="E368" s="30" t="inlineStr">
        <is>
          <t>realty</t>
        </is>
      </c>
      <c r="F368" s="30" t="inlineStr">
        <is>
          <t>construction</t>
        </is>
      </c>
      <c r="G368" s="30" t="inlineStr">
        <is>
          <t>midcap</t>
        </is>
      </c>
      <c r="H368" s="31" t="n">
        <v>7422.88</v>
      </c>
      <c r="I368" s="31" t="n">
        <v>452.6</v>
      </c>
      <c r="J368" s="31" t="n">
        <v>-0.34</v>
      </c>
      <c r="K368" s="31" t="n">
        <v>42741</v>
      </c>
      <c r="L368" s="30" t="n">
        <v>8</v>
      </c>
      <c r="M368" s="30" t="inlineStr">
        <is>
          <t>Outperforming</t>
        </is>
      </c>
      <c r="N368" s="31">
        <f>IF(M368="Underperforming",-5,IF(L368&gt;=95,15,IF(L368&gt;=90,10,IF(L368&gt;=80,5,0))))</f>
        <v/>
      </c>
      <c r="O368" s="31" t="n">
        <v>59.32</v>
      </c>
      <c r="P368" s="31" t="n">
        <v>14.33</v>
      </c>
      <c r="Q368" s="31" t="n">
        <v>348.57</v>
      </c>
      <c r="R368" s="30" t="inlineStr">
        <is>
          <t>Earnings / Momentum Support</t>
        </is>
      </c>
      <c r="S368" s="30" t="inlineStr">
        <is>
          <t>Nifty Realty</t>
        </is>
      </c>
      <c r="T368" s="31" t="n">
        <v>-19.9</v>
      </c>
      <c r="U368" s="31" t="n">
        <v>-9.65</v>
      </c>
      <c r="V368" s="31" t="n">
        <v>12.8</v>
      </c>
      <c r="W368" s="31" t="n">
        <v>3.41</v>
      </c>
      <c r="X368" s="30" t="inlineStr">
        <is>
          <t>Growing Industry</t>
        </is>
      </c>
      <c r="Y368" s="30">
        <f>IF(X368="Growing Industry",10,IF(X368="Cyclical in an Upturn",5,0))</f>
        <v/>
      </c>
      <c r="Z368" s="30" t="inlineStr">
        <is>
          <t>Too Many Players with High ROCE</t>
        </is>
      </c>
      <c r="AA368" s="30">
        <f>IF(Z368="Monopoly",10,IF(Z368="Oligopoly",5,IF(Z368="Duopoly that cooperate",10,IF(Z368="Duopoly that compete",5,IF(Z368="Too many players with High ROCE",5,0)))))</f>
        <v/>
      </c>
      <c r="AB368" s="30" t="inlineStr">
        <is>
          <t>No</t>
        </is>
      </c>
      <c r="AC368" s="30">
        <f>IF(AB368="No",5,0)</f>
        <v/>
      </c>
      <c r="AD368" s="30" t="inlineStr">
        <is>
          <t>Headwind</t>
        </is>
      </c>
      <c r="AE368" s="30">
        <f>IF(AD368="Tailwind",10,0)</f>
        <v/>
      </c>
      <c r="AF368" s="30" t="inlineStr">
        <is>
          <t>Structural (10 Years Consistency)</t>
        </is>
      </c>
      <c r="AG368" s="30">
        <f>IF(AF368="Structural (10 Years Consistency)",10,IF(AF368="Shallow Cyclical (2 to 3 years growth)",5,0))</f>
        <v/>
      </c>
      <c r="AH368" s="30" t="inlineStr">
        <is>
          <t>No</t>
        </is>
      </c>
      <c r="AI368" s="30">
        <f>IF(AH368="Yes due to Product Mix change or Operating Leverage",10,IF(AH368="Yes, these are peak margins",-5,IF(AH368="No",5,0)))</f>
        <v/>
      </c>
      <c r="AJ368" s="30" t="inlineStr">
        <is>
          <t>Stable</t>
        </is>
      </c>
      <c r="AK368" s="30">
        <f>IF(AJ368="Stable",10,0)</f>
        <v/>
      </c>
      <c r="AL368" s="30" t="inlineStr">
        <is>
          <t>Yes</t>
        </is>
      </c>
      <c r="AM368" s="30">
        <f>IF(AL368="Yes",10,0)</f>
        <v/>
      </c>
      <c r="AN368" s="30" t="inlineStr">
        <is>
          <t>B2B</t>
        </is>
      </c>
      <c r="AO368" s="30">
        <f>IF(AN368="B2C",10,IF(AN368="B2B",5,0))</f>
        <v/>
      </c>
      <c r="AP368" s="30" t="inlineStr">
        <is>
          <t>No</t>
        </is>
      </c>
      <c r="AQ368" s="30">
        <f>IF(AP368="Yes",10,0)</f>
        <v/>
      </c>
      <c r="AR368" s="30" t="inlineStr">
        <is>
          <t>Higher One Time, Lower Annuity</t>
        </is>
      </c>
      <c r="AS368" s="30">
        <f>IF(AR368="Fully Annuity",10,IF(AR368="Higher Annuity, Lower One Time",5,IF(AR368="Higher One Time, Lower Annuity",3,0)))</f>
        <v/>
      </c>
      <c r="AT368" s="30" t="inlineStr">
        <is>
          <t>Good</t>
        </is>
      </c>
      <c r="AU368" s="30">
        <f>IF(AT368="Good",10,0)</f>
        <v/>
      </c>
      <c r="AV368" s="30" t="inlineStr">
        <is>
          <t>Yes for more than 2 years</t>
        </is>
      </c>
      <c r="AW368" s="30">
        <f>IF(AV368="Yes for more than 2 years",10,IF(AV368="Yes only for next 1 to 2 years",5,0))</f>
        <v/>
      </c>
      <c r="AX368" s="30" t="inlineStr">
        <is>
          <t>0 to 20</t>
        </is>
      </c>
      <c r="AY368" s="30">
        <f>IF(AX368="Above 40",20,IF(AX368="20 to 40",10,IF(AX368="0 to 20",-5,0)))</f>
        <v/>
      </c>
      <c r="AZ368" s="30" t="inlineStr">
        <is>
          <t>Between 50 to 75</t>
        </is>
      </c>
      <c r="BA368" s="30">
        <f>IF(AZ368="Between 50 to 75",10,IF(AZ368="Above 75",0,0))</f>
        <v/>
      </c>
      <c r="BB368" s="30" t="inlineStr">
        <is>
          <t>Stage 2</t>
        </is>
      </c>
      <c r="BC368" s="30">
        <f>IF(BB368="Stage 2",20,IF(BB368="Stage 1",0,IF(BB368="Stage 3",5,IF(BB368="Stage 4",-5,0))))</f>
        <v/>
      </c>
      <c r="BD368" s="30" t="inlineStr">
        <is>
          <t>Positive Trend</t>
        </is>
      </c>
      <c r="BE368" s="30">
        <f>IF(BD368="Positive Trend",20,IF(BD368="Negative Trend",-10,0))</f>
        <v/>
      </c>
      <c r="BF368" s="30" t="inlineStr">
        <is>
          <t>Uptrend</t>
        </is>
      </c>
      <c r="BG368" s="30">
        <f>IF(BF368="Uptrend",10,IF(BF368="Sideways",5,0))</f>
        <v/>
      </c>
      <c r="BH368" s="30" t="inlineStr">
        <is>
          <t>Uptrend</t>
        </is>
      </c>
      <c r="BI368" s="30">
        <f>IF(BH368="Uptrend",10,IF(BH368="Sideways",5,0))</f>
        <v/>
      </c>
      <c r="BJ368" s="30" t="inlineStr">
        <is>
          <t>Close to 52 week high or retracement</t>
        </is>
      </c>
      <c r="BK368" s="30">
        <f>IF(BJ368="Overhead supply in last 2 years in last 2 years",-5,IF(BJ368="Close to 52 week high or retracement",5,IF(BJ368="Blue sky scenario",10,IF(BJ368="Long term Downtrend",-10,0))))</f>
        <v/>
      </c>
      <c r="BL368" s="30" t="inlineStr">
        <is>
          <t>Yes</t>
        </is>
      </c>
      <c r="BM368" s="30">
        <f>IF(BL368="Yes",10,0)</f>
        <v/>
      </c>
      <c r="BN368" s="30" t="inlineStr">
        <is>
          <t>More than 20%</t>
        </is>
      </c>
      <c r="BO368" s="30">
        <f>IF(BN368="More than 20%",10,IF(BN368="Between 12 to 20%",5,IF(BN368="Less than 12%",0,0)))</f>
        <v/>
      </c>
      <c r="BP368" s="30" t="inlineStr">
        <is>
          <t>No</t>
        </is>
      </c>
      <c r="BQ368" s="30">
        <f>IF(BP368="No",10,0)</f>
        <v/>
      </c>
      <c r="BR368" s="30" t="inlineStr">
        <is>
          <t>Yes</t>
        </is>
      </c>
      <c r="BS368" s="30">
        <f>IF(BR368="NO",5,0)</f>
        <v/>
      </c>
      <c r="BT368" s="30" t="inlineStr">
        <is>
          <t>Above 2</t>
        </is>
      </c>
      <c r="BU368" s="30">
        <f>IF(BT368="Above 2",0,IF(BT368="Between 1.5 to 2",5,IF(BT368="Less than 1.5",10,0)))</f>
        <v/>
      </c>
      <c r="BV368" s="30" t="inlineStr">
        <is>
          <t>Negative</t>
        </is>
      </c>
      <c r="BW368" s="30">
        <f>IF(BV368="Above 70%",10,IF(BV368="Between 50% to 70%",5,IF(BV368="Less than 50%",0,IF(BV368="Negative",-10,IF(BV368="Less than 50% and Borrowings are increasing",-5,0)))))</f>
        <v/>
      </c>
      <c r="BX368" s="30" t="inlineStr">
        <is>
          <t>Between 0.7 to 1.2</t>
        </is>
      </c>
      <c r="BY368" s="30">
        <f>IF(BX368="More than 1.2",-10,IF(BX368="Between 0.7 to 1.2",0,IF(BX368="Less than 0.7",10,0)))</f>
        <v/>
      </c>
      <c r="BZ368" s="30" t="inlineStr">
        <is>
          <t>No</t>
        </is>
      </c>
      <c r="CA368" s="30">
        <f>IF(BZ368="Yes",-10,0)</f>
        <v/>
      </c>
      <c r="CB368" s="30" t="inlineStr">
        <is>
          <t>Less than 15%</t>
        </is>
      </c>
      <c r="CC368" s="30">
        <f>IF(CB368="More than 15%",-10,IF(CB368="Less than 15%",10,0))</f>
        <v/>
      </c>
      <c r="CD368" s="30" t="inlineStr">
        <is>
          <t>No</t>
        </is>
      </c>
      <c r="CE368" s="30">
        <f>IF(CD368="Yes, more than 10%",-10,IF(CD368="No",10,0))</f>
        <v/>
      </c>
    </row>
    <row r="369">
      <c r="A369" s="30">
        <f>IF(B369=0,"",RANK(B369,$B$2:$B$427,0))</f>
        <v/>
      </c>
      <c r="B369" s="31">
        <f>SUM(N369,Y369,AA369,AC369,AE369,AG369,AI369,AK369,AM369,AO369,AQ369,AS369,AU369,AW369,AY369,BA369,BC369,BE369,BG369,BI369,BK369,BM369,BO369,BQ369,BS369,BU369,BW369,BY369,CA369,CC369,CE369)</f>
        <v/>
      </c>
      <c r="C369" s="30" t="inlineStr">
        <is>
          <t>BEL</t>
        </is>
      </c>
      <c r="D369" s="30" t="inlineStr">
        <is>
          <t>Bharat Electronics Limited</t>
        </is>
      </c>
      <c r="E369" s="30" t="inlineStr">
        <is>
          <t>aerospace &amp; defence</t>
        </is>
      </c>
      <c r="F369" s="30" t="inlineStr">
        <is>
          <t>electronics - components</t>
        </is>
      </c>
      <c r="G369" s="30" t="inlineStr">
        <is>
          <t>largecap</t>
        </is>
      </c>
      <c r="H369" s="31" t="n">
        <v>313297.12</v>
      </c>
      <c r="I369" s="31" t="n">
        <v>426.9</v>
      </c>
      <c r="J369" s="31" t="n">
        <v>-0.4</v>
      </c>
      <c r="K369" s="31" t="n">
        <v>10829044</v>
      </c>
      <c r="L369" s="30" t="n">
        <v>2</v>
      </c>
      <c r="M369" s="30" t="inlineStr">
        <is>
          <t>Outperforming</t>
        </is>
      </c>
      <c r="N369" s="31">
        <f>IF(M369="Underperforming",-5,IF(L369&gt;=95,15,IF(L369&gt;=90,10,IF(L369&gt;=80,5,0))))</f>
        <v/>
      </c>
      <c r="O369" s="31" t="n">
        <v>52.09</v>
      </c>
      <c r="P369" s="31" t="n">
        <v>16.37</v>
      </c>
      <c r="Q369" s="31" t="n">
        <v>394.54</v>
      </c>
      <c r="R369" s="30" t="inlineStr">
        <is>
          <t>Earnings / Momentum Support</t>
        </is>
      </c>
      <c r="S369" s="30" t="inlineStr">
        <is>
          <t>Nifty 50</t>
        </is>
      </c>
      <c r="T369" s="31" t="n">
        <v>-4.38</v>
      </c>
      <c r="U369" s="31" t="n">
        <v>5.26</v>
      </c>
      <c r="V369" s="31" t="n">
        <v>10.08</v>
      </c>
      <c r="W369" s="31" t="n">
        <v>1.15</v>
      </c>
      <c r="X369" s="30" t="inlineStr">
        <is>
          <t>Growing Industry</t>
        </is>
      </c>
      <c r="Y369" s="30">
        <f>IF(X369="Growing Industry",10,IF(X369="Cyclical in an Upturn",5,0))</f>
        <v/>
      </c>
      <c r="Z369" s="30" t="inlineStr">
        <is>
          <t>Too Many Players with High ROCE</t>
        </is>
      </c>
      <c r="AA369" s="30">
        <f>IF(Z369="Monopoly",10,IF(Z369="Oligopoly",5,IF(Z369="Duopoly that cooperate",10,IF(Z369="Duopoly that compete",5,IF(Z369="Too many players with High ROCE",5,0)))))</f>
        <v/>
      </c>
      <c r="AB369" s="30" t="inlineStr">
        <is>
          <t>No</t>
        </is>
      </c>
      <c r="AC369" s="30">
        <f>IF(AB369="No",5,0)</f>
        <v/>
      </c>
      <c r="AD369" s="30" t="inlineStr">
        <is>
          <t>Tailwind</t>
        </is>
      </c>
      <c r="AE369" s="30">
        <f>IF(AD369="Tailwind",10,0)</f>
        <v/>
      </c>
      <c r="AF369" s="30" t="inlineStr">
        <is>
          <t>Structural (10 Years Consistency)</t>
        </is>
      </c>
      <c r="AG369" s="30">
        <f>IF(AF369="Structural (10 Years Consistency)",10,IF(AF369="Shallow Cyclical (2 to 3 years growth)",5,0))</f>
        <v/>
      </c>
      <c r="AH369" s="30" t="inlineStr">
        <is>
          <t>No</t>
        </is>
      </c>
      <c r="AI369" s="30">
        <f>IF(AH369="Yes due to Product Mix change or Operating Leverage",10,IF(AH369="Yes, these are peak margins",-5,IF(AH369="No",5,0)))</f>
        <v/>
      </c>
      <c r="AJ369" s="30" t="inlineStr">
        <is>
          <t>Stable</t>
        </is>
      </c>
      <c r="AK369" s="30">
        <f>IF(AJ369="Stable",10,0)</f>
        <v/>
      </c>
      <c r="AL369" s="30" t="inlineStr">
        <is>
          <t>Yes</t>
        </is>
      </c>
      <c r="AM369" s="30">
        <f>IF(AL369="Yes",10,0)</f>
        <v/>
      </c>
      <c r="AN369" s="30" t="inlineStr">
        <is>
          <t>B2B</t>
        </is>
      </c>
      <c r="AO369" s="30">
        <f>IF(AN369="B2C",10,IF(AN369="B2B",5,0))</f>
        <v/>
      </c>
      <c r="AP369" s="30" t="inlineStr">
        <is>
          <t>No</t>
        </is>
      </c>
      <c r="AQ369" s="30">
        <f>IF(AP369="Yes",10,0)</f>
        <v/>
      </c>
      <c r="AR369" s="30" t="inlineStr">
        <is>
          <t>Higher One Time, Lower Annuity</t>
        </is>
      </c>
      <c r="AS369" s="30">
        <f>IF(AR369="Fully Annuity",10,IF(AR369="Higher Annuity, Lower One Time",5,IF(AR369="Higher One Time, Lower Annuity",3,0)))</f>
        <v/>
      </c>
      <c r="AT369" s="30" t="inlineStr">
        <is>
          <t>Good</t>
        </is>
      </c>
      <c r="AU369" s="30">
        <f>IF(AT369="Good",10,0)</f>
        <v/>
      </c>
      <c r="AV369" s="30" t="inlineStr">
        <is>
          <t>Yes for more than 2 years</t>
        </is>
      </c>
      <c r="AW369" s="30">
        <f>IF(AV369="Yes for more than 2 years",10,IF(AV369="Yes only for next 1 to 2 years",5,0))</f>
        <v/>
      </c>
      <c r="AX369" s="30" t="inlineStr">
        <is>
          <t>0 to 20</t>
        </is>
      </c>
      <c r="AY369" s="30">
        <f>IF(AX369="Above 40",20,IF(AX369="20 to 40",10,IF(AX369="0 to 20",-5,0)))</f>
        <v/>
      </c>
      <c r="AZ369" s="30" t="inlineStr">
        <is>
          <t>Between 50 to 75</t>
        </is>
      </c>
      <c r="BA369" s="30">
        <f>IF(AZ369="Between 50 to 75",10,IF(AZ369="Above 75",0,0))</f>
        <v/>
      </c>
      <c r="BB369" s="30" t="inlineStr">
        <is>
          <t>Stage 1</t>
        </is>
      </c>
      <c r="BC369" s="30">
        <f>IF(BB369="Stage 2",20,IF(BB369="Stage 1",0,IF(BB369="Stage 3",5,IF(BB369="Stage 4",-5,0))))</f>
        <v/>
      </c>
      <c r="BD369" s="30" t="inlineStr">
        <is>
          <t>Positive Trend</t>
        </is>
      </c>
      <c r="BE369" s="30">
        <f>IF(BD369="Positive Trend",20,IF(BD369="Negative Trend",-10,0))</f>
        <v/>
      </c>
      <c r="BF369" s="30" t="inlineStr">
        <is>
          <t>Uptrend</t>
        </is>
      </c>
      <c r="BG369" s="30">
        <f>IF(BF369="Uptrend",10,IF(BF369="Sideways",5,0))</f>
        <v/>
      </c>
      <c r="BH369" s="30" t="inlineStr">
        <is>
          <t>Uptrend</t>
        </is>
      </c>
      <c r="BI369" s="30">
        <f>IF(BH369="Uptrend",10,IF(BH369="Sideways",5,0))</f>
        <v/>
      </c>
      <c r="BJ369" s="30" t="inlineStr">
        <is>
          <t>Close to 52 week high or retracement</t>
        </is>
      </c>
      <c r="BK369" s="30">
        <f>IF(BJ369="Overhead supply in last 2 years in last 2 years",-5,IF(BJ369="Close to 52 week high or retracement",5,IF(BJ369="Blue sky scenario",10,IF(BJ369="Long term Downtrend",-10,0))))</f>
        <v/>
      </c>
      <c r="BL369" s="30" t="inlineStr">
        <is>
          <t>Yes</t>
        </is>
      </c>
      <c r="BM369" s="30">
        <f>IF(BL369="Yes",10,0)</f>
        <v/>
      </c>
      <c r="BN369" s="30" t="inlineStr">
        <is>
          <t>Less than 12%</t>
        </is>
      </c>
      <c r="BO369" s="30">
        <f>IF(BN369="More than 20%",10,IF(BN369="Between 12 to 20%",5,IF(BN369="Less than 12%",0,0)))</f>
        <v/>
      </c>
      <c r="BP369" s="30" t="inlineStr">
        <is>
          <t>No</t>
        </is>
      </c>
      <c r="BQ369" s="30">
        <f>IF(BP369="No",10,0)</f>
        <v/>
      </c>
      <c r="BR369" s="30" t="inlineStr">
        <is>
          <t>Yes</t>
        </is>
      </c>
      <c r="BS369" s="30">
        <f>IF(BR369="NO",5,0)</f>
        <v/>
      </c>
      <c r="BT369" s="30" t="inlineStr">
        <is>
          <t>Above 2</t>
        </is>
      </c>
      <c r="BU369" s="30">
        <f>IF(BT369="Above 2",0,IF(BT369="Between 1.5 to 2",5,IF(BT369="Less than 1.5",10,0)))</f>
        <v/>
      </c>
      <c r="BV369" s="30" t="inlineStr">
        <is>
          <t>Less than 50%</t>
        </is>
      </c>
      <c r="BW369" s="30">
        <f>IF(BV369="Above 70%",10,IF(BV369="Between 50% to 70%",5,IF(BV369="Less than 50%",0,IF(BV369="Negative",-10,IF(BV369="Less than 50% and Borrowings are increasing",-5,0)))))</f>
        <v/>
      </c>
      <c r="BX369" s="30" t="inlineStr">
        <is>
          <t>Less than 0.7</t>
        </is>
      </c>
      <c r="BY369" s="30">
        <f>IF(BX369="More than 1.2",-10,IF(BX369="Between 0.7 to 1.2",0,IF(BX369="Less than 0.7",10,0)))</f>
        <v/>
      </c>
      <c r="BZ369" s="30" t="inlineStr">
        <is>
          <t>No</t>
        </is>
      </c>
      <c r="CA369" s="30">
        <f>IF(BZ369="Yes",-10,0)</f>
        <v/>
      </c>
      <c r="CB369" s="30" t="inlineStr">
        <is>
          <t>Less than 15%</t>
        </is>
      </c>
      <c r="CC369" s="30">
        <f>IF(CB369="More than 15%",-10,IF(CB369="Less than 15%",10,0))</f>
        <v/>
      </c>
      <c r="CD369" s="30" t="inlineStr">
        <is>
          <t>No</t>
        </is>
      </c>
      <c r="CE369" s="30">
        <f>IF(CD369="Yes, more than 10%",-10,IF(CD369="No",10,0))</f>
        <v/>
      </c>
    </row>
    <row r="370">
      <c r="A370" s="30">
        <f>IF(B370=0,"",RANK(B370,$B$2:$B$427,0))</f>
        <v/>
      </c>
      <c r="B370" s="31">
        <f>SUM(N370,Y370,AA370,AC370,AE370,AG370,AI370,AK370,AM370,AO370,AQ370,AS370,AU370,AW370,AY370,BA370,BC370,BE370,BG370,BI370,BK370,BM370,BO370,BQ370,BS370,BU370,BW370,BY370,CA370,CC370,CE370)</f>
        <v/>
      </c>
      <c r="C370" s="32" t="inlineStr">
        <is>
          <t>GAIL</t>
        </is>
      </c>
      <c r="D370" s="32" t="inlineStr">
        <is>
          <t>Gail (india) Limited</t>
        </is>
      </c>
      <c r="E370" s="30" t="inlineStr">
        <is>
          <t>energy</t>
        </is>
      </c>
      <c r="F370" s="30" t="inlineStr">
        <is>
          <t>miscellaneous</t>
        </is>
      </c>
      <c r="G370" s="30" t="inlineStr">
        <is>
          <t>largecap</t>
        </is>
      </c>
      <c r="H370" s="31" t="n">
        <v>116011.06</v>
      </c>
      <c r="I370" s="31" t="n">
        <v>173.9</v>
      </c>
      <c r="J370" s="31" t="n">
        <v>-1.44</v>
      </c>
      <c r="K370" s="31" t="n">
        <v>11093745</v>
      </c>
      <c r="L370" s="30" t="n">
        <v>16</v>
      </c>
      <c r="M370" s="30" t="inlineStr">
        <is>
          <t>Underperforming</t>
        </is>
      </c>
      <c r="N370" s="31">
        <f>IF(M370="Underperforming",-5,IF(L370&gt;=95,15,IF(L370&gt;=90,10,IF(L370&gt;=80,5,0))))</f>
        <v/>
      </c>
      <c r="O370" s="31" t="n">
        <v>59.82</v>
      </c>
      <c r="P370" s="31" t="n">
        <v>12.81</v>
      </c>
      <c r="Q370" s="31" t="n">
        <v>147.12</v>
      </c>
      <c r="R370" s="30" t="inlineStr">
        <is>
          <t>Earnings / Momentum Support</t>
        </is>
      </c>
      <c r="S370" s="30" t="inlineStr">
        <is>
          <t>Nifty Energy</t>
        </is>
      </c>
      <c r="T370" s="31" t="n">
        <v>13.9</v>
      </c>
      <c r="U370" s="31" t="n">
        <v>-0.82</v>
      </c>
      <c r="V370" s="31" t="n">
        <v>-12.92</v>
      </c>
      <c r="W370" s="31" t="n">
        <v>4.83</v>
      </c>
      <c r="X370" s="30" t="inlineStr">
        <is>
          <t>Cyclical in an Upturn</t>
        </is>
      </c>
      <c r="Y370" s="30">
        <f>IF(X370="Growing Industry",10,IF(X370="Cyclical in an Upturn",5,0))</f>
        <v/>
      </c>
      <c r="Z370" s="30" t="inlineStr">
        <is>
          <t>Oligopoly</t>
        </is>
      </c>
      <c r="AA370" s="30">
        <f>IF(Z370="Monopoly",10,IF(Z370="Oligopoly",5,IF(Z370="Duopoly that cooperate",10,IF(Z370="Duopoly that compete",5,IF(Z370="Too many players with High ROCE",5,0)))))</f>
        <v/>
      </c>
      <c r="AB370" s="30" t="inlineStr">
        <is>
          <t>Yes</t>
        </is>
      </c>
      <c r="AC370" s="30">
        <f>IF(AB370="No",5,0)</f>
        <v/>
      </c>
      <c r="AD370" s="30" t="inlineStr">
        <is>
          <t>Tailwind</t>
        </is>
      </c>
      <c r="AE370" s="30">
        <f>IF(AD370="Tailwind",10,0)</f>
        <v/>
      </c>
      <c r="AF370" s="30" t="inlineStr">
        <is>
          <t>Cyclical</t>
        </is>
      </c>
      <c r="AG370" s="30">
        <f>IF(AF370="Structural (10 Years Consistency)",10,IF(AF370="Shallow Cyclical (2 to 3 years growth)",5,0))</f>
        <v/>
      </c>
      <c r="AH370" s="30" t="inlineStr">
        <is>
          <t>No</t>
        </is>
      </c>
      <c r="AI370" s="30">
        <f>IF(AH370="Yes due to Product Mix change or Operating Leverage",10,IF(AH370="Yes, these are peak margins",-5,IF(AH370="No",5,0)))</f>
        <v/>
      </c>
      <c r="AJ370" s="30" t="inlineStr">
        <is>
          <t>Volatile</t>
        </is>
      </c>
      <c r="AK370" s="30">
        <f>IF(AJ370="Stable",10,0)</f>
        <v/>
      </c>
      <c r="AL370" s="30" t="inlineStr">
        <is>
          <t>Yes</t>
        </is>
      </c>
      <c r="AM370" s="30">
        <f>IF(AL370="Yes",10,0)</f>
        <v/>
      </c>
      <c r="AN370" s="30" t="inlineStr">
        <is>
          <t>B2B</t>
        </is>
      </c>
      <c r="AO370" s="30">
        <f>IF(AN370="B2C",10,IF(AN370="B2B",5,0))</f>
        <v/>
      </c>
      <c r="AP370" s="30" t="inlineStr">
        <is>
          <t>No</t>
        </is>
      </c>
      <c r="AQ370" s="30">
        <f>IF(AP370="Yes",10,0)</f>
        <v/>
      </c>
      <c r="AR370" s="30" t="inlineStr">
        <is>
          <t>Higher One Time, Lower Annuity</t>
        </is>
      </c>
      <c r="AS370" s="30">
        <f>IF(AR370="Fully Annuity",10,IF(AR370="Higher Annuity, Lower One Time",5,IF(AR370="Higher One Time, Lower Annuity",3,0)))</f>
        <v/>
      </c>
      <c r="AT370" s="30" t="inlineStr">
        <is>
          <t>Good</t>
        </is>
      </c>
      <c r="AU370" s="30">
        <f>IF(AT370="Good",10,0)</f>
        <v/>
      </c>
      <c r="AV370" s="30" t="inlineStr">
        <is>
          <t>Yes for more than 2 years</t>
        </is>
      </c>
      <c r="AW370" s="30">
        <f>IF(AV370="Yes for more than 2 years",10,IF(AV370="Yes only for next 1 to 2 years",5,0))</f>
        <v/>
      </c>
      <c r="AX370" s="30" t="inlineStr">
        <is>
          <t>0 to 20</t>
        </is>
      </c>
      <c r="AY370" s="30">
        <f>IF(AX370="Above 40",20,IF(AX370="20 to 40",10,IF(AX370="0 to 20",-5,0)))</f>
        <v/>
      </c>
      <c r="AZ370" s="30" t="inlineStr">
        <is>
          <t>Between 50 to 75</t>
        </is>
      </c>
      <c r="BA370" s="30">
        <f>IF(AZ370="Between 50 to 75",10,IF(AZ370="Above 75",0,0))</f>
        <v/>
      </c>
      <c r="BB370" s="30" t="inlineStr">
        <is>
          <t>Stage 2</t>
        </is>
      </c>
      <c r="BC370" s="30">
        <f>IF(BB370="Stage 2",20,IF(BB370="Stage 1",0,IF(BB370="Stage 3",5,IF(BB370="Stage 4",-5,0))))</f>
        <v/>
      </c>
      <c r="BD370" s="30" t="inlineStr">
        <is>
          <t>Positive Trend</t>
        </is>
      </c>
      <c r="BE370" s="30">
        <f>IF(BD370="Positive Trend",20,IF(BD370="Negative Trend",-10,0))</f>
        <v/>
      </c>
      <c r="BF370" s="30" t="inlineStr">
        <is>
          <t>Uptrend</t>
        </is>
      </c>
      <c r="BG370" s="30">
        <f>IF(BF370="Uptrend",10,IF(BF370="Sideways",5,0))</f>
        <v/>
      </c>
      <c r="BH370" s="30" t="inlineStr">
        <is>
          <t>Uptrend</t>
        </is>
      </c>
      <c r="BI370" s="30">
        <f>IF(BH370="Uptrend",10,IF(BH370="Sideways",5,0))</f>
        <v/>
      </c>
      <c r="BJ370" s="30" t="inlineStr">
        <is>
          <t>Close to 52 week high or retracement</t>
        </is>
      </c>
      <c r="BK370" s="30">
        <f>IF(BJ370="Overhead supply in last 2 years in last 2 years",-5,IF(BJ370="Close to 52 week high or retracement",5,IF(BJ370="Blue sky scenario",10,IF(BJ370="Long term Downtrend",-10,0))))</f>
        <v/>
      </c>
      <c r="BL370" s="30" t="inlineStr">
        <is>
          <t>Yes</t>
        </is>
      </c>
      <c r="BM370" s="30">
        <f>IF(BL370="Yes",10,0)</f>
        <v/>
      </c>
      <c r="BN370" s="30" t="inlineStr">
        <is>
          <t>Less than 12%</t>
        </is>
      </c>
      <c r="BO370" s="30">
        <f>IF(BN370="More than 20%",10,IF(BN370="Between 12 to 20%",5,IF(BN370="Less than 12%",0,0)))</f>
        <v/>
      </c>
      <c r="BP370" s="30" t="inlineStr">
        <is>
          <t>No</t>
        </is>
      </c>
      <c r="BQ370" s="30">
        <f>IF(BP370="No",10,0)</f>
        <v/>
      </c>
      <c r="BR370" s="30" t="inlineStr">
        <is>
          <t>No</t>
        </is>
      </c>
      <c r="BS370" s="30">
        <f>IF(BR370="NO",5,0)</f>
        <v/>
      </c>
      <c r="BT370" s="30" t="inlineStr">
        <is>
          <t>Above 2</t>
        </is>
      </c>
      <c r="BU370" s="30">
        <f>IF(BT370="Above 2",0,IF(BT370="Between 1.5 to 2",5,IF(BT370="Less than 1.5",10,0)))</f>
        <v/>
      </c>
      <c r="BV370" s="30" t="inlineStr">
        <is>
          <t>Above 70%</t>
        </is>
      </c>
      <c r="BW370" s="30">
        <f>IF(BV370="Above 70%",10,IF(BV370="Between 50% to 70%",5,IF(BV370="Less than 50%",0,IF(BV370="Negative",-10,IF(BV370="Less than 50% and Borrowings are increasing",-5,0)))))</f>
        <v/>
      </c>
      <c r="BX370" s="30" t="inlineStr">
        <is>
          <t>Less than 0.7</t>
        </is>
      </c>
      <c r="BY370" s="30">
        <f>IF(BX370="More than 1.2",-10,IF(BX370="Between 0.7 to 1.2",0,IF(BX370="Less than 0.7",10,0)))</f>
        <v/>
      </c>
      <c r="BZ370" s="30" t="inlineStr">
        <is>
          <t>No</t>
        </is>
      </c>
      <c r="CA370" s="30">
        <f>IF(BZ370="Yes",-10,0)</f>
        <v/>
      </c>
      <c r="CB370" s="30" t="inlineStr">
        <is>
          <t>Less than 15%</t>
        </is>
      </c>
      <c r="CC370" s="30">
        <f>IF(CB370="More than 15%",-10,IF(CB370="Less than 15%",10,0))</f>
        <v/>
      </c>
      <c r="CD370" s="30" t="inlineStr">
        <is>
          <t>No</t>
        </is>
      </c>
      <c r="CE370" s="30">
        <f>IF(CD370="Yes, more than 10%",-10,IF(CD370="No",10,0))</f>
        <v/>
      </c>
    </row>
    <row r="371">
      <c r="A371" s="30">
        <f>IF(B371=0,"",RANK(B371,$B$2:$B$427,0))</f>
        <v/>
      </c>
      <c r="B371" s="31">
        <f>SUM(N371,Y371,AA371,AC371,AE371,AG371,AI371,AK371,AM371,AO371,AQ371,AS371,AU371,AW371,AY371,BA371,BC371,BE371,BG371,BI371,BK371,BM371,BO371,BQ371,BS371,BU371,BW371,BY371,CA371,CC371,CE371)</f>
        <v/>
      </c>
      <c r="C371" s="32" t="inlineStr">
        <is>
          <t>KAMDHENU</t>
        </is>
      </c>
      <c r="D371" s="32" t="inlineStr">
        <is>
          <t>Kamdhenu Limited</t>
        </is>
      </c>
      <c r="E371" s="30" t="inlineStr">
        <is>
          <t>metals &amp; mining</t>
        </is>
      </c>
      <c r="F371" s="30" t="inlineStr">
        <is>
          <t>steel - medium / small</t>
        </is>
      </c>
      <c r="G371" s="30" t="inlineStr">
        <is>
          <t>smallcap</t>
        </is>
      </c>
      <c r="H371" s="31" t="n">
        <v>838.88</v>
      </c>
      <c r="I371" s="31" t="n">
        <v>28.83</v>
      </c>
      <c r="J371" s="31" t="n">
        <v>-3.13</v>
      </c>
      <c r="K371" s="31" t="n">
        <v>782895</v>
      </c>
      <c r="L371" s="30" t="n">
        <v>28</v>
      </c>
      <c r="M371" s="30" t="inlineStr">
        <is>
          <t>Underperforming</t>
        </is>
      </c>
      <c r="N371" s="31">
        <f>IF(M371="Underperforming",-5,IF(L371&gt;=95,15,IF(L371&gt;=90,10,IF(L371&gt;=80,5,0))))</f>
        <v/>
      </c>
      <c r="O371" s="31" t="n">
        <v>62.06</v>
      </c>
      <c r="P371" s="31" t="n">
        <v>19.78</v>
      </c>
      <c r="Q371" s="31" t="n">
        <v>20.48</v>
      </c>
      <c r="R371" s="30" t="inlineStr">
        <is>
          <t>Earnings / Momentum Support</t>
        </is>
      </c>
      <c r="S371" s="30" t="inlineStr">
        <is>
          <t>Nifty Metal</t>
        </is>
      </c>
      <c r="T371" s="31" t="n">
        <v>42.48</v>
      </c>
      <c r="U371" s="31" t="n">
        <v>-6.2</v>
      </c>
      <c r="V371" s="31" t="n">
        <v>-34.17</v>
      </c>
      <c r="W371" s="31" t="n">
        <v>7.73</v>
      </c>
      <c r="X371" s="30" t="inlineStr">
        <is>
          <t>Cyclical in an Upturn</t>
        </is>
      </c>
      <c r="Y371" s="30">
        <f>IF(X371="Growing Industry",10,IF(X371="Cyclical in an Upturn",5,0))</f>
        <v/>
      </c>
      <c r="Z371" s="30" t="inlineStr">
        <is>
          <t>Too Many Players with High ROCE</t>
        </is>
      </c>
      <c r="AA371" s="30">
        <f>IF(Z371="Monopoly",10,IF(Z371="Oligopoly",5,IF(Z371="Duopoly that cooperate",10,IF(Z371="Duopoly that compete",5,IF(Z371="Too many players with High ROCE",5,0)))))</f>
        <v/>
      </c>
      <c r="AB371" s="30" t="inlineStr">
        <is>
          <t>No</t>
        </is>
      </c>
      <c r="AC371" s="30">
        <f>IF(AB371="No",5,0)</f>
        <v/>
      </c>
      <c r="AD371" s="30" t="inlineStr">
        <is>
          <t>Tailwind</t>
        </is>
      </c>
      <c r="AE371" s="30">
        <f>IF(AD371="Tailwind",10,0)</f>
        <v/>
      </c>
      <c r="AF371" s="30" t="inlineStr">
        <is>
          <t>Cyclical</t>
        </is>
      </c>
      <c r="AG371" s="30">
        <f>IF(AF371="Structural (10 Years Consistency)",10,IF(AF371="Shallow Cyclical (2 to 3 years growth)",5,0))</f>
        <v/>
      </c>
      <c r="AH371" s="30" t="inlineStr">
        <is>
          <t>No</t>
        </is>
      </c>
      <c r="AI371" s="30">
        <f>IF(AH371="Yes due to Product Mix change or Operating Leverage",10,IF(AH371="Yes, these are peak margins",-5,IF(AH371="No",5,0)))</f>
        <v/>
      </c>
      <c r="AJ371" s="30" t="inlineStr">
        <is>
          <t>Volatile</t>
        </is>
      </c>
      <c r="AK371" s="30">
        <f>IF(AJ371="Stable",10,0)</f>
        <v/>
      </c>
      <c r="AL371" s="30" t="inlineStr">
        <is>
          <t>Yes</t>
        </is>
      </c>
      <c r="AM371" s="30">
        <f>IF(AL371="Yes",10,0)</f>
        <v/>
      </c>
      <c r="AN371" s="30" t="inlineStr">
        <is>
          <t>B2B</t>
        </is>
      </c>
      <c r="AO371" s="30">
        <f>IF(AN371="B2C",10,IF(AN371="B2B",5,0))</f>
        <v/>
      </c>
      <c r="AP371" s="30" t="inlineStr">
        <is>
          <t>No</t>
        </is>
      </c>
      <c r="AQ371" s="30">
        <f>IF(AP371="Yes",10,0)</f>
        <v/>
      </c>
      <c r="AR371" s="30" t="inlineStr">
        <is>
          <t>Higher One Time, Lower Annuity</t>
        </is>
      </c>
      <c r="AS371" s="30">
        <f>IF(AR371="Fully Annuity",10,IF(AR371="Higher Annuity, Lower One Time",5,IF(AR371="Higher One Time, Lower Annuity",3,0)))</f>
        <v/>
      </c>
      <c r="AT371" s="30" t="inlineStr">
        <is>
          <t>Good</t>
        </is>
      </c>
      <c r="AU371" s="30">
        <f>IF(AT371="Good",10,0)</f>
        <v/>
      </c>
      <c r="AV371" s="30" t="inlineStr">
        <is>
          <t>Yes for more than 2 years</t>
        </is>
      </c>
      <c r="AW371" s="30">
        <f>IF(AV371="Yes for more than 2 years",10,IF(AV371="Yes only for next 1 to 2 years",5,0))</f>
        <v/>
      </c>
      <c r="AX371" s="30" t="inlineStr">
        <is>
          <t>0 to 20</t>
        </is>
      </c>
      <c r="AY371" s="30">
        <f>IF(AX371="Above 40",20,IF(AX371="20 to 40",10,IF(AX371="0 to 20",-5,0)))</f>
        <v/>
      </c>
      <c r="AZ371" s="30" t="inlineStr">
        <is>
          <t>Between 50 to 75</t>
        </is>
      </c>
      <c r="BA371" s="30">
        <f>IF(AZ371="Between 50 to 75",10,IF(AZ371="Above 75",0,0))</f>
        <v/>
      </c>
      <c r="BB371" s="30" t="inlineStr">
        <is>
          <t>Stage 2</t>
        </is>
      </c>
      <c r="BC371" s="30">
        <f>IF(BB371="Stage 2",20,IF(BB371="Stage 1",0,IF(BB371="Stage 3",5,IF(BB371="Stage 4",-5,0))))</f>
        <v/>
      </c>
      <c r="BD371" s="30" t="inlineStr">
        <is>
          <t>Positive Trend</t>
        </is>
      </c>
      <c r="BE371" s="30">
        <f>IF(BD371="Positive Trend",20,IF(BD371="Negative Trend",-10,0))</f>
        <v/>
      </c>
      <c r="BF371" s="30" t="inlineStr">
        <is>
          <t>Uptrend</t>
        </is>
      </c>
      <c r="BG371" s="30">
        <f>IF(BF371="Uptrend",10,IF(BF371="Sideways",5,0))</f>
        <v/>
      </c>
      <c r="BH371" s="30" t="inlineStr">
        <is>
          <t>Uptrend</t>
        </is>
      </c>
      <c r="BI371" s="30">
        <f>IF(BH371="Uptrend",10,IF(BH371="Sideways",5,0))</f>
        <v/>
      </c>
      <c r="BJ371" s="30" t="inlineStr">
        <is>
          <t>Close to 52 week high or retracement</t>
        </is>
      </c>
      <c r="BK371" s="30">
        <f>IF(BJ371="Overhead supply in last 2 years in last 2 years",-5,IF(BJ371="Close to 52 week high or retracement",5,IF(BJ371="Blue sky scenario",10,IF(BJ371="Long term Downtrend",-10,0))))</f>
        <v/>
      </c>
      <c r="BL371" s="30" t="inlineStr">
        <is>
          <t>Yes</t>
        </is>
      </c>
      <c r="BM371" s="30">
        <f>IF(BL371="Yes",10,0)</f>
        <v/>
      </c>
      <c r="BN371" s="30" t="inlineStr">
        <is>
          <t>Less than 12%</t>
        </is>
      </c>
      <c r="BO371" s="30">
        <f>IF(BN371="More than 20%",10,IF(BN371="Between 12 to 20%",5,IF(BN371="Less than 12%",0,0)))</f>
        <v/>
      </c>
      <c r="BP371" s="30" t="inlineStr">
        <is>
          <t>No</t>
        </is>
      </c>
      <c r="BQ371" s="30">
        <f>IF(BP371="No",10,0)</f>
        <v/>
      </c>
      <c r="BR371" s="30" t="inlineStr">
        <is>
          <t>No</t>
        </is>
      </c>
      <c r="BS371" s="30">
        <f>IF(BR371="NO",5,0)</f>
        <v/>
      </c>
      <c r="BT371" s="30" t="inlineStr">
        <is>
          <t>Above 2</t>
        </is>
      </c>
      <c r="BU371" s="30">
        <f>IF(BT371="Above 2",0,IF(BT371="Between 1.5 to 2",5,IF(BT371="Less than 1.5",10,0)))</f>
        <v/>
      </c>
      <c r="BV371" s="30" t="inlineStr">
        <is>
          <t>Between 50% to 70%</t>
        </is>
      </c>
      <c r="BW371" s="30">
        <f>IF(BV371="Above 70%",10,IF(BV371="Between 50% to 70%",5,IF(BV371="Less than 50%",0,IF(BV371="Negative",-10,IF(BV371="Less than 50% and Borrowings are increasing",-5,0)))))</f>
        <v/>
      </c>
      <c r="BX371" s="30" t="inlineStr">
        <is>
          <t>Less than 0.7</t>
        </is>
      </c>
      <c r="BY371" s="30">
        <f>IF(BX371="More than 1.2",-10,IF(BX371="Between 0.7 to 1.2",0,IF(BX371="Less than 0.7",10,0)))</f>
        <v/>
      </c>
      <c r="BZ371" s="30" t="inlineStr">
        <is>
          <t>No</t>
        </is>
      </c>
      <c r="CA371" s="30">
        <f>IF(BZ371="Yes",-10,0)</f>
        <v/>
      </c>
      <c r="CB371" s="30" t="inlineStr">
        <is>
          <t>Less than 15%</t>
        </is>
      </c>
      <c r="CC371" s="30">
        <f>IF(CB371="More than 15%",-10,IF(CB371="Less than 15%",10,0))</f>
        <v/>
      </c>
      <c r="CD371" s="30" t="inlineStr">
        <is>
          <t>No</t>
        </is>
      </c>
      <c r="CE371" s="30">
        <f>IF(CD371="Yes, more than 10%",-10,IF(CD371="No",10,0))</f>
        <v/>
      </c>
    </row>
    <row r="372">
      <c r="A372" s="30">
        <f>IF(B372=0,"",RANK(B372,$B$2:$B$427,0))</f>
        <v/>
      </c>
      <c r="B372" s="31">
        <f>SUM(N372,Y372,AA372,AC372,AE372,AG372,AI372,AK372,AM372,AO372,AQ372,AS372,AU372,AW372,AY372,BA372,BC372,BE372,BG372,BI372,BK372,BM372,BO372,BQ372,BS372,BU372,BW372,BY372,CA372,CC372,CE372)</f>
        <v/>
      </c>
      <c r="C372" s="32" t="inlineStr">
        <is>
          <t>JTLIND</t>
        </is>
      </c>
      <c r="D372" s="32" t="inlineStr">
        <is>
          <t>JTL Industries Ltd</t>
        </is>
      </c>
      <c r="E372" s="30" t="inlineStr">
        <is>
          <t>metals &amp; mining</t>
        </is>
      </c>
      <c r="F372" s="30" t="inlineStr">
        <is>
          <t>steel - medium / small</t>
        </is>
      </c>
      <c r="G372" s="30" t="inlineStr">
        <is>
          <t>smallcap</t>
        </is>
      </c>
      <c r="H372" s="31" t="n">
        <v>2959.12</v>
      </c>
      <c r="I372" s="31" t="n">
        <v>79.23</v>
      </c>
      <c r="J372" s="31" t="n">
        <v>5.25</v>
      </c>
      <c r="K372" s="31" t="n">
        <v>17539224</v>
      </c>
      <c r="L372" s="30" t="n">
        <v>54</v>
      </c>
      <c r="M372" s="30" t="inlineStr">
        <is>
          <t>Underperforming</t>
        </is>
      </c>
      <c r="N372" s="31">
        <f>IF(M372="Underperforming",-5,IF(L372&gt;=95,15,IF(L372&gt;=90,10,IF(L372&gt;=80,5,0))))</f>
        <v/>
      </c>
      <c r="O372" s="31" t="n">
        <v>59.03</v>
      </c>
      <c r="P372" s="31" t="n">
        <v>14.26</v>
      </c>
      <c r="Q372" s="31" t="n">
        <v>54.52</v>
      </c>
      <c r="R372" s="30" t="inlineStr">
        <is>
          <t>Earnings / Momentum Support</t>
        </is>
      </c>
      <c r="S372" s="30" t="inlineStr">
        <is>
          <t>Nifty Metal</t>
        </is>
      </c>
      <c r="T372" s="31" t="n">
        <v>42.48</v>
      </c>
      <c r="U372" s="31" t="n">
        <v>5.44</v>
      </c>
      <c r="V372" s="31" t="n">
        <v>-26</v>
      </c>
      <c r="W372" s="31" t="n">
        <v>14.24</v>
      </c>
      <c r="X372" s="30" t="inlineStr">
        <is>
          <t>Cyclical in an Upturn</t>
        </is>
      </c>
      <c r="Y372" s="30">
        <f>IF(X372="Growing Industry",10,IF(X372="Cyclical in an Upturn",5,0))</f>
        <v/>
      </c>
      <c r="Z372" s="30" t="inlineStr">
        <is>
          <t>Too Many Players with High ROCE</t>
        </is>
      </c>
      <c r="AA372" s="30">
        <f>IF(Z372="Monopoly",10,IF(Z372="Oligopoly",5,IF(Z372="Duopoly that cooperate",10,IF(Z372="Duopoly that compete",5,IF(Z372="Too many players with High ROCE",5,0)))))</f>
        <v/>
      </c>
      <c r="AB372" s="30" t="inlineStr">
        <is>
          <t>No</t>
        </is>
      </c>
      <c r="AC372" s="30">
        <f>IF(AB372="No",5,0)</f>
        <v/>
      </c>
      <c r="AD372" s="30" t="inlineStr">
        <is>
          <t>Tailwind</t>
        </is>
      </c>
      <c r="AE372" s="30">
        <f>IF(AD372="Tailwind",10,0)</f>
        <v/>
      </c>
      <c r="AF372" s="30" t="inlineStr">
        <is>
          <t>Cyclical</t>
        </is>
      </c>
      <c r="AG372" s="30">
        <f>IF(AF372="Structural (10 Years Consistency)",10,IF(AF372="Shallow Cyclical (2 to 3 years growth)",5,0))</f>
        <v/>
      </c>
      <c r="AH372" s="30" t="inlineStr">
        <is>
          <t>No</t>
        </is>
      </c>
      <c r="AI372" s="30">
        <f>IF(AH372="Yes due to Product Mix change or Operating Leverage",10,IF(AH372="Yes, these are peak margins",-5,IF(AH372="No",5,0)))</f>
        <v/>
      </c>
      <c r="AJ372" s="30" t="inlineStr">
        <is>
          <t>Volatile</t>
        </is>
      </c>
      <c r="AK372" s="30">
        <f>IF(AJ372="Stable",10,0)</f>
        <v/>
      </c>
      <c r="AL372" s="30" t="inlineStr">
        <is>
          <t>Yes</t>
        </is>
      </c>
      <c r="AM372" s="30">
        <f>IF(AL372="Yes",10,0)</f>
        <v/>
      </c>
      <c r="AN372" s="30" t="inlineStr">
        <is>
          <t>B2B</t>
        </is>
      </c>
      <c r="AO372" s="30">
        <f>IF(AN372="B2C",10,IF(AN372="B2B",5,0))</f>
        <v/>
      </c>
      <c r="AP372" s="30" t="inlineStr">
        <is>
          <t>No</t>
        </is>
      </c>
      <c r="AQ372" s="30">
        <f>IF(AP372="Yes",10,0)</f>
        <v/>
      </c>
      <c r="AR372" s="30" t="inlineStr">
        <is>
          <t>Higher One Time, Lower Annuity</t>
        </is>
      </c>
      <c r="AS372" s="30">
        <f>IF(AR372="Fully Annuity",10,IF(AR372="Higher Annuity, Lower One Time",5,IF(AR372="Higher One Time, Lower Annuity",3,0)))</f>
        <v/>
      </c>
      <c r="AT372" s="30" t="inlineStr">
        <is>
          <t>Good</t>
        </is>
      </c>
      <c r="AU372" s="30">
        <f>IF(AT372="Good",10,0)</f>
        <v/>
      </c>
      <c r="AV372" s="30" t="inlineStr">
        <is>
          <t>Yes for more than 2 years</t>
        </is>
      </c>
      <c r="AW372" s="30">
        <f>IF(AV372="Yes for more than 2 years",10,IF(AV372="Yes only for next 1 to 2 years",5,0))</f>
        <v/>
      </c>
      <c r="AX372" s="30" t="inlineStr">
        <is>
          <t>0 to 20</t>
        </is>
      </c>
      <c r="AY372" s="30">
        <f>IF(AX372="Above 40",20,IF(AX372="20 to 40",10,IF(AX372="0 to 20",-5,0)))</f>
        <v/>
      </c>
      <c r="AZ372" s="30" t="inlineStr">
        <is>
          <t>Between 50 to 75</t>
        </is>
      </c>
      <c r="BA372" s="30">
        <f>IF(AZ372="Between 50 to 75",10,IF(AZ372="Above 75",0,0))</f>
        <v/>
      </c>
      <c r="BB372" s="30" t="inlineStr">
        <is>
          <t>Stage 2</t>
        </is>
      </c>
      <c r="BC372" s="30">
        <f>IF(BB372="Stage 2",20,IF(BB372="Stage 1",0,IF(BB372="Stage 3",5,IF(BB372="Stage 4",-5,0))))</f>
        <v/>
      </c>
      <c r="BD372" s="30" t="inlineStr">
        <is>
          <t>Positive Trend</t>
        </is>
      </c>
      <c r="BE372" s="30">
        <f>IF(BD372="Positive Trend",20,IF(BD372="Negative Trend",-10,0))</f>
        <v/>
      </c>
      <c r="BF372" s="30" t="inlineStr">
        <is>
          <t>Uptrend</t>
        </is>
      </c>
      <c r="BG372" s="30">
        <f>IF(BF372="Uptrend",10,IF(BF372="Sideways",5,0))</f>
        <v/>
      </c>
      <c r="BH372" s="30" t="inlineStr">
        <is>
          <t>Uptrend</t>
        </is>
      </c>
      <c r="BI372" s="30">
        <f>IF(BH372="Uptrend",10,IF(BH372="Sideways",5,0))</f>
        <v/>
      </c>
      <c r="BJ372" s="30" t="inlineStr">
        <is>
          <t>Close to 52 week high or retracement</t>
        </is>
      </c>
      <c r="BK372" s="30">
        <f>IF(BJ372="Overhead supply in last 2 years in last 2 years",-5,IF(BJ372="Close to 52 week high or retracement",5,IF(BJ372="Blue sky scenario",10,IF(BJ372="Long term Downtrend",-10,0))))</f>
        <v/>
      </c>
      <c r="BL372" s="30" t="inlineStr">
        <is>
          <t>Yes</t>
        </is>
      </c>
      <c r="BM372" s="30">
        <f>IF(BL372="Yes",10,0)</f>
        <v/>
      </c>
      <c r="BN372" s="30" t="inlineStr">
        <is>
          <t>More than 20%</t>
        </is>
      </c>
      <c r="BO372" s="30">
        <f>IF(BN372="More than 20%",10,IF(BN372="Between 12 to 20%",5,IF(BN372="Less than 12%",0,0)))</f>
        <v/>
      </c>
      <c r="BP372" s="30" t="inlineStr">
        <is>
          <t>No</t>
        </is>
      </c>
      <c r="BQ372" s="30">
        <f>IF(BP372="No",10,0)</f>
        <v/>
      </c>
      <c r="BR372" s="30" t="inlineStr">
        <is>
          <t>No</t>
        </is>
      </c>
      <c r="BS372" s="30">
        <f>IF(BR372="NO",5,0)</f>
        <v/>
      </c>
      <c r="BT372" s="30" t="inlineStr">
        <is>
          <t>Above 2</t>
        </is>
      </c>
      <c r="BU372" s="30">
        <f>IF(BT372="Above 2",0,IF(BT372="Between 1.5 to 2",5,IF(BT372="Less than 1.5",10,0)))</f>
        <v/>
      </c>
      <c r="BV372" s="30" t="inlineStr">
        <is>
          <t>Negative</t>
        </is>
      </c>
      <c r="BW372" s="30">
        <f>IF(BV372="Above 70%",10,IF(BV372="Between 50% to 70%",5,IF(BV372="Less than 50%",0,IF(BV372="Negative",-10,IF(BV372="Less than 50% and Borrowings are increasing",-5,0)))))</f>
        <v/>
      </c>
      <c r="BX372" s="30" t="inlineStr">
        <is>
          <t>Less than 0.7</t>
        </is>
      </c>
      <c r="BY372" s="30">
        <f>IF(BX372="More than 1.2",-10,IF(BX372="Between 0.7 to 1.2",0,IF(BX372="Less than 0.7",10,0)))</f>
        <v/>
      </c>
      <c r="BZ372" s="30" t="inlineStr">
        <is>
          <t>No</t>
        </is>
      </c>
      <c r="CA372" s="30">
        <f>IF(BZ372="Yes",-10,0)</f>
        <v/>
      </c>
      <c r="CB372" s="30" t="inlineStr">
        <is>
          <t>Less than 15%</t>
        </is>
      </c>
      <c r="CC372" s="30">
        <f>IF(CB372="More than 15%",-10,IF(CB372="Less than 15%",10,0))</f>
        <v/>
      </c>
      <c r="CD372" s="30" t="inlineStr">
        <is>
          <t>No</t>
        </is>
      </c>
      <c r="CE372" s="30">
        <f>IF(CD372="Yes, more than 10%",-10,IF(CD372="No",10,0))</f>
        <v/>
      </c>
    </row>
    <row r="373">
      <c r="A373" s="30">
        <f>IF(B373=0,"",RANK(B373,$B$2:$B$427,0))</f>
        <v/>
      </c>
      <c r="B373" s="31">
        <f>SUM(N373,Y373,AA373,AC373,AE373,AG373,AI373,AK373,AM373,AO373,AQ373,AS373,AU373,AW373,AY373,BA373,BC373,BE373,BG373,BI373,BK373,BM373,BO373,BQ373,BS373,BU373,BW373,BY373,CA373,CC373,CE373)</f>
        <v/>
      </c>
      <c r="C373" s="32" t="inlineStr">
        <is>
          <t>JBMA</t>
        </is>
      </c>
      <c r="D373" s="32" t="inlineStr">
        <is>
          <t>Jbm Auto Limited</t>
        </is>
      </c>
      <c r="E373" s="30" t="inlineStr">
        <is>
          <t>auto</t>
        </is>
      </c>
      <c r="F373" s="30" t="inlineStr">
        <is>
          <t>auto ancillaries</t>
        </is>
      </c>
      <c r="G373" s="30" t="inlineStr">
        <is>
          <t>midcap</t>
        </is>
      </c>
      <c r="H373" s="31" t="n">
        <v>16708.32</v>
      </c>
      <c r="I373" s="31" t="n">
        <v>727.3</v>
      </c>
      <c r="J373" s="31" t="n">
        <v>2.94</v>
      </c>
      <c r="K373" s="31" t="n">
        <v>5104745</v>
      </c>
      <c r="L373" s="30" t="n">
        <v>35</v>
      </c>
      <c r="M373" s="30" t="inlineStr">
        <is>
          <t>Underperforming</t>
        </is>
      </c>
      <c r="N373" s="31">
        <f>IF(M373="Underperforming",-5,IF(L373&gt;=95,15,IF(L373&gt;=90,10,IF(L373&gt;=80,5,0))))</f>
        <v/>
      </c>
      <c r="O373" s="31" t="n">
        <v>66.03</v>
      </c>
      <c r="P373" s="31" t="n">
        <v>16.33</v>
      </c>
      <c r="Q373" s="31" t="n">
        <v>555.67</v>
      </c>
      <c r="R373" s="30" t="inlineStr">
        <is>
          <t>Near 52W High Breakout</t>
        </is>
      </c>
      <c r="S373" s="30" t="inlineStr">
        <is>
          <t>Nifty Auto</t>
        </is>
      </c>
      <c r="T373" s="31" t="n">
        <v>12.26</v>
      </c>
      <c r="U373" s="31" t="n">
        <v>11.45</v>
      </c>
      <c r="V373" s="31" t="n">
        <v>-0.72</v>
      </c>
      <c r="W373" s="31" t="n">
        <v>9.119999999999999</v>
      </c>
      <c r="X373" s="30" t="inlineStr">
        <is>
          <t>Growing Industry</t>
        </is>
      </c>
      <c r="Y373" s="30">
        <f>IF(X373="Growing Industry",10,IF(X373="Cyclical in an Upturn",5,0))</f>
        <v/>
      </c>
      <c r="Z373" s="30" t="inlineStr">
        <is>
          <t>Too Many Players with High ROCE</t>
        </is>
      </c>
      <c r="AA373" s="30">
        <f>IF(Z373="Monopoly",10,IF(Z373="Oligopoly",5,IF(Z373="Duopoly that cooperate",10,IF(Z373="Duopoly that compete",5,IF(Z373="Too many players with High ROCE",5,0)))))</f>
        <v/>
      </c>
      <c r="AB373" s="30" t="inlineStr">
        <is>
          <t>No</t>
        </is>
      </c>
      <c r="AC373" s="30">
        <f>IF(AB373="No",5,0)</f>
        <v/>
      </c>
      <c r="AD373" s="30" t="inlineStr">
        <is>
          <t>Tailwind</t>
        </is>
      </c>
      <c r="AE373" s="30">
        <f>IF(AD373="Tailwind",10,0)</f>
        <v/>
      </c>
      <c r="AF373" s="30" t="inlineStr">
        <is>
          <t>Structural (10 Years Consistency)</t>
        </is>
      </c>
      <c r="AG373" s="30">
        <f>IF(AF373="Structural (10 Years Consistency)",10,IF(AF373="Shallow Cyclical (2 to 3 years growth)",5,0))</f>
        <v/>
      </c>
      <c r="AH373" s="30" t="inlineStr">
        <is>
          <t>No</t>
        </is>
      </c>
      <c r="AI373" s="30">
        <f>IF(AH373="Yes due to Product Mix change or Operating Leverage",10,IF(AH373="Yes, these are peak margins",-5,IF(AH373="No",5,0)))</f>
        <v/>
      </c>
      <c r="AJ373" s="30" t="inlineStr">
        <is>
          <t>Stable</t>
        </is>
      </c>
      <c r="AK373" s="30">
        <f>IF(AJ373="Stable",10,0)</f>
        <v/>
      </c>
      <c r="AL373" s="30" t="inlineStr">
        <is>
          <t>Yes</t>
        </is>
      </c>
      <c r="AM373" s="30">
        <f>IF(AL373="Yes",10,0)</f>
        <v/>
      </c>
      <c r="AN373" s="30" t="inlineStr">
        <is>
          <t>B2B</t>
        </is>
      </c>
      <c r="AO373" s="30">
        <f>IF(AN373="B2C",10,IF(AN373="B2B",5,0))</f>
        <v/>
      </c>
      <c r="AP373" s="30" t="inlineStr">
        <is>
          <t>Yes</t>
        </is>
      </c>
      <c r="AQ373" s="30">
        <f>IF(AP373="Yes",10,0)</f>
        <v/>
      </c>
      <c r="AR373" s="30" t="inlineStr">
        <is>
          <t>Higher One Time, Lower Annuity</t>
        </is>
      </c>
      <c r="AS373" s="30">
        <f>IF(AR373="Fully Annuity",10,IF(AR373="Higher Annuity, Lower One Time",5,IF(AR373="Higher One Time, Lower Annuity",3,0)))</f>
        <v/>
      </c>
      <c r="AT373" s="30" t="inlineStr">
        <is>
          <t>Good</t>
        </is>
      </c>
      <c r="AU373" s="30">
        <f>IF(AT373="Good",10,0)</f>
        <v/>
      </c>
      <c r="AV373" s="30" t="inlineStr">
        <is>
          <t>Yes for more than 2 years</t>
        </is>
      </c>
      <c r="AW373" s="30">
        <f>IF(AV373="Yes for more than 2 years",10,IF(AV373="Yes only for next 1 to 2 years",5,0))</f>
        <v/>
      </c>
      <c r="AX373" s="30" t="inlineStr">
        <is>
          <t>0 to 20</t>
        </is>
      </c>
      <c r="AY373" s="30">
        <f>IF(AX373="Above 40",20,IF(AX373="20 to 40",10,IF(AX373="0 to 20",-5,0)))</f>
        <v/>
      </c>
      <c r="AZ373" s="30" t="inlineStr">
        <is>
          <t>Between 50 to 75</t>
        </is>
      </c>
      <c r="BA373" s="30">
        <f>IF(AZ373="Between 50 to 75",10,IF(AZ373="Above 75",0,0))</f>
        <v/>
      </c>
      <c r="BB373" s="30" t="inlineStr">
        <is>
          <t>Stage 2</t>
        </is>
      </c>
      <c r="BC373" s="30">
        <f>IF(BB373="Stage 2",20,IF(BB373="Stage 1",0,IF(BB373="Stage 3",5,IF(BB373="Stage 4",-5,0))))</f>
        <v/>
      </c>
      <c r="BD373" s="30" t="inlineStr">
        <is>
          <t>Positive Trend</t>
        </is>
      </c>
      <c r="BE373" s="30">
        <f>IF(BD373="Positive Trend",20,IF(BD373="Negative Trend",-10,0))</f>
        <v/>
      </c>
      <c r="BF373" s="30" t="inlineStr">
        <is>
          <t>Uptrend</t>
        </is>
      </c>
      <c r="BG373" s="30">
        <f>IF(BF373="Uptrend",10,IF(BF373="Sideways",5,0))</f>
        <v/>
      </c>
      <c r="BH373" s="30" t="inlineStr">
        <is>
          <t>Uptrend</t>
        </is>
      </c>
      <c r="BI373" s="30">
        <f>IF(BH373="Uptrend",10,IF(BH373="Sideways",5,0))</f>
        <v/>
      </c>
      <c r="BJ373" s="30" t="inlineStr">
        <is>
          <t>Close to 52 week high or retracement</t>
        </is>
      </c>
      <c r="BK373" s="30">
        <f>IF(BJ373="Overhead supply in last 2 years in last 2 years",-5,IF(BJ373="Close to 52 week high or retracement",5,IF(BJ373="Blue sky scenario",10,IF(BJ373="Long term Downtrend",-10,0))))</f>
        <v/>
      </c>
      <c r="BL373" s="30" t="inlineStr">
        <is>
          <t>Yes</t>
        </is>
      </c>
      <c r="BM373" s="30">
        <f>IF(BL373="Yes",10,0)</f>
        <v/>
      </c>
      <c r="BN373" s="30" t="inlineStr">
        <is>
          <t>Less than 12%</t>
        </is>
      </c>
      <c r="BO373" s="30">
        <f>IF(BN373="More than 20%",10,IF(BN373="Between 12 to 20%",5,IF(BN373="Less than 12%",0,0)))</f>
        <v/>
      </c>
      <c r="BP373" s="30" t="inlineStr">
        <is>
          <t>No</t>
        </is>
      </c>
      <c r="BQ373" s="30">
        <f>IF(BP373="No",10,0)</f>
        <v/>
      </c>
      <c r="BR373" s="30" t="inlineStr">
        <is>
          <t>Yes</t>
        </is>
      </c>
      <c r="BS373" s="30">
        <f>IF(BR373="NO",5,0)</f>
        <v/>
      </c>
      <c r="BT373" s="30" t="inlineStr">
        <is>
          <t>Above 2</t>
        </is>
      </c>
      <c r="BU373" s="30">
        <f>IF(BT373="Above 2",0,IF(BT373="Between 1.5 to 2",5,IF(BT373="Less than 1.5",10,0)))</f>
        <v/>
      </c>
      <c r="BV373" s="30" t="inlineStr">
        <is>
          <t>Negative</t>
        </is>
      </c>
      <c r="BW373" s="30">
        <f>IF(BV373="Above 70%",10,IF(BV373="Between 50% to 70%",5,IF(BV373="Less than 50%",0,IF(BV373="Negative",-10,IF(BV373="Less than 50% and Borrowings are increasing",-5,0)))))</f>
        <v/>
      </c>
      <c r="BX373" s="30" t="inlineStr">
        <is>
          <t>More than 1.2</t>
        </is>
      </c>
      <c r="BY373" s="30">
        <f>IF(BX373="More than 1.2",-10,IF(BX373="Between 0.7 to 1.2",0,IF(BX373="Less than 0.7",10,0)))</f>
        <v/>
      </c>
      <c r="BZ373" s="30" t="inlineStr">
        <is>
          <t>No</t>
        </is>
      </c>
      <c r="CA373" s="30">
        <f>IF(BZ373="Yes",-10,0)</f>
        <v/>
      </c>
      <c r="CB373" s="30" t="inlineStr">
        <is>
          <t>Less than 15%</t>
        </is>
      </c>
      <c r="CC373" s="30">
        <f>IF(CB373="More than 15%",-10,IF(CB373="Less than 15%",10,0))</f>
        <v/>
      </c>
      <c r="CD373" s="30" t="inlineStr">
        <is>
          <t>No</t>
        </is>
      </c>
      <c r="CE373" s="30">
        <f>IF(CD373="Yes, more than 10%",-10,IF(CD373="No",10,0))</f>
        <v/>
      </c>
    </row>
    <row r="374">
      <c r="A374" s="30">
        <f>IF(B374=0,"",RANK(B374,$B$2:$B$427,0))</f>
        <v/>
      </c>
      <c r="B374" s="31">
        <f>SUM(N374,Y374,AA374,AC374,AE374,AG374,AI374,AK374,AM374,AO374,AQ374,AS374,AU374,AW374,AY374,BA374,BC374,BE374,BG374,BI374,BK374,BM374,BO374,BQ374,BS374,BU374,BW374,BY374,CA374,CC374,CE374)</f>
        <v/>
      </c>
      <c r="C374" s="30" t="inlineStr">
        <is>
          <t>ARVINDFASN</t>
        </is>
      </c>
      <c r="D374" s="30" t="inlineStr">
        <is>
          <t>Arvind Fashions Ltd</t>
        </is>
      </c>
      <c r="E374" s="30" t="inlineStr">
        <is>
          <t>consumer discretionary</t>
        </is>
      </c>
      <c r="F374" s="30" t="inlineStr">
        <is>
          <t>trading</t>
        </is>
      </c>
      <c r="G374" s="30" t="inlineStr">
        <is>
          <t>midcap</t>
        </is>
      </c>
      <c r="H374" s="31" t="n">
        <v>6390.05</v>
      </c>
      <c r="I374" s="31" t="n">
        <v>484.05</v>
      </c>
      <c r="J374" s="31" t="n">
        <v>1.24</v>
      </c>
      <c r="K374" s="31" t="n">
        <v>415461</v>
      </c>
      <c r="L374" s="30" t="n">
        <v>19</v>
      </c>
      <c r="M374" s="30" t="inlineStr">
        <is>
          <t>Outperforming</t>
        </is>
      </c>
      <c r="N374" s="31">
        <f>IF(M374="Underperforming",-5,IF(L374&gt;=95,15,IF(L374&gt;=90,10,IF(L374&gt;=80,5,0))))</f>
        <v/>
      </c>
      <c r="O374" s="31" t="n">
        <v>54.62</v>
      </c>
      <c r="P374" s="31" t="n">
        <v>10.58</v>
      </c>
      <c r="Q374" s="31" t="n">
        <v>364.14</v>
      </c>
      <c r="R374" s="30" t="inlineStr">
        <is>
          <t>Earnings / Momentum Support</t>
        </is>
      </c>
      <c r="S374" s="30" t="inlineStr">
        <is>
          <t>Nifty 50</t>
        </is>
      </c>
      <c r="T374" s="31" t="n">
        <v>-4.38</v>
      </c>
      <c r="U374" s="31" t="n">
        <v>-1.07</v>
      </c>
      <c r="V374" s="31" t="n">
        <v>3.46</v>
      </c>
      <c r="W374" s="31" t="n">
        <v>5.52</v>
      </c>
      <c r="X374" s="30" t="inlineStr">
        <is>
          <t>Growing Industry</t>
        </is>
      </c>
      <c r="Y374" s="30">
        <f>IF(X374="Growing Industry",10,IF(X374="Cyclical in an Upturn",5,0))</f>
        <v/>
      </c>
      <c r="Z374" s="30" t="inlineStr">
        <is>
          <t>Too Many Players with High ROCE</t>
        </is>
      </c>
      <c r="AA374" s="30">
        <f>IF(Z374="Monopoly",10,IF(Z374="Oligopoly",5,IF(Z374="Duopoly that cooperate",10,IF(Z374="Duopoly that compete",5,IF(Z374="Too many players with High ROCE",5,0)))))</f>
        <v/>
      </c>
      <c r="AB374" s="30" t="inlineStr">
        <is>
          <t>No</t>
        </is>
      </c>
      <c r="AC374" s="30">
        <f>IF(AB374="No",5,0)</f>
        <v/>
      </c>
      <c r="AD374" s="30" t="inlineStr">
        <is>
          <t>Headwind</t>
        </is>
      </c>
      <c r="AE374" s="30">
        <f>IF(AD374="Tailwind",10,0)</f>
        <v/>
      </c>
      <c r="AF374" s="30" t="inlineStr">
        <is>
          <t>Structural (10 Years Consistency)</t>
        </is>
      </c>
      <c r="AG374" s="30">
        <f>IF(AF374="Structural (10 Years Consistency)",10,IF(AF374="Shallow Cyclical (2 to 3 years growth)",5,0))</f>
        <v/>
      </c>
      <c r="AH374" s="30" t="inlineStr">
        <is>
          <t>No</t>
        </is>
      </c>
      <c r="AI374" s="30">
        <f>IF(AH374="Yes due to Product Mix change or Operating Leverage",10,IF(AH374="Yes, these are peak margins",-5,IF(AH374="No",5,0)))</f>
        <v/>
      </c>
      <c r="AJ374" s="30" t="inlineStr">
        <is>
          <t>Stable</t>
        </is>
      </c>
      <c r="AK374" s="30">
        <f>IF(AJ374="Stable",10,0)</f>
        <v/>
      </c>
      <c r="AL374" s="30" t="inlineStr">
        <is>
          <t>Yes</t>
        </is>
      </c>
      <c r="AM374" s="30">
        <f>IF(AL374="Yes",10,0)</f>
        <v/>
      </c>
      <c r="AN374" s="30" t="inlineStr">
        <is>
          <t>B2B</t>
        </is>
      </c>
      <c r="AO374" s="30">
        <f>IF(AN374="B2C",10,IF(AN374="B2B",5,0))</f>
        <v/>
      </c>
      <c r="AP374" s="30" t="inlineStr">
        <is>
          <t>No</t>
        </is>
      </c>
      <c r="AQ374" s="30">
        <f>IF(AP374="Yes",10,0)</f>
        <v/>
      </c>
      <c r="AR374" s="30" t="inlineStr">
        <is>
          <t>Higher One Time, Lower Annuity</t>
        </is>
      </c>
      <c r="AS374" s="30">
        <f>IF(AR374="Fully Annuity",10,IF(AR374="Higher Annuity, Lower One Time",5,IF(AR374="Higher One Time, Lower Annuity",3,0)))</f>
        <v/>
      </c>
      <c r="AT374" s="30" t="inlineStr">
        <is>
          <t>Good</t>
        </is>
      </c>
      <c r="AU374" s="30">
        <f>IF(AT374="Good",10,0)</f>
        <v/>
      </c>
      <c r="AV374" s="30" t="inlineStr">
        <is>
          <t>Yes for more than 2 years</t>
        </is>
      </c>
      <c r="AW374" s="30">
        <f>IF(AV374="Yes for more than 2 years",10,IF(AV374="Yes only for next 1 to 2 years",5,0))</f>
        <v/>
      </c>
      <c r="AX374" s="30" t="inlineStr">
        <is>
          <t>0 to 20</t>
        </is>
      </c>
      <c r="AY374" s="30">
        <f>IF(AX374="Above 40",20,IF(AX374="20 to 40",10,IF(AX374="0 to 20",-5,0)))</f>
        <v/>
      </c>
      <c r="AZ374" s="30" t="inlineStr">
        <is>
          <t>Between 50 to 75</t>
        </is>
      </c>
      <c r="BA374" s="30">
        <f>IF(AZ374="Between 50 to 75",10,IF(AZ374="Above 75",0,0))</f>
        <v/>
      </c>
      <c r="BB374" s="30" t="inlineStr">
        <is>
          <t>Stage 1</t>
        </is>
      </c>
      <c r="BC374" s="30">
        <f>IF(BB374="Stage 2",20,IF(BB374="Stage 1",0,IF(BB374="Stage 3",5,IF(BB374="Stage 4",-5,0))))</f>
        <v/>
      </c>
      <c r="BD374" s="30" t="inlineStr">
        <is>
          <t>Positive Trend</t>
        </is>
      </c>
      <c r="BE374" s="30">
        <f>IF(BD374="Positive Trend",20,IF(BD374="Negative Trend",-10,0))</f>
        <v/>
      </c>
      <c r="BF374" s="30" t="inlineStr">
        <is>
          <t>Uptrend</t>
        </is>
      </c>
      <c r="BG374" s="30">
        <f>IF(BF374="Uptrend",10,IF(BF374="Sideways",5,0))</f>
        <v/>
      </c>
      <c r="BH374" s="30" t="inlineStr">
        <is>
          <t>Uptrend</t>
        </is>
      </c>
      <c r="BI374" s="30">
        <f>IF(BH374="Uptrend",10,IF(BH374="Sideways",5,0))</f>
        <v/>
      </c>
      <c r="BJ374" s="30" t="inlineStr">
        <is>
          <t>Close to 52 week high or retracement</t>
        </is>
      </c>
      <c r="BK374" s="30">
        <f>IF(BJ374="Overhead supply in last 2 years in last 2 years",-5,IF(BJ374="Close to 52 week high or retracement",5,IF(BJ374="Blue sky scenario",10,IF(BJ374="Long term Downtrend",-10,0))))</f>
        <v/>
      </c>
      <c r="BL374" s="30" t="inlineStr">
        <is>
          <t>Yes</t>
        </is>
      </c>
      <c r="BM374" s="30">
        <f>IF(BL374="Yes",10,0)</f>
        <v/>
      </c>
      <c r="BN374" s="30" t="inlineStr">
        <is>
          <t>More than 20%</t>
        </is>
      </c>
      <c r="BO374" s="30">
        <f>IF(BN374="More than 20%",10,IF(BN374="Between 12 to 20%",5,IF(BN374="Less than 12%",0,0)))</f>
        <v/>
      </c>
      <c r="BP374" s="30" t="inlineStr">
        <is>
          <t>No</t>
        </is>
      </c>
      <c r="BQ374" s="30">
        <f>IF(BP374="No",10,0)</f>
        <v/>
      </c>
      <c r="BR374" s="30" t="inlineStr">
        <is>
          <t>Yes</t>
        </is>
      </c>
      <c r="BS374" s="30">
        <f>IF(BR374="NO",5,0)</f>
        <v/>
      </c>
      <c r="BT374" s="30" t="inlineStr">
        <is>
          <t>Above 2</t>
        </is>
      </c>
      <c r="BU374" s="30">
        <f>IF(BT374="Above 2",0,IF(BT374="Between 1.5 to 2",5,IF(BT374="Less than 1.5",10,0)))</f>
        <v/>
      </c>
      <c r="BV374" s="30" t="inlineStr">
        <is>
          <t>Between 50% to 70%</t>
        </is>
      </c>
      <c r="BW374" s="30">
        <f>IF(BV374="Above 70%",10,IF(BV374="Between 50% to 70%",5,IF(BV374="Less than 50%",0,IF(BV374="Negative",-10,IF(BV374="Less than 50% and Borrowings are increasing",-5,0)))))</f>
        <v/>
      </c>
      <c r="BX374" s="30" t="inlineStr">
        <is>
          <t>Between 0.7 to 1.2</t>
        </is>
      </c>
      <c r="BY374" s="30">
        <f>IF(BX374="More than 1.2",-10,IF(BX374="Between 0.7 to 1.2",0,IF(BX374="Less than 0.7",10,0)))</f>
        <v/>
      </c>
      <c r="BZ374" s="30" t="inlineStr">
        <is>
          <t>No</t>
        </is>
      </c>
      <c r="CA374" s="30">
        <f>IF(BZ374="Yes",-10,0)</f>
        <v/>
      </c>
      <c r="CB374" s="30" t="inlineStr">
        <is>
          <t>Less than 15%</t>
        </is>
      </c>
      <c r="CC374" s="30">
        <f>IF(CB374="More than 15%",-10,IF(CB374="Less than 15%",10,0))</f>
        <v/>
      </c>
      <c r="CD374" s="30" t="inlineStr">
        <is>
          <t>No</t>
        </is>
      </c>
      <c r="CE374" s="30">
        <f>IF(CD374="Yes, more than 10%",-10,IF(CD374="No",10,0))</f>
        <v/>
      </c>
    </row>
    <row r="375">
      <c r="A375" s="30">
        <f>IF(B375=0,"",RANK(B375,$B$2:$B$427,0))</f>
        <v/>
      </c>
      <c r="B375" s="31">
        <f>SUM(N375,Y375,AA375,AC375,AE375,AG375,AI375,AK375,AM375,AO375,AQ375,AS375,AU375,AW375,AY375,BA375,BC375,BE375,BG375,BI375,BK375,BM375,BO375,BQ375,BS375,BU375,BW375,BY375,CA375,CC375,CE375)</f>
        <v/>
      </c>
      <c r="C375" s="32" t="inlineStr">
        <is>
          <t>INDIGO</t>
        </is>
      </c>
      <c r="D375" s="32" t="inlineStr">
        <is>
          <t>Interglobe Aviation Limited</t>
        </is>
      </c>
      <c r="E375" s="30" t="inlineStr">
        <is>
          <t>transportation</t>
        </is>
      </c>
      <c r="F375" s="30" t="inlineStr">
        <is>
          <t>transport - airlines</t>
        </is>
      </c>
      <c r="G375" s="30" t="inlineStr">
        <is>
          <t>largecap</t>
        </is>
      </c>
      <c r="H375" s="31" t="n">
        <v>193762.7</v>
      </c>
      <c r="I375" s="31" t="n">
        <v>5021.5</v>
      </c>
      <c r="J375" s="31" t="n">
        <v>0.19</v>
      </c>
      <c r="K375" s="31" t="n">
        <v>1070918</v>
      </c>
      <c r="L375" s="30" t="n">
        <v>10</v>
      </c>
      <c r="M375" s="30" t="inlineStr">
        <is>
          <t>Underperforming</t>
        </is>
      </c>
      <c r="N375" s="31">
        <f>IF(M375="Underperforming",-5,IF(L375&gt;=95,15,IF(L375&gt;=90,10,IF(L375&gt;=80,5,0))))</f>
        <v/>
      </c>
      <c r="O375" s="31" t="n">
        <v>57.56</v>
      </c>
      <c r="P375" s="31" t="n">
        <v>34.41</v>
      </c>
      <c r="Q375" s="31" t="n">
        <v>4020.52</v>
      </c>
      <c r="R375" s="30" t="inlineStr">
        <is>
          <t>Earnings / Momentum Support</t>
        </is>
      </c>
      <c r="S375" s="30" t="inlineStr">
        <is>
          <t>Nifty 50</t>
        </is>
      </c>
      <c r="T375" s="31" t="n">
        <v>-4.38</v>
      </c>
      <c r="U375" s="31" t="n">
        <v>-6.68</v>
      </c>
      <c r="V375" s="31" t="n">
        <v>-2.41</v>
      </c>
      <c r="W375" s="31" t="n">
        <v>3.77</v>
      </c>
      <c r="X375" s="30" t="inlineStr">
        <is>
          <t>Growing Industry</t>
        </is>
      </c>
      <c r="Y375" s="30">
        <f>IF(X375="Growing Industry",10,IF(X375="Cyclical in an Upturn",5,0))</f>
        <v/>
      </c>
      <c r="Z375" s="30" t="inlineStr">
        <is>
          <t>Too Many Players with High ROCE</t>
        </is>
      </c>
      <c r="AA375" s="30">
        <f>IF(Z375="Monopoly",10,IF(Z375="Oligopoly",5,IF(Z375="Duopoly that cooperate",10,IF(Z375="Duopoly that compete",5,IF(Z375="Too many players with High ROCE",5,0)))))</f>
        <v/>
      </c>
      <c r="AB375" s="30" t="inlineStr">
        <is>
          <t>No</t>
        </is>
      </c>
      <c r="AC375" s="30">
        <f>IF(AB375="No",5,0)</f>
        <v/>
      </c>
      <c r="AD375" s="30" t="inlineStr">
        <is>
          <t>Headwind</t>
        </is>
      </c>
      <c r="AE375" s="30">
        <f>IF(AD375="Tailwind",10,0)</f>
        <v/>
      </c>
      <c r="AF375" s="30" t="inlineStr">
        <is>
          <t>Structural (10 Years Consistency)</t>
        </is>
      </c>
      <c r="AG375" s="30">
        <f>IF(AF375="Structural (10 Years Consistency)",10,IF(AF375="Shallow Cyclical (2 to 3 years growth)",5,0))</f>
        <v/>
      </c>
      <c r="AH375" s="30" t="inlineStr">
        <is>
          <t>No</t>
        </is>
      </c>
      <c r="AI375" s="30">
        <f>IF(AH375="Yes due to Product Mix change or Operating Leverage",10,IF(AH375="Yes, these are peak margins",-5,IF(AH375="No",5,0)))</f>
        <v/>
      </c>
      <c r="AJ375" s="30" t="inlineStr">
        <is>
          <t>Stable</t>
        </is>
      </c>
      <c r="AK375" s="30">
        <f>IF(AJ375="Stable",10,0)</f>
        <v/>
      </c>
      <c r="AL375" s="30" t="inlineStr">
        <is>
          <t>Yes</t>
        </is>
      </c>
      <c r="AM375" s="30">
        <f>IF(AL375="Yes",10,0)</f>
        <v/>
      </c>
      <c r="AN375" s="30" t="inlineStr">
        <is>
          <t>B2B</t>
        </is>
      </c>
      <c r="AO375" s="30">
        <f>IF(AN375="B2C",10,IF(AN375="B2B",5,0))</f>
        <v/>
      </c>
      <c r="AP375" s="30" t="inlineStr">
        <is>
          <t>No</t>
        </is>
      </c>
      <c r="AQ375" s="30">
        <f>IF(AP375="Yes",10,0)</f>
        <v/>
      </c>
      <c r="AR375" s="30" t="inlineStr">
        <is>
          <t>Higher One Time, Lower Annuity</t>
        </is>
      </c>
      <c r="AS375" s="30">
        <f>IF(AR375="Fully Annuity",10,IF(AR375="Higher Annuity, Lower One Time",5,IF(AR375="Higher One Time, Lower Annuity",3,0)))</f>
        <v/>
      </c>
      <c r="AT375" s="30" t="inlineStr">
        <is>
          <t>Good</t>
        </is>
      </c>
      <c r="AU375" s="30">
        <f>IF(AT375="Good",10,0)</f>
        <v/>
      </c>
      <c r="AV375" s="30" t="inlineStr">
        <is>
          <t>Yes for more than 2 years</t>
        </is>
      </c>
      <c r="AW375" s="30">
        <f>IF(AV375="Yes for more than 2 years",10,IF(AV375="Yes only for next 1 to 2 years",5,0))</f>
        <v/>
      </c>
      <c r="AX375" s="30" t="inlineStr">
        <is>
          <t>20 to 40</t>
        </is>
      </c>
      <c r="AY375" s="30">
        <f>IF(AX375="Above 40",20,IF(AX375="20 to 40",10,IF(AX375="0 to 20",-5,0)))</f>
        <v/>
      </c>
      <c r="AZ375" s="30" t="inlineStr">
        <is>
          <t>Between 50 to 75</t>
        </is>
      </c>
      <c r="BA375" s="30">
        <f>IF(AZ375="Between 50 to 75",10,IF(AZ375="Above 75",0,0))</f>
        <v/>
      </c>
      <c r="BB375" s="30" t="inlineStr">
        <is>
          <t>Stage 1</t>
        </is>
      </c>
      <c r="BC375" s="30">
        <f>IF(BB375="Stage 2",20,IF(BB375="Stage 1",0,IF(BB375="Stage 3",5,IF(BB375="Stage 4",-5,0))))</f>
        <v/>
      </c>
      <c r="BD375" s="30" t="inlineStr">
        <is>
          <t>Positive Trend</t>
        </is>
      </c>
      <c r="BE375" s="30">
        <f>IF(BD375="Positive Trend",20,IF(BD375="Negative Trend",-10,0))</f>
        <v/>
      </c>
      <c r="BF375" s="30" t="inlineStr">
        <is>
          <t>Uptrend</t>
        </is>
      </c>
      <c r="BG375" s="30">
        <f>IF(BF375="Uptrend",10,IF(BF375="Sideways",5,0))</f>
        <v/>
      </c>
      <c r="BH375" s="30" t="inlineStr">
        <is>
          <t>Uptrend</t>
        </is>
      </c>
      <c r="BI375" s="30">
        <f>IF(BH375="Uptrend",10,IF(BH375="Sideways",5,0))</f>
        <v/>
      </c>
      <c r="BJ375" s="30" t="inlineStr">
        <is>
          <t>Close to 52 week high or retracement</t>
        </is>
      </c>
      <c r="BK375" s="30">
        <f>IF(BJ375="Overhead supply in last 2 years in last 2 years",-5,IF(BJ375="Close to 52 week high or retracement",5,IF(BJ375="Blue sky scenario",10,IF(BJ375="Long term Downtrend",-10,0))))</f>
        <v/>
      </c>
      <c r="BL375" s="30" t="inlineStr">
        <is>
          <t>Yes</t>
        </is>
      </c>
      <c r="BM375" s="30">
        <f>IF(BL375="Yes",10,0)</f>
        <v/>
      </c>
      <c r="BN375" s="30" t="inlineStr">
        <is>
          <t>Less than 12%</t>
        </is>
      </c>
      <c r="BO375" s="30">
        <f>IF(BN375="More than 20%",10,IF(BN375="Between 12 to 20%",5,IF(BN375="Less than 12%",0,0)))</f>
        <v/>
      </c>
      <c r="BP375" s="30" t="inlineStr">
        <is>
          <t>No</t>
        </is>
      </c>
      <c r="BQ375" s="30">
        <f>IF(BP375="No",10,0)</f>
        <v/>
      </c>
      <c r="BR375" s="30" t="inlineStr">
        <is>
          <t>No</t>
        </is>
      </c>
      <c r="BS375" s="30">
        <f>IF(BR375="NO",5,0)</f>
        <v/>
      </c>
      <c r="BT375" s="30" t="inlineStr">
        <is>
          <t>Above 2</t>
        </is>
      </c>
      <c r="BU375" s="30">
        <f>IF(BT375="Above 2",0,IF(BT375="Between 1.5 to 2",5,IF(BT375="Less than 1.5",10,0)))</f>
        <v/>
      </c>
      <c r="BV375" s="30" t="inlineStr">
        <is>
          <t>Above 70%</t>
        </is>
      </c>
      <c r="BW375" s="30">
        <f>IF(BV375="Above 70%",10,IF(BV375="Between 50% to 70%",5,IF(BV375="Less than 50%",0,IF(BV375="Negative",-10,IF(BV375="Less than 50% and Borrowings are increasing",-5,0)))))</f>
        <v/>
      </c>
      <c r="BX375" s="30" t="inlineStr">
        <is>
          <t>More than 1.2</t>
        </is>
      </c>
      <c r="BY375" s="30">
        <f>IF(BX375="More than 1.2",-10,IF(BX375="Between 0.7 to 1.2",0,IF(BX375="Less than 0.7",10,0)))</f>
        <v/>
      </c>
      <c r="BZ375" s="30" t="inlineStr">
        <is>
          <t>No</t>
        </is>
      </c>
      <c r="CA375" s="30">
        <f>IF(BZ375="Yes",-10,0)</f>
        <v/>
      </c>
      <c r="CB375" s="30" t="inlineStr">
        <is>
          <t>Less than 15%</t>
        </is>
      </c>
      <c r="CC375" s="30">
        <f>IF(CB375="More than 15%",-10,IF(CB375="Less than 15%",10,0))</f>
        <v/>
      </c>
      <c r="CD375" s="30" t="inlineStr">
        <is>
          <t>No</t>
        </is>
      </c>
      <c r="CE375" s="30">
        <f>IF(CD375="Yes, more than 10%",-10,IF(CD375="No",10,0))</f>
        <v/>
      </c>
    </row>
    <row r="376">
      <c r="A376" s="30">
        <f>IF(B376=0,"",RANK(B376,$B$2:$B$427,0))</f>
        <v/>
      </c>
      <c r="B376" s="31">
        <f>SUM(N376,Y376,AA376,AC376,AE376,AG376,AI376,AK376,AM376,AO376,AQ376,AS376,AU376,AW376,AY376,BA376,BC376,BE376,BG376,BI376,BK376,BM376,BO376,BQ376,BS376,BU376,BW376,BY376,CA376,CC376,CE376)</f>
        <v/>
      </c>
      <c r="C376" s="32" t="inlineStr">
        <is>
          <t>RPGLIFE</t>
        </is>
      </c>
      <c r="D376" s="32" t="inlineStr">
        <is>
          <t>Rpg Life Sciences Limited</t>
        </is>
      </c>
      <c r="E376" s="30" t="inlineStr">
        <is>
          <t>healthcare</t>
        </is>
      </c>
      <c r="F376" s="30" t="inlineStr">
        <is>
          <t>pharmaceuticals - indian - bulk drugs &amp; formln</t>
        </is>
      </c>
      <c r="G376" s="30" t="inlineStr">
        <is>
          <t>smallcap</t>
        </is>
      </c>
      <c r="H376" s="31" t="n">
        <v>3767.75</v>
      </c>
      <c r="I376" s="31" t="n">
        <v>2277.4</v>
      </c>
      <c r="J376" s="31" t="n">
        <v>-0.03</v>
      </c>
      <c r="K376" s="31" t="n">
        <v>3109</v>
      </c>
      <c r="L376" s="30" t="n">
        <v>13</v>
      </c>
      <c r="M376" s="30" t="inlineStr">
        <is>
          <t>Underperforming</t>
        </is>
      </c>
      <c r="N376" s="31">
        <f>IF(M376="Underperforming",-5,IF(L376&gt;=95,15,IF(L376&gt;=90,10,IF(L376&gt;=80,5,0))))</f>
        <v/>
      </c>
      <c r="O376" s="31" t="n">
        <v>56.33</v>
      </c>
      <c r="P376" s="31" t="n">
        <v>23.7</v>
      </c>
      <c r="Q376" s="31" t="n">
        <v>1978</v>
      </c>
      <c r="R376" s="30" t="inlineStr">
        <is>
          <t>Earnings / Momentum Support</t>
        </is>
      </c>
      <c r="S376" s="30" t="inlineStr">
        <is>
          <t>Nifty Pharma</t>
        </is>
      </c>
      <c r="T376" s="31" t="n">
        <v>13.17</v>
      </c>
      <c r="U376" s="31" t="n">
        <v>-3.42</v>
      </c>
      <c r="V376" s="31" t="n">
        <v>-14.67</v>
      </c>
      <c r="W376" s="31" t="n">
        <v>4.41</v>
      </c>
      <c r="X376" s="30" t="inlineStr">
        <is>
          <t>Growing Industry</t>
        </is>
      </c>
      <c r="Y376" s="30">
        <f>IF(X376="Growing Industry",10,IF(X376="Cyclical in an Upturn",5,0))</f>
        <v/>
      </c>
      <c r="Z376" s="30" t="inlineStr">
        <is>
          <t>Too Many Players with High ROCE</t>
        </is>
      </c>
      <c r="AA376" s="30">
        <f>IF(Z376="Monopoly",10,IF(Z376="Oligopoly",5,IF(Z376="Duopoly that cooperate",10,IF(Z376="Duopoly that compete",5,IF(Z376="Too many players with High ROCE",5,0)))))</f>
        <v/>
      </c>
      <c r="AB376" s="30" t="inlineStr">
        <is>
          <t>Yes</t>
        </is>
      </c>
      <c r="AC376" s="30">
        <f>IF(AB376="No",5,0)</f>
        <v/>
      </c>
      <c r="AD376" s="30" t="inlineStr">
        <is>
          <t>Headwind</t>
        </is>
      </c>
      <c r="AE376" s="30">
        <f>IF(AD376="Tailwind",10,0)</f>
        <v/>
      </c>
      <c r="AF376" s="30" t="inlineStr">
        <is>
          <t>Structural (10 Years Consistency)</t>
        </is>
      </c>
      <c r="AG376" s="30">
        <f>IF(AF376="Structural (10 Years Consistency)",10,IF(AF376="Shallow Cyclical (2 to 3 years growth)",5,0))</f>
        <v/>
      </c>
      <c r="AH376" s="30" t="inlineStr">
        <is>
          <t>No</t>
        </is>
      </c>
      <c r="AI376" s="30">
        <f>IF(AH376="Yes due to Product Mix change or Operating Leverage",10,IF(AH376="Yes, these are peak margins",-5,IF(AH376="No",5,0)))</f>
        <v/>
      </c>
      <c r="AJ376" s="30" t="inlineStr">
        <is>
          <t>Stable</t>
        </is>
      </c>
      <c r="AK376" s="30">
        <f>IF(AJ376="Stable",10,0)</f>
        <v/>
      </c>
      <c r="AL376" s="30" t="inlineStr">
        <is>
          <t>Yes</t>
        </is>
      </c>
      <c r="AM376" s="30">
        <f>IF(AL376="Yes",10,0)</f>
        <v/>
      </c>
      <c r="AN376" s="30" t="inlineStr">
        <is>
          <t>B2B</t>
        </is>
      </c>
      <c r="AO376" s="30">
        <f>IF(AN376="B2C",10,IF(AN376="B2B",5,0))</f>
        <v/>
      </c>
      <c r="AP376" s="30" t="inlineStr">
        <is>
          <t>No</t>
        </is>
      </c>
      <c r="AQ376" s="30">
        <f>IF(AP376="Yes",10,0)</f>
        <v/>
      </c>
      <c r="AR376" s="30" t="inlineStr">
        <is>
          <t>Higher Annuity, Lower One Time</t>
        </is>
      </c>
      <c r="AS376" s="30">
        <f>IF(AR376="Fully Annuity",10,IF(AR376="Higher Annuity, Lower One Time",5,IF(AR376="Higher One Time, Lower Annuity",3,0)))</f>
        <v/>
      </c>
      <c r="AT376" s="30" t="inlineStr">
        <is>
          <t>Good</t>
        </is>
      </c>
      <c r="AU376" s="30">
        <f>IF(AT376="Good",10,0)</f>
        <v/>
      </c>
      <c r="AV376" s="30" t="inlineStr">
        <is>
          <t>Yes for more than 2 years</t>
        </is>
      </c>
      <c r="AW376" s="30">
        <f>IF(AV376="Yes for more than 2 years",10,IF(AV376="Yes only for next 1 to 2 years",5,0))</f>
        <v/>
      </c>
      <c r="AX376" s="30" t="inlineStr">
        <is>
          <t>20 to 40</t>
        </is>
      </c>
      <c r="AY376" s="30">
        <f>IF(AX376="Above 40",20,IF(AX376="20 to 40",10,IF(AX376="0 to 20",-5,0)))</f>
        <v/>
      </c>
      <c r="AZ376" s="30" t="inlineStr">
        <is>
          <t>Between 50 to 75</t>
        </is>
      </c>
      <c r="BA376" s="30">
        <f>IF(AZ376="Between 50 to 75",10,IF(AZ376="Above 75",0,0))</f>
        <v/>
      </c>
      <c r="BB376" s="30" t="inlineStr">
        <is>
          <t>Stage 2</t>
        </is>
      </c>
      <c r="BC376" s="30">
        <f>IF(BB376="Stage 2",20,IF(BB376="Stage 1",0,IF(BB376="Stage 3",5,IF(BB376="Stage 4",-5,0))))</f>
        <v/>
      </c>
      <c r="BD376" s="30" t="inlineStr">
        <is>
          <t>Negative Trend</t>
        </is>
      </c>
      <c r="BE376" s="30">
        <f>IF(BD376="Positive Trend",20,IF(BD376="Negative Trend",-10,0))</f>
        <v/>
      </c>
      <c r="BF376" s="30" t="inlineStr">
        <is>
          <t>Uptrend</t>
        </is>
      </c>
      <c r="BG376" s="30">
        <f>IF(BF376="Uptrend",10,IF(BF376="Sideways",5,0))</f>
        <v/>
      </c>
      <c r="BH376" s="30" t="inlineStr">
        <is>
          <t>Uptrend</t>
        </is>
      </c>
      <c r="BI376" s="30">
        <f>IF(BH376="Uptrend",10,IF(BH376="Sideways",5,0))</f>
        <v/>
      </c>
      <c r="BJ376" s="30" t="inlineStr">
        <is>
          <t>Close to 52 week high or retracement</t>
        </is>
      </c>
      <c r="BK376" s="30">
        <f>IF(BJ376="Overhead supply in last 2 years in last 2 years",-5,IF(BJ376="Close to 52 week high or retracement",5,IF(BJ376="Blue sky scenario",10,IF(BJ376="Long term Downtrend",-10,0))))</f>
        <v/>
      </c>
      <c r="BL376" s="30" t="inlineStr">
        <is>
          <t>Yes</t>
        </is>
      </c>
      <c r="BM376" s="30">
        <f>IF(BL376="Yes",10,0)</f>
        <v/>
      </c>
      <c r="BN376" s="30" t="inlineStr">
        <is>
          <t>Less than 12%</t>
        </is>
      </c>
      <c r="BO376" s="30">
        <f>IF(BN376="More than 20%",10,IF(BN376="Between 12 to 20%",5,IF(BN376="Less than 12%",0,0)))</f>
        <v/>
      </c>
      <c r="BP376" s="30" t="inlineStr">
        <is>
          <t>No</t>
        </is>
      </c>
      <c r="BQ376" s="30">
        <f>IF(BP376="No",10,0)</f>
        <v/>
      </c>
      <c r="BR376" s="30" t="inlineStr">
        <is>
          <t>No</t>
        </is>
      </c>
      <c r="BS376" s="30">
        <f>IF(BR376="NO",5,0)</f>
        <v/>
      </c>
      <c r="BT376" s="30" t="inlineStr">
        <is>
          <t>Above 2</t>
        </is>
      </c>
      <c r="BU376" s="30">
        <f>IF(BT376="Above 2",0,IF(BT376="Between 1.5 to 2",5,IF(BT376="Less than 1.5",10,0)))</f>
        <v/>
      </c>
      <c r="BV376" s="30" t="inlineStr">
        <is>
          <t>Less than 50%</t>
        </is>
      </c>
      <c r="BW376" s="30">
        <f>IF(BV376="Above 70%",10,IF(BV376="Between 50% to 70%",5,IF(BV376="Less than 50%",0,IF(BV376="Negative",-10,IF(BV376="Less than 50% and Borrowings are increasing",-5,0)))))</f>
        <v/>
      </c>
      <c r="BX376" s="30" t="inlineStr">
        <is>
          <t>Less than 0.7</t>
        </is>
      </c>
      <c r="BY376" s="30">
        <f>IF(BX376="More than 1.2",-10,IF(BX376="Between 0.7 to 1.2",0,IF(BX376="Less than 0.7",10,0)))</f>
        <v/>
      </c>
      <c r="BZ376" s="30" t="inlineStr">
        <is>
          <t>No</t>
        </is>
      </c>
      <c r="CA376" s="30">
        <f>IF(BZ376="Yes",-10,0)</f>
        <v/>
      </c>
      <c r="CB376" s="30" t="inlineStr">
        <is>
          <t>Less than 15%</t>
        </is>
      </c>
      <c r="CC376" s="30">
        <f>IF(CB376="More than 15%",-10,IF(CB376="Less than 15%",10,0))</f>
        <v/>
      </c>
      <c r="CD376" s="30" t="inlineStr">
        <is>
          <t>No</t>
        </is>
      </c>
      <c r="CE376" s="30">
        <f>IF(CD376="Yes, more than 10%",-10,IF(CD376="No",10,0))</f>
        <v/>
      </c>
    </row>
    <row r="377">
      <c r="A377" s="30">
        <f>IF(B377=0,"",RANK(B377,$B$2:$B$427,0))</f>
        <v/>
      </c>
      <c r="B377" s="31">
        <f>SUM(N377,Y377,AA377,AC377,AE377,AG377,AI377,AK377,AM377,AO377,AQ377,AS377,AU377,AW377,AY377,BA377,BC377,BE377,BG377,BI377,BK377,BM377,BO377,BQ377,BS377,BU377,BW377,BY377,CA377,CC377,CE377)</f>
        <v/>
      </c>
      <c r="C377" s="30" t="inlineStr">
        <is>
          <t>TBOTEK</t>
        </is>
      </c>
      <c r="D377" s="30" t="inlineStr">
        <is>
          <t>TBO Tek Ltd</t>
        </is>
      </c>
      <c r="E377" s="30" t="inlineStr">
        <is>
          <t>i.t</t>
        </is>
      </c>
      <c r="F377" s="30" t="inlineStr">
        <is>
          <t>travel agencies</t>
        </is>
      </c>
      <c r="G377" s="30" t="inlineStr">
        <is>
          <t>midcap</t>
        </is>
      </c>
      <c r="H377" s="31" t="n">
        <v>15910.28</v>
      </c>
      <c r="I377" s="31" t="n">
        <v>1489.8</v>
      </c>
      <c r="J377" s="31" t="n">
        <v>1.68</v>
      </c>
      <c r="K377" s="31" t="n">
        <v>177526</v>
      </c>
      <c r="L377" s="30" t="n">
        <v>58</v>
      </c>
      <c r="M377" s="30" t="inlineStr">
        <is>
          <t>Outperforming</t>
        </is>
      </c>
      <c r="N377" s="31">
        <f>IF(M377="Underperforming",-5,IF(L377&gt;=95,15,IF(L377&gt;=90,10,IF(L377&gt;=80,5,0))))</f>
        <v/>
      </c>
      <c r="O377" s="31" t="n">
        <v>60.42</v>
      </c>
      <c r="P377" s="31" t="n">
        <v>17.7</v>
      </c>
      <c r="Q377" s="31" t="n">
        <v>1114.05</v>
      </c>
      <c r="R377" s="30" t="inlineStr">
        <is>
          <t>Volume Spike / Accumulation</t>
        </is>
      </c>
      <c r="S377" s="30" t="inlineStr">
        <is>
          <t>Nifty IT</t>
        </is>
      </c>
      <c r="T377" s="31" t="n">
        <v>-29.66</v>
      </c>
      <c r="U377" s="31" t="n">
        <v>18.17</v>
      </c>
      <c r="V377" s="31" t="n">
        <v>68</v>
      </c>
      <c r="W377" s="31" t="n">
        <v>15.07</v>
      </c>
      <c r="X377" s="30" t="inlineStr">
        <is>
          <t>Growing Industry</t>
        </is>
      </c>
      <c r="Y377" s="30">
        <f>IF(X377="Growing Industry",10,IF(X377="Cyclical in an Upturn",5,0))</f>
        <v/>
      </c>
      <c r="Z377" s="30" t="inlineStr">
        <is>
          <t>Too Many Players with High ROCE</t>
        </is>
      </c>
      <c r="AA377" s="30">
        <f>IF(Z377="Monopoly",10,IF(Z377="Oligopoly",5,IF(Z377="Duopoly that cooperate",10,IF(Z377="Duopoly that compete",5,IF(Z377="Too many players with High ROCE",5,0)))))</f>
        <v/>
      </c>
      <c r="AB377" s="30" t="inlineStr">
        <is>
          <t>No</t>
        </is>
      </c>
      <c r="AC377" s="30">
        <f>IF(AB377="No",5,0)</f>
        <v/>
      </c>
      <c r="AD377" s="30" t="inlineStr">
        <is>
          <t>Headwind</t>
        </is>
      </c>
      <c r="AE377" s="30">
        <f>IF(AD377="Tailwind",10,0)</f>
        <v/>
      </c>
      <c r="AF377" s="30" t="inlineStr">
        <is>
          <t>Structural (10 Years Consistency)</t>
        </is>
      </c>
      <c r="AG377" s="30">
        <f>IF(AF377="Structural (10 Years Consistency)",10,IF(AF377="Shallow Cyclical (2 to 3 years growth)",5,0))</f>
        <v/>
      </c>
      <c r="AH377" s="30" t="inlineStr">
        <is>
          <t>No</t>
        </is>
      </c>
      <c r="AI377" s="30">
        <f>IF(AH377="Yes due to Product Mix change or Operating Leverage",10,IF(AH377="Yes, these are peak margins",-5,IF(AH377="No",5,0)))</f>
        <v/>
      </c>
      <c r="AJ377" s="30" t="inlineStr">
        <is>
          <t>Stable</t>
        </is>
      </c>
      <c r="AK377" s="30">
        <f>IF(AJ377="Stable",10,0)</f>
        <v/>
      </c>
      <c r="AL377" s="30" t="inlineStr">
        <is>
          <t>Yes</t>
        </is>
      </c>
      <c r="AM377" s="30">
        <f>IF(AL377="Yes",10,0)</f>
        <v/>
      </c>
      <c r="AN377" s="30" t="inlineStr">
        <is>
          <t>B2B</t>
        </is>
      </c>
      <c r="AO377" s="30">
        <f>IF(AN377="B2C",10,IF(AN377="B2B",5,0))</f>
        <v/>
      </c>
      <c r="AP377" s="30" t="inlineStr">
        <is>
          <t>Yes</t>
        </is>
      </c>
      <c r="AQ377" s="30">
        <f>IF(AP377="Yes",10,0)</f>
        <v/>
      </c>
      <c r="AR377" s="30" t="inlineStr">
        <is>
          <t>Higher One Time, Lower Annuity</t>
        </is>
      </c>
      <c r="AS377" s="30">
        <f>IF(AR377="Fully Annuity",10,IF(AR377="Higher Annuity, Lower One Time",5,IF(AR377="Higher One Time, Lower Annuity",3,0)))</f>
        <v/>
      </c>
      <c r="AT377" s="30" t="inlineStr">
        <is>
          <t>Good</t>
        </is>
      </c>
      <c r="AU377" s="30">
        <f>IF(AT377="Good",10,0)</f>
        <v/>
      </c>
      <c r="AV377" s="30" t="inlineStr">
        <is>
          <t>Yes for more than 2 years</t>
        </is>
      </c>
      <c r="AW377" s="30">
        <f>IF(AV377="Yes for more than 2 years",10,IF(AV377="Yes only for next 1 to 2 years",5,0))</f>
        <v/>
      </c>
      <c r="AX377" s="30" t="inlineStr">
        <is>
          <t>0 to 20</t>
        </is>
      </c>
      <c r="AY377" s="30">
        <f>IF(AX377="Above 40",20,IF(AX377="20 to 40",10,IF(AX377="0 to 20",-5,0)))</f>
        <v/>
      </c>
      <c r="AZ377" s="30" t="inlineStr">
        <is>
          <t>Between 50 to 75</t>
        </is>
      </c>
      <c r="BA377" s="30">
        <f>IF(AZ377="Between 50 to 75",10,IF(AZ377="Above 75",0,0))</f>
        <v/>
      </c>
      <c r="BB377" s="30" t="inlineStr">
        <is>
          <t>Stage 1</t>
        </is>
      </c>
      <c r="BC377" s="30">
        <f>IF(BB377="Stage 2",20,IF(BB377="Stage 1",0,IF(BB377="Stage 3",5,IF(BB377="Stage 4",-5,0))))</f>
        <v/>
      </c>
      <c r="BD377" s="30" t="inlineStr">
        <is>
          <t>Positive Trend</t>
        </is>
      </c>
      <c r="BE377" s="30">
        <f>IF(BD377="Positive Trend",20,IF(BD377="Negative Trend",-10,0))</f>
        <v/>
      </c>
      <c r="BF377" s="30" t="inlineStr">
        <is>
          <t>Uptrend</t>
        </is>
      </c>
      <c r="BG377" s="30">
        <f>IF(BF377="Uptrend",10,IF(BF377="Sideways",5,0))</f>
        <v/>
      </c>
      <c r="BH377" s="30" t="inlineStr">
        <is>
          <t>Uptrend</t>
        </is>
      </c>
      <c r="BI377" s="30">
        <f>IF(BH377="Uptrend",10,IF(BH377="Sideways",5,0))</f>
        <v/>
      </c>
      <c r="BJ377" s="30" t="inlineStr">
        <is>
          <t>Close to 52 week high or retracement</t>
        </is>
      </c>
      <c r="BK377" s="30">
        <f>IF(BJ377="Overhead supply in last 2 years in last 2 years",-5,IF(BJ377="Close to 52 week high or retracement",5,IF(BJ377="Blue sky scenario",10,IF(BJ377="Long term Downtrend",-10,0))))</f>
        <v/>
      </c>
      <c r="BL377" s="30" t="inlineStr">
        <is>
          <t>Yes</t>
        </is>
      </c>
      <c r="BM377" s="30">
        <f>IF(BL377="Yes",10,0)</f>
        <v/>
      </c>
      <c r="BN377" s="30" t="inlineStr">
        <is>
          <t>Less than 12%</t>
        </is>
      </c>
      <c r="BO377" s="30">
        <f>IF(BN377="More than 20%",10,IF(BN377="Between 12 to 20%",5,IF(BN377="Less than 12%",0,0)))</f>
        <v/>
      </c>
      <c r="BP377" s="30" t="inlineStr">
        <is>
          <t>No</t>
        </is>
      </c>
      <c r="BQ377" s="30">
        <f>IF(BP377="No",10,0)</f>
        <v/>
      </c>
      <c r="BR377" s="30" t="inlineStr">
        <is>
          <t>Yes</t>
        </is>
      </c>
      <c r="BS377" s="30">
        <f>IF(BR377="NO",5,0)</f>
        <v/>
      </c>
      <c r="BT377" s="30" t="inlineStr">
        <is>
          <t>Above 2</t>
        </is>
      </c>
      <c r="BU377" s="30">
        <f>IF(BT377="Above 2",0,IF(BT377="Between 1.5 to 2",5,IF(BT377="Less than 1.5",10,0)))</f>
        <v/>
      </c>
      <c r="BV377" s="30" t="inlineStr">
        <is>
          <t>Negative</t>
        </is>
      </c>
      <c r="BW377" s="30">
        <f>IF(BV377="Above 70%",10,IF(BV377="Between 50% to 70%",5,IF(BV377="Less than 50%",0,IF(BV377="Negative",-10,IF(BV377="Less than 50% and Borrowings are increasing",-5,0)))))</f>
        <v/>
      </c>
      <c r="BX377" s="30" t="inlineStr">
        <is>
          <t>Less than 0.7</t>
        </is>
      </c>
      <c r="BY377" s="30">
        <f>IF(BX377="More than 1.2",-10,IF(BX377="Between 0.7 to 1.2",0,IF(BX377="Less than 0.7",10,0)))</f>
        <v/>
      </c>
      <c r="BZ377" s="30" t="inlineStr">
        <is>
          <t>No</t>
        </is>
      </c>
      <c r="CA377" s="30">
        <f>IF(BZ377="Yes",-10,0)</f>
        <v/>
      </c>
      <c r="CB377" s="30" t="inlineStr">
        <is>
          <t>Less than 15%</t>
        </is>
      </c>
      <c r="CC377" s="30">
        <f>IF(CB377="More than 15%",-10,IF(CB377="Less than 15%",10,0))</f>
        <v/>
      </c>
      <c r="CD377" s="30" t="inlineStr">
        <is>
          <t>No</t>
        </is>
      </c>
      <c r="CE377" s="30">
        <f>IF(CD377="Yes, more than 10%",-10,IF(CD377="No",10,0))</f>
        <v/>
      </c>
    </row>
    <row r="378">
      <c r="A378" s="30">
        <f>IF(B378=0,"",RANK(B378,$B$2:$B$427,0))</f>
        <v/>
      </c>
      <c r="B378" s="31">
        <f>SUM(N378,Y378,AA378,AC378,AE378,AG378,AI378,AK378,AM378,AO378,AQ378,AS378,AU378,AW378,AY378,BA378,BC378,BE378,BG378,BI378,BK378,BM378,BO378,BQ378,BS378,BU378,BW378,BY378,CA378,CC378,CE378)</f>
        <v/>
      </c>
      <c r="C378" s="32" t="inlineStr">
        <is>
          <t>RCF</t>
        </is>
      </c>
      <c r="D378" s="32" t="inlineStr">
        <is>
          <t>Rashtriya Chemicals And Fertilizers Limited</t>
        </is>
      </c>
      <c r="E378" s="30" t="inlineStr">
        <is>
          <t>chemicals</t>
        </is>
      </c>
      <c r="F378" s="30" t="inlineStr">
        <is>
          <t>fertilizers</t>
        </is>
      </c>
      <c r="G378" s="30" t="inlineStr">
        <is>
          <t>midcap</t>
        </is>
      </c>
      <c r="H378" s="31" t="n">
        <v>7417.45</v>
      </c>
      <c r="I378" s="31" t="n">
        <v>136.65</v>
      </c>
      <c r="J378" s="31" t="n">
        <v>1.64</v>
      </c>
      <c r="K378" s="31" t="n">
        <v>6504274</v>
      </c>
      <c r="L378" s="30" t="n">
        <v>4</v>
      </c>
      <c r="M378" s="30" t="inlineStr">
        <is>
          <t>Underperforming</t>
        </is>
      </c>
      <c r="N378" s="31">
        <f>IF(M378="Underperforming",-5,IF(L378&gt;=95,15,IF(L378&gt;=90,10,IF(L378&gt;=80,5,0))))</f>
        <v/>
      </c>
      <c r="O378" s="31" t="n">
        <v>55.18</v>
      </c>
      <c r="P378" s="31" t="n">
        <v>10.2</v>
      </c>
      <c r="Q378" s="31" t="n">
        <v>106.49</v>
      </c>
      <c r="R378" s="30" t="inlineStr">
        <is>
          <t>Volume Spike / Accumulation</t>
        </is>
      </c>
      <c r="S378" s="30" t="inlineStr">
        <is>
          <t>Nifty 50</t>
        </is>
      </c>
      <c r="T378" s="31" t="n">
        <v>-4.38</v>
      </c>
      <c r="U378" s="31" t="n">
        <v>-9.16</v>
      </c>
      <c r="V378" s="31" t="n">
        <v>-5</v>
      </c>
      <c r="W378" s="31" t="n">
        <v>2.13</v>
      </c>
      <c r="X378" s="30" t="inlineStr">
        <is>
          <t>Growing Industry</t>
        </is>
      </c>
      <c r="Y378" s="30">
        <f>IF(X378="Growing Industry",10,IF(X378="Cyclical in an Upturn",5,0))</f>
        <v/>
      </c>
      <c r="Z378" s="30" t="inlineStr">
        <is>
          <t>Too Many Players with High ROCE</t>
        </is>
      </c>
      <c r="AA378" s="30">
        <f>IF(Z378="Monopoly",10,IF(Z378="Oligopoly",5,IF(Z378="Duopoly that cooperate",10,IF(Z378="Duopoly that compete",5,IF(Z378="Too many players with High ROCE",5,0)))))</f>
        <v/>
      </c>
      <c r="AB378" s="30" t="inlineStr">
        <is>
          <t>No</t>
        </is>
      </c>
      <c r="AC378" s="30">
        <f>IF(AB378="No",5,0)</f>
        <v/>
      </c>
      <c r="AD378" s="30" t="inlineStr">
        <is>
          <t>Headwind</t>
        </is>
      </c>
      <c r="AE378" s="30">
        <f>IF(AD378="Tailwind",10,0)</f>
        <v/>
      </c>
      <c r="AF378" s="30" t="inlineStr">
        <is>
          <t>Structural (10 Years Consistency)</t>
        </is>
      </c>
      <c r="AG378" s="30">
        <f>IF(AF378="Structural (10 Years Consistency)",10,IF(AF378="Shallow Cyclical (2 to 3 years growth)",5,0))</f>
        <v/>
      </c>
      <c r="AH378" s="30" t="inlineStr">
        <is>
          <t>No</t>
        </is>
      </c>
      <c r="AI378" s="30">
        <f>IF(AH378="Yes due to Product Mix change or Operating Leverage",10,IF(AH378="Yes, these are peak margins",-5,IF(AH378="No",5,0)))</f>
        <v/>
      </c>
      <c r="AJ378" s="30" t="inlineStr">
        <is>
          <t>Stable</t>
        </is>
      </c>
      <c r="AK378" s="30">
        <f>IF(AJ378="Stable",10,0)</f>
        <v/>
      </c>
      <c r="AL378" s="30" t="inlineStr">
        <is>
          <t>Yes</t>
        </is>
      </c>
      <c r="AM378" s="30">
        <f>IF(AL378="Yes",10,0)</f>
        <v/>
      </c>
      <c r="AN378" s="30" t="inlineStr">
        <is>
          <t>B2B</t>
        </is>
      </c>
      <c r="AO378" s="30">
        <f>IF(AN378="B2C",10,IF(AN378="B2B",5,0))</f>
        <v/>
      </c>
      <c r="AP378" s="30" t="inlineStr">
        <is>
          <t>Yes</t>
        </is>
      </c>
      <c r="AQ378" s="30">
        <f>IF(AP378="Yes",10,0)</f>
        <v/>
      </c>
      <c r="AR378" s="30" t="inlineStr">
        <is>
          <t>Higher One Time, Lower Annuity</t>
        </is>
      </c>
      <c r="AS378" s="30">
        <f>IF(AR378="Fully Annuity",10,IF(AR378="Higher Annuity, Lower One Time",5,IF(AR378="Higher One Time, Lower Annuity",3,0)))</f>
        <v/>
      </c>
      <c r="AT378" s="30" t="inlineStr">
        <is>
          <t>Good</t>
        </is>
      </c>
      <c r="AU378" s="30">
        <f>IF(AT378="Good",10,0)</f>
        <v/>
      </c>
      <c r="AV378" s="30" t="inlineStr">
        <is>
          <t>Yes for more than 2 years</t>
        </is>
      </c>
      <c r="AW378" s="30">
        <f>IF(AV378="Yes for more than 2 years",10,IF(AV378="Yes only for next 1 to 2 years",5,0))</f>
        <v/>
      </c>
      <c r="AX378" s="30" t="inlineStr">
        <is>
          <t>0 to 20</t>
        </is>
      </c>
      <c r="AY378" s="30">
        <f>IF(AX378="Above 40",20,IF(AX378="20 to 40",10,IF(AX378="0 to 20",-5,0)))</f>
        <v/>
      </c>
      <c r="AZ378" s="30" t="inlineStr">
        <is>
          <t>Between 50 to 75</t>
        </is>
      </c>
      <c r="BA378" s="30">
        <f>IF(AZ378="Between 50 to 75",10,IF(AZ378="Above 75",0,0))</f>
        <v/>
      </c>
      <c r="BB378" s="30" t="inlineStr">
        <is>
          <t>Stage 1</t>
        </is>
      </c>
      <c r="BC378" s="30">
        <f>IF(BB378="Stage 2",20,IF(BB378="Stage 1",0,IF(BB378="Stage 3",5,IF(BB378="Stage 4",-5,0))))</f>
        <v/>
      </c>
      <c r="BD378" s="30" t="inlineStr">
        <is>
          <t>Positive Trend</t>
        </is>
      </c>
      <c r="BE378" s="30">
        <f>IF(BD378="Positive Trend",20,IF(BD378="Negative Trend",-10,0))</f>
        <v/>
      </c>
      <c r="BF378" s="30" t="inlineStr">
        <is>
          <t>Uptrend</t>
        </is>
      </c>
      <c r="BG378" s="30">
        <f>IF(BF378="Uptrend",10,IF(BF378="Sideways",5,0))</f>
        <v/>
      </c>
      <c r="BH378" s="30" t="inlineStr">
        <is>
          <t>Uptrend</t>
        </is>
      </c>
      <c r="BI378" s="30">
        <f>IF(BH378="Uptrend",10,IF(BH378="Sideways",5,0))</f>
        <v/>
      </c>
      <c r="BJ378" s="30" t="inlineStr">
        <is>
          <t>Close to 52 week high or retracement</t>
        </is>
      </c>
      <c r="BK378" s="30">
        <f>IF(BJ378="Overhead supply in last 2 years in last 2 years",-5,IF(BJ378="Close to 52 week high or retracement",5,IF(BJ378="Blue sky scenario",10,IF(BJ378="Long term Downtrend",-10,0))))</f>
        <v/>
      </c>
      <c r="BL378" s="30" t="inlineStr">
        <is>
          <t>Yes</t>
        </is>
      </c>
      <c r="BM378" s="30">
        <f>IF(BL378="Yes",10,0)</f>
        <v/>
      </c>
      <c r="BN378" s="30" t="inlineStr">
        <is>
          <t>More than 20%</t>
        </is>
      </c>
      <c r="BO378" s="30">
        <f>IF(BN378="More than 20%",10,IF(BN378="Between 12 to 20%",5,IF(BN378="Less than 12%",0,0)))</f>
        <v/>
      </c>
      <c r="BP378" s="30" t="inlineStr">
        <is>
          <t>No</t>
        </is>
      </c>
      <c r="BQ378" s="30">
        <f>IF(BP378="No",10,0)</f>
        <v/>
      </c>
      <c r="BR378" s="30" t="inlineStr">
        <is>
          <t>No</t>
        </is>
      </c>
      <c r="BS378" s="30">
        <f>IF(BR378="NO",5,0)</f>
        <v/>
      </c>
      <c r="BT378" s="30" t="inlineStr">
        <is>
          <t>Above 2</t>
        </is>
      </c>
      <c r="BU378" s="30">
        <f>IF(BT378="Above 2",0,IF(BT378="Between 1.5 to 2",5,IF(BT378="Less than 1.5",10,0)))</f>
        <v/>
      </c>
      <c r="BV378" s="30" t="inlineStr">
        <is>
          <t>Negative</t>
        </is>
      </c>
      <c r="BW378" s="30">
        <f>IF(BV378="Above 70%",10,IF(BV378="Between 50% to 70%",5,IF(BV378="Less than 50%",0,IF(BV378="Negative",-10,IF(BV378="Less than 50% and Borrowings are increasing",-5,0)))))</f>
        <v/>
      </c>
      <c r="BX378" s="30" t="inlineStr">
        <is>
          <t>Between 0.7 to 1.2</t>
        </is>
      </c>
      <c r="BY378" s="30">
        <f>IF(BX378="More than 1.2",-10,IF(BX378="Between 0.7 to 1.2",0,IF(BX378="Less than 0.7",10,0)))</f>
        <v/>
      </c>
      <c r="BZ378" s="30" t="inlineStr">
        <is>
          <t>No</t>
        </is>
      </c>
      <c r="CA378" s="30">
        <f>IF(BZ378="Yes",-10,0)</f>
        <v/>
      </c>
      <c r="CB378" s="30" t="inlineStr">
        <is>
          <t>Less than 15%</t>
        </is>
      </c>
      <c r="CC378" s="30">
        <f>IF(CB378="More than 15%",-10,IF(CB378="Less than 15%",10,0))</f>
        <v/>
      </c>
      <c r="CD378" s="30" t="inlineStr">
        <is>
          <t>No</t>
        </is>
      </c>
      <c r="CE378" s="30">
        <f>IF(CD378="Yes, more than 10%",-10,IF(CD378="No",10,0))</f>
        <v/>
      </c>
    </row>
    <row r="379">
      <c r="A379" s="30">
        <f>IF(B379=0,"",RANK(B379,$B$2:$B$427,0))</f>
        <v/>
      </c>
      <c r="B379" s="31">
        <f>SUM(N379,Y379,AA379,AC379,AE379,AG379,AI379,AK379,AM379,AO379,AQ379,AS379,AU379,AW379,AY379,BA379,BC379,BE379,BG379,BI379,BK379,BM379,BO379,BQ379,BS379,BU379,BW379,BY379,CA379,CC379,CE379)</f>
        <v/>
      </c>
      <c r="C379" s="32" t="inlineStr">
        <is>
          <t>RAJRATAN</t>
        </is>
      </c>
      <c r="D379" s="32" t="inlineStr">
        <is>
          <t>Rajratan Global Wire Ltd</t>
        </is>
      </c>
      <c r="E379" s="30" t="inlineStr">
        <is>
          <t>metals &amp; mining</t>
        </is>
      </c>
      <c r="F379" s="30" t="inlineStr">
        <is>
          <t>steel - medium / small</t>
        </is>
      </c>
      <c r="G379" s="30" t="inlineStr">
        <is>
          <t>smallcap</t>
        </is>
      </c>
      <c r="H379" s="31" t="n">
        <v>2308.05</v>
      </c>
      <c r="I379" s="31" t="n">
        <v>448.6</v>
      </c>
      <c r="J379" s="31" t="n">
        <v>-1.32</v>
      </c>
      <c r="K379" s="31" t="n">
        <v>54525</v>
      </c>
      <c r="L379" s="30" t="n">
        <v>30</v>
      </c>
      <c r="M379" s="30" t="inlineStr">
        <is>
          <t>Underperforming</t>
        </is>
      </c>
      <c r="N379" s="31">
        <f>IF(M379="Underperforming",-5,IF(L379&gt;=95,15,IF(L379&gt;=90,10,IF(L379&gt;=80,5,0))))</f>
        <v/>
      </c>
      <c r="O379" s="31" t="n">
        <v>55.33</v>
      </c>
      <c r="P379" s="31" t="n">
        <v>8.970000000000001</v>
      </c>
      <c r="Q379" s="31" t="n">
        <v>332.8</v>
      </c>
      <c r="R379" s="30" t="inlineStr">
        <is>
          <t>Earnings / Momentum Support</t>
        </is>
      </c>
      <c r="S379" s="30" t="inlineStr">
        <is>
          <t>Nifty Metal</t>
        </is>
      </c>
      <c r="T379" s="31" t="n">
        <v>42.48</v>
      </c>
      <c r="U379" s="31" t="n">
        <v>11.32</v>
      </c>
      <c r="V379" s="31" t="n">
        <v>-21.87</v>
      </c>
      <c r="W379" s="31" t="n">
        <v>8.109999999999999</v>
      </c>
      <c r="X379" s="30" t="inlineStr">
        <is>
          <t>Cyclical in an Upturn</t>
        </is>
      </c>
      <c r="Y379" s="30">
        <f>IF(X379="Growing Industry",10,IF(X379="Cyclical in an Upturn",5,0))</f>
        <v/>
      </c>
      <c r="Z379" s="30" t="inlineStr">
        <is>
          <t>Too Many Players with High ROCE</t>
        </is>
      </c>
      <c r="AA379" s="30">
        <f>IF(Z379="Monopoly",10,IF(Z379="Oligopoly",5,IF(Z379="Duopoly that cooperate",10,IF(Z379="Duopoly that compete",5,IF(Z379="Too many players with High ROCE",5,0)))))</f>
        <v/>
      </c>
      <c r="AB379" s="30" t="inlineStr">
        <is>
          <t>No</t>
        </is>
      </c>
      <c r="AC379" s="30">
        <f>IF(AB379="No",5,0)</f>
        <v/>
      </c>
      <c r="AD379" s="30" t="inlineStr">
        <is>
          <t>Headwind</t>
        </is>
      </c>
      <c r="AE379" s="30">
        <f>IF(AD379="Tailwind",10,0)</f>
        <v/>
      </c>
      <c r="AF379" s="30" t="inlineStr">
        <is>
          <t>Cyclical</t>
        </is>
      </c>
      <c r="AG379" s="30">
        <f>IF(AF379="Structural (10 Years Consistency)",10,IF(AF379="Shallow Cyclical (2 to 3 years growth)",5,0))</f>
        <v/>
      </c>
      <c r="AH379" s="30" t="inlineStr">
        <is>
          <t>No</t>
        </is>
      </c>
      <c r="AI379" s="30">
        <f>IF(AH379="Yes due to Product Mix change or Operating Leverage",10,IF(AH379="Yes, these are peak margins",-5,IF(AH379="No",5,0)))</f>
        <v/>
      </c>
      <c r="AJ379" s="30" t="inlineStr">
        <is>
          <t>Volatile</t>
        </is>
      </c>
      <c r="AK379" s="30">
        <f>IF(AJ379="Stable",10,0)</f>
        <v/>
      </c>
      <c r="AL379" s="30" t="inlineStr">
        <is>
          <t>Yes</t>
        </is>
      </c>
      <c r="AM379" s="30">
        <f>IF(AL379="Yes",10,0)</f>
        <v/>
      </c>
      <c r="AN379" s="30" t="inlineStr">
        <is>
          <t>B2B</t>
        </is>
      </c>
      <c r="AO379" s="30">
        <f>IF(AN379="B2C",10,IF(AN379="B2B",5,0))</f>
        <v/>
      </c>
      <c r="AP379" s="30" t="inlineStr">
        <is>
          <t>No</t>
        </is>
      </c>
      <c r="AQ379" s="30">
        <f>IF(AP379="Yes",10,0)</f>
        <v/>
      </c>
      <c r="AR379" s="30" t="inlineStr">
        <is>
          <t>Higher One Time, Lower Annuity</t>
        </is>
      </c>
      <c r="AS379" s="30">
        <f>IF(AR379="Fully Annuity",10,IF(AR379="Higher Annuity, Lower One Time",5,IF(AR379="Higher One Time, Lower Annuity",3,0)))</f>
        <v/>
      </c>
      <c r="AT379" s="30" t="inlineStr">
        <is>
          <t>Good</t>
        </is>
      </c>
      <c r="AU379" s="30">
        <f>IF(AT379="Good",10,0)</f>
        <v/>
      </c>
      <c r="AV379" s="30" t="inlineStr">
        <is>
          <t>Yes for more than 2 years</t>
        </is>
      </c>
      <c r="AW379" s="30">
        <f>IF(AV379="Yes for more than 2 years",10,IF(AV379="Yes only for next 1 to 2 years",5,0))</f>
        <v/>
      </c>
      <c r="AX379" s="30" t="inlineStr">
        <is>
          <t>0 to 20</t>
        </is>
      </c>
      <c r="AY379" s="30">
        <f>IF(AX379="Above 40",20,IF(AX379="20 to 40",10,IF(AX379="0 to 20",-5,0)))</f>
        <v/>
      </c>
      <c r="AZ379" s="30" t="inlineStr">
        <is>
          <t>Between 50 to 75</t>
        </is>
      </c>
      <c r="BA379" s="30">
        <f>IF(AZ379="Between 50 to 75",10,IF(AZ379="Above 75",0,0))</f>
        <v/>
      </c>
      <c r="BB379" s="30" t="inlineStr">
        <is>
          <t>Stage 2</t>
        </is>
      </c>
      <c r="BC379" s="30">
        <f>IF(BB379="Stage 2",20,IF(BB379="Stage 1",0,IF(BB379="Stage 3",5,IF(BB379="Stage 4",-5,0))))</f>
        <v/>
      </c>
      <c r="BD379" s="30" t="inlineStr">
        <is>
          <t>Positive Trend</t>
        </is>
      </c>
      <c r="BE379" s="30">
        <f>IF(BD379="Positive Trend",20,IF(BD379="Negative Trend",-10,0))</f>
        <v/>
      </c>
      <c r="BF379" s="30" t="inlineStr">
        <is>
          <t>Uptrend</t>
        </is>
      </c>
      <c r="BG379" s="30">
        <f>IF(BF379="Uptrend",10,IF(BF379="Sideways",5,0))</f>
        <v/>
      </c>
      <c r="BH379" s="30" t="inlineStr">
        <is>
          <t>Uptrend</t>
        </is>
      </c>
      <c r="BI379" s="30">
        <f>IF(BH379="Uptrend",10,IF(BH379="Sideways",5,0))</f>
        <v/>
      </c>
      <c r="BJ379" s="30" t="inlineStr">
        <is>
          <t>Close to 52 week high or retracement</t>
        </is>
      </c>
      <c r="BK379" s="30">
        <f>IF(BJ379="Overhead supply in last 2 years in last 2 years",-5,IF(BJ379="Close to 52 week high or retracement",5,IF(BJ379="Blue sky scenario",10,IF(BJ379="Long term Downtrend",-10,0))))</f>
        <v/>
      </c>
      <c r="BL379" s="30" t="inlineStr">
        <is>
          <t>Yes</t>
        </is>
      </c>
      <c r="BM379" s="30">
        <f>IF(BL379="Yes",10,0)</f>
        <v/>
      </c>
      <c r="BN379" s="30" t="inlineStr">
        <is>
          <t>Less than 12%</t>
        </is>
      </c>
      <c r="BO379" s="30">
        <f>IF(BN379="More than 20%",10,IF(BN379="Between 12 to 20%",5,IF(BN379="Less than 12%",0,0)))</f>
        <v/>
      </c>
      <c r="BP379" s="30" t="inlineStr">
        <is>
          <t>No</t>
        </is>
      </c>
      <c r="BQ379" s="30">
        <f>IF(BP379="No",10,0)</f>
        <v/>
      </c>
      <c r="BR379" s="30" t="inlineStr">
        <is>
          <t>No</t>
        </is>
      </c>
      <c r="BS379" s="30">
        <f>IF(BR379="NO",5,0)</f>
        <v/>
      </c>
      <c r="BT379" s="30" t="inlineStr">
        <is>
          <t>Above 2</t>
        </is>
      </c>
      <c r="BU379" s="30">
        <f>IF(BT379="Above 2",0,IF(BT379="Between 1.5 to 2",5,IF(BT379="Less than 1.5",10,0)))</f>
        <v/>
      </c>
      <c r="BV379" s="30" t="inlineStr">
        <is>
          <t>Between 50% to 70%</t>
        </is>
      </c>
      <c r="BW379" s="30">
        <f>IF(BV379="Above 70%",10,IF(BV379="Between 50% to 70%",5,IF(BV379="Less than 50%",0,IF(BV379="Negative",-10,IF(BV379="Less than 50% and Borrowings are increasing",-5,0)))))</f>
        <v/>
      </c>
      <c r="BX379" s="30" t="inlineStr">
        <is>
          <t>Less than 0.7</t>
        </is>
      </c>
      <c r="BY379" s="30">
        <f>IF(BX379="More than 1.2",-10,IF(BX379="Between 0.7 to 1.2",0,IF(BX379="Less than 0.7",10,0)))</f>
        <v/>
      </c>
      <c r="BZ379" s="30" t="inlineStr">
        <is>
          <t>No</t>
        </is>
      </c>
      <c r="CA379" s="30">
        <f>IF(BZ379="Yes",-10,0)</f>
        <v/>
      </c>
      <c r="CB379" s="30" t="inlineStr">
        <is>
          <t>Less than 15%</t>
        </is>
      </c>
      <c r="CC379" s="30">
        <f>IF(CB379="More than 15%",-10,IF(CB379="Less than 15%",10,0))</f>
        <v/>
      </c>
      <c r="CD379" s="30" t="inlineStr">
        <is>
          <t>No</t>
        </is>
      </c>
      <c r="CE379" s="30">
        <f>IF(CD379="Yes, more than 10%",-10,IF(CD379="No",10,0))</f>
        <v/>
      </c>
    </row>
    <row r="380">
      <c r="A380" s="30">
        <f>IF(B380=0,"",RANK(B380,$B$2:$B$427,0))</f>
        <v/>
      </c>
      <c r="B380" s="31">
        <f>SUM(N380,Y380,AA380,AC380,AE380,AG380,AI380,AK380,AM380,AO380,AQ380,AS380,AU380,AW380,AY380,BA380,BC380,BE380,BG380,BI380,BK380,BM380,BO380,BQ380,BS380,BU380,BW380,BY380,CA380,CC380,CE380)</f>
        <v/>
      </c>
      <c r="C380" s="30" t="inlineStr">
        <is>
          <t>ARVSMART</t>
        </is>
      </c>
      <c r="D380" s="30" t="inlineStr">
        <is>
          <t>Arvind Smartspaces Limited</t>
        </is>
      </c>
      <c r="E380" s="30" t="inlineStr">
        <is>
          <t>realty</t>
        </is>
      </c>
      <c r="F380" s="30" t="inlineStr">
        <is>
          <t>construction</t>
        </is>
      </c>
      <c r="G380" s="30" t="inlineStr">
        <is>
          <t>smallcap</t>
        </is>
      </c>
      <c r="H380" s="31" t="n">
        <v>2796.28</v>
      </c>
      <c r="I380" s="31" t="n">
        <v>610.7</v>
      </c>
      <c r="J380" s="31" t="n">
        <v>0.17</v>
      </c>
      <c r="K380" s="31" t="n">
        <v>36917</v>
      </c>
      <c r="L380" s="30" t="n">
        <v>3</v>
      </c>
      <c r="M380" s="30" t="inlineStr">
        <is>
          <t>Outperforming</t>
        </is>
      </c>
      <c r="N380" s="31">
        <f>IF(M380="Underperforming",-5,IF(L380&gt;=95,15,IF(L380&gt;=90,10,IF(L380&gt;=80,5,0))))</f>
        <v/>
      </c>
      <c r="O380" s="31" t="n">
        <v>53.84</v>
      </c>
      <c r="P380" s="31" t="n">
        <v>16.98</v>
      </c>
      <c r="Q380" s="31" t="n">
        <v>486.87</v>
      </c>
      <c r="R380" s="30" t="inlineStr">
        <is>
          <t>Volume Spike / Accumulation</t>
        </is>
      </c>
      <c r="S380" s="30" t="inlineStr">
        <is>
          <t>Nifty Realty</t>
        </is>
      </c>
      <c r="T380" s="31" t="n">
        <v>-19.9</v>
      </c>
      <c r="U380" s="31" t="n">
        <v>-7.25</v>
      </c>
      <c r="V380" s="31" t="n">
        <v>15.79</v>
      </c>
      <c r="W380" s="31" t="n">
        <v>1.74</v>
      </c>
      <c r="X380" s="30" t="inlineStr">
        <is>
          <t>Growing Industry</t>
        </is>
      </c>
      <c r="Y380" s="30">
        <f>IF(X380="Growing Industry",10,IF(X380="Cyclical in an Upturn",5,0))</f>
        <v/>
      </c>
      <c r="Z380" s="30" t="inlineStr">
        <is>
          <t>Too Many Players with High ROCE</t>
        </is>
      </c>
      <c r="AA380" s="30">
        <f>IF(Z380="Monopoly",10,IF(Z380="Oligopoly",5,IF(Z380="Duopoly that cooperate",10,IF(Z380="Duopoly that compete",5,IF(Z380="Too many players with High ROCE",5,0)))))</f>
        <v/>
      </c>
      <c r="AB380" s="30" t="inlineStr">
        <is>
          <t>No</t>
        </is>
      </c>
      <c r="AC380" s="30">
        <f>IF(AB380="No",5,0)</f>
        <v/>
      </c>
      <c r="AD380" s="30" t="inlineStr">
        <is>
          <t>Tailwind</t>
        </is>
      </c>
      <c r="AE380" s="30">
        <f>IF(AD380="Tailwind",10,0)</f>
        <v/>
      </c>
      <c r="AF380" s="30" t="inlineStr">
        <is>
          <t>Structural (10 Years Consistency)</t>
        </is>
      </c>
      <c r="AG380" s="30">
        <f>IF(AF380="Structural (10 Years Consistency)",10,IF(AF380="Shallow Cyclical (2 to 3 years growth)",5,0))</f>
        <v/>
      </c>
      <c r="AH380" s="30" t="inlineStr">
        <is>
          <t>No</t>
        </is>
      </c>
      <c r="AI380" s="30">
        <f>IF(AH380="Yes due to Product Mix change or Operating Leverage",10,IF(AH380="Yes, these are peak margins",-5,IF(AH380="No",5,0)))</f>
        <v/>
      </c>
      <c r="AJ380" s="30" t="inlineStr">
        <is>
          <t>Stable</t>
        </is>
      </c>
      <c r="AK380" s="30">
        <f>IF(AJ380="Stable",10,0)</f>
        <v/>
      </c>
      <c r="AL380" s="30" t="inlineStr">
        <is>
          <t>Yes</t>
        </is>
      </c>
      <c r="AM380" s="30">
        <f>IF(AL380="Yes",10,0)</f>
        <v/>
      </c>
      <c r="AN380" s="30" t="inlineStr">
        <is>
          <t>B2B</t>
        </is>
      </c>
      <c r="AO380" s="30">
        <f>IF(AN380="B2C",10,IF(AN380="B2B",5,0))</f>
        <v/>
      </c>
      <c r="AP380" s="30" t="inlineStr">
        <is>
          <t>Yes</t>
        </is>
      </c>
      <c r="AQ380" s="30">
        <f>IF(AP380="Yes",10,0)</f>
        <v/>
      </c>
      <c r="AR380" s="30" t="inlineStr">
        <is>
          <t>Higher One Time, Lower Annuity</t>
        </is>
      </c>
      <c r="AS380" s="30">
        <f>IF(AR380="Fully Annuity",10,IF(AR380="Higher Annuity, Lower One Time",5,IF(AR380="Higher One Time, Lower Annuity",3,0)))</f>
        <v/>
      </c>
      <c r="AT380" s="30" t="inlineStr">
        <is>
          <t>Good</t>
        </is>
      </c>
      <c r="AU380" s="30">
        <f>IF(AT380="Good",10,0)</f>
        <v/>
      </c>
      <c r="AV380" s="30" t="inlineStr">
        <is>
          <t>Yes for more than 2 years</t>
        </is>
      </c>
      <c r="AW380" s="30">
        <f>IF(AV380="Yes for more than 2 years",10,IF(AV380="Yes only for next 1 to 2 years",5,0))</f>
        <v/>
      </c>
      <c r="AX380" s="30" t="inlineStr">
        <is>
          <t>0 to 20</t>
        </is>
      </c>
      <c r="AY380" s="30">
        <f>IF(AX380="Above 40",20,IF(AX380="20 to 40",10,IF(AX380="0 to 20",-5,0)))</f>
        <v/>
      </c>
      <c r="AZ380" s="30" t="inlineStr">
        <is>
          <t>Between 50 to 75</t>
        </is>
      </c>
      <c r="BA380" s="30">
        <f>IF(AZ380="Between 50 to 75",10,IF(AZ380="Above 75",0,0))</f>
        <v/>
      </c>
      <c r="BB380" s="30" t="inlineStr">
        <is>
          <t>Stage 1</t>
        </is>
      </c>
      <c r="BC380" s="30">
        <f>IF(BB380="Stage 2",20,IF(BB380="Stage 1",0,IF(BB380="Stage 3",5,IF(BB380="Stage 4",-5,0))))</f>
        <v/>
      </c>
      <c r="BD380" s="30" t="inlineStr">
        <is>
          <t>Negative Trend</t>
        </is>
      </c>
      <c r="BE380" s="30">
        <f>IF(BD380="Positive Trend",20,IF(BD380="Negative Trend",-10,0))</f>
        <v/>
      </c>
      <c r="BF380" s="30" t="inlineStr">
        <is>
          <t>Uptrend</t>
        </is>
      </c>
      <c r="BG380" s="30">
        <f>IF(BF380="Uptrend",10,IF(BF380="Sideways",5,0))</f>
        <v/>
      </c>
      <c r="BH380" s="30" t="inlineStr">
        <is>
          <t>Uptrend</t>
        </is>
      </c>
      <c r="BI380" s="30">
        <f>IF(BH380="Uptrend",10,IF(BH380="Sideways",5,0))</f>
        <v/>
      </c>
      <c r="BJ380" s="30" t="inlineStr">
        <is>
          <t>Close to 52 week high or retracement</t>
        </is>
      </c>
      <c r="BK380" s="30">
        <f>IF(BJ380="Overhead supply in last 2 years in last 2 years",-5,IF(BJ380="Close to 52 week high or retracement",5,IF(BJ380="Blue sky scenario",10,IF(BJ380="Long term Downtrend",-10,0))))</f>
        <v/>
      </c>
      <c r="BL380" s="30" t="inlineStr">
        <is>
          <t>Yes</t>
        </is>
      </c>
      <c r="BM380" s="30">
        <f>IF(BL380="Yes",10,0)</f>
        <v/>
      </c>
      <c r="BN380" s="30" t="inlineStr">
        <is>
          <t>More than 20%</t>
        </is>
      </c>
      <c r="BO380" s="30">
        <f>IF(BN380="More than 20%",10,IF(BN380="Between 12 to 20%",5,IF(BN380="Less than 12%",0,0)))</f>
        <v/>
      </c>
      <c r="BP380" s="30" t="inlineStr">
        <is>
          <t>No</t>
        </is>
      </c>
      <c r="BQ380" s="30">
        <f>IF(BP380="No",10,0)</f>
        <v/>
      </c>
      <c r="BR380" s="30" t="inlineStr">
        <is>
          <t>No</t>
        </is>
      </c>
      <c r="BS380" s="30">
        <f>IF(BR380="NO",5,0)</f>
        <v/>
      </c>
      <c r="BT380" s="30" t="inlineStr">
        <is>
          <t>Above 2</t>
        </is>
      </c>
      <c r="BU380" s="30">
        <f>IF(BT380="Above 2",0,IF(BT380="Between 1.5 to 2",5,IF(BT380="Less than 1.5",10,0)))</f>
        <v/>
      </c>
      <c r="BV380" s="30" t="inlineStr">
        <is>
          <t>Negative</t>
        </is>
      </c>
      <c r="BW380" s="30">
        <f>IF(BV380="Above 70%",10,IF(BV380="Between 50% to 70%",5,IF(BV380="Less than 50%",0,IF(BV380="Negative",-10,IF(BV380="Less than 50% and Borrowings are increasing",-5,0)))))</f>
        <v/>
      </c>
      <c r="BX380" s="30" t="inlineStr">
        <is>
          <t>Less than 0.7</t>
        </is>
      </c>
      <c r="BY380" s="30">
        <f>IF(BX380="More than 1.2",-10,IF(BX380="Between 0.7 to 1.2",0,IF(BX380="Less than 0.7",10,0)))</f>
        <v/>
      </c>
      <c r="BZ380" s="30" t="inlineStr">
        <is>
          <t>No</t>
        </is>
      </c>
      <c r="CA380" s="30">
        <f>IF(BZ380="Yes",-10,0)</f>
        <v/>
      </c>
      <c r="CB380" s="30" t="inlineStr">
        <is>
          <t>Less than 15%</t>
        </is>
      </c>
      <c r="CC380" s="30">
        <f>IF(CB380="More than 15%",-10,IF(CB380="Less than 15%",10,0))</f>
        <v/>
      </c>
      <c r="CD380" s="30" t="inlineStr">
        <is>
          <t>No</t>
        </is>
      </c>
      <c r="CE380" s="30">
        <f>IF(CD380="Yes, more than 10%",-10,IF(CD380="No",10,0))</f>
        <v/>
      </c>
    </row>
    <row r="381">
      <c r="A381" s="30">
        <f>IF(B381=0,"",RANK(B381,$B$2:$B$427,0))</f>
        <v/>
      </c>
      <c r="B381" s="31">
        <f>SUM(N381,Y381,AA381,AC381,AE381,AG381,AI381,AK381,AM381,AO381,AQ381,AS381,AU381,AW381,AY381,BA381,BC381,BE381,BG381,BI381,BK381,BM381,BO381,BQ381,BS381,BU381,BW381,BY381,CA381,CC381,CE381)</f>
        <v/>
      </c>
      <c r="C381" s="32" t="inlineStr">
        <is>
          <t>GODREJIND</t>
        </is>
      </c>
      <c r="D381" s="32" t="inlineStr">
        <is>
          <t>Godrej Industries Limited</t>
        </is>
      </c>
      <c r="E381" s="30" t="inlineStr">
        <is>
          <t>chemicals</t>
        </is>
      </c>
      <c r="F381" s="30" t="inlineStr">
        <is>
          <t>chemicals</t>
        </is>
      </c>
      <c r="G381" s="30" t="inlineStr">
        <is>
          <t>largecap</t>
        </is>
      </c>
      <c r="H381" s="31" t="n">
        <v>37425.75</v>
      </c>
      <c r="I381" s="31" t="n">
        <v>1112.4</v>
      </c>
      <c r="J381" s="31" t="n">
        <v>0.11</v>
      </c>
      <c r="K381" s="31" t="n">
        <v>285533</v>
      </c>
      <c r="L381" s="30" t="n">
        <v>14</v>
      </c>
      <c r="M381" s="30" t="inlineStr">
        <is>
          <t>Underperforming</t>
        </is>
      </c>
      <c r="N381" s="31">
        <f>IF(M381="Underperforming",-5,IF(L381&gt;=95,15,IF(L381&gt;=90,10,IF(L381&gt;=80,5,0))))</f>
        <v/>
      </c>
      <c r="O381" s="31" t="n">
        <v>56.49</v>
      </c>
      <c r="P381" s="31" t="n">
        <v>29.87</v>
      </c>
      <c r="Q381" s="31" t="n">
        <v>918.3200000000001</v>
      </c>
      <c r="R381" s="30" t="inlineStr">
        <is>
          <t>Earnings / Momentum Support</t>
        </is>
      </c>
      <c r="S381" s="30" t="inlineStr">
        <is>
          <t>Nifty 500</t>
        </is>
      </c>
      <c r="T381" s="31" t="n">
        <v>0.45</v>
      </c>
      <c r="U381" s="31" t="n">
        <v>-17.51</v>
      </c>
      <c r="V381" s="31" t="n">
        <v>-17.88</v>
      </c>
      <c r="W381" s="31" t="n">
        <v>4.56</v>
      </c>
      <c r="X381" s="30" t="inlineStr">
        <is>
          <t>Growing Industry</t>
        </is>
      </c>
      <c r="Y381" s="30">
        <f>IF(X381="Growing Industry",10,IF(X381="Cyclical in an Upturn",5,0))</f>
        <v/>
      </c>
      <c r="Z381" s="30" t="inlineStr">
        <is>
          <t>Too Many Players with High ROCE</t>
        </is>
      </c>
      <c r="AA381" s="30">
        <f>IF(Z381="Monopoly",10,IF(Z381="Oligopoly",5,IF(Z381="Duopoly that cooperate",10,IF(Z381="Duopoly that compete",5,IF(Z381="Too many players with High ROCE",5,0)))))</f>
        <v/>
      </c>
      <c r="AB381" s="30" t="inlineStr">
        <is>
          <t>No</t>
        </is>
      </c>
      <c r="AC381" s="30">
        <f>IF(AB381="No",5,0)</f>
        <v/>
      </c>
      <c r="AD381" s="30" t="inlineStr">
        <is>
          <t>Tailwind</t>
        </is>
      </c>
      <c r="AE381" s="30">
        <f>IF(AD381="Tailwind",10,0)</f>
        <v/>
      </c>
      <c r="AF381" s="30" t="inlineStr">
        <is>
          <t>Structural (10 Years Consistency)</t>
        </is>
      </c>
      <c r="AG381" s="30">
        <f>IF(AF381="Structural (10 Years Consistency)",10,IF(AF381="Shallow Cyclical (2 to 3 years growth)",5,0))</f>
        <v/>
      </c>
      <c r="AH381" s="30" t="inlineStr">
        <is>
          <t>No</t>
        </is>
      </c>
      <c r="AI381" s="30">
        <f>IF(AH381="Yes due to Product Mix change or Operating Leverage",10,IF(AH381="Yes, these are peak margins",-5,IF(AH381="No",5,0)))</f>
        <v/>
      </c>
      <c r="AJ381" s="30" t="inlineStr">
        <is>
          <t>Stable</t>
        </is>
      </c>
      <c r="AK381" s="30">
        <f>IF(AJ381="Stable",10,0)</f>
        <v/>
      </c>
      <c r="AL381" s="30" t="inlineStr">
        <is>
          <t>Yes</t>
        </is>
      </c>
      <c r="AM381" s="30">
        <f>IF(AL381="Yes",10,0)</f>
        <v/>
      </c>
      <c r="AN381" s="30" t="inlineStr">
        <is>
          <t>B2B</t>
        </is>
      </c>
      <c r="AO381" s="30">
        <f>IF(AN381="B2C",10,IF(AN381="B2B",5,0))</f>
        <v/>
      </c>
      <c r="AP381" s="30" t="inlineStr">
        <is>
          <t>No</t>
        </is>
      </c>
      <c r="AQ381" s="30">
        <f>IF(AP381="Yes",10,0)</f>
        <v/>
      </c>
      <c r="AR381" s="30" t="inlineStr">
        <is>
          <t>Higher One Time, Lower Annuity</t>
        </is>
      </c>
      <c r="AS381" s="30">
        <f>IF(AR381="Fully Annuity",10,IF(AR381="Higher Annuity, Lower One Time",5,IF(AR381="Higher One Time, Lower Annuity",3,0)))</f>
        <v/>
      </c>
      <c r="AT381" s="30" t="inlineStr">
        <is>
          <t>Good</t>
        </is>
      </c>
      <c r="AU381" s="30">
        <f>IF(AT381="Good",10,0)</f>
        <v/>
      </c>
      <c r="AV381" s="30" t="inlineStr">
        <is>
          <t>Yes for more than 2 years</t>
        </is>
      </c>
      <c r="AW381" s="30">
        <f>IF(AV381="Yes for more than 2 years",10,IF(AV381="Yes only for next 1 to 2 years",5,0))</f>
        <v/>
      </c>
      <c r="AX381" s="30" t="inlineStr">
        <is>
          <t>20 to 40</t>
        </is>
      </c>
      <c r="AY381" s="30">
        <f>IF(AX381="Above 40",20,IF(AX381="20 to 40",10,IF(AX381="0 to 20",-5,0)))</f>
        <v/>
      </c>
      <c r="AZ381" s="30" t="inlineStr">
        <is>
          <t>Between 50 to 75</t>
        </is>
      </c>
      <c r="BA381" s="30">
        <f>IF(AZ381="Between 50 to 75",10,IF(AZ381="Above 75",0,0))</f>
        <v/>
      </c>
      <c r="BB381" s="30" t="inlineStr">
        <is>
          <t>Stage 2</t>
        </is>
      </c>
      <c r="BC381" s="30">
        <f>IF(BB381="Stage 2",20,IF(BB381="Stage 1",0,IF(BB381="Stage 3",5,IF(BB381="Stage 4",-5,0))))</f>
        <v/>
      </c>
      <c r="BD381" s="30" t="inlineStr">
        <is>
          <t>Negative Trend</t>
        </is>
      </c>
      <c r="BE381" s="30">
        <f>IF(BD381="Positive Trend",20,IF(BD381="Negative Trend",-10,0))</f>
        <v/>
      </c>
      <c r="BF381" s="30" t="inlineStr">
        <is>
          <t>Uptrend</t>
        </is>
      </c>
      <c r="BG381" s="30">
        <f>IF(BF381="Uptrend",10,IF(BF381="Sideways",5,0))</f>
        <v/>
      </c>
      <c r="BH381" s="30" t="inlineStr">
        <is>
          <t>Uptrend</t>
        </is>
      </c>
      <c r="BI381" s="30">
        <f>IF(BH381="Uptrend",10,IF(BH381="Sideways",5,0))</f>
        <v/>
      </c>
      <c r="BJ381" s="30" t="inlineStr">
        <is>
          <t>Close to 52 week high or retracement</t>
        </is>
      </c>
      <c r="BK381" s="30">
        <f>IF(BJ381="Overhead supply in last 2 years in last 2 years",-5,IF(BJ381="Close to 52 week high or retracement",5,IF(BJ381="Blue sky scenario",10,IF(BJ381="Long term Downtrend",-10,0))))</f>
        <v/>
      </c>
      <c r="BL381" s="30" t="inlineStr">
        <is>
          <t>Yes</t>
        </is>
      </c>
      <c r="BM381" s="30">
        <f>IF(BL381="Yes",10,0)</f>
        <v/>
      </c>
      <c r="BN381" s="30" t="inlineStr">
        <is>
          <t>More than 20%</t>
        </is>
      </c>
      <c r="BO381" s="30">
        <f>IF(BN381="More than 20%",10,IF(BN381="Between 12 to 20%",5,IF(BN381="Less than 12%",0,0)))</f>
        <v/>
      </c>
      <c r="BP381" s="30" t="inlineStr">
        <is>
          <t>No</t>
        </is>
      </c>
      <c r="BQ381" s="30">
        <f>IF(BP381="No",10,0)</f>
        <v/>
      </c>
      <c r="BR381" s="30" t="inlineStr">
        <is>
          <t>No</t>
        </is>
      </c>
      <c r="BS381" s="30">
        <f>IF(BR381="NO",5,0)</f>
        <v/>
      </c>
      <c r="BT381" s="30" t="inlineStr">
        <is>
          <t>Above 2</t>
        </is>
      </c>
      <c r="BU381" s="30">
        <f>IF(BT381="Above 2",0,IF(BT381="Between 1.5 to 2",5,IF(BT381="Less than 1.5",10,0)))</f>
        <v/>
      </c>
      <c r="BV381" s="30" t="inlineStr">
        <is>
          <t>Negative</t>
        </is>
      </c>
      <c r="BW381" s="30">
        <f>IF(BV381="Above 70%",10,IF(BV381="Between 50% to 70%",5,IF(BV381="Less than 50%",0,IF(BV381="Negative",-10,IF(BV381="Less than 50% and Borrowings are increasing",-5,0)))))</f>
        <v/>
      </c>
      <c r="BX381" s="30" t="inlineStr">
        <is>
          <t>More than 1.2</t>
        </is>
      </c>
      <c r="BY381" s="30">
        <f>IF(BX381="More than 1.2",-10,IF(BX381="Between 0.7 to 1.2",0,IF(BX381="Less than 0.7",10,0)))</f>
        <v/>
      </c>
      <c r="BZ381" s="30" t="inlineStr">
        <is>
          <t>No</t>
        </is>
      </c>
      <c r="CA381" s="30">
        <f>IF(BZ381="Yes",-10,0)</f>
        <v/>
      </c>
      <c r="CB381" s="30" t="inlineStr">
        <is>
          <t>Less than 15%</t>
        </is>
      </c>
      <c r="CC381" s="30">
        <f>IF(CB381="More than 15%",-10,IF(CB381="Less than 15%",10,0))</f>
        <v/>
      </c>
      <c r="CD381" s="30" t="inlineStr">
        <is>
          <t>No</t>
        </is>
      </c>
      <c r="CE381" s="30">
        <f>IF(CD381="Yes, more than 10%",-10,IF(CD381="No",10,0))</f>
        <v/>
      </c>
    </row>
    <row r="382">
      <c r="A382" s="30">
        <f>IF(B382=0,"",RANK(B382,$B$2:$B$427,0))</f>
        <v/>
      </c>
      <c r="B382" s="31">
        <f>SUM(N382,Y382,AA382,AC382,AE382,AG382,AI382,AK382,AM382,AO382,AQ382,AS382,AU382,AW382,AY382,BA382,BC382,BE382,BG382,BI382,BK382,BM382,BO382,BQ382,BS382,BU382,BW382,BY382,CA382,CC382,CE382)</f>
        <v/>
      </c>
      <c r="C382" s="30" t="inlineStr">
        <is>
          <t>BALAMINES</t>
        </is>
      </c>
      <c r="D382" s="30" t="inlineStr">
        <is>
          <t>Balaji Amines Limited</t>
        </is>
      </c>
      <c r="E382" s="30" t="inlineStr">
        <is>
          <t>chemicals</t>
        </is>
      </c>
      <c r="F382" s="30" t="inlineStr">
        <is>
          <t>chemicals</t>
        </is>
      </c>
      <c r="G382" s="30" t="inlineStr">
        <is>
          <t>midcap</t>
        </is>
      </c>
      <c r="H382" s="31" t="n">
        <v>7159</v>
      </c>
      <c r="I382" s="31" t="n">
        <v>2138.2</v>
      </c>
      <c r="J382" s="31" t="n">
        <v>-3.23</v>
      </c>
      <c r="K382" s="31" t="n">
        <v>152581</v>
      </c>
      <c r="L382" s="30" t="n">
        <v>90</v>
      </c>
      <c r="M382" s="30" t="inlineStr">
        <is>
          <t>Outperforming</t>
        </is>
      </c>
      <c r="N382" s="31">
        <f>IF(M382="Underperforming",-5,IF(L382&gt;=95,15,IF(L382&gt;=90,10,IF(L382&gt;=80,5,0))))</f>
        <v/>
      </c>
      <c r="O382" s="31" t="n">
        <v>82.56</v>
      </c>
      <c r="P382" s="31" t="n">
        <v>42.48</v>
      </c>
      <c r="Q382" s="31" t="n">
        <v>1586.03</v>
      </c>
      <c r="R382" s="30" t="inlineStr">
        <is>
          <t>Near 52W High Breakout</t>
        </is>
      </c>
      <c r="S382" s="30" t="inlineStr">
        <is>
          <t>Nifty 50</t>
        </is>
      </c>
      <c r="T382" s="31" t="n">
        <v>-4.38</v>
      </c>
      <c r="U382" s="31" t="n">
        <v>55.17</v>
      </c>
      <c r="V382" s="31" t="n">
        <v>62.27</v>
      </c>
      <c r="W382" s="31" t="n">
        <v>35.85</v>
      </c>
      <c r="X382" s="30" t="inlineStr">
        <is>
          <t>Growing Industry</t>
        </is>
      </c>
      <c r="Y382" s="30">
        <f>IF(X382="Growing Industry",10,IF(X382="Cyclical in an Upturn",5,0))</f>
        <v/>
      </c>
      <c r="Z382" s="30" t="inlineStr">
        <is>
          <t>Duopoly That Cooperate</t>
        </is>
      </c>
      <c r="AA382" s="30">
        <f>IF(Z382="Monopoly",10,IF(Z382="Oligopoly",5,IF(Z382="Duopoly that cooperate",10,IF(Z382="Duopoly that compete",5,IF(Z382="Too many players with High ROCE",5,0)))))</f>
        <v/>
      </c>
      <c r="AB382" s="30" t="inlineStr">
        <is>
          <t>No</t>
        </is>
      </c>
      <c r="AC382" s="30">
        <f>IF(AB382="No",5,0)</f>
        <v/>
      </c>
      <c r="AD382" s="30" t="inlineStr">
        <is>
          <t>Headwind</t>
        </is>
      </c>
      <c r="AE382" s="30">
        <f>IF(AD382="Tailwind",10,0)</f>
        <v/>
      </c>
      <c r="AF382" s="30" t="inlineStr">
        <is>
          <t>Shallow Cyclical (2 to 3 Years Growth)</t>
        </is>
      </c>
      <c r="AG382" s="30">
        <f>IF(AF382="Structural (10 Years Consistency)",10,IF(AF382="Shallow Cyclical (2 to 3 years growth)",5,0))</f>
        <v/>
      </c>
      <c r="AH382" s="30" t="inlineStr">
        <is>
          <t>No</t>
        </is>
      </c>
      <c r="AI382" s="30">
        <f>IF(AH382="Yes due to Product Mix change or Operating Leverage",10,IF(AH382="Yes, these are peak margins",-5,IF(AH382="No",5,0)))</f>
        <v/>
      </c>
      <c r="AJ382" s="30" t="inlineStr">
        <is>
          <t>Stable</t>
        </is>
      </c>
      <c r="AK382" s="30">
        <f>IF(AJ382="Stable",10,0)</f>
        <v/>
      </c>
      <c r="AL382" s="30" t="inlineStr">
        <is>
          <t>Yes</t>
        </is>
      </c>
      <c r="AM382" s="30">
        <f>IF(AL382="Yes",10,0)</f>
        <v/>
      </c>
      <c r="AN382" s="30" t="inlineStr">
        <is>
          <t>B2B</t>
        </is>
      </c>
      <c r="AO382" s="30">
        <f>IF(AN382="B2C",10,IF(AN382="B2B",5,0))</f>
        <v/>
      </c>
      <c r="AP382" s="30" t="inlineStr">
        <is>
          <t>Yes</t>
        </is>
      </c>
      <c r="AQ382" s="30">
        <f>IF(AP382="Yes",10,0)</f>
        <v/>
      </c>
      <c r="AR382" s="30" t="inlineStr">
        <is>
          <t>Higher One Time, Lower Annuity</t>
        </is>
      </c>
      <c r="AS382" s="30">
        <f>IF(AR382="Fully Annuity",10,IF(AR382="Higher Annuity, Lower One Time",5,IF(AR382="Higher One Time, Lower Annuity",3,0)))</f>
        <v/>
      </c>
      <c r="AT382" s="30" t="inlineStr">
        <is>
          <t>Good</t>
        </is>
      </c>
      <c r="AU382" s="30">
        <f>IF(AT382="Good",10,0)</f>
        <v/>
      </c>
      <c r="AV382" s="30" t="inlineStr">
        <is>
          <t>Yes for more than 2 years</t>
        </is>
      </c>
      <c r="AW382" s="30">
        <f>IF(AV382="Yes for more than 2 years",10,IF(AV382="Yes only for next 1 to 2 years",5,0))</f>
        <v/>
      </c>
      <c r="AX382" s="30" t="inlineStr">
        <is>
          <t>20 to 40</t>
        </is>
      </c>
      <c r="AY382" s="30">
        <f>IF(AX382="Above 40",20,IF(AX382="20 to 40",10,IF(AX382="0 to 20",-5,0)))</f>
        <v/>
      </c>
      <c r="AZ382" s="30" t="inlineStr">
        <is>
          <t>Between 50 to 75</t>
        </is>
      </c>
      <c r="BA382" s="30">
        <f>IF(AZ382="Between 50 to 75",10,IF(AZ382="Above 75",0,0))</f>
        <v/>
      </c>
      <c r="BB382" s="30" t="inlineStr">
        <is>
          <t>Stage 4</t>
        </is>
      </c>
      <c r="BC382" s="30">
        <f>IF(BB382="Stage 2",20,IF(BB382="Stage 1",0,IF(BB382="Stage 3",5,IF(BB382="Stage 4",-5,0))))</f>
        <v/>
      </c>
      <c r="BD382" s="30" t="inlineStr">
        <is>
          <t>Negative Trend</t>
        </is>
      </c>
      <c r="BE382" s="30">
        <f>IF(BD382="Positive Trend",20,IF(BD382="Negative Trend",-10,0))</f>
        <v/>
      </c>
      <c r="BF382" s="30" t="inlineStr">
        <is>
          <t>Downtrend</t>
        </is>
      </c>
      <c r="BG382" s="30">
        <f>IF(BF382="Uptrend",10,IF(BF382="Sideways",5,0))</f>
        <v/>
      </c>
      <c r="BH382" s="30" t="inlineStr">
        <is>
          <t>Uptrend</t>
        </is>
      </c>
      <c r="BI382" s="30">
        <f>IF(BH382="Uptrend",10,IF(BH382="Sideways",5,0))</f>
        <v/>
      </c>
      <c r="BJ382" s="30" t="inlineStr">
        <is>
          <t>Overhead supply in last 2 years in last 2 years</t>
        </is>
      </c>
      <c r="BK382" s="30">
        <f>IF(BJ382="Overhead supply in last 2 years in last 2 years",-5,IF(BJ382="Close to 52 week high or retracement",5,IF(BJ382="Blue sky scenario",10,IF(BJ382="Long term Downtrend",-10,0))))</f>
        <v/>
      </c>
      <c r="BL382" s="30" t="inlineStr">
        <is>
          <t>No</t>
        </is>
      </c>
      <c r="BM382" s="30">
        <f>IF(BL382="Yes",10,0)</f>
        <v/>
      </c>
      <c r="BN382" s="30" t="inlineStr">
        <is>
          <t>More than 20%</t>
        </is>
      </c>
      <c r="BO382" s="30">
        <f>IF(BN382="More than 20%",10,IF(BN382="Between 12 to 20%",5,IF(BN382="Less than 12%",0,0)))</f>
        <v/>
      </c>
      <c r="BP382" s="30" t="inlineStr">
        <is>
          <t>No</t>
        </is>
      </c>
      <c r="BQ382" s="30">
        <f>IF(BP382="No",10,0)</f>
        <v/>
      </c>
      <c r="BR382" s="30" t="inlineStr">
        <is>
          <t>Yes</t>
        </is>
      </c>
      <c r="BS382" s="30">
        <f>IF(BR382="NO",5,0)</f>
        <v/>
      </c>
      <c r="BT382" s="30" t="inlineStr">
        <is>
          <t>Less than 1.5</t>
        </is>
      </c>
      <c r="BU382" s="30">
        <f>IF(BT382="Above 2",0,IF(BT382="Between 1.5 to 2",5,IF(BT382="Less than 1.5",10,0)))</f>
        <v/>
      </c>
      <c r="BV382" s="30" t="inlineStr">
        <is>
          <t>Between 50% to 70%</t>
        </is>
      </c>
      <c r="BW382" s="30">
        <f>IF(BV382="Above 70%",10,IF(BV382="Between 50% to 70%",5,IF(BV382="Less than 50%",0,IF(BV382="Negative",-10,IF(BV382="Less than 50% and Borrowings are increasing",-5,0)))))</f>
        <v/>
      </c>
      <c r="BX382" s="30" t="inlineStr">
        <is>
          <t>Less than 0.7</t>
        </is>
      </c>
      <c r="BY382" s="30">
        <f>IF(BX382="More than 1.2",-10,IF(BX382="Between 0.7 to 1.2",0,IF(BX382="Less than 0.7",10,0)))</f>
        <v/>
      </c>
      <c r="BZ382" s="30" t="inlineStr">
        <is>
          <t>No</t>
        </is>
      </c>
      <c r="CA382" s="30">
        <f>IF(BZ382="Yes",-10,0)</f>
        <v/>
      </c>
      <c r="CB382" s="30" t="inlineStr">
        <is>
          <t>Less than 15%</t>
        </is>
      </c>
      <c r="CC382" s="30">
        <f>IF(CB382="More than 15%",-10,IF(CB382="Less than 15%",10,0))</f>
        <v/>
      </c>
      <c r="CD382" s="30" t="inlineStr">
        <is>
          <t>No</t>
        </is>
      </c>
      <c r="CE382" s="30">
        <f>IF(CD382="Yes, more than 10%",-10,IF(CD382="No",10,0))</f>
        <v/>
      </c>
    </row>
    <row r="383">
      <c r="A383" s="30">
        <f>IF(B383=0,"",RANK(B383,$B$2:$B$427,0))</f>
        <v/>
      </c>
      <c r="B383" s="31">
        <f>SUM(N383,Y383,AA383,AC383,AE383,AG383,AI383,AK383,AM383,AO383,AQ383,AS383,AU383,AW383,AY383,BA383,BC383,BE383,BG383,BI383,BK383,BM383,BO383,BQ383,BS383,BU383,BW383,BY383,CA383,CC383,CE383)</f>
        <v/>
      </c>
      <c r="C383" s="30" t="inlineStr">
        <is>
          <t>GNFC</t>
        </is>
      </c>
      <c r="D383" s="30" t="inlineStr">
        <is>
          <t>Gujarat Narmada Valley Fertilizers And Chemicals Limited</t>
        </is>
      </c>
      <c r="E383" s="30" t="inlineStr">
        <is>
          <t>chemicals</t>
        </is>
      </c>
      <c r="F383" s="30" t="inlineStr">
        <is>
          <t>chemicals</t>
        </is>
      </c>
      <c r="G383" s="30" t="inlineStr">
        <is>
          <t>midcap</t>
        </is>
      </c>
      <c r="H383" s="31" t="n">
        <v>8266.879999999999</v>
      </c>
      <c r="I383" s="31" t="n">
        <v>567.65</v>
      </c>
      <c r="J383" s="31" t="n">
        <v>0.9</v>
      </c>
      <c r="K383" s="31" t="n">
        <v>812906</v>
      </c>
      <c r="L383" s="30" t="n">
        <v>46</v>
      </c>
      <c r="M383" s="30" t="inlineStr">
        <is>
          <t>Outperforming</t>
        </is>
      </c>
      <c r="N383" s="31">
        <f>IF(M383="Underperforming",-5,IF(L383&gt;=95,15,IF(L383&gt;=90,10,IF(L383&gt;=80,5,0))))</f>
        <v/>
      </c>
      <c r="O383" s="31" t="n">
        <v>69.37</v>
      </c>
      <c r="P383" s="31" t="n">
        <v>28.93</v>
      </c>
      <c r="Q383" s="31" t="n">
        <v>462.06</v>
      </c>
      <c r="R383" s="30" t="inlineStr">
        <is>
          <t>Volume Spike &amp; Near 52W High Breakout</t>
        </is>
      </c>
      <c r="S383" s="30" t="inlineStr">
        <is>
          <t>Nifty 50</t>
        </is>
      </c>
      <c r="T383" s="31" t="n">
        <v>-4.38</v>
      </c>
      <c r="U383" s="31" t="n">
        <v>12.33</v>
      </c>
      <c r="V383" s="31" t="n">
        <v>17.47</v>
      </c>
      <c r="W383" s="31" t="n">
        <v>11.78</v>
      </c>
      <c r="X383" s="30" t="inlineStr">
        <is>
          <t>Growing Industry</t>
        </is>
      </c>
      <c r="Y383" s="30">
        <f>IF(X383="Growing Industry",10,IF(X383="Cyclical in an Upturn",5,0))</f>
        <v/>
      </c>
      <c r="Z383" s="30" t="inlineStr">
        <is>
          <t>Oligopoly</t>
        </is>
      </c>
      <c r="AA383" s="30">
        <f>IF(Z383="Monopoly",10,IF(Z383="Oligopoly",5,IF(Z383="Duopoly that cooperate",10,IF(Z383="Duopoly that compete",5,IF(Z383="Too many players with High ROCE",5,0)))))</f>
        <v/>
      </c>
      <c r="AB383" s="30" t="inlineStr">
        <is>
          <t>No</t>
        </is>
      </c>
      <c r="AC383" s="30">
        <f>IF(AB383="No",5,0)</f>
        <v/>
      </c>
      <c r="AD383" s="30" t="inlineStr">
        <is>
          <t>Tailwind</t>
        </is>
      </c>
      <c r="AE383" s="30">
        <f>IF(AD383="Tailwind",10,0)</f>
        <v/>
      </c>
      <c r="AF383" s="30" t="inlineStr">
        <is>
          <t>Shallow Cyclical (2 to 3 Years Growth)</t>
        </is>
      </c>
      <c r="AG383" s="30">
        <f>IF(AF383="Structural (10 Years Consistency)",10,IF(AF383="Shallow Cyclical (2 to 3 years growth)",5,0))</f>
        <v/>
      </c>
      <c r="AH383" s="30" t="inlineStr">
        <is>
          <t>Yes due to Product Mix change or Operating Leverage</t>
        </is>
      </c>
      <c r="AI383" s="30">
        <f>IF(AH383="Yes due to Product Mix change or Operating Leverage",10,IF(AH383="Yes, these are peak margins",-5,IF(AH383="No",5,0)))</f>
        <v/>
      </c>
      <c r="AJ383" s="30" t="inlineStr">
        <is>
          <t>Volatile</t>
        </is>
      </c>
      <c r="AK383" s="30">
        <f>IF(AJ383="Stable",10,0)</f>
        <v/>
      </c>
      <c r="AL383" s="30" t="inlineStr">
        <is>
          <t>Yes</t>
        </is>
      </c>
      <c r="AM383" s="30">
        <f>IF(AL383="Yes",10,0)</f>
        <v/>
      </c>
      <c r="AN383" s="30" t="inlineStr">
        <is>
          <t>B2B</t>
        </is>
      </c>
      <c r="AO383" s="30">
        <f>IF(AN383="B2C",10,IF(AN383="B2B",5,0))</f>
        <v/>
      </c>
      <c r="AP383" s="30" t="inlineStr">
        <is>
          <t>Yes</t>
        </is>
      </c>
      <c r="AQ383" s="30">
        <f>IF(AP383="Yes",10,0)</f>
        <v/>
      </c>
      <c r="AR383" s="30" t="inlineStr">
        <is>
          <t>Higher One Time, Lower Annuity</t>
        </is>
      </c>
      <c r="AS383" s="30">
        <f>IF(AR383="Fully Annuity",10,IF(AR383="Higher Annuity, Lower One Time",5,IF(AR383="Higher One Time, Lower Annuity",3,0)))</f>
        <v/>
      </c>
      <c r="AT383" s="30" t="inlineStr">
        <is>
          <t>Allocated capital in Non-core Areas</t>
        </is>
      </c>
      <c r="AU383" s="30">
        <f>IF(AT383="Good",10,0)</f>
        <v/>
      </c>
      <c r="AV383" s="30" t="inlineStr">
        <is>
          <t>Yes for more than 2 years</t>
        </is>
      </c>
      <c r="AW383" s="30">
        <f>IF(AV383="Yes for more than 2 years",10,IF(AV383="Yes only for next 1 to 2 years",5,0))</f>
        <v/>
      </c>
      <c r="AX383" s="30" t="inlineStr">
        <is>
          <t>Above 40</t>
        </is>
      </c>
      <c r="AY383" s="30">
        <f>IF(AX383="Above 40",20,IF(AX383="20 to 40",10,IF(AX383="0 to 20",-5,0)))</f>
        <v/>
      </c>
      <c r="AZ383" s="30" t="inlineStr">
        <is>
          <t>Between 50 to 75</t>
        </is>
      </c>
      <c r="BA383" s="30">
        <f>IF(AZ383="Between 50 to 75",10,IF(AZ383="Above 75",0,0))</f>
        <v/>
      </c>
      <c r="BB383" s="30" t="inlineStr">
        <is>
          <t>Stage 3</t>
        </is>
      </c>
      <c r="BC383" s="30">
        <f>IF(BB383="Stage 2",20,IF(BB383="Stage 1",0,IF(BB383="Stage 3",5,IF(BB383="Stage 4",-5,0))))</f>
        <v/>
      </c>
      <c r="BD383" s="30" t="inlineStr">
        <is>
          <t>Negative Trend</t>
        </is>
      </c>
      <c r="BE383" s="30">
        <f>IF(BD383="Positive Trend",20,IF(BD383="Negative Trend",-10,0))</f>
        <v/>
      </c>
      <c r="BF383" s="30" t="inlineStr">
        <is>
          <t>Sideways</t>
        </is>
      </c>
      <c r="BG383" s="30">
        <f>IF(BF383="Uptrend",10,IF(BF383="Sideways",5,0))</f>
        <v/>
      </c>
      <c r="BH383" s="30" t="inlineStr">
        <is>
          <t>Uptrend</t>
        </is>
      </c>
      <c r="BI383" s="30">
        <f>IF(BH383="Uptrend",10,IF(BH383="Sideways",5,0))</f>
        <v/>
      </c>
      <c r="BJ383" s="30" t="inlineStr">
        <is>
          <t>Overhead supply in last 2 years in last 2 years</t>
        </is>
      </c>
      <c r="BK383" s="30">
        <f>IF(BJ383="Overhead supply in last 2 years in last 2 years",-5,IF(BJ383="Close to 52 week high or retracement",5,IF(BJ383="Blue sky scenario",10,IF(BJ383="Long term Downtrend",-10,0))))</f>
        <v/>
      </c>
      <c r="BL383" s="30" t="inlineStr">
        <is>
          <t>Yes</t>
        </is>
      </c>
      <c r="BM383" s="30">
        <f>IF(BL383="Yes",10,0)</f>
        <v/>
      </c>
      <c r="BN383" s="30" t="inlineStr">
        <is>
          <t>More than 20%</t>
        </is>
      </c>
      <c r="BO383" s="30">
        <f>IF(BN383="More than 20%",10,IF(BN383="Between 12 to 20%",5,IF(BN383="Less than 12%",0,0)))</f>
        <v/>
      </c>
      <c r="BP383" s="30" t="inlineStr">
        <is>
          <t>No</t>
        </is>
      </c>
      <c r="BQ383" s="30">
        <f>IF(BP383="No",10,0)</f>
        <v/>
      </c>
      <c r="BR383" s="30" t="inlineStr">
        <is>
          <t>No</t>
        </is>
      </c>
      <c r="BS383" s="30">
        <f>IF(BR383="NO",5,0)</f>
        <v/>
      </c>
      <c r="BT383" s="30" t="inlineStr">
        <is>
          <t>Less than 1.5</t>
        </is>
      </c>
      <c r="BU383" s="30">
        <f>IF(BT383="Above 2",0,IF(BT383="Between 1.5 to 2",5,IF(BT383="Less than 1.5",10,0)))</f>
        <v/>
      </c>
      <c r="BV383" s="30" t="inlineStr">
        <is>
          <t>Above 70%</t>
        </is>
      </c>
      <c r="BW383" s="30">
        <f>IF(BV383="Above 70%",10,IF(BV383="Between 50% to 70%",5,IF(BV383="Less than 50%",0,IF(BV383="Negative",-10,IF(BV383="Less than 50% and Borrowings are increasing",-5,0)))))</f>
        <v/>
      </c>
      <c r="BX383" s="30" t="inlineStr">
        <is>
          <t>Less than 0.7</t>
        </is>
      </c>
      <c r="BY383" s="30">
        <f>IF(BX383="More than 1.2",-10,IF(BX383="Between 0.7 to 1.2",0,IF(BX383="Less than 0.7",10,0)))</f>
        <v/>
      </c>
      <c r="BZ383" s="30" t="inlineStr">
        <is>
          <t>No</t>
        </is>
      </c>
      <c r="CA383" s="30">
        <f>IF(BZ383="Yes",-10,0)</f>
        <v/>
      </c>
      <c r="CB383" s="30" t="inlineStr">
        <is>
          <t>More than 15%</t>
        </is>
      </c>
      <c r="CC383" s="30">
        <f>IF(CB383="More than 15%",-10,IF(CB383="Less than 15%",10,0))</f>
        <v/>
      </c>
      <c r="CD383" s="30" t="inlineStr">
        <is>
          <t>Yes Upto 10%</t>
        </is>
      </c>
      <c r="CE383" s="30">
        <f>IF(CD383="Yes, more than 10%",-10,IF(CD383="No",10,0))</f>
        <v/>
      </c>
    </row>
    <row r="384">
      <c r="A384" s="30">
        <f>IF(B384=0,"",RANK(B384,$B$2:$B$427,0))</f>
        <v/>
      </c>
      <c r="B384" s="31">
        <f>SUM(N384,Y384,AA384,AC384,AE384,AG384,AI384,AK384,AM384,AO384,AQ384,AS384,AU384,AW384,AY384,BA384,BC384,BE384,BG384,BI384,BK384,BM384,BO384,BQ384,BS384,BU384,BW384,BY384,CA384,CC384,CE384)</f>
        <v/>
      </c>
      <c r="C384" s="30" t="inlineStr">
        <is>
          <t>FLUOROCHEM</t>
        </is>
      </c>
      <c r="D384" s="30" t="inlineStr">
        <is>
          <t>Gujarat Fluorochemicals Ltd</t>
        </is>
      </c>
      <c r="E384" s="30" t="inlineStr">
        <is>
          <t>chemicals</t>
        </is>
      </c>
      <c r="F384" s="30" t="inlineStr">
        <is>
          <t>chemicals</t>
        </is>
      </c>
      <c r="G384" s="30" t="inlineStr">
        <is>
          <t>largecap</t>
        </is>
      </c>
      <c r="H384" s="31" t="n">
        <v>42154.94</v>
      </c>
      <c r="I384" s="31" t="n">
        <v>3839.9</v>
      </c>
      <c r="J384" s="31" t="n">
        <v>0.06</v>
      </c>
      <c r="K384" s="31" t="n">
        <v>185370</v>
      </c>
      <c r="L384" s="30" t="n">
        <v>25</v>
      </c>
      <c r="M384" s="30" t="inlineStr">
        <is>
          <t>Outperforming</t>
        </is>
      </c>
      <c r="N384" s="31">
        <f>IF(M384="Underperforming",-5,IF(L384&gt;=95,15,IF(L384&gt;=90,10,IF(L384&gt;=80,5,0))))</f>
        <v/>
      </c>
      <c r="O384" s="31" t="n">
        <v>59.93</v>
      </c>
      <c r="P384" s="31" t="n">
        <v>15.37</v>
      </c>
      <c r="Q384" s="31" t="n">
        <v>3091.76</v>
      </c>
      <c r="R384" s="30" t="inlineStr">
        <is>
          <t>Near 52W High Breakout</t>
        </is>
      </c>
      <c r="S384" s="30" t="inlineStr">
        <is>
          <t>Nifty 50</t>
        </is>
      </c>
      <c r="T384" s="31" t="n">
        <v>-4.38</v>
      </c>
      <c r="U384" s="31" t="n">
        <v>13.58</v>
      </c>
      <c r="V384" s="31" t="n">
        <v>18.78</v>
      </c>
      <c r="W384" s="31" t="n">
        <v>7.36</v>
      </c>
      <c r="X384" s="30" t="inlineStr">
        <is>
          <t>Growing Industry</t>
        </is>
      </c>
      <c r="Y384" s="30">
        <f>IF(X384="Growing Industry",10,IF(X384="Cyclical in an Upturn",5,0))</f>
        <v/>
      </c>
      <c r="Z384" s="30" t="inlineStr">
        <is>
          <t>Oligopoly</t>
        </is>
      </c>
      <c r="AA384" s="30">
        <f>IF(Z384="Monopoly",10,IF(Z384="Oligopoly",5,IF(Z384="Duopoly that cooperate",10,IF(Z384="Duopoly that compete",5,IF(Z384="Too many players with High ROCE",5,0)))))</f>
        <v/>
      </c>
      <c r="AB384" s="30" t="inlineStr">
        <is>
          <t>No</t>
        </is>
      </c>
      <c r="AC384" s="30">
        <f>IF(AB384="No",5,0)</f>
        <v/>
      </c>
      <c r="AD384" s="30" t="inlineStr">
        <is>
          <t>Tailwind</t>
        </is>
      </c>
      <c r="AE384" s="30">
        <f>IF(AD384="Tailwind",10,0)</f>
        <v/>
      </c>
      <c r="AF384" s="30" t="inlineStr">
        <is>
          <t>Shallow Cyclical (2 to 3 Years Growth)</t>
        </is>
      </c>
      <c r="AG384" s="30">
        <f>IF(AF384="Structural (10 Years Consistency)",10,IF(AF384="Shallow Cyclical (2 to 3 years growth)",5,0))</f>
        <v/>
      </c>
      <c r="AH384" s="30" t="inlineStr">
        <is>
          <t>Yes due to Product Mix change or Operating Leverage</t>
        </is>
      </c>
      <c r="AI384" s="30">
        <f>IF(AH384="Yes due to Product Mix change or Operating Leverage",10,IF(AH384="Yes, these are peak margins",-5,IF(AH384="No",5,0)))</f>
        <v/>
      </c>
      <c r="AJ384" s="30" t="inlineStr">
        <is>
          <t>Volatile</t>
        </is>
      </c>
      <c r="AK384" s="30">
        <f>IF(AJ384="Stable",10,0)</f>
        <v/>
      </c>
      <c r="AL384" s="30" t="inlineStr">
        <is>
          <t>Yes</t>
        </is>
      </c>
      <c r="AM384" s="30">
        <f>IF(AL384="Yes",10,0)</f>
        <v/>
      </c>
      <c r="AN384" s="30" t="inlineStr">
        <is>
          <t>B2B</t>
        </is>
      </c>
      <c r="AO384" s="30">
        <f>IF(AN384="B2C",10,IF(AN384="B2B",5,0))</f>
        <v/>
      </c>
      <c r="AP384" s="30" t="inlineStr">
        <is>
          <t>Yes</t>
        </is>
      </c>
      <c r="AQ384" s="30">
        <f>IF(AP384="Yes",10,0)</f>
        <v/>
      </c>
      <c r="AR384" s="30" t="inlineStr">
        <is>
          <t>Higher One Time, Lower Annuity</t>
        </is>
      </c>
      <c r="AS384" s="30">
        <f>IF(AR384="Fully Annuity",10,IF(AR384="Higher Annuity, Lower One Time",5,IF(AR384="Higher One Time, Lower Annuity",3,0)))</f>
        <v/>
      </c>
      <c r="AT384" s="30" t="inlineStr">
        <is>
          <t>Allocated capital in Non-core Areas</t>
        </is>
      </c>
      <c r="AU384" s="30">
        <f>IF(AT384="Good",10,0)</f>
        <v/>
      </c>
      <c r="AV384" s="30" t="inlineStr">
        <is>
          <t>Yes for more than 2 years</t>
        </is>
      </c>
      <c r="AW384" s="30">
        <f>IF(AV384="Yes for more than 2 years",10,IF(AV384="Yes only for next 1 to 2 years",5,0))</f>
        <v/>
      </c>
      <c r="AX384" s="30" t="inlineStr">
        <is>
          <t>Above 40</t>
        </is>
      </c>
      <c r="AY384" s="30">
        <f>IF(AX384="Above 40",20,IF(AX384="20 to 40",10,IF(AX384="0 to 20",-5,0)))</f>
        <v/>
      </c>
      <c r="AZ384" s="30" t="inlineStr">
        <is>
          <t>Between 50 to 75</t>
        </is>
      </c>
      <c r="BA384" s="30">
        <f>IF(AZ384="Between 50 to 75",10,IF(AZ384="Above 75",0,0))</f>
        <v/>
      </c>
      <c r="BB384" s="30" t="inlineStr">
        <is>
          <t>Stage 3</t>
        </is>
      </c>
      <c r="BC384" s="30">
        <f>IF(BB384="Stage 2",20,IF(BB384="Stage 1",0,IF(BB384="Stage 3",5,IF(BB384="Stage 4",-5,0))))</f>
        <v/>
      </c>
      <c r="BD384" s="30" t="inlineStr">
        <is>
          <t>Negative Trend</t>
        </is>
      </c>
      <c r="BE384" s="30">
        <f>IF(BD384="Positive Trend",20,IF(BD384="Negative Trend",-10,0))</f>
        <v/>
      </c>
      <c r="BF384" s="30" t="inlineStr">
        <is>
          <t>Sideways</t>
        </is>
      </c>
      <c r="BG384" s="30">
        <f>IF(BF384="Uptrend",10,IF(BF384="Sideways",5,0))</f>
        <v/>
      </c>
      <c r="BH384" s="30" t="inlineStr">
        <is>
          <t>Uptrend</t>
        </is>
      </c>
      <c r="BI384" s="30">
        <f>IF(BH384="Uptrend",10,IF(BH384="Sideways",5,0))</f>
        <v/>
      </c>
      <c r="BJ384" s="30" t="inlineStr">
        <is>
          <t>Overhead supply in last 2 years in last 2 years</t>
        </is>
      </c>
      <c r="BK384" s="30">
        <f>IF(BJ384="Overhead supply in last 2 years in last 2 years",-5,IF(BJ384="Close to 52 week high or retracement",5,IF(BJ384="Blue sky scenario",10,IF(BJ384="Long term Downtrend",-10,0))))</f>
        <v/>
      </c>
      <c r="BL384" s="30" t="inlineStr">
        <is>
          <t>Yes</t>
        </is>
      </c>
      <c r="BM384" s="30">
        <f>IF(BL384="Yes",10,0)</f>
        <v/>
      </c>
      <c r="BN384" s="30" t="inlineStr">
        <is>
          <t>More than 20%</t>
        </is>
      </c>
      <c r="BO384" s="30">
        <f>IF(BN384="More than 20%",10,IF(BN384="Between 12 to 20%",5,IF(BN384="Less than 12%",0,0)))</f>
        <v/>
      </c>
      <c r="BP384" s="30" t="inlineStr">
        <is>
          <t>No</t>
        </is>
      </c>
      <c r="BQ384" s="30">
        <f>IF(BP384="No",10,0)</f>
        <v/>
      </c>
      <c r="BR384" s="30" t="inlineStr">
        <is>
          <t>No</t>
        </is>
      </c>
      <c r="BS384" s="30">
        <f>IF(BR384="NO",5,0)</f>
        <v/>
      </c>
      <c r="BT384" s="30" t="inlineStr">
        <is>
          <t>Less than 1.5</t>
        </is>
      </c>
      <c r="BU384" s="30">
        <f>IF(BT384="Above 2",0,IF(BT384="Between 1.5 to 2",5,IF(BT384="Less than 1.5",10,0)))</f>
        <v/>
      </c>
      <c r="BV384" s="30" t="inlineStr">
        <is>
          <t>Above 70%</t>
        </is>
      </c>
      <c r="BW384" s="30">
        <f>IF(BV384="Above 70%",10,IF(BV384="Between 50% to 70%",5,IF(BV384="Less than 50%",0,IF(BV384="Negative",-10,IF(BV384="Less than 50% and Borrowings are increasing",-5,0)))))</f>
        <v/>
      </c>
      <c r="BX384" s="30" t="inlineStr">
        <is>
          <t>Less than 0.7</t>
        </is>
      </c>
      <c r="BY384" s="30">
        <f>IF(BX384="More than 1.2",-10,IF(BX384="Between 0.7 to 1.2",0,IF(BX384="Less than 0.7",10,0)))</f>
        <v/>
      </c>
      <c r="BZ384" s="30" t="inlineStr">
        <is>
          <t>No</t>
        </is>
      </c>
      <c r="CA384" s="30">
        <f>IF(BZ384="Yes",-10,0)</f>
        <v/>
      </c>
      <c r="CB384" s="30" t="inlineStr">
        <is>
          <t>More than 15%</t>
        </is>
      </c>
      <c r="CC384" s="30">
        <f>IF(CB384="More than 15%",-10,IF(CB384="Less than 15%",10,0))</f>
        <v/>
      </c>
      <c r="CD384" s="30" t="inlineStr">
        <is>
          <t>Yes Upto 10%</t>
        </is>
      </c>
      <c r="CE384" s="30">
        <f>IF(CD384="Yes, more than 10%",-10,IF(CD384="No",10,0))</f>
        <v/>
      </c>
    </row>
    <row r="385">
      <c r="A385" s="30">
        <f>IF(B385=0,"",RANK(B385,$B$2:$B$427,0))</f>
        <v/>
      </c>
      <c r="B385" s="31">
        <f>SUM(N385,Y385,AA385,AC385,AE385,AG385,AI385,AK385,AM385,AO385,AQ385,AS385,AU385,AW385,AY385,BA385,BC385,BE385,BG385,BI385,BK385,BM385,BO385,BQ385,BS385,BU385,BW385,BY385,CA385,CC385,CE385)</f>
        <v/>
      </c>
      <c r="C385" s="30" t="inlineStr">
        <is>
          <t>AGARWALEYE</t>
        </is>
      </c>
      <c r="D385" s="30" t="inlineStr">
        <is>
          <t>Dr Agarwals Health Care Ltd</t>
        </is>
      </c>
      <c r="E385" s="30" t="inlineStr">
        <is>
          <t>healthcare</t>
        </is>
      </c>
      <c r="F385" s="30" t="inlineStr">
        <is>
          <t>healthcare</t>
        </is>
      </c>
      <c r="G385" s="30" t="inlineStr">
        <is>
          <t>midcap</t>
        </is>
      </c>
      <c r="H385" s="31" t="n">
        <v>14091.6</v>
      </c>
      <c r="I385" s="31" t="n">
        <v>466.65</v>
      </c>
      <c r="J385" s="31" t="n">
        <v>4.91</v>
      </c>
      <c r="K385" s="31" t="n">
        <v>307298</v>
      </c>
      <c r="L385" s="30" t="n">
        <v>19</v>
      </c>
      <c r="M385" s="30" t="inlineStr">
        <is>
          <t>Outperforming</t>
        </is>
      </c>
      <c r="N385" s="31">
        <f>IF(M385="Underperforming",-5,IF(L385&gt;=95,15,IF(L385&gt;=90,10,IF(L385&gt;=80,5,0))))</f>
        <v/>
      </c>
      <c r="O385" s="31" t="n">
        <v>53.43</v>
      </c>
      <c r="P385" s="31" t="n">
        <v>15.86</v>
      </c>
      <c r="Q385" s="31" t="n">
        <v>386.85</v>
      </c>
      <c r="R385" s="30" t="inlineStr">
        <is>
          <t>Earnings / Momentum Support</t>
        </is>
      </c>
      <c r="S385" s="30" t="inlineStr">
        <is>
          <t>Nifty Pharma</t>
        </is>
      </c>
      <c r="T385" s="31" t="n">
        <v>13.17</v>
      </c>
      <c r="U385" s="31" t="n">
        <v>15.71</v>
      </c>
      <c r="V385" s="31" t="n">
        <v>2.24</v>
      </c>
      <c r="W385" s="31" t="n">
        <v>5.51</v>
      </c>
      <c r="X385" s="30" t="inlineStr">
        <is>
          <t>Growing Industry</t>
        </is>
      </c>
      <c r="Y385" s="30">
        <f>IF(X385="Growing Industry",10,IF(X385="Cyclical in an Upturn",5,0))</f>
        <v/>
      </c>
      <c r="Z385" s="30" t="inlineStr">
        <is>
          <t>Too Many Players with High ROCE</t>
        </is>
      </c>
      <c r="AA385" s="30">
        <f>IF(Z385="Monopoly",10,IF(Z385="Oligopoly",5,IF(Z385="Duopoly that cooperate",10,IF(Z385="Duopoly that compete",5,IF(Z385="Too many players with High ROCE",5,0)))))</f>
        <v/>
      </c>
      <c r="AB385" s="30" t="inlineStr">
        <is>
          <t>Yes</t>
        </is>
      </c>
      <c r="AC385" s="30">
        <f>IF(AB385="No",5,0)</f>
        <v/>
      </c>
      <c r="AD385" s="30" t="inlineStr">
        <is>
          <t>Headwind</t>
        </is>
      </c>
      <c r="AE385" s="30">
        <f>IF(AD385="Tailwind",10,0)</f>
        <v/>
      </c>
      <c r="AF385" s="30" t="inlineStr">
        <is>
          <t>Structural (10 Years Consistency)</t>
        </is>
      </c>
      <c r="AG385" s="30">
        <f>IF(AF385="Structural (10 Years Consistency)",10,IF(AF385="Shallow Cyclical (2 to 3 years growth)",5,0))</f>
        <v/>
      </c>
      <c r="AH385" s="30" t="inlineStr">
        <is>
          <t>No</t>
        </is>
      </c>
      <c r="AI385" s="30">
        <f>IF(AH385="Yes due to Product Mix change or Operating Leverage",10,IF(AH385="Yes, these are peak margins",-5,IF(AH385="No",5,0)))</f>
        <v/>
      </c>
      <c r="AJ385" s="30" t="inlineStr">
        <is>
          <t>Stable</t>
        </is>
      </c>
      <c r="AK385" s="30">
        <f>IF(AJ385="Stable",10,0)</f>
        <v/>
      </c>
      <c r="AL385" s="30" t="inlineStr">
        <is>
          <t>Yes</t>
        </is>
      </c>
      <c r="AM385" s="30">
        <f>IF(AL385="Yes",10,0)</f>
        <v/>
      </c>
      <c r="AN385" s="30" t="inlineStr">
        <is>
          <t>B2B</t>
        </is>
      </c>
      <c r="AO385" s="30">
        <f>IF(AN385="B2C",10,IF(AN385="B2B",5,0))</f>
        <v/>
      </c>
      <c r="AP385" s="30" t="inlineStr">
        <is>
          <t>No</t>
        </is>
      </c>
      <c r="AQ385" s="30">
        <f>IF(AP385="Yes",10,0)</f>
        <v/>
      </c>
      <c r="AR385" s="30" t="inlineStr">
        <is>
          <t>Higher Annuity, Lower One Time</t>
        </is>
      </c>
      <c r="AS385" s="30">
        <f>IF(AR385="Fully Annuity",10,IF(AR385="Higher Annuity, Lower One Time",5,IF(AR385="Higher One Time, Lower Annuity",3,0)))</f>
        <v/>
      </c>
      <c r="AT385" s="30" t="inlineStr">
        <is>
          <t>Good</t>
        </is>
      </c>
      <c r="AU385" s="30">
        <f>IF(AT385="Good",10,0)</f>
        <v/>
      </c>
      <c r="AV385" s="30" t="inlineStr">
        <is>
          <t>Yes for more than 2 years</t>
        </is>
      </c>
      <c r="AW385" s="30">
        <f>IF(AV385="Yes for more than 2 years",10,IF(AV385="Yes only for next 1 to 2 years",5,0))</f>
        <v/>
      </c>
      <c r="AX385" s="30" t="inlineStr">
        <is>
          <t>0 to 20</t>
        </is>
      </c>
      <c r="AY385" s="30">
        <f>IF(AX385="Above 40",20,IF(AX385="20 to 40",10,IF(AX385="0 to 20",-5,0)))</f>
        <v/>
      </c>
      <c r="AZ385" s="30" t="inlineStr">
        <is>
          <t>Between 50 to 75</t>
        </is>
      </c>
      <c r="BA385" s="30">
        <f>IF(AZ385="Between 50 to 75",10,IF(AZ385="Above 75",0,0))</f>
        <v/>
      </c>
      <c r="BB385" s="30" t="inlineStr">
        <is>
          <t>Stage 1</t>
        </is>
      </c>
      <c r="BC385" s="30">
        <f>IF(BB385="Stage 2",20,IF(BB385="Stage 1",0,IF(BB385="Stage 3",5,IF(BB385="Stage 4",-5,0))))</f>
        <v/>
      </c>
      <c r="BD385" s="30" t="inlineStr">
        <is>
          <t>Negative Trend</t>
        </is>
      </c>
      <c r="BE385" s="30">
        <f>IF(BD385="Positive Trend",20,IF(BD385="Negative Trend",-10,0))</f>
        <v/>
      </c>
      <c r="BF385" s="30" t="inlineStr">
        <is>
          <t>Uptrend</t>
        </is>
      </c>
      <c r="BG385" s="30">
        <f>IF(BF385="Uptrend",10,IF(BF385="Sideways",5,0))</f>
        <v/>
      </c>
      <c r="BH385" s="30" t="inlineStr">
        <is>
          <t>Uptrend</t>
        </is>
      </c>
      <c r="BI385" s="30">
        <f>IF(BH385="Uptrend",10,IF(BH385="Sideways",5,0))</f>
        <v/>
      </c>
      <c r="BJ385" s="30" t="inlineStr">
        <is>
          <t>Close to 52 week high or retracement</t>
        </is>
      </c>
      <c r="BK385" s="30">
        <f>IF(BJ385="Overhead supply in last 2 years in last 2 years",-5,IF(BJ385="Close to 52 week high or retracement",5,IF(BJ385="Blue sky scenario",10,IF(BJ385="Long term Downtrend",-10,0))))</f>
        <v/>
      </c>
      <c r="BL385" s="30" t="inlineStr">
        <is>
          <t>Yes</t>
        </is>
      </c>
      <c r="BM385" s="30">
        <f>IF(BL385="Yes",10,0)</f>
        <v/>
      </c>
      <c r="BN385" s="30" t="inlineStr">
        <is>
          <t>More than 20%</t>
        </is>
      </c>
      <c r="BO385" s="30">
        <f>IF(BN385="More than 20%",10,IF(BN385="Between 12 to 20%",5,IF(BN385="Less than 12%",0,0)))</f>
        <v/>
      </c>
      <c r="BP385" s="30" t="inlineStr">
        <is>
          <t>No</t>
        </is>
      </c>
      <c r="BQ385" s="30">
        <f>IF(BP385="No",10,0)</f>
        <v/>
      </c>
      <c r="BR385" s="30" t="inlineStr">
        <is>
          <t>Yes</t>
        </is>
      </c>
      <c r="BS385" s="30">
        <f>IF(BR385="NO",5,0)</f>
        <v/>
      </c>
      <c r="BT385" s="30" t="inlineStr">
        <is>
          <t>Above 2</t>
        </is>
      </c>
      <c r="BU385" s="30">
        <f>IF(BT385="Above 2",0,IF(BT385="Between 1.5 to 2",5,IF(BT385="Less than 1.5",10,0)))</f>
        <v/>
      </c>
      <c r="BV385" s="30" t="inlineStr">
        <is>
          <t>Above 70%</t>
        </is>
      </c>
      <c r="BW385" s="30">
        <f>IF(BV385="Above 70%",10,IF(BV385="Between 50% to 70%",5,IF(BV385="Less than 50%",0,IF(BV385="Negative",-10,IF(BV385="Less than 50% and Borrowings are increasing",-5,0)))))</f>
        <v/>
      </c>
      <c r="BX385" s="30" t="inlineStr">
        <is>
          <t>Less than 0.7</t>
        </is>
      </c>
      <c r="BY385" s="30">
        <f>IF(BX385="More than 1.2",-10,IF(BX385="Between 0.7 to 1.2",0,IF(BX385="Less than 0.7",10,0)))</f>
        <v/>
      </c>
      <c r="BZ385" s="30" t="inlineStr">
        <is>
          <t>No</t>
        </is>
      </c>
      <c r="CA385" s="30">
        <f>IF(BZ385="Yes",-10,0)</f>
        <v/>
      </c>
      <c r="CB385" s="30" t="inlineStr">
        <is>
          <t>Less than 15%</t>
        </is>
      </c>
      <c r="CC385" s="30">
        <f>IF(CB385="More than 15%",-10,IF(CB385="Less than 15%",10,0))</f>
        <v/>
      </c>
      <c r="CD385" s="30" t="inlineStr">
        <is>
          <t>No</t>
        </is>
      </c>
      <c r="CE385" s="30">
        <f>IF(CD385="Yes, more than 10%",-10,IF(CD385="No",10,0))</f>
        <v/>
      </c>
    </row>
    <row r="386">
      <c r="A386" s="30">
        <f>IF(B386=0,"",RANK(B386,$B$2:$B$427,0))</f>
        <v/>
      </c>
      <c r="B386" s="31">
        <f>SUM(N386,Y386,AA386,AC386,AE386,AG386,AI386,AK386,AM386,AO386,AQ386,AS386,AU386,AW386,AY386,BA386,BC386,BE386,BG386,BI386,BK386,BM386,BO386,BQ386,BS386,BU386,BW386,BY386,CA386,CC386,CE386)</f>
        <v/>
      </c>
      <c r="C386" s="30" t="inlineStr">
        <is>
          <t>3MINDIA</t>
        </is>
      </c>
      <c r="D386" s="30" t="inlineStr">
        <is>
          <t>3m India Limited</t>
        </is>
      </c>
      <c r="E386" s="30" t="inlineStr">
        <is>
          <t>miscellaneous</t>
        </is>
      </c>
      <c r="F386" s="30" t="inlineStr">
        <is>
          <t>diversified - large</t>
        </is>
      </c>
      <c r="G386" s="30" t="inlineStr">
        <is>
          <t>largecap</t>
        </is>
      </c>
      <c r="H386" s="31" t="n">
        <v>37456.36</v>
      </c>
      <c r="I386" s="31" t="n">
        <v>33125</v>
      </c>
      <c r="J386" s="31" t="n">
        <v>-0.38</v>
      </c>
      <c r="K386" s="31" t="n">
        <v>2784</v>
      </c>
      <c r="L386" s="30" t="n">
        <v>12</v>
      </c>
      <c r="M386" s="30" t="inlineStr">
        <is>
          <t>Outperforming</t>
        </is>
      </c>
      <c r="N386" s="31">
        <f>IF(M386="Underperforming",-5,IF(L386&gt;=95,15,IF(L386&gt;=90,10,IF(L386&gt;=80,5,0))))</f>
        <v/>
      </c>
      <c r="O386" s="31" t="n">
        <v>51.6</v>
      </c>
      <c r="P386" s="31" t="n">
        <v>10.7</v>
      </c>
      <c r="Q386" s="31" t="n">
        <v>27177.01</v>
      </c>
      <c r="R386" s="30" t="inlineStr">
        <is>
          <t>Earnings / Momentum Support</t>
        </is>
      </c>
      <c r="S386" s="30" t="inlineStr">
        <is>
          <t>Nifty 50</t>
        </is>
      </c>
      <c r="T386" s="31" t="n">
        <v>-4.38</v>
      </c>
      <c r="U386" s="31" t="n">
        <v>18.27</v>
      </c>
      <c r="V386" s="31" t="n">
        <v>23.68</v>
      </c>
      <c r="W386" s="31" t="n">
        <v>4.24</v>
      </c>
      <c r="X386" s="30" t="inlineStr">
        <is>
          <t>Growing Industry</t>
        </is>
      </c>
      <c r="Y386" s="30">
        <f>IF(X386="Growing Industry",10,IF(X386="Cyclical in an Upturn",5,0))</f>
        <v/>
      </c>
      <c r="Z386" s="30" t="inlineStr">
        <is>
          <t>Too Many Players with High ROCE</t>
        </is>
      </c>
      <c r="AA386" s="30">
        <f>IF(Z386="Monopoly",10,IF(Z386="Oligopoly",5,IF(Z386="Duopoly that cooperate",10,IF(Z386="Duopoly that compete",5,IF(Z386="Too many players with High ROCE",5,0)))))</f>
        <v/>
      </c>
      <c r="AB386" s="30" t="inlineStr">
        <is>
          <t>No</t>
        </is>
      </c>
      <c r="AC386" s="30">
        <f>IF(AB386="No",5,0)</f>
        <v/>
      </c>
      <c r="AD386" s="30" t="inlineStr">
        <is>
          <t>Headwind</t>
        </is>
      </c>
      <c r="AE386" s="30">
        <f>IF(AD386="Tailwind",10,0)</f>
        <v/>
      </c>
      <c r="AF386" s="30" t="inlineStr">
        <is>
          <t>Structural (10 Years Consistency)</t>
        </is>
      </c>
      <c r="AG386" s="30">
        <f>IF(AF386="Structural (10 Years Consistency)",10,IF(AF386="Shallow Cyclical (2 to 3 years growth)",5,0))</f>
        <v/>
      </c>
      <c r="AH386" s="30" t="inlineStr">
        <is>
          <t>No</t>
        </is>
      </c>
      <c r="AI386" s="30">
        <f>IF(AH386="Yes due to Product Mix change or Operating Leverage",10,IF(AH386="Yes, these are peak margins",-5,IF(AH386="No",5,0)))</f>
        <v/>
      </c>
      <c r="AJ386" s="30" t="inlineStr">
        <is>
          <t>Stable</t>
        </is>
      </c>
      <c r="AK386" s="30">
        <f>IF(AJ386="Stable",10,0)</f>
        <v/>
      </c>
      <c r="AL386" s="30" t="inlineStr">
        <is>
          <t>Yes</t>
        </is>
      </c>
      <c r="AM386" s="30">
        <f>IF(AL386="Yes",10,0)</f>
        <v/>
      </c>
      <c r="AN386" s="30" t="inlineStr">
        <is>
          <t>B2B</t>
        </is>
      </c>
      <c r="AO386" s="30">
        <f>IF(AN386="B2C",10,IF(AN386="B2B",5,0))</f>
        <v/>
      </c>
      <c r="AP386" s="30" t="inlineStr">
        <is>
          <t>No</t>
        </is>
      </c>
      <c r="AQ386" s="30">
        <f>IF(AP386="Yes",10,0)</f>
        <v/>
      </c>
      <c r="AR386" s="30" t="inlineStr">
        <is>
          <t>Higher One Time, Lower Annuity</t>
        </is>
      </c>
      <c r="AS386" s="30">
        <f>IF(AR386="Fully Annuity",10,IF(AR386="Higher Annuity, Lower One Time",5,IF(AR386="Higher One Time, Lower Annuity",3,0)))</f>
        <v/>
      </c>
      <c r="AT386" s="30" t="inlineStr">
        <is>
          <t>Good</t>
        </is>
      </c>
      <c r="AU386" s="30">
        <f>IF(AT386="Good",10,0)</f>
        <v/>
      </c>
      <c r="AV386" s="30" t="inlineStr">
        <is>
          <t>Yes for more than 2 years</t>
        </is>
      </c>
      <c r="AW386" s="30">
        <f>IF(AV386="Yes for more than 2 years",10,IF(AV386="Yes only for next 1 to 2 years",5,0))</f>
        <v/>
      </c>
      <c r="AX386" s="30" t="inlineStr">
        <is>
          <t>0 to 20</t>
        </is>
      </c>
      <c r="AY386" s="30">
        <f>IF(AX386="Above 40",20,IF(AX386="20 to 40",10,IF(AX386="0 to 20",-5,0)))</f>
        <v/>
      </c>
      <c r="AZ386" s="30" t="inlineStr">
        <is>
          <t>Between 50 to 75</t>
        </is>
      </c>
      <c r="BA386" s="30">
        <f>IF(AZ386="Between 50 to 75",10,IF(AZ386="Above 75",0,0))</f>
        <v/>
      </c>
      <c r="BB386" s="30" t="inlineStr">
        <is>
          <t>Stage 1</t>
        </is>
      </c>
      <c r="BC386" s="30">
        <f>IF(BB386="Stage 2",20,IF(BB386="Stage 1",0,IF(BB386="Stage 3",5,IF(BB386="Stage 4",-5,0))))</f>
        <v/>
      </c>
      <c r="BD386" s="30" t="inlineStr">
        <is>
          <t>Negative Trend</t>
        </is>
      </c>
      <c r="BE386" s="30">
        <f>IF(BD386="Positive Trend",20,IF(BD386="Negative Trend",-10,0))</f>
        <v/>
      </c>
      <c r="BF386" s="30" t="inlineStr">
        <is>
          <t>Uptrend</t>
        </is>
      </c>
      <c r="BG386" s="30">
        <f>IF(BF386="Uptrend",10,IF(BF386="Sideways",5,0))</f>
        <v/>
      </c>
      <c r="BH386" s="30" t="inlineStr">
        <is>
          <t>Uptrend</t>
        </is>
      </c>
      <c r="BI386" s="30">
        <f>IF(BH386="Uptrend",10,IF(BH386="Sideways",5,0))</f>
        <v/>
      </c>
      <c r="BJ386" s="30" t="inlineStr">
        <is>
          <t>Close to 52 week high or retracement</t>
        </is>
      </c>
      <c r="BK386" s="30">
        <f>IF(BJ386="Overhead supply in last 2 years in last 2 years",-5,IF(BJ386="Close to 52 week high or retracement",5,IF(BJ386="Blue sky scenario",10,IF(BJ386="Long term Downtrend",-10,0))))</f>
        <v/>
      </c>
      <c r="BL386" s="30" t="inlineStr">
        <is>
          <t>Yes</t>
        </is>
      </c>
      <c r="BM386" s="30">
        <f>IF(BL386="Yes",10,0)</f>
        <v/>
      </c>
      <c r="BN386" s="30" t="inlineStr">
        <is>
          <t>More than 20%</t>
        </is>
      </c>
      <c r="BO386" s="30">
        <f>IF(BN386="More than 20%",10,IF(BN386="Between 12 to 20%",5,IF(BN386="Less than 12%",0,0)))</f>
        <v/>
      </c>
      <c r="BP386" s="30" t="inlineStr">
        <is>
          <t>No</t>
        </is>
      </c>
      <c r="BQ386" s="30">
        <f>IF(BP386="No",10,0)</f>
        <v/>
      </c>
      <c r="BR386" s="30" t="inlineStr">
        <is>
          <t>Yes</t>
        </is>
      </c>
      <c r="BS386" s="30">
        <f>IF(BR386="NO",5,0)</f>
        <v/>
      </c>
      <c r="BT386" s="30" t="inlineStr">
        <is>
          <t>Above 2</t>
        </is>
      </c>
      <c r="BU386" s="30">
        <f>IF(BT386="Above 2",0,IF(BT386="Between 1.5 to 2",5,IF(BT386="Less than 1.5",10,0)))</f>
        <v/>
      </c>
      <c r="BV386" s="30" t="inlineStr">
        <is>
          <t>Between 50% to 70%</t>
        </is>
      </c>
      <c r="BW386" s="30">
        <f>IF(BV386="Above 70%",10,IF(BV386="Between 50% to 70%",5,IF(BV386="Less than 50%",0,IF(BV386="Negative",-10,IF(BV386="Less than 50% and Borrowings are increasing",-5,0)))))</f>
        <v/>
      </c>
      <c r="BX386" s="30" t="inlineStr">
        <is>
          <t>Less than 0.7</t>
        </is>
      </c>
      <c r="BY386" s="30">
        <f>IF(BX386="More than 1.2",-10,IF(BX386="Between 0.7 to 1.2",0,IF(BX386="Less than 0.7",10,0)))</f>
        <v/>
      </c>
      <c r="BZ386" s="30" t="inlineStr">
        <is>
          <t>No</t>
        </is>
      </c>
      <c r="CA386" s="30">
        <f>IF(BZ386="Yes",-10,0)</f>
        <v/>
      </c>
      <c r="CB386" s="30" t="inlineStr">
        <is>
          <t>Less than 15%</t>
        </is>
      </c>
      <c r="CC386" s="30">
        <f>IF(CB386="More than 15%",-10,IF(CB386="Less than 15%",10,0))</f>
        <v/>
      </c>
      <c r="CD386" s="30" t="inlineStr">
        <is>
          <t>No</t>
        </is>
      </c>
      <c r="CE386" s="30">
        <f>IF(CD386="Yes, more than 10%",-10,IF(CD386="No",10,0))</f>
        <v/>
      </c>
    </row>
    <row r="387">
      <c r="A387" s="30">
        <f>IF(B387=0,"",RANK(B387,$B$2:$B$427,0))</f>
        <v/>
      </c>
      <c r="B387" s="31">
        <f>SUM(N387,Y387,AA387,AC387,AE387,AG387,AI387,AK387,AM387,AO387,AQ387,AS387,AU387,AW387,AY387,BA387,BC387,BE387,BG387,BI387,BK387,BM387,BO387,BQ387,BS387,BU387,BW387,BY387,CA387,CC387,CE387)</f>
        <v/>
      </c>
      <c r="C387" s="32" t="inlineStr">
        <is>
          <t>GRAVITA</t>
        </is>
      </c>
      <c r="D387" s="32" t="inlineStr">
        <is>
          <t>Gravita India Limited</t>
        </is>
      </c>
      <c r="E387" s="30" t="inlineStr">
        <is>
          <t>metals &amp; mining</t>
        </is>
      </c>
      <c r="F387" s="30" t="inlineStr">
        <is>
          <t>mining / minerals / metals</t>
        </is>
      </c>
      <c r="G387" s="30" t="inlineStr">
        <is>
          <t>midcap</t>
        </is>
      </c>
      <c r="H387" s="31" t="n">
        <v>12742.29</v>
      </c>
      <c r="I387" s="31" t="n">
        <v>1721.6</v>
      </c>
      <c r="J387" s="31" t="n">
        <v>-0.28</v>
      </c>
      <c r="K387" s="31" t="n">
        <v>203137</v>
      </c>
      <c r="L387" s="30" t="n">
        <v>22</v>
      </c>
      <c r="M387" s="30" t="inlineStr">
        <is>
          <t>Underperforming</t>
        </is>
      </c>
      <c r="N387" s="31">
        <f>IF(M387="Underperforming",-5,IF(L387&gt;=95,15,IF(L387&gt;=90,10,IF(L387&gt;=80,5,0))))</f>
        <v/>
      </c>
      <c r="O387" s="31" t="n">
        <v>55.14</v>
      </c>
      <c r="P387" s="31" t="n">
        <v>18.27</v>
      </c>
      <c r="Q387" s="31" t="n">
        <v>1355.25</v>
      </c>
      <c r="R387" s="30" t="inlineStr">
        <is>
          <t>Earnings / Momentum Support</t>
        </is>
      </c>
      <c r="S387" s="30" t="inlineStr">
        <is>
          <t>Nifty Metal</t>
        </is>
      </c>
      <c r="T387" s="31" t="n">
        <v>42.48</v>
      </c>
      <c r="U387" s="31" t="n">
        <v>2.81</v>
      </c>
      <c r="V387" s="31" t="n">
        <v>-27.85</v>
      </c>
      <c r="W387" s="31" t="n">
        <v>6.17</v>
      </c>
      <c r="X387" s="30" t="inlineStr">
        <is>
          <t>Cyclical in an Upturn</t>
        </is>
      </c>
      <c r="Y387" s="30">
        <f>IF(X387="Growing Industry",10,IF(X387="Cyclical in an Upturn",5,0))</f>
        <v/>
      </c>
      <c r="Z387" s="30" t="inlineStr">
        <is>
          <t>Too Many Players with High ROCE</t>
        </is>
      </c>
      <c r="AA387" s="30">
        <f>IF(Z387="Monopoly",10,IF(Z387="Oligopoly",5,IF(Z387="Duopoly that cooperate",10,IF(Z387="Duopoly that compete",5,IF(Z387="Too many players with High ROCE",5,0)))))</f>
        <v/>
      </c>
      <c r="AB387" s="30" t="inlineStr">
        <is>
          <t>No</t>
        </is>
      </c>
      <c r="AC387" s="30">
        <f>IF(AB387="No",5,0)</f>
        <v/>
      </c>
      <c r="AD387" s="30" t="inlineStr">
        <is>
          <t>Headwind</t>
        </is>
      </c>
      <c r="AE387" s="30">
        <f>IF(AD387="Tailwind",10,0)</f>
        <v/>
      </c>
      <c r="AF387" s="30" t="inlineStr">
        <is>
          <t>Cyclical</t>
        </is>
      </c>
      <c r="AG387" s="30">
        <f>IF(AF387="Structural (10 Years Consistency)",10,IF(AF387="Shallow Cyclical (2 to 3 years growth)",5,0))</f>
        <v/>
      </c>
      <c r="AH387" s="30" t="inlineStr">
        <is>
          <t>No</t>
        </is>
      </c>
      <c r="AI387" s="30">
        <f>IF(AH387="Yes due to Product Mix change or Operating Leverage",10,IF(AH387="Yes, these are peak margins",-5,IF(AH387="No",5,0)))</f>
        <v/>
      </c>
      <c r="AJ387" s="30" t="inlineStr">
        <is>
          <t>Volatile</t>
        </is>
      </c>
      <c r="AK387" s="30">
        <f>IF(AJ387="Stable",10,0)</f>
        <v/>
      </c>
      <c r="AL387" s="30" t="inlineStr">
        <is>
          <t>Yes</t>
        </is>
      </c>
      <c r="AM387" s="30">
        <f>IF(AL387="Yes",10,0)</f>
        <v/>
      </c>
      <c r="AN387" s="30" t="inlineStr">
        <is>
          <t>B2B</t>
        </is>
      </c>
      <c r="AO387" s="30">
        <f>IF(AN387="B2C",10,IF(AN387="B2B",5,0))</f>
        <v/>
      </c>
      <c r="AP387" s="30" t="inlineStr">
        <is>
          <t>No</t>
        </is>
      </c>
      <c r="AQ387" s="30">
        <f>IF(AP387="Yes",10,0)</f>
        <v/>
      </c>
      <c r="AR387" s="30" t="inlineStr">
        <is>
          <t>Higher One Time, Lower Annuity</t>
        </is>
      </c>
      <c r="AS387" s="30">
        <f>IF(AR387="Fully Annuity",10,IF(AR387="Higher Annuity, Lower One Time",5,IF(AR387="Higher One Time, Lower Annuity",3,0)))</f>
        <v/>
      </c>
      <c r="AT387" s="30" t="inlineStr">
        <is>
          <t>Good</t>
        </is>
      </c>
      <c r="AU387" s="30">
        <f>IF(AT387="Good",10,0)</f>
        <v/>
      </c>
      <c r="AV387" s="30" t="inlineStr">
        <is>
          <t>Yes for more than 2 years</t>
        </is>
      </c>
      <c r="AW387" s="30">
        <f>IF(AV387="Yes for more than 2 years",10,IF(AV387="Yes only for next 1 to 2 years",5,0))</f>
        <v/>
      </c>
      <c r="AX387" s="30" t="inlineStr">
        <is>
          <t>0 to 20</t>
        </is>
      </c>
      <c r="AY387" s="30">
        <f>IF(AX387="Above 40",20,IF(AX387="20 to 40",10,IF(AX387="0 to 20",-5,0)))</f>
        <v/>
      </c>
      <c r="AZ387" s="30" t="inlineStr">
        <is>
          <t>Between 50 to 75</t>
        </is>
      </c>
      <c r="BA387" s="30">
        <f>IF(AZ387="Between 50 to 75",10,IF(AZ387="Above 75",0,0))</f>
        <v/>
      </c>
      <c r="BB387" s="30" t="inlineStr">
        <is>
          <t>Stage 1</t>
        </is>
      </c>
      <c r="BC387" s="30">
        <f>IF(BB387="Stage 2",20,IF(BB387="Stage 1",0,IF(BB387="Stage 3",5,IF(BB387="Stage 4",-5,0))))</f>
        <v/>
      </c>
      <c r="BD387" s="30" t="inlineStr">
        <is>
          <t>Positive Trend</t>
        </is>
      </c>
      <c r="BE387" s="30">
        <f>IF(BD387="Positive Trend",20,IF(BD387="Negative Trend",-10,0))</f>
        <v/>
      </c>
      <c r="BF387" s="30" t="inlineStr">
        <is>
          <t>Uptrend</t>
        </is>
      </c>
      <c r="BG387" s="30">
        <f>IF(BF387="Uptrend",10,IF(BF387="Sideways",5,0))</f>
        <v/>
      </c>
      <c r="BH387" s="30" t="inlineStr">
        <is>
          <t>Uptrend</t>
        </is>
      </c>
      <c r="BI387" s="30">
        <f>IF(BH387="Uptrend",10,IF(BH387="Sideways",5,0))</f>
        <v/>
      </c>
      <c r="BJ387" s="30" t="inlineStr">
        <is>
          <t>Close to 52 week high or retracement</t>
        </is>
      </c>
      <c r="BK387" s="30">
        <f>IF(BJ387="Overhead supply in last 2 years in last 2 years",-5,IF(BJ387="Close to 52 week high or retracement",5,IF(BJ387="Blue sky scenario",10,IF(BJ387="Long term Downtrend",-10,0))))</f>
        <v/>
      </c>
      <c r="BL387" s="30" t="inlineStr">
        <is>
          <t>Yes</t>
        </is>
      </c>
      <c r="BM387" s="30">
        <f>IF(BL387="Yes",10,0)</f>
        <v/>
      </c>
      <c r="BN387" s="30" t="inlineStr">
        <is>
          <t>Less than 12%</t>
        </is>
      </c>
      <c r="BO387" s="30">
        <f>IF(BN387="More than 20%",10,IF(BN387="Between 12 to 20%",5,IF(BN387="Less than 12%",0,0)))</f>
        <v/>
      </c>
      <c r="BP387" s="30" t="inlineStr">
        <is>
          <t>No</t>
        </is>
      </c>
      <c r="BQ387" s="30">
        <f>IF(BP387="No",10,0)</f>
        <v/>
      </c>
      <c r="BR387" s="30" t="inlineStr">
        <is>
          <t>No</t>
        </is>
      </c>
      <c r="BS387" s="30">
        <f>IF(BR387="NO",5,0)</f>
        <v/>
      </c>
      <c r="BT387" s="30" t="inlineStr">
        <is>
          <t>Above 2</t>
        </is>
      </c>
      <c r="BU387" s="30">
        <f>IF(BT387="Above 2",0,IF(BT387="Between 1.5 to 2",5,IF(BT387="Less than 1.5",10,0)))</f>
        <v/>
      </c>
      <c r="BV387" s="30" t="inlineStr">
        <is>
          <t>Less than 50%</t>
        </is>
      </c>
      <c r="BW387" s="30">
        <f>IF(BV387="Above 70%",10,IF(BV387="Between 50% to 70%",5,IF(BV387="Less than 50%",0,IF(BV387="Negative",-10,IF(BV387="Less than 50% and Borrowings are increasing",-5,0)))))</f>
        <v/>
      </c>
      <c r="BX387" s="30" t="inlineStr">
        <is>
          <t>Less than 0.7</t>
        </is>
      </c>
      <c r="BY387" s="30">
        <f>IF(BX387="More than 1.2",-10,IF(BX387="Between 0.7 to 1.2",0,IF(BX387="Less than 0.7",10,0)))</f>
        <v/>
      </c>
      <c r="BZ387" s="30" t="inlineStr">
        <is>
          <t>No</t>
        </is>
      </c>
      <c r="CA387" s="30">
        <f>IF(BZ387="Yes",-10,0)</f>
        <v/>
      </c>
      <c r="CB387" s="30" t="inlineStr">
        <is>
          <t>Less than 15%</t>
        </is>
      </c>
      <c r="CC387" s="30">
        <f>IF(CB387="More than 15%",-10,IF(CB387="Less than 15%",10,0))</f>
        <v/>
      </c>
      <c r="CD387" s="30" t="inlineStr">
        <is>
          <t>No</t>
        </is>
      </c>
      <c r="CE387" s="30">
        <f>IF(CD387="Yes, more than 10%",-10,IF(CD387="No",10,0))</f>
        <v/>
      </c>
    </row>
    <row r="388">
      <c r="A388" s="30">
        <f>IF(B388=0,"",RANK(B388,$B$2:$B$427,0))</f>
        <v/>
      </c>
      <c r="B388" s="31">
        <f>SUM(N388,Y388,AA388,AC388,AE388,AG388,AI388,AK388,AM388,AO388,AQ388,AS388,AU388,AW388,AY388,BA388,BC388,BE388,BG388,BI388,BK388,BM388,BO388,BQ388,BS388,BU388,BW388,BY388,CA388,CC388,CE388)</f>
        <v/>
      </c>
      <c r="C388" s="30" t="inlineStr">
        <is>
          <t>THELEELA</t>
        </is>
      </c>
      <c r="D388" s="30" t="inlineStr">
        <is>
          <t>Leela Palaces Hotels &amp; Resorts Ltd</t>
        </is>
      </c>
      <c r="E388" s="30" t="inlineStr">
        <is>
          <t>services</t>
        </is>
      </c>
      <c r="F388" s="30" t="inlineStr">
        <is>
          <t>hotels</t>
        </is>
      </c>
      <c r="G388" s="30" t="inlineStr">
        <is>
          <t>midcap</t>
        </is>
      </c>
      <c r="H388" s="31" t="n">
        <v>15281.91</v>
      </c>
      <c r="I388" s="31" t="n">
        <v>494.2</v>
      </c>
      <c r="J388" s="31" t="n">
        <v>8</v>
      </c>
      <c r="K388" s="31" t="n">
        <v>3439293</v>
      </c>
      <c r="L388" s="30" t="inlineStr"/>
      <c r="M388" s="30" t="inlineStr"/>
      <c r="N388" s="31">
        <f>IF(M388="Underperforming",-5,IF(L388&gt;=95,15,IF(L388&gt;=90,10,IF(L388&gt;=80,5,0))))</f>
        <v/>
      </c>
      <c r="O388" s="31" t="inlineStr"/>
      <c r="P388" s="31" t="inlineStr"/>
      <c r="Q388" s="31" t="inlineStr"/>
      <c r="R388" s="30" t="inlineStr"/>
      <c r="S388" s="30" t="inlineStr"/>
      <c r="T388" s="31" t="inlineStr"/>
      <c r="U388" s="31" t="inlineStr"/>
      <c r="V388" s="31" t="inlineStr"/>
      <c r="W388" s="31" t="inlineStr"/>
      <c r="X388" s="30" t="n"/>
      <c r="Y388" s="30">
        <f>IF(X388="Growing Industry",10,IF(X388="Cyclical in an Upturn",5,0))</f>
        <v/>
      </c>
      <c r="Z388" s="30" t="n"/>
      <c r="AA388" s="30">
        <f>IF(Z388="Monopoly",10,IF(Z388="Oligopoly",5,IF(Z388="Duopoly that cooperate",10,IF(Z388="Duopoly that compete",5,IF(Z388="Too many players with High ROCE",5,0)))))</f>
        <v/>
      </c>
      <c r="AB388" s="30" t="n"/>
      <c r="AC388" s="30">
        <f>IF(AB388="No",5,0)</f>
        <v/>
      </c>
      <c r="AD388" s="30" t="n"/>
      <c r="AE388" s="30">
        <f>IF(AD388="Tailwind",10,0)</f>
        <v/>
      </c>
      <c r="AF388" s="30" t="n"/>
      <c r="AG388" s="30">
        <f>IF(AF388="Structural (10 Years Consistency)",10,IF(AF388="Shallow Cyclical (2 to 3 years growth)",5,0))</f>
        <v/>
      </c>
      <c r="AH388" s="30" t="n"/>
      <c r="AI388" s="30">
        <f>IF(AH388="Yes due to Product Mix change or Operating Leverage",10,IF(AH388="Yes, these are peak margins",-5,IF(AH388="No",5,0)))</f>
        <v/>
      </c>
      <c r="AJ388" s="30" t="n"/>
      <c r="AK388" s="30">
        <f>IF(AJ388="Stable",10,0)</f>
        <v/>
      </c>
      <c r="AL388" s="30" t="n"/>
      <c r="AM388" s="30">
        <f>IF(AL388="Yes",10,0)</f>
        <v/>
      </c>
      <c r="AN388" s="30" t="n"/>
      <c r="AO388" s="30">
        <f>IF(AN388="B2C",10,IF(AN388="B2B",5,0))</f>
        <v/>
      </c>
      <c r="AP388" s="30" t="n"/>
      <c r="AQ388" s="30">
        <f>IF(AP388="Yes",10,0)</f>
        <v/>
      </c>
      <c r="AR388" s="30" t="n"/>
      <c r="AS388" s="30">
        <f>IF(AR388="Fully Annuity",10,IF(AR388="Higher Annuity, Lower One Time",5,IF(AR388="Higher One Time, Lower Annuity",3,0)))</f>
        <v/>
      </c>
      <c r="AT388" s="30" t="n"/>
      <c r="AU388" s="30">
        <f>IF(AT388="Good",10,0)</f>
        <v/>
      </c>
      <c r="AV388" s="30" t="n"/>
      <c r="AW388" s="30">
        <f>IF(AV388="Yes for more than 2 years",10,IF(AV388="Yes only for next 1 to 2 years",5,0))</f>
        <v/>
      </c>
      <c r="AX388" s="30" t="n"/>
      <c r="AY388" s="30">
        <f>IF(AX388="Above 40",20,IF(AX388="20 to 40",10,IF(AX388="0 to 20",-5,0)))</f>
        <v/>
      </c>
      <c r="AZ388" s="30" t="n"/>
      <c r="BA388" s="30">
        <f>IF(AZ388="Between 50 to 75",10,IF(AZ388="Above 75",0,0))</f>
        <v/>
      </c>
      <c r="BB388" s="30" t="n"/>
      <c r="BC388" s="30">
        <f>IF(BB388="Stage 2",20,IF(BB388="Stage 1",0,IF(BB388="Stage 3",5,IF(BB388="Stage 4",-5,0))))</f>
        <v/>
      </c>
      <c r="BD388" s="30" t="n"/>
      <c r="BE388" s="30">
        <f>IF(BD388="Positive Trend",20,IF(BD388="Negative Trend",-10,0))</f>
        <v/>
      </c>
      <c r="BF388" s="30" t="n"/>
      <c r="BG388" s="30">
        <f>IF(BF388="Uptrend",10,IF(BF388="Sideways",5,0))</f>
        <v/>
      </c>
      <c r="BH388" s="30" t="n"/>
      <c r="BI388" s="30">
        <f>IF(BH388="Uptrend",10,IF(BH388="Sideways",5,0))</f>
        <v/>
      </c>
      <c r="BJ388" s="30" t="n"/>
      <c r="BK388" s="30">
        <f>IF(BJ388="Overhead supply in last 2 years in last 2 years",-5,IF(BJ388="Close to 52 week high or retracement",5,IF(BJ388="Blue sky scenario",10,IF(BJ388="Long term Downtrend",-10,0))))</f>
        <v/>
      </c>
      <c r="BL388" s="30" t="n"/>
      <c r="BM388" s="30">
        <f>IF(BL388="Yes",10,0)</f>
        <v/>
      </c>
      <c r="BN388" s="30" t="n"/>
      <c r="BO388" s="30">
        <f>IF(BN388="More than 20%",10,IF(BN388="Between 12 to 20%",5,IF(BN388="Less than 12%",0,0)))</f>
        <v/>
      </c>
      <c r="BP388" s="30" t="n"/>
      <c r="BQ388" s="30">
        <f>IF(BP388="No",10,0)</f>
        <v/>
      </c>
      <c r="BR388" s="30" t="n"/>
      <c r="BS388" s="30">
        <f>IF(BR388="NO",5,0)</f>
        <v/>
      </c>
      <c r="BT388" s="30" t="n"/>
      <c r="BU388" s="30">
        <f>IF(BT388="Above 2",0,IF(BT388="Between 1.5 to 2",5,IF(BT388="Less than 1.5",10,0)))</f>
        <v/>
      </c>
      <c r="BV388" s="30" t="n"/>
      <c r="BW388" s="30">
        <f>IF(BV388="Above 70%",10,IF(BV388="Between 50% to 70%",5,IF(BV388="Less than 50%",0,IF(BV388="Negative",-10,IF(BV388="Less than 50% and Borrowings are increasing",-5,0)))))</f>
        <v/>
      </c>
      <c r="BX388" s="30" t="n"/>
      <c r="BY388" s="30">
        <f>IF(BX388="More than 1.2",-10,IF(BX388="Between 0.7 to 1.2",0,IF(BX388="Less than 0.7",10,0)))</f>
        <v/>
      </c>
      <c r="BZ388" s="30" t="n"/>
      <c r="CA388" s="30">
        <f>IF(BZ388="Yes",-10,0)</f>
        <v/>
      </c>
      <c r="CB388" s="30" t="n"/>
      <c r="CC388" s="30">
        <f>IF(CB388="More than 15%",-10,IF(CB388="Less than 15%",10,0))</f>
        <v/>
      </c>
      <c r="CD388" s="30" t="n"/>
      <c r="CE388" s="30">
        <f>IF(CD388="Yes, more than 10%",-10,IF(CD388="No",10,0))</f>
        <v/>
      </c>
    </row>
    <row r="389">
      <c r="A389" s="30">
        <f>IF(B389=0,"",RANK(B389,$B$2:$B$427,0))</f>
        <v/>
      </c>
      <c r="B389" s="31">
        <f>SUM(N389,Y389,AA389,AC389,AE389,AG389,AI389,AK389,AM389,AO389,AQ389,AS389,AU389,AW389,AY389,BA389,BC389,BE389,BG389,BI389,BK389,BM389,BO389,BQ389,BS389,BU389,BW389,BY389,CA389,CC389,CE389)</f>
        <v/>
      </c>
      <c r="C389" s="30" t="inlineStr">
        <is>
          <t>KIRLPNU</t>
        </is>
      </c>
      <c r="D389" s="30" t="inlineStr">
        <is>
          <t>Kirloskar Pneumatic Company Ltd</t>
        </is>
      </c>
      <c r="E389" s="30" t="inlineStr">
        <is>
          <t>industrials</t>
        </is>
      </c>
      <c r="F389" s="30" t="inlineStr">
        <is>
          <t>compressors / drilling equipment</t>
        </is>
      </c>
      <c r="G389" s="30" t="inlineStr">
        <is>
          <t>midcap</t>
        </is>
      </c>
      <c r="H389" s="31" t="n">
        <v>11874.36</v>
      </c>
      <c r="I389" s="31" t="n">
        <v>1950</v>
      </c>
      <c r="J389" s="31" t="n">
        <v>6.67</v>
      </c>
      <c r="K389" s="31" t="n">
        <v>727663</v>
      </c>
      <c r="L389" s="30" t="inlineStr"/>
      <c r="M389" s="30" t="inlineStr"/>
      <c r="N389" s="31">
        <f>IF(M389="Underperforming",-5,IF(L389&gt;=95,15,IF(L389&gt;=90,10,IF(L389&gt;=80,5,0))))</f>
        <v/>
      </c>
      <c r="O389" s="31" t="inlineStr"/>
      <c r="P389" s="31" t="inlineStr"/>
      <c r="Q389" s="31" t="inlineStr"/>
      <c r="R389" s="30" t="inlineStr"/>
      <c r="S389" s="30" t="inlineStr"/>
      <c r="T389" s="31" t="inlineStr"/>
      <c r="U389" s="31" t="inlineStr"/>
      <c r="V389" s="31" t="inlineStr"/>
      <c r="W389" s="31" t="inlineStr"/>
      <c r="X389" s="30" t="n"/>
      <c r="Y389" s="30">
        <f>IF(X389="Growing Industry",10,IF(X389="Cyclical in an Upturn",5,0))</f>
        <v/>
      </c>
      <c r="Z389" s="30" t="n"/>
      <c r="AA389" s="30">
        <f>IF(Z389="Monopoly",10,IF(Z389="Oligopoly",5,IF(Z389="Duopoly that cooperate",10,IF(Z389="Duopoly that compete",5,IF(Z389="Too many players with High ROCE",5,0)))))</f>
        <v/>
      </c>
      <c r="AB389" s="30" t="n"/>
      <c r="AC389" s="30">
        <f>IF(AB389="No",5,0)</f>
        <v/>
      </c>
      <c r="AD389" s="30" t="n"/>
      <c r="AE389" s="30">
        <f>IF(AD389="Tailwind",10,0)</f>
        <v/>
      </c>
      <c r="AF389" s="30" t="n"/>
      <c r="AG389" s="30">
        <f>IF(AF389="Structural (10 Years Consistency)",10,IF(AF389="Shallow Cyclical (2 to 3 years growth)",5,0))</f>
        <v/>
      </c>
      <c r="AH389" s="30" t="n"/>
      <c r="AI389" s="30">
        <f>IF(AH389="Yes due to Product Mix change or Operating Leverage",10,IF(AH389="Yes, these are peak margins",-5,IF(AH389="No",5,0)))</f>
        <v/>
      </c>
      <c r="AJ389" s="30" t="n"/>
      <c r="AK389" s="30">
        <f>IF(AJ389="Stable",10,0)</f>
        <v/>
      </c>
      <c r="AL389" s="30" t="n"/>
      <c r="AM389" s="30">
        <f>IF(AL389="Yes",10,0)</f>
        <v/>
      </c>
      <c r="AN389" s="30" t="n"/>
      <c r="AO389" s="30">
        <f>IF(AN389="B2C",10,IF(AN389="B2B",5,0))</f>
        <v/>
      </c>
      <c r="AP389" s="30" t="n"/>
      <c r="AQ389" s="30">
        <f>IF(AP389="Yes",10,0)</f>
        <v/>
      </c>
      <c r="AR389" s="30" t="n"/>
      <c r="AS389" s="30">
        <f>IF(AR389="Fully Annuity",10,IF(AR389="Higher Annuity, Lower One Time",5,IF(AR389="Higher One Time, Lower Annuity",3,0)))</f>
        <v/>
      </c>
      <c r="AT389" s="30" t="n"/>
      <c r="AU389" s="30">
        <f>IF(AT389="Good",10,0)</f>
        <v/>
      </c>
      <c r="AV389" s="30" t="n"/>
      <c r="AW389" s="30">
        <f>IF(AV389="Yes for more than 2 years",10,IF(AV389="Yes only for next 1 to 2 years",5,0))</f>
        <v/>
      </c>
      <c r="AX389" s="30" t="n"/>
      <c r="AY389" s="30">
        <f>IF(AX389="Above 40",20,IF(AX389="20 to 40",10,IF(AX389="0 to 20",-5,0)))</f>
        <v/>
      </c>
      <c r="AZ389" s="30" t="n"/>
      <c r="BA389" s="30">
        <f>IF(AZ389="Between 50 to 75",10,IF(AZ389="Above 75",0,0))</f>
        <v/>
      </c>
      <c r="BB389" s="30" t="n"/>
      <c r="BC389" s="30">
        <f>IF(BB389="Stage 2",20,IF(BB389="Stage 1",0,IF(BB389="Stage 3",5,IF(BB389="Stage 4",-5,0))))</f>
        <v/>
      </c>
      <c r="BD389" s="30" t="n"/>
      <c r="BE389" s="30">
        <f>IF(BD389="Positive Trend",20,IF(BD389="Negative Trend",-10,0))</f>
        <v/>
      </c>
      <c r="BF389" s="30" t="n"/>
      <c r="BG389" s="30">
        <f>IF(BF389="Uptrend",10,IF(BF389="Sideways",5,0))</f>
        <v/>
      </c>
      <c r="BH389" s="30" t="n"/>
      <c r="BI389" s="30">
        <f>IF(BH389="Uptrend",10,IF(BH389="Sideways",5,0))</f>
        <v/>
      </c>
      <c r="BJ389" s="30" t="n"/>
      <c r="BK389" s="30">
        <f>IF(BJ389="Overhead supply in last 2 years in last 2 years",-5,IF(BJ389="Close to 52 week high or retracement",5,IF(BJ389="Blue sky scenario",10,IF(BJ389="Long term Downtrend",-10,0))))</f>
        <v/>
      </c>
      <c r="BL389" s="30" t="n"/>
      <c r="BM389" s="30">
        <f>IF(BL389="Yes",10,0)</f>
        <v/>
      </c>
      <c r="BN389" s="30" t="n"/>
      <c r="BO389" s="30">
        <f>IF(BN389="More than 20%",10,IF(BN389="Between 12 to 20%",5,IF(BN389="Less than 12%",0,0)))</f>
        <v/>
      </c>
      <c r="BP389" s="30" t="n"/>
      <c r="BQ389" s="30">
        <f>IF(BP389="No",10,0)</f>
        <v/>
      </c>
      <c r="BR389" s="30" t="n"/>
      <c r="BS389" s="30">
        <f>IF(BR389="NO",5,0)</f>
        <v/>
      </c>
      <c r="BT389" s="30" t="n"/>
      <c r="BU389" s="30">
        <f>IF(BT389="Above 2",0,IF(BT389="Between 1.5 to 2",5,IF(BT389="Less than 1.5",10,0)))</f>
        <v/>
      </c>
      <c r="BV389" s="30" t="n"/>
      <c r="BW389" s="30">
        <f>IF(BV389="Above 70%",10,IF(BV389="Between 50% to 70%",5,IF(BV389="Less than 50%",0,IF(BV389="Negative",-10,IF(BV389="Less than 50% and Borrowings are increasing",-5,0)))))</f>
        <v/>
      </c>
      <c r="BX389" s="30" t="n"/>
      <c r="BY389" s="30">
        <f>IF(BX389="More than 1.2",-10,IF(BX389="Between 0.7 to 1.2",0,IF(BX389="Less than 0.7",10,0)))</f>
        <v/>
      </c>
      <c r="BZ389" s="30" t="n"/>
      <c r="CA389" s="30">
        <f>IF(BZ389="Yes",-10,0)</f>
        <v/>
      </c>
      <c r="CB389" s="30" t="n"/>
      <c r="CC389" s="30">
        <f>IF(CB389="More than 15%",-10,IF(CB389="Less than 15%",10,0))</f>
        <v/>
      </c>
      <c r="CD389" s="30" t="n"/>
      <c r="CE389" s="30">
        <f>IF(CD389="Yes, more than 10%",-10,IF(CD389="No",10,0))</f>
        <v/>
      </c>
    </row>
    <row r="390">
      <c r="A390" s="30">
        <f>IF(B390=0,"",RANK(B390,$B$2:$B$427,0))</f>
        <v/>
      </c>
      <c r="B390" s="31">
        <f>SUM(N390,Y390,AA390,AC390,AE390,AG390,AI390,AK390,AM390,AO390,AQ390,AS390,AU390,AW390,AY390,BA390,BC390,BE390,BG390,BI390,BK390,BM390,BO390,BQ390,BS390,BU390,BW390,BY390,CA390,CC390,CE390)</f>
        <v/>
      </c>
      <c r="C390" s="30" t="inlineStr">
        <is>
          <t>CAPLIPOINT</t>
        </is>
      </c>
      <c r="D390" s="30" t="inlineStr">
        <is>
          <t>Caplin Point Laboratories Limited</t>
        </is>
      </c>
      <c r="E390" s="30" t="inlineStr">
        <is>
          <t>healthcare</t>
        </is>
      </c>
      <c r="F390" s="30" t="inlineStr">
        <is>
          <t>pharmaceuticals - indian - formulations</t>
        </is>
      </c>
      <c r="G390" s="30" t="inlineStr">
        <is>
          <t>midcap</t>
        </is>
      </c>
      <c r="H390" s="31" t="n">
        <v>17934.2</v>
      </c>
      <c r="I390" s="31" t="n">
        <v>2503.5</v>
      </c>
      <c r="J390" s="31" t="n">
        <v>6.11</v>
      </c>
      <c r="K390" s="31" t="n">
        <v>402481</v>
      </c>
      <c r="L390" s="30" t="inlineStr"/>
      <c r="M390" s="30" t="inlineStr"/>
      <c r="N390" s="31">
        <f>IF(M390="Underperforming",-5,IF(L390&gt;=95,15,IF(L390&gt;=90,10,IF(L390&gt;=80,5,0))))</f>
        <v/>
      </c>
      <c r="O390" s="31" t="inlineStr"/>
      <c r="P390" s="31" t="inlineStr"/>
      <c r="Q390" s="31" t="inlineStr"/>
      <c r="R390" s="30" t="inlineStr"/>
      <c r="S390" s="30" t="inlineStr"/>
      <c r="T390" s="31" t="inlineStr"/>
      <c r="U390" s="31" t="inlineStr"/>
      <c r="V390" s="31" t="inlineStr"/>
      <c r="W390" s="31" t="inlineStr"/>
      <c r="X390" s="30" t="n"/>
      <c r="Y390" s="30">
        <f>IF(X390="Growing Industry",10,IF(X390="Cyclical in an Upturn",5,0))</f>
        <v/>
      </c>
      <c r="Z390" s="30" t="n"/>
      <c r="AA390" s="30">
        <f>IF(Z390="Monopoly",10,IF(Z390="Oligopoly",5,IF(Z390="Duopoly that cooperate",10,IF(Z390="Duopoly that compete",5,IF(Z390="Too many players with High ROCE",5,0)))))</f>
        <v/>
      </c>
      <c r="AB390" s="30" t="n"/>
      <c r="AC390" s="30">
        <f>IF(AB390="No",5,0)</f>
        <v/>
      </c>
      <c r="AD390" s="30" t="n"/>
      <c r="AE390" s="30">
        <f>IF(AD390="Tailwind",10,0)</f>
        <v/>
      </c>
      <c r="AF390" s="30" t="n"/>
      <c r="AG390" s="30">
        <f>IF(AF390="Structural (10 Years Consistency)",10,IF(AF390="Shallow Cyclical (2 to 3 years growth)",5,0))</f>
        <v/>
      </c>
      <c r="AH390" s="30" t="n"/>
      <c r="AI390" s="30">
        <f>IF(AH390="Yes due to Product Mix change or Operating Leverage",10,IF(AH390="Yes, these are peak margins",-5,IF(AH390="No",5,0)))</f>
        <v/>
      </c>
      <c r="AJ390" s="30" t="n"/>
      <c r="AK390" s="30">
        <f>IF(AJ390="Stable",10,0)</f>
        <v/>
      </c>
      <c r="AL390" s="30" t="n"/>
      <c r="AM390" s="30">
        <f>IF(AL390="Yes",10,0)</f>
        <v/>
      </c>
      <c r="AN390" s="30" t="n"/>
      <c r="AO390" s="30">
        <f>IF(AN390="B2C",10,IF(AN390="B2B",5,0))</f>
        <v/>
      </c>
      <c r="AP390" s="30" t="n"/>
      <c r="AQ390" s="30">
        <f>IF(AP390="Yes",10,0)</f>
        <v/>
      </c>
      <c r="AR390" s="30" t="n"/>
      <c r="AS390" s="30">
        <f>IF(AR390="Fully Annuity",10,IF(AR390="Higher Annuity, Lower One Time",5,IF(AR390="Higher One Time, Lower Annuity",3,0)))</f>
        <v/>
      </c>
      <c r="AT390" s="30" t="n"/>
      <c r="AU390" s="30">
        <f>IF(AT390="Good",10,0)</f>
        <v/>
      </c>
      <c r="AV390" s="30" t="n"/>
      <c r="AW390" s="30">
        <f>IF(AV390="Yes for more than 2 years",10,IF(AV390="Yes only for next 1 to 2 years",5,0))</f>
        <v/>
      </c>
      <c r="AX390" s="30" t="n"/>
      <c r="AY390" s="30">
        <f>IF(AX390="Above 40",20,IF(AX390="20 to 40",10,IF(AX390="0 to 20",-5,0)))</f>
        <v/>
      </c>
      <c r="AZ390" s="30" t="n"/>
      <c r="BA390" s="30">
        <f>IF(AZ390="Between 50 to 75",10,IF(AZ390="Above 75",0,0))</f>
        <v/>
      </c>
      <c r="BB390" s="30" t="n"/>
      <c r="BC390" s="30">
        <f>IF(BB390="Stage 2",20,IF(BB390="Stage 1",0,IF(BB390="Stage 3",5,IF(BB390="Stage 4",-5,0))))</f>
        <v/>
      </c>
      <c r="BD390" s="30" t="n"/>
      <c r="BE390" s="30">
        <f>IF(BD390="Positive Trend",20,IF(BD390="Negative Trend",-10,0))</f>
        <v/>
      </c>
      <c r="BF390" s="30" t="n"/>
      <c r="BG390" s="30">
        <f>IF(BF390="Uptrend",10,IF(BF390="Sideways",5,0))</f>
        <v/>
      </c>
      <c r="BH390" s="30" t="n"/>
      <c r="BI390" s="30">
        <f>IF(BH390="Uptrend",10,IF(BH390="Sideways",5,0))</f>
        <v/>
      </c>
      <c r="BJ390" s="30" t="n"/>
      <c r="BK390" s="30">
        <f>IF(BJ390="Overhead supply in last 2 years in last 2 years",-5,IF(BJ390="Close to 52 week high or retracement",5,IF(BJ390="Blue sky scenario",10,IF(BJ390="Long term Downtrend",-10,0))))</f>
        <v/>
      </c>
      <c r="BL390" s="30" t="n"/>
      <c r="BM390" s="30">
        <f>IF(BL390="Yes",10,0)</f>
        <v/>
      </c>
      <c r="BN390" s="30" t="n"/>
      <c r="BO390" s="30">
        <f>IF(BN390="More than 20%",10,IF(BN390="Between 12 to 20%",5,IF(BN390="Less than 12%",0,0)))</f>
        <v/>
      </c>
      <c r="BP390" s="30" t="n"/>
      <c r="BQ390" s="30">
        <f>IF(BP390="No",10,0)</f>
        <v/>
      </c>
      <c r="BR390" s="30" t="n"/>
      <c r="BS390" s="30">
        <f>IF(BR390="NO",5,0)</f>
        <v/>
      </c>
      <c r="BT390" s="30" t="n"/>
      <c r="BU390" s="30">
        <f>IF(BT390="Above 2",0,IF(BT390="Between 1.5 to 2",5,IF(BT390="Less than 1.5",10,0)))</f>
        <v/>
      </c>
      <c r="BV390" s="30" t="n"/>
      <c r="BW390" s="30">
        <f>IF(BV390="Above 70%",10,IF(BV390="Between 50% to 70%",5,IF(BV390="Less than 50%",0,IF(BV390="Negative",-10,IF(BV390="Less than 50% and Borrowings are increasing",-5,0)))))</f>
        <v/>
      </c>
      <c r="BX390" s="30" t="n"/>
      <c r="BY390" s="30">
        <f>IF(BX390="More than 1.2",-10,IF(BX390="Between 0.7 to 1.2",0,IF(BX390="Less than 0.7",10,0)))</f>
        <v/>
      </c>
      <c r="BZ390" s="30" t="n"/>
      <c r="CA390" s="30">
        <f>IF(BZ390="Yes",-10,0)</f>
        <v/>
      </c>
      <c r="CB390" s="30" t="n"/>
      <c r="CC390" s="30">
        <f>IF(CB390="More than 15%",-10,IF(CB390="Less than 15%",10,0))</f>
        <v/>
      </c>
      <c r="CD390" s="30" t="n"/>
      <c r="CE390" s="30">
        <f>IF(CD390="Yes, more than 10%",-10,IF(CD390="No",10,0))</f>
        <v/>
      </c>
    </row>
    <row r="391">
      <c r="A391" s="30">
        <f>IF(B391=0,"",RANK(B391,$B$2:$B$427,0))</f>
        <v/>
      </c>
      <c r="B391" s="31">
        <f>SUM(N391,Y391,AA391,AC391,AE391,AG391,AI391,AK391,AM391,AO391,AQ391,AS391,AU391,AW391,AY391,BA391,BC391,BE391,BG391,BI391,BK391,BM391,BO391,BQ391,BS391,BU391,BW391,BY391,CA391,CC391,CE391)</f>
        <v/>
      </c>
      <c r="C391" s="30" t="inlineStr">
        <is>
          <t>OLECTRA</t>
        </is>
      </c>
      <c r="D391" s="30" t="inlineStr">
        <is>
          <t>Olectra Greentech Ltd</t>
        </is>
      </c>
      <c r="E391" s="30" t="inlineStr">
        <is>
          <t>auto</t>
        </is>
      </c>
      <c r="F391" s="30" t="inlineStr">
        <is>
          <t>automobiles - lcvs / hcvs</t>
        </is>
      </c>
      <c r="G391" s="30" t="inlineStr">
        <is>
          <t>midcap</t>
        </is>
      </c>
      <c r="H391" s="31" t="n">
        <v>11873.8</v>
      </c>
      <c r="I391" s="31" t="n">
        <v>1520.3</v>
      </c>
      <c r="J391" s="31" t="n">
        <v>5.09</v>
      </c>
      <c r="K391" s="31" t="n">
        <v>4118033</v>
      </c>
      <c r="L391" s="30" t="inlineStr"/>
      <c r="M391" s="30" t="inlineStr"/>
      <c r="N391" s="31">
        <f>IF(M391="Underperforming",-5,IF(L391&gt;=95,15,IF(L391&gt;=90,10,IF(L391&gt;=80,5,0))))</f>
        <v/>
      </c>
      <c r="O391" s="31" t="inlineStr"/>
      <c r="P391" s="31" t="inlineStr"/>
      <c r="Q391" s="31" t="inlineStr"/>
      <c r="R391" s="30" t="inlineStr"/>
      <c r="S391" s="30" t="inlineStr"/>
      <c r="T391" s="31" t="inlineStr"/>
      <c r="U391" s="31" t="inlineStr"/>
      <c r="V391" s="31" t="inlineStr"/>
      <c r="W391" s="31" t="inlineStr"/>
      <c r="X391" s="30" t="n"/>
      <c r="Y391" s="30">
        <f>IF(X391="Growing Industry",10,IF(X391="Cyclical in an Upturn",5,0))</f>
        <v/>
      </c>
      <c r="Z391" s="30" t="n"/>
      <c r="AA391" s="30">
        <f>IF(Z391="Monopoly",10,IF(Z391="Oligopoly",5,IF(Z391="Duopoly that cooperate",10,IF(Z391="Duopoly that compete",5,IF(Z391="Too many players with High ROCE",5,0)))))</f>
        <v/>
      </c>
      <c r="AB391" s="30" t="n"/>
      <c r="AC391" s="30">
        <f>IF(AB391="No",5,0)</f>
        <v/>
      </c>
      <c r="AD391" s="30" t="n"/>
      <c r="AE391" s="30">
        <f>IF(AD391="Tailwind",10,0)</f>
        <v/>
      </c>
      <c r="AF391" s="30" t="n"/>
      <c r="AG391" s="30">
        <f>IF(AF391="Structural (10 Years Consistency)",10,IF(AF391="Shallow Cyclical (2 to 3 years growth)",5,0))</f>
        <v/>
      </c>
      <c r="AH391" s="30" t="n"/>
      <c r="AI391" s="30">
        <f>IF(AH391="Yes due to Product Mix change or Operating Leverage",10,IF(AH391="Yes, these are peak margins",-5,IF(AH391="No",5,0)))</f>
        <v/>
      </c>
      <c r="AJ391" s="30" t="n"/>
      <c r="AK391" s="30">
        <f>IF(AJ391="Stable",10,0)</f>
        <v/>
      </c>
      <c r="AL391" s="30" t="n"/>
      <c r="AM391" s="30">
        <f>IF(AL391="Yes",10,0)</f>
        <v/>
      </c>
      <c r="AN391" s="30" t="n"/>
      <c r="AO391" s="30">
        <f>IF(AN391="B2C",10,IF(AN391="B2B",5,0))</f>
        <v/>
      </c>
      <c r="AP391" s="30" t="n"/>
      <c r="AQ391" s="30">
        <f>IF(AP391="Yes",10,0)</f>
        <v/>
      </c>
      <c r="AR391" s="30" t="n"/>
      <c r="AS391" s="30">
        <f>IF(AR391="Fully Annuity",10,IF(AR391="Higher Annuity, Lower One Time",5,IF(AR391="Higher One Time, Lower Annuity",3,0)))</f>
        <v/>
      </c>
      <c r="AT391" s="30" t="n"/>
      <c r="AU391" s="30">
        <f>IF(AT391="Good",10,0)</f>
        <v/>
      </c>
      <c r="AV391" s="30" t="n"/>
      <c r="AW391" s="30">
        <f>IF(AV391="Yes for more than 2 years",10,IF(AV391="Yes only for next 1 to 2 years",5,0))</f>
        <v/>
      </c>
      <c r="AX391" s="30" t="n"/>
      <c r="AY391" s="30">
        <f>IF(AX391="Above 40",20,IF(AX391="20 to 40",10,IF(AX391="0 to 20",-5,0)))</f>
        <v/>
      </c>
      <c r="AZ391" s="30" t="n"/>
      <c r="BA391" s="30">
        <f>IF(AZ391="Between 50 to 75",10,IF(AZ391="Above 75",0,0))</f>
        <v/>
      </c>
      <c r="BB391" s="30" t="n"/>
      <c r="BC391" s="30">
        <f>IF(BB391="Stage 2",20,IF(BB391="Stage 1",0,IF(BB391="Stage 3",5,IF(BB391="Stage 4",-5,0))))</f>
        <v/>
      </c>
      <c r="BD391" s="30" t="n"/>
      <c r="BE391" s="30">
        <f>IF(BD391="Positive Trend",20,IF(BD391="Negative Trend",-10,0))</f>
        <v/>
      </c>
      <c r="BF391" s="30" t="n"/>
      <c r="BG391" s="30">
        <f>IF(BF391="Uptrend",10,IF(BF391="Sideways",5,0))</f>
        <v/>
      </c>
      <c r="BH391" s="30" t="n"/>
      <c r="BI391" s="30">
        <f>IF(BH391="Uptrend",10,IF(BH391="Sideways",5,0))</f>
        <v/>
      </c>
      <c r="BJ391" s="30" t="n"/>
      <c r="BK391" s="30">
        <f>IF(BJ391="Overhead supply in last 2 years in last 2 years",-5,IF(BJ391="Close to 52 week high or retracement",5,IF(BJ391="Blue sky scenario",10,IF(BJ391="Long term Downtrend",-10,0))))</f>
        <v/>
      </c>
      <c r="BL391" s="30" t="n"/>
      <c r="BM391" s="30">
        <f>IF(BL391="Yes",10,0)</f>
        <v/>
      </c>
      <c r="BN391" s="30" t="n"/>
      <c r="BO391" s="30">
        <f>IF(BN391="More than 20%",10,IF(BN391="Between 12 to 20%",5,IF(BN391="Less than 12%",0,0)))</f>
        <v/>
      </c>
      <c r="BP391" s="30" t="n"/>
      <c r="BQ391" s="30">
        <f>IF(BP391="No",10,0)</f>
        <v/>
      </c>
      <c r="BR391" s="30" t="n"/>
      <c r="BS391" s="30">
        <f>IF(BR391="NO",5,0)</f>
        <v/>
      </c>
      <c r="BT391" s="30" t="n"/>
      <c r="BU391" s="30">
        <f>IF(BT391="Above 2",0,IF(BT391="Between 1.5 to 2",5,IF(BT391="Less than 1.5",10,0)))</f>
        <v/>
      </c>
      <c r="BV391" s="30" t="n"/>
      <c r="BW391" s="30">
        <f>IF(BV391="Above 70%",10,IF(BV391="Between 50% to 70%",5,IF(BV391="Less than 50%",0,IF(BV391="Negative",-10,IF(BV391="Less than 50% and Borrowings are increasing",-5,0)))))</f>
        <v/>
      </c>
      <c r="BX391" s="30" t="n"/>
      <c r="BY391" s="30">
        <f>IF(BX391="More than 1.2",-10,IF(BX391="Between 0.7 to 1.2",0,IF(BX391="Less than 0.7",10,0)))</f>
        <v/>
      </c>
      <c r="BZ391" s="30" t="n"/>
      <c r="CA391" s="30">
        <f>IF(BZ391="Yes",-10,0)</f>
        <v/>
      </c>
      <c r="CB391" s="30" t="n"/>
      <c r="CC391" s="30">
        <f>IF(CB391="More than 15%",-10,IF(CB391="Less than 15%",10,0))</f>
        <v/>
      </c>
      <c r="CD391" s="30" t="n"/>
      <c r="CE391" s="30">
        <f>IF(CD391="Yes, more than 10%",-10,IF(CD391="No",10,0))</f>
        <v/>
      </c>
    </row>
    <row r="392">
      <c r="A392" s="30">
        <f>IF(B392=0,"",RANK(B392,$B$2:$B$427,0))</f>
        <v/>
      </c>
      <c r="B392" s="31">
        <f>SUM(N392,Y392,AA392,AC392,AE392,AG392,AI392,AK392,AM392,AO392,AQ392,AS392,AU392,AW392,AY392,BA392,BC392,BE392,BG392,BI392,BK392,BM392,BO392,BQ392,BS392,BU392,BW392,BY392,CA392,CC392,CE392)</f>
        <v/>
      </c>
      <c r="C392" s="30" t="inlineStr">
        <is>
          <t>VENUSPIPES</t>
        </is>
      </c>
      <c r="D392" s="30" t="inlineStr">
        <is>
          <t>Venus Pipes &amp; Tubes Ltd</t>
        </is>
      </c>
      <c r="E392" s="30" t="inlineStr">
        <is>
          <t>metals &amp; mining</t>
        </is>
      </c>
      <c r="F392" s="30" t="inlineStr">
        <is>
          <t>steel - medium / small</t>
        </is>
      </c>
      <c r="G392" s="30" t="inlineStr">
        <is>
          <t>smallcap</t>
        </is>
      </c>
      <c r="H392" s="31" t="n">
        <v>3070.96</v>
      </c>
      <c r="I392" s="31" t="n">
        <v>1546.1</v>
      </c>
      <c r="J392" s="31" t="n">
        <v>4.3</v>
      </c>
      <c r="K392" s="31" t="n">
        <v>616396</v>
      </c>
      <c r="L392" s="30" t="inlineStr"/>
      <c r="M392" s="30" t="inlineStr"/>
      <c r="N392" s="31">
        <f>IF(M392="Underperforming",-5,IF(L392&gt;=95,15,IF(L392&gt;=90,10,IF(L392&gt;=80,5,0))))</f>
        <v/>
      </c>
      <c r="O392" s="31" t="inlineStr"/>
      <c r="P392" s="31" t="inlineStr"/>
      <c r="Q392" s="31" t="inlineStr"/>
      <c r="R392" s="30" t="inlineStr"/>
      <c r="S392" s="30" t="inlineStr"/>
      <c r="T392" s="31" t="inlineStr"/>
      <c r="U392" s="31" t="inlineStr"/>
      <c r="V392" s="31" t="inlineStr"/>
      <c r="W392" s="31" t="inlineStr"/>
      <c r="X392" s="30" t="n"/>
      <c r="Y392" s="30">
        <f>IF(X392="Growing Industry",10,IF(X392="Cyclical in an Upturn",5,0))</f>
        <v/>
      </c>
      <c r="Z392" s="30" t="n"/>
      <c r="AA392" s="30">
        <f>IF(Z392="Monopoly",10,IF(Z392="Oligopoly",5,IF(Z392="Duopoly that cooperate",10,IF(Z392="Duopoly that compete",5,IF(Z392="Too many players with High ROCE",5,0)))))</f>
        <v/>
      </c>
      <c r="AB392" s="30" t="n"/>
      <c r="AC392" s="30">
        <f>IF(AB392="No",5,0)</f>
        <v/>
      </c>
      <c r="AD392" s="30" t="n"/>
      <c r="AE392" s="30">
        <f>IF(AD392="Tailwind",10,0)</f>
        <v/>
      </c>
      <c r="AF392" s="30" t="n"/>
      <c r="AG392" s="30">
        <f>IF(AF392="Structural (10 Years Consistency)",10,IF(AF392="Shallow Cyclical (2 to 3 years growth)",5,0))</f>
        <v/>
      </c>
      <c r="AH392" s="30" t="n"/>
      <c r="AI392" s="30">
        <f>IF(AH392="Yes due to Product Mix change or Operating Leverage",10,IF(AH392="Yes, these are peak margins",-5,IF(AH392="No",5,0)))</f>
        <v/>
      </c>
      <c r="AJ392" s="30" t="n"/>
      <c r="AK392" s="30">
        <f>IF(AJ392="Stable",10,0)</f>
        <v/>
      </c>
      <c r="AL392" s="30" t="n"/>
      <c r="AM392" s="30">
        <f>IF(AL392="Yes",10,0)</f>
        <v/>
      </c>
      <c r="AN392" s="30" t="n"/>
      <c r="AO392" s="30">
        <f>IF(AN392="B2C",10,IF(AN392="B2B",5,0))</f>
        <v/>
      </c>
      <c r="AP392" s="30" t="n"/>
      <c r="AQ392" s="30">
        <f>IF(AP392="Yes",10,0)</f>
        <v/>
      </c>
      <c r="AR392" s="30" t="n"/>
      <c r="AS392" s="30">
        <f>IF(AR392="Fully Annuity",10,IF(AR392="Higher Annuity, Lower One Time",5,IF(AR392="Higher One Time, Lower Annuity",3,0)))</f>
        <v/>
      </c>
      <c r="AT392" s="30" t="n"/>
      <c r="AU392" s="30">
        <f>IF(AT392="Good",10,0)</f>
        <v/>
      </c>
      <c r="AV392" s="30" t="n"/>
      <c r="AW392" s="30">
        <f>IF(AV392="Yes for more than 2 years",10,IF(AV392="Yes only for next 1 to 2 years",5,0))</f>
        <v/>
      </c>
      <c r="AX392" s="30" t="n"/>
      <c r="AY392" s="30">
        <f>IF(AX392="Above 40",20,IF(AX392="20 to 40",10,IF(AX392="0 to 20",-5,0)))</f>
        <v/>
      </c>
      <c r="AZ392" s="30" t="n"/>
      <c r="BA392" s="30">
        <f>IF(AZ392="Between 50 to 75",10,IF(AZ392="Above 75",0,0))</f>
        <v/>
      </c>
      <c r="BB392" s="30" t="n"/>
      <c r="BC392" s="30">
        <f>IF(BB392="Stage 2",20,IF(BB392="Stage 1",0,IF(BB392="Stage 3",5,IF(BB392="Stage 4",-5,0))))</f>
        <v/>
      </c>
      <c r="BD392" s="30" t="n"/>
      <c r="BE392" s="30">
        <f>IF(BD392="Positive Trend",20,IF(BD392="Negative Trend",-10,0))</f>
        <v/>
      </c>
      <c r="BF392" s="30" t="n"/>
      <c r="BG392" s="30">
        <f>IF(BF392="Uptrend",10,IF(BF392="Sideways",5,0))</f>
        <v/>
      </c>
      <c r="BH392" s="30" t="n"/>
      <c r="BI392" s="30">
        <f>IF(BH392="Uptrend",10,IF(BH392="Sideways",5,0))</f>
        <v/>
      </c>
      <c r="BJ392" s="30" t="n"/>
      <c r="BK392" s="30">
        <f>IF(BJ392="Overhead supply in last 2 years in last 2 years",-5,IF(BJ392="Close to 52 week high or retracement",5,IF(BJ392="Blue sky scenario",10,IF(BJ392="Long term Downtrend",-10,0))))</f>
        <v/>
      </c>
      <c r="BL392" s="30" t="n"/>
      <c r="BM392" s="30">
        <f>IF(BL392="Yes",10,0)</f>
        <v/>
      </c>
      <c r="BN392" s="30" t="n"/>
      <c r="BO392" s="30">
        <f>IF(BN392="More than 20%",10,IF(BN392="Between 12 to 20%",5,IF(BN392="Less than 12%",0,0)))</f>
        <v/>
      </c>
      <c r="BP392" s="30" t="n"/>
      <c r="BQ392" s="30">
        <f>IF(BP392="No",10,0)</f>
        <v/>
      </c>
      <c r="BR392" s="30" t="n"/>
      <c r="BS392" s="30">
        <f>IF(BR392="NO",5,0)</f>
        <v/>
      </c>
      <c r="BT392" s="30" t="n"/>
      <c r="BU392" s="30">
        <f>IF(BT392="Above 2",0,IF(BT392="Between 1.5 to 2",5,IF(BT392="Less than 1.5",10,0)))</f>
        <v/>
      </c>
      <c r="BV392" s="30" t="n"/>
      <c r="BW392" s="30">
        <f>IF(BV392="Above 70%",10,IF(BV392="Between 50% to 70%",5,IF(BV392="Less than 50%",0,IF(BV392="Negative",-10,IF(BV392="Less than 50% and Borrowings are increasing",-5,0)))))</f>
        <v/>
      </c>
      <c r="BX392" s="30" t="n"/>
      <c r="BY392" s="30">
        <f>IF(BX392="More than 1.2",-10,IF(BX392="Between 0.7 to 1.2",0,IF(BX392="Less than 0.7",10,0)))</f>
        <v/>
      </c>
      <c r="BZ392" s="30" t="n"/>
      <c r="CA392" s="30">
        <f>IF(BZ392="Yes",-10,0)</f>
        <v/>
      </c>
      <c r="CB392" s="30" t="n"/>
      <c r="CC392" s="30">
        <f>IF(CB392="More than 15%",-10,IF(CB392="Less than 15%",10,0))</f>
        <v/>
      </c>
      <c r="CD392" s="30" t="n"/>
      <c r="CE392" s="30">
        <f>IF(CD392="Yes, more than 10%",-10,IF(CD392="No",10,0))</f>
        <v/>
      </c>
    </row>
    <row r="393">
      <c r="A393" s="30">
        <f>IF(B393=0,"",RANK(B393,$B$2:$B$427,0))</f>
        <v/>
      </c>
      <c r="B393" s="31">
        <f>SUM(N393,Y393,AA393,AC393,AE393,AG393,AI393,AK393,AM393,AO393,AQ393,AS393,AU393,AW393,AY393,BA393,BC393,BE393,BG393,BI393,BK393,BM393,BO393,BQ393,BS393,BU393,BW393,BY393,CA393,CC393,CE393)</f>
        <v/>
      </c>
      <c r="C393" s="30" t="inlineStr">
        <is>
          <t>DIACABS</t>
        </is>
      </c>
      <c r="D393" s="30" t="inlineStr">
        <is>
          <t>Diamond Power Infrastructure Ltd</t>
        </is>
      </c>
      <c r="E393" s="30" t="inlineStr">
        <is>
          <t>industrials</t>
        </is>
      </c>
      <c r="F393" s="30" t="inlineStr">
        <is>
          <t>cables - power</t>
        </is>
      </c>
      <c r="G393" s="30" t="inlineStr">
        <is>
          <t>midcap</t>
        </is>
      </c>
      <c r="H393" s="31" t="n">
        <v>10657.99</v>
      </c>
      <c r="I393" s="31" t="n">
        <v>209.24</v>
      </c>
      <c r="J393" s="31" t="n">
        <v>3.46</v>
      </c>
      <c r="K393" s="31" t="n">
        <v>6366523</v>
      </c>
      <c r="L393" s="30" t="inlineStr"/>
      <c r="M393" s="30" t="inlineStr"/>
      <c r="N393" s="31">
        <f>IF(M393="Underperforming",-5,IF(L393&gt;=95,15,IF(L393&gt;=90,10,IF(L393&gt;=80,5,0))))</f>
        <v/>
      </c>
      <c r="O393" s="31" t="inlineStr"/>
      <c r="P393" s="31" t="inlineStr"/>
      <c r="Q393" s="31" t="inlineStr"/>
      <c r="R393" s="30" t="inlineStr"/>
      <c r="S393" s="30" t="inlineStr"/>
      <c r="T393" s="31" t="inlineStr"/>
      <c r="U393" s="31" t="inlineStr"/>
      <c r="V393" s="31" t="inlineStr"/>
      <c r="W393" s="31" t="inlineStr"/>
      <c r="X393" s="30" t="n"/>
      <c r="Y393" s="30">
        <f>IF(X393="Growing Industry",10,IF(X393="Cyclical in an Upturn",5,0))</f>
        <v/>
      </c>
      <c r="Z393" s="30" t="n"/>
      <c r="AA393" s="30">
        <f>IF(Z393="Monopoly",10,IF(Z393="Oligopoly",5,IF(Z393="Duopoly that cooperate",10,IF(Z393="Duopoly that compete",5,IF(Z393="Too many players with High ROCE",5,0)))))</f>
        <v/>
      </c>
      <c r="AB393" s="30" t="n"/>
      <c r="AC393" s="30">
        <f>IF(AB393="No",5,0)</f>
        <v/>
      </c>
      <c r="AD393" s="30" t="n"/>
      <c r="AE393" s="30">
        <f>IF(AD393="Tailwind",10,0)</f>
        <v/>
      </c>
      <c r="AF393" s="30" t="n"/>
      <c r="AG393" s="30">
        <f>IF(AF393="Structural (10 Years Consistency)",10,IF(AF393="Shallow Cyclical (2 to 3 years growth)",5,0))</f>
        <v/>
      </c>
      <c r="AH393" s="30" t="n"/>
      <c r="AI393" s="30">
        <f>IF(AH393="Yes due to Product Mix change or Operating Leverage",10,IF(AH393="Yes, these are peak margins",-5,IF(AH393="No",5,0)))</f>
        <v/>
      </c>
      <c r="AJ393" s="30" t="n"/>
      <c r="AK393" s="30">
        <f>IF(AJ393="Stable",10,0)</f>
        <v/>
      </c>
      <c r="AL393" s="30" t="n"/>
      <c r="AM393" s="30">
        <f>IF(AL393="Yes",10,0)</f>
        <v/>
      </c>
      <c r="AN393" s="30" t="n"/>
      <c r="AO393" s="30">
        <f>IF(AN393="B2C",10,IF(AN393="B2B",5,0))</f>
        <v/>
      </c>
      <c r="AP393" s="30" t="n"/>
      <c r="AQ393" s="30">
        <f>IF(AP393="Yes",10,0)</f>
        <v/>
      </c>
      <c r="AR393" s="30" t="n"/>
      <c r="AS393" s="30">
        <f>IF(AR393="Fully Annuity",10,IF(AR393="Higher Annuity, Lower One Time",5,IF(AR393="Higher One Time, Lower Annuity",3,0)))</f>
        <v/>
      </c>
      <c r="AT393" s="30" t="n"/>
      <c r="AU393" s="30">
        <f>IF(AT393="Good",10,0)</f>
        <v/>
      </c>
      <c r="AV393" s="30" t="n"/>
      <c r="AW393" s="30">
        <f>IF(AV393="Yes for more than 2 years",10,IF(AV393="Yes only for next 1 to 2 years",5,0))</f>
        <v/>
      </c>
      <c r="AX393" s="30" t="n"/>
      <c r="AY393" s="30">
        <f>IF(AX393="Above 40",20,IF(AX393="20 to 40",10,IF(AX393="0 to 20",-5,0)))</f>
        <v/>
      </c>
      <c r="AZ393" s="30" t="n"/>
      <c r="BA393" s="30">
        <f>IF(AZ393="Between 50 to 75",10,IF(AZ393="Above 75",0,0))</f>
        <v/>
      </c>
      <c r="BB393" s="30" t="n"/>
      <c r="BC393" s="30">
        <f>IF(BB393="Stage 2",20,IF(BB393="Stage 1",0,IF(BB393="Stage 3",5,IF(BB393="Stage 4",-5,0))))</f>
        <v/>
      </c>
      <c r="BD393" s="30" t="n"/>
      <c r="BE393" s="30">
        <f>IF(BD393="Positive Trend",20,IF(BD393="Negative Trend",-10,0))</f>
        <v/>
      </c>
      <c r="BF393" s="30" t="n"/>
      <c r="BG393" s="30">
        <f>IF(BF393="Uptrend",10,IF(BF393="Sideways",5,0))</f>
        <v/>
      </c>
      <c r="BH393" s="30" t="n"/>
      <c r="BI393" s="30">
        <f>IF(BH393="Uptrend",10,IF(BH393="Sideways",5,0))</f>
        <v/>
      </c>
      <c r="BJ393" s="30" t="n"/>
      <c r="BK393" s="30">
        <f>IF(BJ393="Overhead supply in last 2 years in last 2 years",-5,IF(BJ393="Close to 52 week high or retracement",5,IF(BJ393="Blue sky scenario",10,IF(BJ393="Long term Downtrend",-10,0))))</f>
        <v/>
      </c>
      <c r="BL393" s="30" t="n"/>
      <c r="BM393" s="30">
        <f>IF(BL393="Yes",10,0)</f>
        <v/>
      </c>
      <c r="BN393" s="30" t="n"/>
      <c r="BO393" s="30">
        <f>IF(BN393="More than 20%",10,IF(BN393="Between 12 to 20%",5,IF(BN393="Less than 12%",0,0)))</f>
        <v/>
      </c>
      <c r="BP393" s="30" t="n"/>
      <c r="BQ393" s="30">
        <f>IF(BP393="No",10,0)</f>
        <v/>
      </c>
      <c r="BR393" s="30" t="n"/>
      <c r="BS393" s="30">
        <f>IF(BR393="NO",5,0)</f>
        <v/>
      </c>
      <c r="BT393" s="30" t="n"/>
      <c r="BU393" s="30">
        <f>IF(BT393="Above 2",0,IF(BT393="Between 1.5 to 2",5,IF(BT393="Less than 1.5",10,0)))</f>
        <v/>
      </c>
      <c r="BV393" s="30" t="n"/>
      <c r="BW393" s="30">
        <f>IF(BV393="Above 70%",10,IF(BV393="Between 50% to 70%",5,IF(BV393="Less than 50%",0,IF(BV393="Negative",-10,IF(BV393="Less than 50% and Borrowings are increasing",-5,0)))))</f>
        <v/>
      </c>
      <c r="BX393" s="30" t="n"/>
      <c r="BY393" s="30">
        <f>IF(BX393="More than 1.2",-10,IF(BX393="Between 0.7 to 1.2",0,IF(BX393="Less than 0.7",10,0)))</f>
        <v/>
      </c>
      <c r="BZ393" s="30" t="n"/>
      <c r="CA393" s="30">
        <f>IF(BZ393="Yes",-10,0)</f>
        <v/>
      </c>
      <c r="CB393" s="30" t="n"/>
      <c r="CC393" s="30">
        <f>IF(CB393="More than 15%",-10,IF(CB393="Less than 15%",10,0))</f>
        <v/>
      </c>
      <c r="CD393" s="30" t="n"/>
      <c r="CE393" s="30">
        <f>IF(CD393="Yes, more than 10%",-10,IF(CD393="No",10,0))</f>
        <v/>
      </c>
    </row>
    <row r="394">
      <c r="A394" s="30">
        <f>IF(B394=0,"",RANK(B394,$B$2:$B$427,0))</f>
        <v/>
      </c>
      <c r="B394" s="31">
        <f>SUM(N394,Y394,AA394,AC394,AE394,AG394,AI394,AK394,AM394,AO394,AQ394,AS394,AU394,AW394,AY394,BA394,BC394,BE394,BG394,BI394,BK394,BM394,BO394,BQ394,BS394,BU394,BW394,BY394,CA394,CC394,CE394)</f>
        <v/>
      </c>
      <c r="C394" s="30" t="inlineStr">
        <is>
          <t>UNIVCABLES</t>
        </is>
      </c>
      <c r="D394" s="30" t="inlineStr">
        <is>
          <t>Universal Cables Limited</t>
        </is>
      </c>
      <c r="E394" s="30" t="inlineStr">
        <is>
          <t>industrials</t>
        </is>
      </c>
      <c r="F394" s="30" t="inlineStr">
        <is>
          <t>cables - power</t>
        </is>
      </c>
      <c r="G394" s="30" t="inlineStr">
        <is>
          <t>smallcap</t>
        </is>
      </c>
      <c r="H394" s="31" t="n">
        <v>4288.35</v>
      </c>
      <c r="I394" s="31" t="n">
        <v>1273.5</v>
      </c>
      <c r="J394" s="31" t="n">
        <v>3.03</v>
      </c>
      <c r="K394" s="31" t="n">
        <v>497951</v>
      </c>
      <c r="L394" s="30" t="inlineStr"/>
      <c r="M394" s="30" t="inlineStr"/>
      <c r="N394" s="31">
        <f>IF(M394="Underperforming",-5,IF(L394&gt;=95,15,IF(L394&gt;=90,10,IF(L394&gt;=80,5,0))))</f>
        <v/>
      </c>
      <c r="O394" s="31" t="inlineStr"/>
      <c r="P394" s="31" t="inlineStr"/>
      <c r="Q394" s="31" t="inlineStr"/>
      <c r="R394" s="30" t="inlineStr"/>
      <c r="S394" s="30" t="inlineStr"/>
      <c r="T394" s="31" t="inlineStr"/>
      <c r="U394" s="31" t="inlineStr"/>
      <c r="V394" s="31" t="inlineStr"/>
      <c r="W394" s="31" t="inlineStr"/>
      <c r="X394" s="30" t="n"/>
      <c r="Y394" s="30">
        <f>IF(X394="Growing Industry",10,IF(X394="Cyclical in an Upturn",5,0))</f>
        <v/>
      </c>
      <c r="Z394" s="30" t="n"/>
      <c r="AA394" s="30">
        <f>IF(Z394="Monopoly",10,IF(Z394="Oligopoly",5,IF(Z394="Duopoly that cooperate",10,IF(Z394="Duopoly that compete",5,IF(Z394="Too many players with High ROCE",5,0)))))</f>
        <v/>
      </c>
      <c r="AB394" s="30" t="n"/>
      <c r="AC394" s="30">
        <f>IF(AB394="No",5,0)</f>
        <v/>
      </c>
      <c r="AD394" s="30" t="n"/>
      <c r="AE394" s="30">
        <f>IF(AD394="Tailwind",10,0)</f>
        <v/>
      </c>
      <c r="AF394" s="30" t="n"/>
      <c r="AG394" s="30">
        <f>IF(AF394="Structural (10 Years Consistency)",10,IF(AF394="Shallow Cyclical (2 to 3 years growth)",5,0))</f>
        <v/>
      </c>
      <c r="AH394" s="30" t="n"/>
      <c r="AI394" s="30">
        <f>IF(AH394="Yes due to Product Mix change or Operating Leverage",10,IF(AH394="Yes, these are peak margins",-5,IF(AH394="No",5,0)))</f>
        <v/>
      </c>
      <c r="AJ394" s="30" t="n"/>
      <c r="AK394" s="30">
        <f>IF(AJ394="Stable",10,0)</f>
        <v/>
      </c>
      <c r="AL394" s="30" t="n"/>
      <c r="AM394" s="30">
        <f>IF(AL394="Yes",10,0)</f>
        <v/>
      </c>
      <c r="AN394" s="30" t="n"/>
      <c r="AO394" s="30">
        <f>IF(AN394="B2C",10,IF(AN394="B2B",5,0))</f>
        <v/>
      </c>
      <c r="AP394" s="30" t="n"/>
      <c r="AQ394" s="30">
        <f>IF(AP394="Yes",10,0)</f>
        <v/>
      </c>
      <c r="AR394" s="30" t="n"/>
      <c r="AS394" s="30">
        <f>IF(AR394="Fully Annuity",10,IF(AR394="Higher Annuity, Lower One Time",5,IF(AR394="Higher One Time, Lower Annuity",3,0)))</f>
        <v/>
      </c>
      <c r="AT394" s="30" t="n"/>
      <c r="AU394" s="30">
        <f>IF(AT394="Good",10,0)</f>
        <v/>
      </c>
      <c r="AV394" s="30" t="n"/>
      <c r="AW394" s="30">
        <f>IF(AV394="Yes for more than 2 years",10,IF(AV394="Yes only for next 1 to 2 years",5,0))</f>
        <v/>
      </c>
      <c r="AX394" s="30" t="n"/>
      <c r="AY394" s="30">
        <f>IF(AX394="Above 40",20,IF(AX394="20 to 40",10,IF(AX394="0 to 20",-5,0)))</f>
        <v/>
      </c>
      <c r="AZ394" s="30" t="n"/>
      <c r="BA394" s="30">
        <f>IF(AZ394="Between 50 to 75",10,IF(AZ394="Above 75",0,0))</f>
        <v/>
      </c>
      <c r="BB394" s="30" t="n"/>
      <c r="BC394" s="30">
        <f>IF(BB394="Stage 2",20,IF(BB394="Stage 1",0,IF(BB394="Stage 3",5,IF(BB394="Stage 4",-5,0))))</f>
        <v/>
      </c>
      <c r="BD394" s="30" t="n"/>
      <c r="BE394" s="30">
        <f>IF(BD394="Positive Trend",20,IF(BD394="Negative Trend",-10,0))</f>
        <v/>
      </c>
      <c r="BF394" s="30" t="n"/>
      <c r="BG394" s="30">
        <f>IF(BF394="Uptrend",10,IF(BF394="Sideways",5,0))</f>
        <v/>
      </c>
      <c r="BH394" s="30" t="n"/>
      <c r="BI394" s="30">
        <f>IF(BH394="Uptrend",10,IF(BH394="Sideways",5,0))</f>
        <v/>
      </c>
      <c r="BJ394" s="30" t="n"/>
      <c r="BK394" s="30">
        <f>IF(BJ394="Overhead supply in last 2 years in last 2 years",-5,IF(BJ394="Close to 52 week high or retracement",5,IF(BJ394="Blue sky scenario",10,IF(BJ394="Long term Downtrend",-10,0))))</f>
        <v/>
      </c>
      <c r="BL394" s="30" t="n"/>
      <c r="BM394" s="30">
        <f>IF(BL394="Yes",10,0)</f>
        <v/>
      </c>
      <c r="BN394" s="30" t="n"/>
      <c r="BO394" s="30">
        <f>IF(BN394="More than 20%",10,IF(BN394="Between 12 to 20%",5,IF(BN394="Less than 12%",0,0)))</f>
        <v/>
      </c>
      <c r="BP394" s="30" t="n"/>
      <c r="BQ394" s="30">
        <f>IF(BP394="No",10,0)</f>
        <v/>
      </c>
      <c r="BR394" s="30" t="n"/>
      <c r="BS394" s="30">
        <f>IF(BR394="NO",5,0)</f>
        <v/>
      </c>
      <c r="BT394" s="30" t="n"/>
      <c r="BU394" s="30">
        <f>IF(BT394="Above 2",0,IF(BT394="Between 1.5 to 2",5,IF(BT394="Less than 1.5",10,0)))</f>
        <v/>
      </c>
      <c r="BV394" s="30" t="n"/>
      <c r="BW394" s="30">
        <f>IF(BV394="Above 70%",10,IF(BV394="Between 50% to 70%",5,IF(BV394="Less than 50%",0,IF(BV394="Negative",-10,IF(BV394="Less than 50% and Borrowings are increasing",-5,0)))))</f>
        <v/>
      </c>
      <c r="BX394" s="30" t="n"/>
      <c r="BY394" s="30">
        <f>IF(BX394="More than 1.2",-10,IF(BX394="Between 0.7 to 1.2",0,IF(BX394="Less than 0.7",10,0)))</f>
        <v/>
      </c>
      <c r="BZ394" s="30" t="n"/>
      <c r="CA394" s="30">
        <f>IF(BZ394="Yes",-10,0)</f>
        <v/>
      </c>
      <c r="CB394" s="30" t="n"/>
      <c r="CC394" s="30">
        <f>IF(CB394="More than 15%",-10,IF(CB394="Less than 15%",10,0))</f>
        <v/>
      </c>
      <c r="CD394" s="30" t="n"/>
      <c r="CE394" s="30">
        <f>IF(CD394="Yes, more than 10%",-10,IF(CD394="No",10,0))</f>
        <v/>
      </c>
    </row>
    <row r="395">
      <c r="A395" s="30">
        <f>IF(B395=0,"",RANK(B395,$B$2:$B$427,0))</f>
        <v/>
      </c>
      <c r="B395" s="31">
        <f>SUM(N395,Y395,AA395,AC395,AE395,AG395,AI395,AK395,AM395,AO395,AQ395,AS395,AU395,AW395,AY395,BA395,BC395,BE395,BG395,BI395,BK395,BM395,BO395,BQ395,BS395,BU395,BW395,BY395,CA395,CC395,CE395)</f>
        <v/>
      </c>
      <c r="C395" s="30" t="inlineStr">
        <is>
          <t>ASTERDM</t>
        </is>
      </c>
      <c r="D395" s="30" t="inlineStr">
        <is>
          <t>Aster DM Healthcare Ltd</t>
        </is>
      </c>
      <c r="E395" s="30" t="inlineStr">
        <is>
          <t>healthcare</t>
        </is>
      </c>
      <c r="F395" s="30" t="inlineStr">
        <is>
          <t>healthcare</t>
        </is>
      </c>
      <c r="G395" s="30" t="inlineStr">
        <is>
          <t>largecap</t>
        </is>
      </c>
      <c r="H395" s="31" t="n">
        <v>40853.84</v>
      </c>
      <c r="I395" s="31" t="n">
        <v>809.4</v>
      </c>
      <c r="J395" s="31" t="n">
        <v>2.65</v>
      </c>
      <c r="K395" s="31" t="n">
        <v>812938</v>
      </c>
      <c r="L395" s="30" t="inlineStr"/>
      <c r="M395" s="30" t="inlineStr"/>
      <c r="N395" s="31">
        <f>IF(M395="Underperforming",-5,IF(L395&gt;=95,15,IF(L395&gt;=90,10,IF(L395&gt;=80,5,0))))</f>
        <v/>
      </c>
      <c r="O395" s="31" t="inlineStr"/>
      <c r="P395" s="31" t="inlineStr"/>
      <c r="Q395" s="31" t="inlineStr"/>
      <c r="R395" s="30" t="inlineStr"/>
      <c r="S395" s="30" t="inlineStr"/>
      <c r="T395" s="31" t="inlineStr"/>
      <c r="U395" s="31" t="inlineStr"/>
      <c r="V395" s="31" t="inlineStr"/>
      <c r="W395" s="31" t="inlineStr"/>
      <c r="X395" s="30" t="n"/>
      <c r="Y395" s="30">
        <f>IF(X395="Growing Industry",10,IF(X395="Cyclical in an Upturn",5,0))</f>
        <v/>
      </c>
      <c r="Z395" s="30" t="n"/>
      <c r="AA395" s="30">
        <f>IF(Z395="Monopoly",10,IF(Z395="Oligopoly",5,IF(Z395="Duopoly that cooperate",10,IF(Z395="Duopoly that compete",5,IF(Z395="Too many players with High ROCE",5,0)))))</f>
        <v/>
      </c>
      <c r="AB395" s="30" t="n"/>
      <c r="AC395" s="30">
        <f>IF(AB395="No",5,0)</f>
        <v/>
      </c>
      <c r="AD395" s="30" t="n"/>
      <c r="AE395" s="30">
        <f>IF(AD395="Tailwind",10,0)</f>
        <v/>
      </c>
      <c r="AF395" s="30" t="n"/>
      <c r="AG395" s="30">
        <f>IF(AF395="Structural (10 Years Consistency)",10,IF(AF395="Shallow Cyclical (2 to 3 years growth)",5,0))</f>
        <v/>
      </c>
      <c r="AH395" s="30" t="n"/>
      <c r="AI395" s="30">
        <f>IF(AH395="Yes due to Product Mix change or Operating Leverage",10,IF(AH395="Yes, these are peak margins",-5,IF(AH395="No",5,0)))</f>
        <v/>
      </c>
      <c r="AJ395" s="30" t="n"/>
      <c r="AK395" s="30">
        <f>IF(AJ395="Stable",10,0)</f>
        <v/>
      </c>
      <c r="AL395" s="30" t="n"/>
      <c r="AM395" s="30">
        <f>IF(AL395="Yes",10,0)</f>
        <v/>
      </c>
      <c r="AN395" s="30" t="n"/>
      <c r="AO395" s="30">
        <f>IF(AN395="B2C",10,IF(AN395="B2B",5,0))</f>
        <v/>
      </c>
      <c r="AP395" s="30" t="n"/>
      <c r="AQ395" s="30">
        <f>IF(AP395="Yes",10,0)</f>
        <v/>
      </c>
      <c r="AR395" s="30" t="n"/>
      <c r="AS395" s="30">
        <f>IF(AR395="Fully Annuity",10,IF(AR395="Higher Annuity, Lower One Time",5,IF(AR395="Higher One Time, Lower Annuity",3,0)))</f>
        <v/>
      </c>
      <c r="AT395" s="30" t="n"/>
      <c r="AU395" s="30">
        <f>IF(AT395="Good",10,0)</f>
        <v/>
      </c>
      <c r="AV395" s="30" t="n"/>
      <c r="AW395" s="30">
        <f>IF(AV395="Yes for more than 2 years",10,IF(AV395="Yes only for next 1 to 2 years",5,0))</f>
        <v/>
      </c>
      <c r="AX395" s="30" t="n"/>
      <c r="AY395" s="30">
        <f>IF(AX395="Above 40",20,IF(AX395="20 to 40",10,IF(AX395="0 to 20",-5,0)))</f>
        <v/>
      </c>
      <c r="AZ395" s="30" t="n"/>
      <c r="BA395" s="30">
        <f>IF(AZ395="Between 50 to 75",10,IF(AZ395="Above 75",0,0))</f>
        <v/>
      </c>
      <c r="BB395" s="30" t="n"/>
      <c r="BC395" s="30">
        <f>IF(BB395="Stage 2",20,IF(BB395="Stage 1",0,IF(BB395="Stage 3",5,IF(BB395="Stage 4",-5,0))))</f>
        <v/>
      </c>
      <c r="BD395" s="30" t="n"/>
      <c r="BE395" s="30">
        <f>IF(BD395="Positive Trend",20,IF(BD395="Negative Trend",-10,0))</f>
        <v/>
      </c>
      <c r="BF395" s="30" t="n"/>
      <c r="BG395" s="30">
        <f>IF(BF395="Uptrend",10,IF(BF395="Sideways",5,0))</f>
        <v/>
      </c>
      <c r="BH395" s="30" t="n"/>
      <c r="BI395" s="30">
        <f>IF(BH395="Uptrend",10,IF(BH395="Sideways",5,0))</f>
        <v/>
      </c>
      <c r="BJ395" s="30" t="n"/>
      <c r="BK395" s="30">
        <f>IF(BJ395="Overhead supply in last 2 years in last 2 years",-5,IF(BJ395="Close to 52 week high or retracement",5,IF(BJ395="Blue sky scenario",10,IF(BJ395="Long term Downtrend",-10,0))))</f>
        <v/>
      </c>
      <c r="BL395" s="30" t="n"/>
      <c r="BM395" s="30">
        <f>IF(BL395="Yes",10,0)</f>
        <v/>
      </c>
      <c r="BN395" s="30" t="n"/>
      <c r="BO395" s="30">
        <f>IF(BN395="More than 20%",10,IF(BN395="Between 12 to 20%",5,IF(BN395="Less than 12%",0,0)))</f>
        <v/>
      </c>
      <c r="BP395" s="30" t="n"/>
      <c r="BQ395" s="30">
        <f>IF(BP395="No",10,0)</f>
        <v/>
      </c>
      <c r="BR395" s="30" t="n"/>
      <c r="BS395" s="30">
        <f>IF(BR395="NO",5,0)</f>
        <v/>
      </c>
      <c r="BT395" s="30" t="n"/>
      <c r="BU395" s="30">
        <f>IF(BT395="Above 2",0,IF(BT395="Between 1.5 to 2",5,IF(BT395="Less than 1.5",10,0)))</f>
        <v/>
      </c>
      <c r="BV395" s="30" t="n"/>
      <c r="BW395" s="30">
        <f>IF(BV395="Above 70%",10,IF(BV395="Between 50% to 70%",5,IF(BV395="Less than 50%",0,IF(BV395="Negative",-10,IF(BV395="Less than 50% and Borrowings are increasing",-5,0)))))</f>
        <v/>
      </c>
      <c r="BX395" s="30" t="n"/>
      <c r="BY395" s="30">
        <f>IF(BX395="More than 1.2",-10,IF(BX395="Between 0.7 to 1.2",0,IF(BX395="Less than 0.7",10,0)))</f>
        <v/>
      </c>
      <c r="BZ395" s="30" t="n"/>
      <c r="CA395" s="30">
        <f>IF(BZ395="Yes",-10,0)</f>
        <v/>
      </c>
      <c r="CB395" s="30" t="n"/>
      <c r="CC395" s="30">
        <f>IF(CB395="More than 15%",-10,IF(CB395="Less than 15%",10,0))</f>
        <v/>
      </c>
      <c r="CD395" s="30" t="n"/>
      <c r="CE395" s="30">
        <f>IF(CD395="Yes, more than 10%",-10,IF(CD395="No",10,0))</f>
        <v/>
      </c>
    </row>
    <row r="396">
      <c r="A396" s="30">
        <f>IF(B396=0,"",RANK(B396,$B$2:$B$427,0))</f>
        <v/>
      </c>
      <c r="B396" s="31">
        <f>SUM(N396,Y396,AA396,AC396,AE396,AG396,AI396,AK396,AM396,AO396,AQ396,AS396,AU396,AW396,AY396,BA396,BC396,BE396,BG396,BI396,BK396,BM396,BO396,BQ396,BS396,BU396,BW396,BY396,CA396,CC396,CE396)</f>
        <v/>
      </c>
      <c r="C396" s="30" t="inlineStr">
        <is>
          <t>PREMIERENE</t>
        </is>
      </c>
      <c r="D396" s="30" t="inlineStr">
        <is>
          <t>Premier Energies Ltd</t>
        </is>
      </c>
      <c r="E396" s="30" t="inlineStr">
        <is>
          <t>services</t>
        </is>
      </c>
      <c r="F396" s="30" t="inlineStr">
        <is>
          <t>trading</t>
        </is>
      </c>
      <c r="G396" s="30" t="inlineStr">
        <is>
          <t>largecap</t>
        </is>
      </c>
      <c r="H396" s="31" t="n">
        <v>47913.21</v>
      </c>
      <c r="I396" s="31" t="n">
        <v>1079.6</v>
      </c>
      <c r="J396" s="31" t="n">
        <v>2.07</v>
      </c>
      <c r="K396" s="31" t="n">
        <v>1350684</v>
      </c>
      <c r="L396" s="30" t="inlineStr"/>
      <c r="M396" s="30" t="inlineStr"/>
      <c r="N396" s="31">
        <f>IF(M396="Underperforming",-5,IF(L396&gt;=95,15,IF(L396&gt;=90,10,IF(L396&gt;=80,5,0))))</f>
        <v/>
      </c>
      <c r="O396" s="31" t="inlineStr"/>
      <c r="P396" s="31" t="inlineStr"/>
      <c r="Q396" s="31" t="inlineStr"/>
      <c r="R396" s="30" t="inlineStr"/>
      <c r="S396" s="30" t="inlineStr"/>
      <c r="T396" s="31" t="inlineStr"/>
      <c r="U396" s="31" t="inlineStr"/>
      <c r="V396" s="31" t="inlineStr"/>
      <c r="W396" s="31" t="inlineStr"/>
      <c r="X396" s="30" t="n"/>
      <c r="Y396" s="30">
        <f>IF(X396="Growing Industry",10,IF(X396="Cyclical in an Upturn",5,0))</f>
        <v/>
      </c>
      <c r="Z396" s="30" t="n"/>
      <c r="AA396" s="30">
        <f>IF(Z396="Monopoly",10,IF(Z396="Oligopoly",5,IF(Z396="Duopoly that cooperate",10,IF(Z396="Duopoly that compete",5,IF(Z396="Too many players with High ROCE",5,0)))))</f>
        <v/>
      </c>
      <c r="AB396" s="30" t="n"/>
      <c r="AC396" s="30">
        <f>IF(AB396="No",5,0)</f>
        <v/>
      </c>
      <c r="AD396" s="30" t="n"/>
      <c r="AE396" s="30">
        <f>IF(AD396="Tailwind",10,0)</f>
        <v/>
      </c>
      <c r="AF396" s="30" t="n"/>
      <c r="AG396" s="30">
        <f>IF(AF396="Structural (10 Years Consistency)",10,IF(AF396="Shallow Cyclical (2 to 3 years growth)",5,0))</f>
        <v/>
      </c>
      <c r="AH396" s="30" t="n"/>
      <c r="AI396" s="30">
        <f>IF(AH396="Yes due to Product Mix change or Operating Leverage",10,IF(AH396="Yes, these are peak margins",-5,IF(AH396="No",5,0)))</f>
        <v/>
      </c>
      <c r="AJ396" s="30" t="n"/>
      <c r="AK396" s="30">
        <f>IF(AJ396="Stable",10,0)</f>
        <v/>
      </c>
      <c r="AL396" s="30" t="n"/>
      <c r="AM396" s="30">
        <f>IF(AL396="Yes",10,0)</f>
        <v/>
      </c>
      <c r="AN396" s="30" t="n"/>
      <c r="AO396" s="30">
        <f>IF(AN396="B2C",10,IF(AN396="B2B",5,0))</f>
        <v/>
      </c>
      <c r="AP396" s="30" t="n"/>
      <c r="AQ396" s="30">
        <f>IF(AP396="Yes",10,0)</f>
        <v/>
      </c>
      <c r="AR396" s="30" t="n"/>
      <c r="AS396" s="30">
        <f>IF(AR396="Fully Annuity",10,IF(AR396="Higher Annuity, Lower One Time",5,IF(AR396="Higher One Time, Lower Annuity",3,0)))</f>
        <v/>
      </c>
      <c r="AT396" s="30" t="n"/>
      <c r="AU396" s="30">
        <f>IF(AT396="Good",10,0)</f>
        <v/>
      </c>
      <c r="AV396" s="30" t="n"/>
      <c r="AW396" s="30">
        <f>IF(AV396="Yes for more than 2 years",10,IF(AV396="Yes only for next 1 to 2 years",5,0))</f>
        <v/>
      </c>
      <c r="AX396" s="30" t="n"/>
      <c r="AY396" s="30">
        <f>IF(AX396="Above 40",20,IF(AX396="20 to 40",10,IF(AX396="0 to 20",-5,0)))</f>
        <v/>
      </c>
      <c r="AZ396" s="30" t="n"/>
      <c r="BA396" s="30">
        <f>IF(AZ396="Between 50 to 75",10,IF(AZ396="Above 75",0,0))</f>
        <v/>
      </c>
      <c r="BB396" s="30" t="n"/>
      <c r="BC396" s="30">
        <f>IF(BB396="Stage 2",20,IF(BB396="Stage 1",0,IF(BB396="Stage 3",5,IF(BB396="Stage 4",-5,0))))</f>
        <v/>
      </c>
      <c r="BD396" s="30" t="n"/>
      <c r="BE396" s="30">
        <f>IF(BD396="Positive Trend",20,IF(BD396="Negative Trend",-10,0))</f>
        <v/>
      </c>
      <c r="BF396" s="30" t="n"/>
      <c r="BG396" s="30">
        <f>IF(BF396="Uptrend",10,IF(BF396="Sideways",5,0))</f>
        <v/>
      </c>
      <c r="BH396" s="30" t="n"/>
      <c r="BI396" s="30">
        <f>IF(BH396="Uptrend",10,IF(BH396="Sideways",5,0))</f>
        <v/>
      </c>
      <c r="BJ396" s="30" t="n"/>
      <c r="BK396" s="30">
        <f>IF(BJ396="Overhead supply in last 2 years in last 2 years",-5,IF(BJ396="Close to 52 week high or retracement",5,IF(BJ396="Blue sky scenario",10,IF(BJ396="Long term Downtrend",-10,0))))</f>
        <v/>
      </c>
      <c r="BL396" s="30" t="n"/>
      <c r="BM396" s="30">
        <f>IF(BL396="Yes",10,0)</f>
        <v/>
      </c>
      <c r="BN396" s="30" t="n"/>
      <c r="BO396" s="30">
        <f>IF(BN396="More than 20%",10,IF(BN396="Between 12 to 20%",5,IF(BN396="Less than 12%",0,0)))</f>
        <v/>
      </c>
      <c r="BP396" s="30" t="n"/>
      <c r="BQ396" s="30">
        <f>IF(BP396="No",10,0)</f>
        <v/>
      </c>
      <c r="BR396" s="30" t="n"/>
      <c r="BS396" s="30">
        <f>IF(BR396="NO",5,0)</f>
        <v/>
      </c>
      <c r="BT396" s="30" t="n"/>
      <c r="BU396" s="30">
        <f>IF(BT396="Above 2",0,IF(BT396="Between 1.5 to 2",5,IF(BT396="Less than 1.5",10,0)))</f>
        <v/>
      </c>
      <c r="BV396" s="30" t="n"/>
      <c r="BW396" s="30">
        <f>IF(BV396="Above 70%",10,IF(BV396="Between 50% to 70%",5,IF(BV396="Less than 50%",0,IF(BV396="Negative",-10,IF(BV396="Less than 50% and Borrowings are increasing",-5,0)))))</f>
        <v/>
      </c>
      <c r="BX396" s="30" t="n"/>
      <c r="BY396" s="30">
        <f>IF(BX396="More than 1.2",-10,IF(BX396="Between 0.7 to 1.2",0,IF(BX396="Less than 0.7",10,0)))</f>
        <v/>
      </c>
      <c r="BZ396" s="30" t="n"/>
      <c r="CA396" s="30">
        <f>IF(BZ396="Yes",-10,0)</f>
        <v/>
      </c>
      <c r="CB396" s="30" t="n"/>
      <c r="CC396" s="30">
        <f>IF(CB396="More than 15%",-10,IF(CB396="Less than 15%",10,0))</f>
        <v/>
      </c>
      <c r="CD396" s="30" t="n"/>
      <c r="CE396" s="30">
        <f>IF(CD396="Yes, more than 10%",-10,IF(CD396="No",10,0))</f>
        <v/>
      </c>
    </row>
    <row r="397">
      <c r="A397" s="30">
        <f>IF(B397=0,"",RANK(B397,$B$2:$B$427,0))</f>
        <v/>
      </c>
      <c r="B397" s="31">
        <f>SUM(N397,Y397,AA397,AC397,AE397,AG397,AI397,AK397,AM397,AO397,AQ397,AS397,AU397,AW397,AY397,BA397,BC397,BE397,BG397,BI397,BK397,BM397,BO397,BQ397,BS397,BU397,BW397,BY397,CA397,CC397,CE397)</f>
        <v/>
      </c>
      <c r="C397" s="30" t="inlineStr">
        <is>
          <t>SANDHAR</t>
        </is>
      </c>
      <c r="D397" s="30" t="inlineStr">
        <is>
          <t>Sandhar Technologies Limited</t>
        </is>
      </c>
      <c r="E397" s="30" t="inlineStr">
        <is>
          <t>auto</t>
        </is>
      </c>
      <c r="F397" s="30" t="inlineStr">
        <is>
          <t>auto ancillaries</t>
        </is>
      </c>
      <c r="G397" s="30" t="inlineStr">
        <is>
          <t>smallcap</t>
        </is>
      </c>
      <c r="H397" s="31" t="n">
        <v>4180.85</v>
      </c>
      <c r="I397" s="31" t="n">
        <v>707.95</v>
      </c>
      <c r="J397" s="31" t="n">
        <v>1.92</v>
      </c>
      <c r="K397" s="31" t="n">
        <v>792100</v>
      </c>
      <c r="L397" s="30" t="inlineStr"/>
      <c r="M397" s="30" t="inlineStr"/>
      <c r="N397" s="31">
        <f>IF(M397="Underperforming",-5,IF(L397&gt;=95,15,IF(L397&gt;=90,10,IF(L397&gt;=80,5,0))))</f>
        <v/>
      </c>
      <c r="O397" s="31" t="inlineStr"/>
      <c r="P397" s="31" t="inlineStr"/>
      <c r="Q397" s="31" t="inlineStr"/>
      <c r="R397" s="30" t="inlineStr"/>
      <c r="S397" s="30" t="inlineStr"/>
      <c r="T397" s="31" t="inlineStr"/>
      <c r="U397" s="31" t="inlineStr"/>
      <c r="V397" s="31" t="inlineStr"/>
      <c r="W397" s="31" t="inlineStr"/>
      <c r="X397" s="30" t="n"/>
      <c r="Y397" s="30">
        <f>IF(X397="Growing Industry",10,IF(X397="Cyclical in an Upturn",5,0))</f>
        <v/>
      </c>
      <c r="Z397" s="30" t="n"/>
      <c r="AA397" s="30">
        <f>IF(Z397="Monopoly",10,IF(Z397="Oligopoly",5,IF(Z397="Duopoly that cooperate",10,IF(Z397="Duopoly that compete",5,IF(Z397="Too many players with High ROCE",5,0)))))</f>
        <v/>
      </c>
      <c r="AB397" s="30" t="n"/>
      <c r="AC397" s="30">
        <f>IF(AB397="No",5,0)</f>
        <v/>
      </c>
      <c r="AD397" s="30" t="n"/>
      <c r="AE397" s="30">
        <f>IF(AD397="Tailwind",10,0)</f>
        <v/>
      </c>
      <c r="AF397" s="30" t="n"/>
      <c r="AG397" s="30">
        <f>IF(AF397="Structural (10 Years Consistency)",10,IF(AF397="Shallow Cyclical (2 to 3 years growth)",5,0))</f>
        <v/>
      </c>
      <c r="AH397" s="30" t="n"/>
      <c r="AI397" s="30">
        <f>IF(AH397="Yes due to Product Mix change or Operating Leverage",10,IF(AH397="Yes, these are peak margins",-5,IF(AH397="No",5,0)))</f>
        <v/>
      </c>
      <c r="AJ397" s="30" t="n"/>
      <c r="AK397" s="30">
        <f>IF(AJ397="Stable",10,0)</f>
        <v/>
      </c>
      <c r="AL397" s="30" t="n"/>
      <c r="AM397" s="30">
        <f>IF(AL397="Yes",10,0)</f>
        <v/>
      </c>
      <c r="AN397" s="30" t="n"/>
      <c r="AO397" s="30">
        <f>IF(AN397="B2C",10,IF(AN397="B2B",5,0))</f>
        <v/>
      </c>
      <c r="AP397" s="30" t="n"/>
      <c r="AQ397" s="30">
        <f>IF(AP397="Yes",10,0)</f>
        <v/>
      </c>
      <c r="AR397" s="30" t="n"/>
      <c r="AS397" s="30">
        <f>IF(AR397="Fully Annuity",10,IF(AR397="Higher Annuity, Lower One Time",5,IF(AR397="Higher One Time, Lower Annuity",3,0)))</f>
        <v/>
      </c>
      <c r="AT397" s="30" t="n"/>
      <c r="AU397" s="30">
        <f>IF(AT397="Good",10,0)</f>
        <v/>
      </c>
      <c r="AV397" s="30" t="n"/>
      <c r="AW397" s="30">
        <f>IF(AV397="Yes for more than 2 years",10,IF(AV397="Yes only for next 1 to 2 years",5,0))</f>
        <v/>
      </c>
      <c r="AX397" s="30" t="n"/>
      <c r="AY397" s="30">
        <f>IF(AX397="Above 40",20,IF(AX397="20 to 40",10,IF(AX397="0 to 20",-5,0)))</f>
        <v/>
      </c>
      <c r="AZ397" s="30" t="n"/>
      <c r="BA397" s="30">
        <f>IF(AZ397="Between 50 to 75",10,IF(AZ397="Above 75",0,0))</f>
        <v/>
      </c>
      <c r="BB397" s="30" t="n"/>
      <c r="BC397" s="30">
        <f>IF(BB397="Stage 2",20,IF(BB397="Stage 1",0,IF(BB397="Stage 3",5,IF(BB397="Stage 4",-5,0))))</f>
        <v/>
      </c>
      <c r="BD397" s="30" t="n"/>
      <c r="BE397" s="30">
        <f>IF(BD397="Positive Trend",20,IF(BD397="Negative Trend",-10,0))</f>
        <v/>
      </c>
      <c r="BF397" s="30" t="n"/>
      <c r="BG397" s="30">
        <f>IF(BF397="Uptrend",10,IF(BF397="Sideways",5,0))</f>
        <v/>
      </c>
      <c r="BH397" s="30" t="n"/>
      <c r="BI397" s="30">
        <f>IF(BH397="Uptrend",10,IF(BH397="Sideways",5,0))</f>
        <v/>
      </c>
      <c r="BJ397" s="30" t="n"/>
      <c r="BK397" s="30">
        <f>IF(BJ397="Overhead supply in last 2 years in last 2 years",-5,IF(BJ397="Close to 52 week high or retracement",5,IF(BJ397="Blue sky scenario",10,IF(BJ397="Long term Downtrend",-10,0))))</f>
        <v/>
      </c>
      <c r="BL397" s="30" t="n"/>
      <c r="BM397" s="30">
        <f>IF(BL397="Yes",10,0)</f>
        <v/>
      </c>
      <c r="BN397" s="30" t="n"/>
      <c r="BO397" s="30">
        <f>IF(BN397="More than 20%",10,IF(BN397="Between 12 to 20%",5,IF(BN397="Less than 12%",0,0)))</f>
        <v/>
      </c>
      <c r="BP397" s="30" t="n"/>
      <c r="BQ397" s="30">
        <f>IF(BP397="No",10,0)</f>
        <v/>
      </c>
      <c r="BR397" s="30" t="n"/>
      <c r="BS397" s="30">
        <f>IF(BR397="NO",5,0)</f>
        <v/>
      </c>
      <c r="BT397" s="30" t="n"/>
      <c r="BU397" s="30">
        <f>IF(BT397="Above 2",0,IF(BT397="Between 1.5 to 2",5,IF(BT397="Less than 1.5",10,0)))</f>
        <v/>
      </c>
      <c r="BV397" s="30" t="n"/>
      <c r="BW397" s="30">
        <f>IF(BV397="Above 70%",10,IF(BV397="Between 50% to 70%",5,IF(BV397="Less than 50%",0,IF(BV397="Negative",-10,IF(BV397="Less than 50% and Borrowings are increasing",-5,0)))))</f>
        <v/>
      </c>
      <c r="BX397" s="30" t="n"/>
      <c r="BY397" s="30">
        <f>IF(BX397="More than 1.2",-10,IF(BX397="Between 0.7 to 1.2",0,IF(BX397="Less than 0.7",10,0)))</f>
        <v/>
      </c>
      <c r="BZ397" s="30" t="n"/>
      <c r="CA397" s="30">
        <f>IF(BZ397="Yes",-10,0)</f>
        <v/>
      </c>
      <c r="CB397" s="30" t="n"/>
      <c r="CC397" s="30">
        <f>IF(CB397="More than 15%",-10,IF(CB397="Less than 15%",10,0))</f>
        <v/>
      </c>
      <c r="CD397" s="30" t="n"/>
      <c r="CE397" s="30">
        <f>IF(CD397="Yes, more than 10%",-10,IF(CD397="No",10,0))</f>
        <v/>
      </c>
    </row>
    <row r="398">
      <c r="A398" s="30">
        <f>IF(B398=0,"",RANK(B398,$B$2:$B$427,0))</f>
        <v/>
      </c>
      <c r="B398" s="31">
        <f>SUM(N398,Y398,AA398,AC398,AE398,AG398,AI398,AK398,AM398,AO398,AQ398,AS398,AU398,AW398,AY398,BA398,BC398,BE398,BG398,BI398,BK398,BM398,BO398,BQ398,BS398,BU398,BW398,BY398,CA398,CC398,CE398)</f>
        <v/>
      </c>
      <c r="C398" s="30" t="inlineStr">
        <is>
          <t>RUBYMILLS</t>
        </is>
      </c>
      <c r="D398" s="30" t="inlineStr">
        <is>
          <t>The Ruby Mills Limited</t>
        </is>
      </c>
      <c r="E398" s="30" t="inlineStr">
        <is>
          <t>textiles</t>
        </is>
      </c>
      <c r="F398" s="30" t="inlineStr">
        <is>
          <t>textiles - composite</t>
        </is>
      </c>
      <c r="G398" s="30" t="inlineStr">
        <is>
          <t>smallcap</t>
        </is>
      </c>
      <c r="H398" s="31" t="n">
        <v>1116.73</v>
      </c>
      <c r="I398" s="31" t="n">
        <v>339.9</v>
      </c>
      <c r="J398" s="31" t="n">
        <v>1.78</v>
      </c>
      <c r="K398" s="31" t="n">
        <v>14342</v>
      </c>
      <c r="L398" s="30" t="inlineStr"/>
      <c r="M398" s="30" t="inlineStr"/>
      <c r="N398" s="31">
        <f>IF(M398="Underperforming",-5,IF(L398&gt;=95,15,IF(L398&gt;=90,10,IF(L398&gt;=80,5,0))))</f>
        <v/>
      </c>
      <c r="O398" s="31" t="inlineStr"/>
      <c r="P398" s="31" t="inlineStr"/>
      <c r="Q398" s="31" t="inlineStr"/>
      <c r="R398" s="30" t="inlineStr"/>
      <c r="S398" s="30" t="inlineStr"/>
      <c r="T398" s="31" t="inlineStr"/>
      <c r="U398" s="31" t="inlineStr"/>
      <c r="V398" s="31" t="inlineStr"/>
      <c r="W398" s="31" t="inlineStr"/>
      <c r="X398" s="30" t="n"/>
      <c r="Y398" s="30">
        <f>IF(X398="Growing Industry",10,IF(X398="Cyclical in an Upturn",5,0))</f>
        <v/>
      </c>
      <c r="Z398" s="30" t="n"/>
      <c r="AA398" s="30">
        <f>IF(Z398="Monopoly",10,IF(Z398="Oligopoly",5,IF(Z398="Duopoly that cooperate",10,IF(Z398="Duopoly that compete",5,IF(Z398="Too many players with High ROCE",5,0)))))</f>
        <v/>
      </c>
      <c r="AB398" s="30" t="n"/>
      <c r="AC398" s="30">
        <f>IF(AB398="No",5,0)</f>
        <v/>
      </c>
      <c r="AD398" s="30" t="n"/>
      <c r="AE398" s="30">
        <f>IF(AD398="Tailwind",10,0)</f>
        <v/>
      </c>
      <c r="AF398" s="30" t="n"/>
      <c r="AG398" s="30">
        <f>IF(AF398="Structural (10 Years Consistency)",10,IF(AF398="Shallow Cyclical (2 to 3 years growth)",5,0))</f>
        <v/>
      </c>
      <c r="AH398" s="30" t="n"/>
      <c r="AI398" s="30">
        <f>IF(AH398="Yes due to Product Mix change or Operating Leverage",10,IF(AH398="Yes, these are peak margins",-5,IF(AH398="No",5,0)))</f>
        <v/>
      </c>
      <c r="AJ398" s="30" t="n"/>
      <c r="AK398" s="30">
        <f>IF(AJ398="Stable",10,0)</f>
        <v/>
      </c>
      <c r="AL398" s="30" t="n"/>
      <c r="AM398" s="30">
        <f>IF(AL398="Yes",10,0)</f>
        <v/>
      </c>
      <c r="AN398" s="30" t="n"/>
      <c r="AO398" s="30">
        <f>IF(AN398="B2C",10,IF(AN398="B2B",5,0))</f>
        <v/>
      </c>
      <c r="AP398" s="30" t="n"/>
      <c r="AQ398" s="30">
        <f>IF(AP398="Yes",10,0)</f>
        <v/>
      </c>
      <c r="AR398" s="30" t="n"/>
      <c r="AS398" s="30">
        <f>IF(AR398="Fully Annuity",10,IF(AR398="Higher Annuity, Lower One Time",5,IF(AR398="Higher One Time, Lower Annuity",3,0)))</f>
        <v/>
      </c>
      <c r="AT398" s="30" t="n"/>
      <c r="AU398" s="30">
        <f>IF(AT398="Good",10,0)</f>
        <v/>
      </c>
      <c r="AV398" s="30" t="n"/>
      <c r="AW398" s="30">
        <f>IF(AV398="Yes for more than 2 years",10,IF(AV398="Yes only for next 1 to 2 years",5,0))</f>
        <v/>
      </c>
      <c r="AX398" s="30" t="n"/>
      <c r="AY398" s="30">
        <f>IF(AX398="Above 40",20,IF(AX398="20 to 40",10,IF(AX398="0 to 20",-5,0)))</f>
        <v/>
      </c>
      <c r="AZ398" s="30" t="n"/>
      <c r="BA398" s="30">
        <f>IF(AZ398="Between 50 to 75",10,IF(AZ398="Above 75",0,0))</f>
        <v/>
      </c>
      <c r="BB398" s="30" t="n"/>
      <c r="BC398" s="30">
        <f>IF(BB398="Stage 2",20,IF(BB398="Stage 1",0,IF(BB398="Stage 3",5,IF(BB398="Stage 4",-5,0))))</f>
        <v/>
      </c>
      <c r="BD398" s="30" t="n"/>
      <c r="BE398" s="30">
        <f>IF(BD398="Positive Trend",20,IF(BD398="Negative Trend",-10,0))</f>
        <v/>
      </c>
      <c r="BF398" s="30" t="n"/>
      <c r="BG398" s="30">
        <f>IF(BF398="Uptrend",10,IF(BF398="Sideways",5,0))</f>
        <v/>
      </c>
      <c r="BH398" s="30" t="n"/>
      <c r="BI398" s="30">
        <f>IF(BH398="Uptrend",10,IF(BH398="Sideways",5,0))</f>
        <v/>
      </c>
      <c r="BJ398" s="30" t="n"/>
      <c r="BK398" s="30">
        <f>IF(BJ398="Overhead supply in last 2 years in last 2 years",-5,IF(BJ398="Close to 52 week high or retracement",5,IF(BJ398="Blue sky scenario",10,IF(BJ398="Long term Downtrend",-10,0))))</f>
        <v/>
      </c>
      <c r="BL398" s="30" t="n"/>
      <c r="BM398" s="30">
        <f>IF(BL398="Yes",10,0)</f>
        <v/>
      </c>
      <c r="BN398" s="30" t="n"/>
      <c r="BO398" s="30">
        <f>IF(BN398="More than 20%",10,IF(BN398="Between 12 to 20%",5,IF(BN398="Less than 12%",0,0)))</f>
        <v/>
      </c>
      <c r="BP398" s="30" t="n"/>
      <c r="BQ398" s="30">
        <f>IF(BP398="No",10,0)</f>
        <v/>
      </c>
      <c r="BR398" s="30" t="n"/>
      <c r="BS398" s="30">
        <f>IF(BR398="NO",5,0)</f>
        <v/>
      </c>
      <c r="BT398" s="30" t="n"/>
      <c r="BU398" s="30">
        <f>IF(BT398="Above 2",0,IF(BT398="Between 1.5 to 2",5,IF(BT398="Less than 1.5",10,0)))</f>
        <v/>
      </c>
      <c r="BV398" s="30" t="n"/>
      <c r="BW398" s="30">
        <f>IF(BV398="Above 70%",10,IF(BV398="Between 50% to 70%",5,IF(BV398="Less than 50%",0,IF(BV398="Negative",-10,IF(BV398="Less than 50% and Borrowings are increasing",-5,0)))))</f>
        <v/>
      </c>
      <c r="BX398" s="30" t="n"/>
      <c r="BY398" s="30">
        <f>IF(BX398="More than 1.2",-10,IF(BX398="Between 0.7 to 1.2",0,IF(BX398="Less than 0.7",10,0)))</f>
        <v/>
      </c>
      <c r="BZ398" s="30" t="n"/>
      <c r="CA398" s="30">
        <f>IF(BZ398="Yes",-10,0)</f>
        <v/>
      </c>
      <c r="CB398" s="30" t="n"/>
      <c r="CC398" s="30">
        <f>IF(CB398="More than 15%",-10,IF(CB398="Less than 15%",10,0))</f>
        <v/>
      </c>
      <c r="CD398" s="30" t="n"/>
      <c r="CE398" s="30">
        <f>IF(CD398="Yes, more than 10%",-10,IF(CD398="No",10,0))</f>
        <v/>
      </c>
    </row>
    <row r="399">
      <c r="A399" s="30">
        <f>IF(B399=0,"",RANK(B399,$B$2:$B$427,0))</f>
        <v/>
      </c>
      <c r="B399" s="31">
        <f>SUM(N399,Y399,AA399,AC399,AE399,AG399,AI399,AK399,AM399,AO399,AQ399,AS399,AU399,AW399,AY399,BA399,BC399,BE399,BG399,BI399,BK399,BM399,BO399,BQ399,BS399,BU399,BW399,BY399,CA399,CC399,CE399)</f>
        <v/>
      </c>
      <c r="C399" s="30" t="inlineStr">
        <is>
          <t>POWERINDIA</t>
        </is>
      </c>
      <c r="D399" s="30" t="inlineStr">
        <is>
          <t>Hitachi Energy India Ltd</t>
        </is>
      </c>
      <c r="E399" s="30" t="inlineStr">
        <is>
          <t>industrials</t>
        </is>
      </c>
      <c r="F399" s="30" t="inlineStr">
        <is>
          <t>electric equipment</t>
        </is>
      </c>
      <c r="G399" s="30" t="inlineStr">
        <is>
          <t>largecap</t>
        </is>
      </c>
      <c r="H399" s="31" t="n">
        <v>161797.68</v>
      </c>
      <c r="I399" s="31" t="n">
        <v>36880</v>
      </c>
      <c r="J399" s="31" t="n">
        <v>1.6</v>
      </c>
      <c r="K399" s="31" t="n">
        <v>114962</v>
      </c>
      <c r="L399" s="30" t="inlineStr"/>
      <c r="M399" s="30" t="inlineStr"/>
      <c r="N399" s="31">
        <f>IF(M399="Underperforming",-5,IF(L399&gt;=95,15,IF(L399&gt;=90,10,IF(L399&gt;=80,5,0))))</f>
        <v/>
      </c>
      <c r="O399" s="31" t="inlineStr"/>
      <c r="P399" s="31" t="inlineStr"/>
      <c r="Q399" s="31" t="inlineStr"/>
      <c r="R399" s="30" t="inlineStr"/>
      <c r="S399" s="30" t="inlineStr"/>
      <c r="T399" s="31" t="inlineStr"/>
      <c r="U399" s="31" t="inlineStr"/>
      <c r="V399" s="31" t="inlineStr"/>
      <c r="W399" s="31" t="inlineStr"/>
      <c r="X399" s="30" t="n"/>
      <c r="Y399" s="30">
        <f>IF(X399="Growing Industry",10,IF(X399="Cyclical in an Upturn",5,0))</f>
        <v/>
      </c>
      <c r="Z399" s="30" t="n"/>
      <c r="AA399" s="30">
        <f>IF(Z399="Monopoly",10,IF(Z399="Oligopoly",5,IF(Z399="Duopoly that cooperate",10,IF(Z399="Duopoly that compete",5,IF(Z399="Too many players with High ROCE",5,0)))))</f>
        <v/>
      </c>
      <c r="AB399" s="30" t="n"/>
      <c r="AC399" s="30">
        <f>IF(AB399="No",5,0)</f>
        <v/>
      </c>
      <c r="AD399" s="30" t="n"/>
      <c r="AE399" s="30">
        <f>IF(AD399="Tailwind",10,0)</f>
        <v/>
      </c>
      <c r="AF399" s="30" t="n"/>
      <c r="AG399" s="30">
        <f>IF(AF399="Structural (10 Years Consistency)",10,IF(AF399="Shallow Cyclical (2 to 3 years growth)",5,0))</f>
        <v/>
      </c>
      <c r="AH399" s="30" t="n"/>
      <c r="AI399" s="30">
        <f>IF(AH399="Yes due to Product Mix change or Operating Leverage",10,IF(AH399="Yes, these are peak margins",-5,IF(AH399="No",5,0)))</f>
        <v/>
      </c>
      <c r="AJ399" s="30" t="n"/>
      <c r="AK399" s="30">
        <f>IF(AJ399="Stable",10,0)</f>
        <v/>
      </c>
      <c r="AL399" s="30" t="n"/>
      <c r="AM399" s="30">
        <f>IF(AL399="Yes",10,0)</f>
        <v/>
      </c>
      <c r="AN399" s="30" t="n"/>
      <c r="AO399" s="30">
        <f>IF(AN399="B2C",10,IF(AN399="B2B",5,0))</f>
        <v/>
      </c>
      <c r="AP399" s="30" t="n"/>
      <c r="AQ399" s="30">
        <f>IF(AP399="Yes",10,0)</f>
        <v/>
      </c>
      <c r="AR399" s="30" t="n"/>
      <c r="AS399" s="30">
        <f>IF(AR399="Fully Annuity",10,IF(AR399="Higher Annuity, Lower One Time",5,IF(AR399="Higher One Time, Lower Annuity",3,0)))</f>
        <v/>
      </c>
      <c r="AT399" s="30" t="n"/>
      <c r="AU399" s="30">
        <f>IF(AT399="Good",10,0)</f>
        <v/>
      </c>
      <c r="AV399" s="30" t="n"/>
      <c r="AW399" s="30">
        <f>IF(AV399="Yes for more than 2 years",10,IF(AV399="Yes only for next 1 to 2 years",5,0))</f>
        <v/>
      </c>
      <c r="AX399" s="30" t="n"/>
      <c r="AY399" s="30">
        <f>IF(AX399="Above 40",20,IF(AX399="20 to 40",10,IF(AX399="0 to 20",-5,0)))</f>
        <v/>
      </c>
      <c r="AZ399" s="30" t="n"/>
      <c r="BA399" s="30">
        <f>IF(AZ399="Between 50 to 75",10,IF(AZ399="Above 75",0,0))</f>
        <v/>
      </c>
      <c r="BB399" s="30" t="n"/>
      <c r="BC399" s="30">
        <f>IF(BB399="Stage 2",20,IF(BB399="Stage 1",0,IF(BB399="Stage 3",5,IF(BB399="Stage 4",-5,0))))</f>
        <v/>
      </c>
      <c r="BD399" s="30" t="n"/>
      <c r="BE399" s="30">
        <f>IF(BD399="Positive Trend",20,IF(BD399="Negative Trend",-10,0))</f>
        <v/>
      </c>
      <c r="BF399" s="30" t="n"/>
      <c r="BG399" s="30">
        <f>IF(BF399="Uptrend",10,IF(BF399="Sideways",5,0))</f>
        <v/>
      </c>
      <c r="BH399" s="30" t="n"/>
      <c r="BI399" s="30">
        <f>IF(BH399="Uptrend",10,IF(BH399="Sideways",5,0))</f>
        <v/>
      </c>
      <c r="BJ399" s="30" t="n"/>
      <c r="BK399" s="30">
        <f>IF(BJ399="Overhead supply in last 2 years in last 2 years",-5,IF(BJ399="Close to 52 week high or retracement",5,IF(BJ399="Blue sky scenario",10,IF(BJ399="Long term Downtrend",-10,0))))</f>
        <v/>
      </c>
      <c r="BL399" s="30" t="n"/>
      <c r="BM399" s="30">
        <f>IF(BL399="Yes",10,0)</f>
        <v/>
      </c>
      <c r="BN399" s="30" t="n"/>
      <c r="BO399" s="30">
        <f>IF(BN399="More than 20%",10,IF(BN399="Between 12 to 20%",5,IF(BN399="Less than 12%",0,0)))</f>
        <v/>
      </c>
      <c r="BP399" s="30" t="n"/>
      <c r="BQ399" s="30">
        <f>IF(BP399="No",10,0)</f>
        <v/>
      </c>
      <c r="BR399" s="30" t="n"/>
      <c r="BS399" s="30">
        <f>IF(BR399="NO",5,0)</f>
        <v/>
      </c>
      <c r="BT399" s="30" t="n"/>
      <c r="BU399" s="30">
        <f>IF(BT399="Above 2",0,IF(BT399="Between 1.5 to 2",5,IF(BT399="Less than 1.5",10,0)))</f>
        <v/>
      </c>
      <c r="BV399" s="30" t="n"/>
      <c r="BW399" s="30">
        <f>IF(BV399="Above 70%",10,IF(BV399="Between 50% to 70%",5,IF(BV399="Less than 50%",0,IF(BV399="Negative",-10,IF(BV399="Less than 50% and Borrowings are increasing",-5,0)))))</f>
        <v/>
      </c>
      <c r="BX399" s="30" t="n"/>
      <c r="BY399" s="30">
        <f>IF(BX399="More than 1.2",-10,IF(BX399="Between 0.7 to 1.2",0,IF(BX399="Less than 0.7",10,0)))</f>
        <v/>
      </c>
      <c r="BZ399" s="30" t="n"/>
      <c r="CA399" s="30">
        <f>IF(BZ399="Yes",-10,0)</f>
        <v/>
      </c>
      <c r="CB399" s="30" t="n"/>
      <c r="CC399" s="30">
        <f>IF(CB399="More than 15%",-10,IF(CB399="Less than 15%",10,0))</f>
        <v/>
      </c>
      <c r="CD399" s="30" t="n"/>
      <c r="CE399" s="30">
        <f>IF(CD399="Yes, more than 10%",-10,IF(CD399="No",10,0))</f>
        <v/>
      </c>
    </row>
    <row r="400">
      <c r="A400" s="30">
        <f>IF(B400=0,"",RANK(B400,$B$2:$B$427,0))</f>
        <v/>
      </c>
      <c r="B400" s="31">
        <f>SUM(N400,Y400,AA400,AC400,AE400,AG400,AI400,AK400,AM400,AO400,AQ400,AS400,AU400,AW400,AY400,BA400,BC400,BE400,BG400,BI400,BK400,BM400,BO400,BQ400,BS400,BU400,BW400,BY400,CA400,CC400,CE400)</f>
        <v/>
      </c>
      <c r="C400" s="30" t="inlineStr">
        <is>
          <t>PHOENIXLTD</t>
        </is>
      </c>
      <c r="D400" s="30" t="inlineStr">
        <is>
          <t>The Phoenix Mills Limited</t>
        </is>
      </c>
      <c r="E400" s="30" t="inlineStr">
        <is>
          <t>realty</t>
        </is>
      </c>
      <c r="F400" s="30" t="inlineStr">
        <is>
          <t>construction</t>
        </is>
      </c>
      <c r="G400" s="30" t="inlineStr">
        <is>
          <t>largecap</t>
        </is>
      </c>
      <c r="H400" s="31" t="n">
        <v>66294.73</v>
      </c>
      <c r="I400" s="31" t="n">
        <v>1881.1</v>
      </c>
      <c r="J400" s="31" t="n">
        <v>1.48</v>
      </c>
      <c r="K400" s="31" t="n">
        <v>584631</v>
      </c>
      <c r="L400" s="30" t="inlineStr"/>
      <c r="M400" s="30" t="inlineStr"/>
      <c r="N400" s="31">
        <f>IF(M400="Underperforming",-5,IF(L400&gt;=95,15,IF(L400&gt;=90,10,IF(L400&gt;=80,5,0))))</f>
        <v/>
      </c>
      <c r="O400" s="31" t="inlineStr"/>
      <c r="P400" s="31" t="inlineStr"/>
      <c r="Q400" s="31" t="inlineStr"/>
      <c r="R400" s="30" t="inlineStr"/>
      <c r="S400" s="30" t="inlineStr"/>
      <c r="T400" s="31" t="inlineStr"/>
      <c r="U400" s="31" t="inlineStr"/>
      <c r="V400" s="31" t="inlineStr"/>
      <c r="W400" s="31" t="inlineStr"/>
      <c r="X400" s="30" t="n"/>
      <c r="Y400" s="30">
        <f>IF(X400="Growing Industry",10,IF(X400="Cyclical in an Upturn",5,0))</f>
        <v/>
      </c>
      <c r="Z400" s="30" t="n"/>
      <c r="AA400" s="30">
        <f>IF(Z400="Monopoly",10,IF(Z400="Oligopoly",5,IF(Z400="Duopoly that cooperate",10,IF(Z400="Duopoly that compete",5,IF(Z400="Too many players with High ROCE",5,0)))))</f>
        <v/>
      </c>
      <c r="AB400" s="30" t="n"/>
      <c r="AC400" s="30">
        <f>IF(AB400="No",5,0)</f>
        <v/>
      </c>
      <c r="AD400" s="30" t="n"/>
      <c r="AE400" s="30">
        <f>IF(AD400="Tailwind",10,0)</f>
        <v/>
      </c>
      <c r="AF400" s="30" t="n"/>
      <c r="AG400" s="30">
        <f>IF(AF400="Structural (10 Years Consistency)",10,IF(AF400="Shallow Cyclical (2 to 3 years growth)",5,0))</f>
        <v/>
      </c>
      <c r="AH400" s="30" t="n"/>
      <c r="AI400" s="30">
        <f>IF(AH400="Yes due to Product Mix change or Operating Leverage",10,IF(AH400="Yes, these are peak margins",-5,IF(AH400="No",5,0)))</f>
        <v/>
      </c>
      <c r="AJ400" s="30" t="n"/>
      <c r="AK400" s="30">
        <f>IF(AJ400="Stable",10,0)</f>
        <v/>
      </c>
      <c r="AL400" s="30" t="n"/>
      <c r="AM400" s="30">
        <f>IF(AL400="Yes",10,0)</f>
        <v/>
      </c>
      <c r="AN400" s="30" t="n"/>
      <c r="AO400" s="30">
        <f>IF(AN400="B2C",10,IF(AN400="B2B",5,0))</f>
        <v/>
      </c>
      <c r="AP400" s="30" t="n"/>
      <c r="AQ400" s="30">
        <f>IF(AP400="Yes",10,0)</f>
        <v/>
      </c>
      <c r="AR400" s="30" t="n"/>
      <c r="AS400" s="30">
        <f>IF(AR400="Fully Annuity",10,IF(AR400="Higher Annuity, Lower One Time",5,IF(AR400="Higher One Time, Lower Annuity",3,0)))</f>
        <v/>
      </c>
      <c r="AT400" s="30" t="n"/>
      <c r="AU400" s="30">
        <f>IF(AT400="Good",10,0)</f>
        <v/>
      </c>
      <c r="AV400" s="30" t="n"/>
      <c r="AW400" s="30">
        <f>IF(AV400="Yes for more than 2 years",10,IF(AV400="Yes only for next 1 to 2 years",5,0))</f>
        <v/>
      </c>
      <c r="AX400" s="30" t="n"/>
      <c r="AY400" s="30">
        <f>IF(AX400="Above 40",20,IF(AX400="20 to 40",10,IF(AX400="0 to 20",-5,0)))</f>
        <v/>
      </c>
      <c r="AZ400" s="30" t="n"/>
      <c r="BA400" s="30">
        <f>IF(AZ400="Between 50 to 75",10,IF(AZ400="Above 75",0,0))</f>
        <v/>
      </c>
      <c r="BB400" s="30" t="n"/>
      <c r="BC400" s="30">
        <f>IF(BB400="Stage 2",20,IF(BB400="Stage 1",0,IF(BB400="Stage 3",5,IF(BB400="Stage 4",-5,0))))</f>
        <v/>
      </c>
      <c r="BD400" s="30" t="n"/>
      <c r="BE400" s="30">
        <f>IF(BD400="Positive Trend",20,IF(BD400="Negative Trend",-10,0))</f>
        <v/>
      </c>
      <c r="BF400" s="30" t="n"/>
      <c r="BG400" s="30">
        <f>IF(BF400="Uptrend",10,IF(BF400="Sideways",5,0))</f>
        <v/>
      </c>
      <c r="BH400" s="30" t="n"/>
      <c r="BI400" s="30">
        <f>IF(BH400="Uptrend",10,IF(BH400="Sideways",5,0))</f>
        <v/>
      </c>
      <c r="BJ400" s="30" t="n"/>
      <c r="BK400" s="30">
        <f>IF(BJ400="Overhead supply in last 2 years in last 2 years",-5,IF(BJ400="Close to 52 week high or retracement",5,IF(BJ400="Blue sky scenario",10,IF(BJ400="Long term Downtrend",-10,0))))</f>
        <v/>
      </c>
      <c r="BL400" s="30" t="n"/>
      <c r="BM400" s="30">
        <f>IF(BL400="Yes",10,0)</f>
        <v/>
      </c>
      <c r="BN400" s="30" t="n"/>
      <c r="BO400" s="30">
        <f>IF(BN400="More than 20%",10,IF(BN400="Between 12 to 20%",5,IF(BN400="Less than 12%",0,0)))</f>
        <v/>
      </c>
      <c r="BP400" s="30" t="n"/>
      <c r="BQ400" s="30">
        <f>IF(BP400="No",10,0)</f>
        <v/>
      </c>
      <c r="BR400" s="30" t="n"/>
      <c r="BS400" s="30">
        <f>IF(BR400="NO",5,0)</f>
        <v/>
      </c>
      <c r="BT400" s="30" t="n"/>
      <c r="BU400" s="30">
        <f>IF(BT400="Above 2",0,IF(BT400="Between 1.5 to 2",5,IF(BT400="Less than 1.5",10,0)))</f>
        <v/>
      </c>
      <c r="BV400" s="30" t="n"/>
      <c r="BW400" s="30">
        <f>IF(BV400="Above 70%",10,IF(BV400="Between 50% to 70%",5,IF(BV400="Less than 50%",0,IF(BV400="Negative",-10,IF(BV400="Less than 50% and Borrowings are increasing",-5,0)))))</f>
        <v/>
      </c>
      <c r="BX400" s="30" t="n"/>
      <c r="BY400" s="30">
        <f>IF(BX400="More than 1.2",-10,IF(BX400="Between 0.7 to 1.2",0,IF(BX400="Less than 0.7",10,0)))</f>
        <v/>
      </c>
      <c r="BZ400" s="30" t="n"/>
      <c r="CA400" s="30">
        <f>IF(BZ400="Yes",-10,0)</f>
        <v/>
      </c>
      <c r="CB400" s="30" t="n"/>
      <c r="CC400" s="30">
        <f>IF(CB400="More than 15%",-10,IF(CB400="Less than 15%",10,0))</f>
        <v/>
      </c>
      <c r="CD400" s="30" t="n"/>
      <c r="CE400" s="30">
        <f>IF(CD400="Yes, more than 10%",-10,IF(CD400="No",10,0))</f>
        <v/>
      </c>
    </row>
    <row r="401">
      <c r="A401" s="30">
        <f>IF(B401=0,"",RANK(B401,$B$2:$B$427,0))</f>
        <v/>
      </c>
      <c r="B401" s="31">
        <f>SUM(N401,Y401,AA401,AC401,AE401,AG401,AI401,AK401,AM401,AO401,AQ401,AS401,AU401,AW401,AY401,BA401,BC401,BE401,BG401,BI401,BK401,BM401,BO401,BQ401,BS401,BU401,BW401,BY401,CA401,CC401,CE401)</f>
        <v/>
      </c>
      <c r="C401" s="30" t="inlineStr">
        <is>
          <t>MUNJALAU</t>
        </is>
      </c>
      <c r="D401" s="30" t="inlineStr">
        <is>
          <t>Munjal Auto Industries Limited</t>
        </is>
      </c>
      <c r="E401" s="30" t="inlineStr">
        <is>
          <t>auto</t>
        </is>
      </c>
      <c r="F401" s="30" t="inlineStr">
        <is>
          <t>auto ancillaries</t>
        </is>
      </c>
      <c r="G401" s="30" t="inlineStr">
        <is>
          <t>smallcap</t>
        </is>
      </c>
      <c r="H401" s="31" t="n">
        <v>971.3</v>
      </c>
      <c r="I401" s="31" t="n">
        <v>98.53</v>
      </c>
      <c r="J401" s="31" t="n">
        <v>1.44</v>
      </c>
      <c r="K401" s="31" t="n">
        <v>287280</v>
      </c>
      <c r="L401" s="30" t="inlineStr"/>
      <c r="M401" s="30" t="inlineStr"/>
      <c r="N401" s="31">
        <f>IF(M401="Underperforming",-5,IF(L401&gt;=95,15,IF(L401&gt;=90,10,IF(L401&gt;=80,5,0))))</f>
        <v/>
      </c>
      <c r="O401" s="31" t="inlineStr"/>
      <c r="P401" s="31" t="inlineStr"/>
      <c r="Q401" s="31" t="inlineStr"/>
      <c r="R401" s="30" t="inlineStr"/>
      <c r="S401" s="30" t="inlineStr"/>
      <c r="T401" s="31" t="inlineStr"/>
      <c r="U401" s="31" t="inlineStr"/>
      <c r="V401" s="31" t="inlineStr"/>
      <c r="W401" s="31" t="inlineStr"/>
      <c r="X401" s="30" t="n"/>
      <c r="Y401" s="30">
        <f>IF(X401="Growing Industry",10,IF(X401="Cyclical in an Upturn",5,0))</f>
        <v/>
      </c>
      <c r="Z401" s="30" t="n"/>
      <c r="AA401" s="30">
        <f>IF(Z401="Monopoly",10,IF(Z401="Oligopoly",5,IF(Z401="Duopoly that cooperate",10,IF(Z401="Duopoly that compete",5,IF(Z401="Too many players with High ROCE",5,0)))))</f>
        <v/>
      </c>
      <c r="AB401" s="30" t="n"/>
      <c r="AC401" s="30">
        <f>IF(AB401="No",5,0)</f>
        <v/>
      </c>
      <c r="AD401" s="30" t="n"/>
      <c r="AE401" s="30">
        <f>IF(AD401="Tailwind",10,0)</f>
        <v/>
      </c>
      <c r="AF401" s="30" t="n"/>
      <c r="AG401" s="30">
        <f>IF(AF401="Structural (10 Years Consistency)",10,IF(AF401="Shallow Cyclical (2 to 3 years growth)",5,0))</f>
        <v/>
      </c>
      <c r="AH401" s="30" t="n"/>
      <c r="AI401" s="30">
        <f>IF(AH401="Yes due to Product Mix change or Operating Leverage",10,IF(AH401="Yes, these are peak margins",-5,IF(AH401="No",5,0)))</f>
        <v/>
      </c>
      <c r="AJ401" s="30" t="n"/>
      <c r="AK401" s="30">
        <f>IF(AJ401="Stable",10,0)</f>
        <v/>
      </c>
      <c r="AL401" s="30" t="n"/>
      <c r="AM401" s="30">
        <f>IF(AL401="Yes",10,0)</f>
        <v/>
      </c>
      <c r="AN401" s="30" t="n"/>
      <c r="AO401" s="30">
        <f>IF(AN401="B2C",10,IF(AN401="B2B",5,0))</f>
        <v/>
      </c>
      <c r="AP401" s="30" t="n"/>
      <c r="AQ401" s="30">
        <f>IF(AP401="Yes",10,0)</f>
        <v/>
      </c>
      <c r="AR401" s="30" t="n"/>
      <c r="AS401" s="30">
        <f>IF(AR401="Fully Annuity",10,IF(AR401="Higher Annuity, Lower One Time",5,IF(AR401="Higher One Time, Lower Annuity",3,0)))</f>
        <v/>
      </c>
      <c r="AT401" s="30" t="n"/>
      <c r="AU401" s="30">
        <f>IF(AT401="Good",10,0)</f>
        <v/>
      </c>
      <c r="AV401" s="30" t="n"/>
      <c r="AW401" s="30">
        <f>IF(AV401="Yes for more than 2 years",10,IF(AV401="Yes only for next 1 to 2 years",5,0))</f>
        <v/>
      </c>
      <c r="AX401" s="30" t="n"/>
      <c r="AY401" s="30">
        <f>IF(AX401="Above 40",20,IF(AX401="20 to 40",10,IF(AX401="0 to 20",-5,0)))</f>
        <v/>
      </c>
      <c r="AZ401" s="30" t="n"/>
      <c r="BA401" s="30">
        <f>IF(AZ401="Between 50 to 75",10,IF(AZ401="Above 75",0,0))</f>
        <v/>
      </c>
      <c r="BB401" s="30" t="n"/>
      <c r="BC401" s="30">
        <f>IF(BB401="Stage 2",20,IF(BB401="Stage 1",0,IF(BB401="Stage 3",5,IF(BB401="Stage 4",-5,0))))</f>
        <v/>
      </c>
      <c r="BD401" s="30" t="n"/>
      <c r="BE401" s="30">
        <f>IF(BD401="Positive Trend",20,IF(BD401="Negative Trend",-10,0))</f>
        <v/>
      </c>
      <c r="BF401" s="30" t="n"/>
      <c r="BG401" s="30">
        <f>IF(BF401="Uptrend",10,IF(BF401="Sideways",5,0))</f>
        <v/>
      </c>
      <c r="BH401" s="30" t="n"/>
      <c r="BI401" s="30">
        <f>IF(BH401="Uptrend",10,IF(BH401="Sideways",5,0))</f>
        <v/>
      </c>
      <c r="BJ401" s="30" t="n"/>
      <c r="BK401" s="30">
        <f>IF(BJ401="Overhead supply in last 2 years in last 2 years",-5,IF(BJ401="Close to 52 week high or retracement",5,IF(BJ401="Blue sky scenario",10,IF(BJ401="Long term Downtrend",-10,0))))</f>
        <v/>
      </c>
      <c r="BL401" s="30" t="n"/>
      <c r="BM401" s="30">
        <f>IF(BL401="Yes",10,0)</f>
        <v/>
      </c>
      <c r="BN401" s="30" t="n"/>
      <c r="BO401" s="30">
        <f>IF(BN401="More than 20%",10,IF(BN401="Between 12 to 20%",5,IF(BN401="Less than 12%",0,0)))</f>
        <v/>
      </c>
      <c r="BP401" s="30" t="n"/>
      <c r="BQ401" s="30">
        <f>IF(BP401="No",10,0)</f>
        <v/>
      </c>
      <c r="BR401" s="30" t="n"/>
      <c r="BS401" s="30">
        <f>IF(BR401="NO",5,0)</f>
        <v/>
      </c>
      <c r="BT401" s="30" t="n"/>
      <c r="BU401" s="30">
        <f>IF(BT401="Above 2",0,IF(BT401="Between 1.5 to 2",5,IF(BT401="Less than 1.5",10,0)))</f>
        <v/>
      </c>
      <c r="BV401" s="30" t="n"/>
      <c r="BW401" s="30">
        <f>IF(BV401="Above 70%",10,IF(BV401="Between 50% to 70%",5,IF(BV401="Less than 50%",0,IF(BV401="Negative",-10,IF(BV401="Less than 50% and Borrowings are increasing",-5,0)))))</f>
        <v/>
      </c>
      <c r="BX401" s="30" t="n"/>
      <c r="BY401" s="30">
        <f>IF(BX401="More than 1.2",-10,IF(BX401="Between 0.7 to 1.2",0,IF(BX401="Less than 0.7",10,0)))</f>
        <v/>
      </c>
      <c r="BZ401" s="30" t="n"/>
      <c r="CA401" s="30">
        <f>IF(BZ401="Yes",-10,0)</f>
        <v/>
      </c>
      <c r="CB401" s="30" t="n"/>
      <c r="CC401" s="30">
        <f>IF(CB401="More than 15%",-10,IF(CB401="Less than 15%",10,0))</f>
        <v/>
      </c>
      <c r="CD401" s="30" t="n"/>
      <c r="CE401" s="30">
        <f>IF(CD401="Yes, more than 10%",-10,IF(CD401="No",10,0))</f>
        <v/>
      </c>
    </row>
    <row r="402">
      <c r="A402" s="30">
        <f>IF(B402=0,"",RANK(B402,$B$2:$B$427,0))</f>
        <v/>
      </c>
      <c r="B402" s="31">
        <f>SUM(N402,Y402,AA402,AC402,AE402,AG402,AI402,AK402,AM402,AO402,AQ402,AS402,AU402,AW402,AY402,BA402,BC402,BE402,BG402,BI402,BK402,BM402,BO402,BQ402,BS402,BU402,BW402,BY402,CA402,CC402,CE402)</f>
        <v/>
      </c>
      <c r="C402" s="30" t="inlineStr">
        <is>
          <t>JASH</t>
        </is>
      </c>
      <c r="D402" s="30" t="inlineStr">
        <is>
          <t>Jash Engineering Ltd</t>
        </is>
      </c>
      <c r="E402" s="30" t="inlineStr">
        <is>
          <t>industrials</t>
        </is>
      </c>
      <c r="F402" s="30" t="inlineStr">
        <is>
          <t>engineering</t>
        </is>
      </c>
      <c r="G402" s="30" t="inlineStr">
        <is>
          <t>smallcap</t>
        </is>
      </c>
      <c r="H402" s="31" t="n">
        <v>3118.61</v>
      </c>
      <c r="I402" s="31" t="n">
        <v>500.05</v>
      </c>
      <c r="J402" s="31" t="n">
        <v>1.33</v>
      </c>
      <c r="K402" s="31" t="n">
        <v>115531</v>
      </c>
      <c r="L402" s="30" t="inlineStr"/>
      <c r="M402" s="30" t="inlineStr"/>
      <c r="N402" s="31">
        <f>IF(M402="Underperforming",-5,IF(L402&gt;=95,15,IF(L402&gt;=90,10,IF(L402&gt;=80,5,0))))</f>
        <v/>
      </c>
      <c r="O402" s="31" t="inlineStr"/>
      <c r="P402" s="31" t="inlineStr"/>
      <c r="Q402" s="31" t="inlineStr"/>
      <c r="R402" s="30" t="inlineStr"/>
      <c r="S402" s="30" t="inlineStr"/>
      <c r="T402" s="31" t="inlineStr"/>
      <c r="U402" s="31" t="inlineStr"/>
      <c r="V402" s="31" t="inlineStr"/>
      <c r="W402" s="31" t="inlineStr"/>
      <c r="X402" s="30" t="n"/>
      <c r="Y402" s="30">
        <f>IF(X402="Growing Industry",10,IF(X402="Cyclical in an Upturn",5,0))</f>
        <v/>
      </c>
      <c r="Z402" s="30" t="n"/>
      <c r="AA402" s="30">
        <f>IF(Z402="Monopoly",10,IF(Z402="Oligopoly",5,IF(Z402="Duopoly that cooperate",10,IF(Z402="Duopoly that compete",5,IF(Z402="Too many players with High ROCE",5,0)))))</f>
        <v/>
      </c>
      <c r="AB402" s="30" t="n"/>
      <c r="AC402" s="30">
        <f>IF(AB402="No",5,0)</f>
        <v/>
      </c>
      <c r="AD402" s="30" t="n"/>
      <c r="AE402" s="30">
        <f>IF(AD402="Tailwind",10,0)</f>
        <v/>
      </c>
      <c r="AF402" s="30" t="n"/>
      <c r="AG402" s="30">
        <f>IF(AF402="Structural (10 Years Consistency)",10,IF(AF402="Shallow Cyclical (2 to 3 years growth)",5,0))</f>
        <v/>
      </c>
      <c r="AH402" s="30" t="n"/>
      <c r="AI402" s="30">
        <f>IF(AH402="Yes due to Product Mix change or Operating Leverage",10,IF(AH402="Yes, these are peak margins",-5,IF(AH402="No",5,0)))</f>
        <v/>
      </c>
      <c r="AJ402" s="30" t="n"/>
      <c r="AK402" s="30">
        <f>IF(AJ402="Stable",10,0)</f>
        <v/>
      </c>
      <c r="AL402" s="30" t="n"/>
      <c r="AM402" s="30">
        <f>IF(AL402="Yes",10,0)</f>
        <v/>
      </c>
      <c r="AN402" s="30" t="n"/>
      <c r="AO402" s="30">
        <f>IF(AN402="B2C",10,IF(AN402="B2B",5,0))</f>
        <v/>
      </c>
      <c r="AP402" s="30" t="n"/>
      <c r="AQ402" s="30">
        <f>IF(AP402="Yes",10,0)</f>
        <v/>
      </c>
      <c r="AR402" s="30" t="n"/>
      <c r="AS402" s="30">
        <f>IF(AR402="Fully Annuity",10,IF(AR402="Higher Annuity, Lower One Time",5,IF(AR402="Higher One Time, Lower Annuity",3,0)))</f>
        <v/>
      </c>
      <c r="AT402" s="30" t="n"/>
      <c r="AU402" s="30">
        <f>IF(AT402="Good",10,0)</f>
        <v/>
      </c>
      <c r="AV402" s="30" t="n"/>
      <c r="AW402" s="30">
        <f>IF(AV402="Yes for more than 2 years",10,IF(AV402="Yes only for next 1 to 2 years",5,0))</f>
        <v/>
      </c>
      <c r="AX402" s="30" t="n"/>
      <c r="AY402" s="30">
        <f>IF(AX402="Above 40",20,IF(AX402="20 to 40",10,IF(AX402="0 to 20",-5,0)))</f>
        <v/>
      </c>
      <c r="AZ402" s="30" t="n"/>
      <c r="BA402" s="30">
        <f>IF(AZ402="Between 50 to 75",10,IF(AZ402="Above 75",0,0))</f>
        <v/>
      </c>
      <c r="BB402" s="30" t="n"/>
      <c r="BC402" s="30">
        <f>IF(BB402="Stage 2",20,IF(BB402="Stage 1",0,IF(BB402="Stage 3",5,IF(BB402="Stage 4",-5,0))))</f>
        <v/>
      </c>
      <c r="BD402" s="30" t="n"/>
      <c r="BE402" s="30">
        <f>IF(BD402="Positive Trend",20,IF(BD402="Negative Trend",-10,0))</f>
        <v/>
      </c>
      <c r="BF402" s="30" t="n"/>
      <c r="BG402" s="30">
        <f>IF(BF402="Uptrend",10,IF(BF402="Sideways",5,0))</f>
        <v/>
      </c>
      <c r="BH402" s="30" t="n"/>
      <c r="BI402" s="30">
        <f>IF(BH402="Uptrend",10,IF(BH402="Sideways",5,0))</f>
        <v/>
      </c>
      <c r="BJ402" s="30" t="n"/>
      <c r="BK402" s="30">
        <f>IF(BJ402="Overhead supply in last 2 years in last 2 years",-5,IF(BJ402="Close to 52 week high or retracement",5,IF(BJ402="Blue sky scenario",10,IF(BJ402="Long term Downtrend",-10,0))))</f>
        <v/>
      </c>
      <c r="BL402" s="30" t="n"/>
      <c r="BM402" s="30">
        <f>IF(BL402="Yes",10,0)</f>
        <v/>
      </c>
      <c r="BN402" s="30" t="n"/>
      <c r="BO402" s="30">
        <f>IF(BN402="More than 20%",10,IF(BN402="Between 12 to 20%",5,IF(BN402="Less than 12%",0,0)))</f>
        <v/>
      </c>
      <c r="BP402" s="30" t="n"/>
      <c r="BQ402" s="30">
        <f>IF(BP402="No",10,0)</f>
        <v/>
      </c>
      <c r="BR402" s="30" t="n"/>
      <c r="BS402" s="30">
        <f>IF(BR402="NO",5,0)</f>
        <v/>
      </c>
      <c r="BT402" s="30" t="n"/>
      <c r="BU402" s="30">
        <f>IF(BT402="Above 2",0,IF(BT402="Between 1.5 to 2",5,IF(BT402="Less than 1.5",10,0)))</f>
        <v/>
      </c>
      <c r="BV402" s="30" t="n"/>
      <c r="BW402" s="30">
        <f>IF(BV402="Above 70%",10,IF(BV402="Between 50% to 70%",5,IF(BV402="Less than 50%",0,IF(BV402="Negative",-10,IF(BV402="Less than 50% and Borrowings are increasing",-5,0)))))</f>
        <v/>
      </c>
      <c r="BX402" s="30" t="n"/>
      <c r="BY402" s="30">
        <f>IF(BX402="More than 1.2",-10,IF(BX402="Between 0.7 to 1.2",0,IF(BX402="Less than 0.7",10,0)))</f>
        <v/>
      </c>
      <c r="BZ402" s="30" t="n"/>
      <c r="CA402" s="30">
        <f>IF(BZ402="Yes",-10,0)</f>
        <v/>
      </c>
      <c r="CB402" s="30" t="n"/>
      <c r="CC402" s="30">
        <f>IF(CB402="More than 15%",-10,IF(CB402="Less than 15%",10,0))</f>
        <v/>
      </c>
      <c r="CD402" s="30" t="n"/>
      <c r="CE402" s="30">
        <f>IF(CD402="Yes, more than 10%",-10,IF(CD402="No",10,0))</f>
        <v/>
      </c>
    </row>
    <row r="403">
      <c r="A403" s="30">
        <f>IF(B403=0,"",RANK(B403,$B$2:$B$427,0))</f>
        <v/>
      </c>
      <c r="B403" s="31">
        <f>SUM(N403,Y403,AA403,AC403,AE403,AG403,AI403,AK403,AM403,AO403,AQ403,AS403,AU403,AW403,AY403,BA403,BC403,BE403,BG403,BI403,BK403,BM403,BO403,BQ403,BS403,BU403,BW403,BY403,CA403,CC403,CE403)</f>
        <v/>
      </c>
      <c r="C403" s="30" t="inlineStr">
        <is>
          <t>SUZLON</t>
        </is>
      </c>
      <c r="D403" s="30" t="inlineStr">
        <is>
          <t>Suzlon Energy Limited</t>
        </is>
      </c>
      <c r="E403" s="30" t="inlineStr">
        <is>
          <t>industrials</t>
        </is>
      </c>
      <c r="F403" s="30" t="inlineStr">
        <is>
          <t>electric equipment</t>
        </is>
      </c>
      <c r="G403" s="30" t="inlineStr">
        <is>
          <t>largecap</t>
        </is>
      </c>
      <c r="H403" s="31" t="n">
        <v>80148.61</v>
      </c>
      <c r="I403" s="31" t="n">
        <v>59.2</v>
      </c>
      <c r="J403" s="31" t="n">
        <v>1.3</v>
      </c>
      <c r="K403" s="31" t="n">
        <v>139917727</v>
      </c>
      <c r="L403" s="30" t="inlineStr"/>
      <c r="M403" s="30" t="inlineStr"/>
      <c r="N403" s="31">
        <f>IF(M403="Underperforming",-5,IF(L403&gt;=95,15,IF(L403&gt;=90,10,IF(L403&gt;=80,5,0))))</f>
        <v/>
      </c>
      <c r="O403" s="31" t="inlineStr"/>
      <c r="P403" s="31" t="inlineStr"/>
      <c r="Q403" s="31" t="inlineStr"/>
      <c r="R403" s="30" t="inlineStr"/>
      <c r="S403" s="30" t="inlineStr"/>
      <c r="T403" s="31" t="inlineStr"/>
      <c r="U403" s="31" t="inlineStr"/>
      <c r="V403" s="31" t="inlineStr"/>
      <c r="W403" s="31" t="inlineStr"/>
      <c r="X403" s="30" t="n"/>
      <c r="Y403" s="30">
        <f>IF(X403="Growing Industry",10,IF(X403="Cyclical in an Upturn",5,0))</f>
        <v/>
      </c>
      <c r="Z403" s="30" t="n"/>
      <c r="AA403" s="30">
        <f>IF(Z403="Monopoly",10,IF(Z403="Oligopoly",5,IF(Z403="Duopoly that cooperate",10,IF(Z403="Duopoly that compete",5,IF(Z403="Too many players with High ROCE",5,0)))))</f>
        <v/>
      </c>
      <c r="AB403" s="30" t="n"/>
      <c r="AC403" s="30">
        <f>IF(AB403="No",5,0)</f>
        <v/>
      </c>
      <c r="AD403" s="30" t="n"/>
      <c r="AE403" s="30">
        <f>IF(AD403="Tailwind",10,0)</f>
        <v/>
      </c>
      <c r="AF403" s="30" t="n"/>
      <c r="AG403" s="30">
        <f>IF(AF403="Structural (10 Years Consistency)",10,IF(AF403="Shallow Cyclical (2 to 3 years growth)",5,0))</f>
        <v/>
      </c>
      <c r="AH403" s="30" t="n"/>
      <c r="AI403" s="30">
        <f>IF(AH403="Yes due to Product Mix change or Operating Leverage",10,IF(AH403="Yes, these are peak margins",-5,IF(AH403="No",5,0)))</f>
        <v/>
      </c>
      <c r="AJ403" s="30" t="n"/>
      <c r="AK403" s="30">
        <f>IF(AJ403="Stable",10,0)</f>
        <v/>
      </c>
      <c r="AL403" s="30" t="n"/>
      <c r="AM403" s="30">
        <f>IF(AL403="Yes",10,0)</f>
        <v/>
      </c>
      <c r="AN403" s="30" t="n"/>
      <c r="AO403" s="30">
        <f>IF(AN403="B2C",10,IF(AN403="B2B",5,0))</f>
        <v/>
      </c>
      <c r="AP403" s="30" t="n"/>
      <c r="AQ403" s="30">
        <f>IF(AP403="Yes",10,0)</f>
        <v/>
      </c>
      <c r="AR403" s="30" t="n"/>
      <c r="AS403" s="30">
        <f>IF(AR403="Fully Annuity",10,IF(AR403="Higher Annuity, Lower One Time",5,IF(AR403="Higher One Time, Lower Annuity",3,0)))</f>
        <v/>
      </c>
      <c r="AT403" s="30" t="n"/>
      <c r="AU403" s="30">
        <f>IF(AT403="Good",10,0)</f>
        <v/>
      </c>
      <c r="AV403" s="30" t="n"/>
      <c r="AW403" s="30">
        <f>IF(AV403="Yes for more than 2 years",10,IF(AV403="Yes only for next 1 to 2 years",5,0))</f>
        <v/>
      </c>
      <c r="AX403" s="30" t="n"/>
      <c r="AY403" s="30">
        <f>IF(AX403="Above 40",20,IF(AX403="20 to 40",10,IF(AX403="0 to 20",-5,0)))</f>
        <v/>
      </c>
      <c r="AZ403" s="30" t="n"/>
      <c r="BA403" s="30">
        <f>IF(AZ403="Between 50 to 75",10,IF(AZ403="Above 75",0,0))</f>
        <v/>
      </c>
      <c r="BB403" s="30" t="n"/>
      <c r="BC403" s="30">
        <f>IF(BB403="Stage 2",20,IF(BB403="Stage 1",0,IF(BB403="Stage 3",5,IF(BB403="Stage 4",-5,0))))</f>
        <v/>
      </c>
      <c r="BD403" s="30" t="n"/>
      <c r="BE403" s="30">
        <f>IF(BD403="Positive Trend",20,IF(BD403="Negative Trend",-10,0))</f>
        <v/>
      </c>
      <c r="BF403" s="30" t="n"/>
      <c r="BG403" s="30">
        <f>IF(BF403="Uptrend",10,IF(BF403="Sideways",5,0))</f>
        <v/>
      </c>
      <c r="BH403" s="30" t="n"/>
      <c r="BI403" s="30">
        <f>IF(BH403="Uptrend",10,IF(BH403="Sideways",5,0))</f>
        <v/>
      </c>
      <c r="BJ403" s="30" t="n"/>
      <c r="BK403" s="30">
        <f>IF(BJ403="Overhead supply in last 2 years in last 2 years",-5,IF(BJ403="Close to 52 week high or retracement",5,IF(BJ403="Blue sky scenario",10,IF(BJ403="Long term Downtrend",-10,0))))</f>
        <v/>
      </c>
      <c r="BL403" s="30" t="n"/>
      <c r="BM403" s="30">
        <f>IF(BL403="Yes",10,0)</f>
        <v/>
      </c>
      <c r="BN403" s="30" t="n"/>
      <c r="BO403" s="30">
        <f>IF(BN403="More than 20%",10,IF(BN403="Between 12 to 20%",5,IF(BN403="Less than 12%",0,0)))</f>
        <v/>
      </c>
      <c r="BP403" s="30" t="n"/>
      <c r="BQ403" s="30">
        <f>IF(BP403="No",10,0)</f>
        <v/>
      </c>
      <c r="BR403" s="30" t="n"/>
      <c r="BS403" s="30">
        <f>IF(BR403="NO",5,0)</f>
        <v/>
      </c>
      <c r="BT403" s="30" t="n"/>
      <c r="BU403" s="30">
        <f>IF(BT403="Above 2",0,IF(BT403="Between 1.5 to 2",5,IF(BT403="Less than 1.5",10,0)))</f>
        <v/>
      </c>
      <c r="BV403" s="30" t="n"/>
      <c r="BW403" s="30">
        <f>IF(BV403="Above 70%",10,IF(BV403="Between 50% to 70%",5,IF(BV403="Less than 50%",0,IF(BV403="Negative",-10,IF(BV403="Less than 50% and Borrowings are increasing",-5,0)))))</f>
        <v/>
      </c>
      <c r="BX403" s="30" t="n"/>
      <c r="BY403" s="30">
        <f>IF(BX403="More than 1.2",-10,IF(BX403="Between 0.7 to 1.2",0,IF(BX403="Less than 0.7",10,0)))</f>
        <v/>
      </c>
      <c r="BZ403" s="30" t="n"/>
      <c r="CA403" s="30">
        <f>IF(BZ403="Yes",-10,0)</f>
        <v/>
      </c>
      <c r="CB403" s="30" t="n"/>
      <c r="CC403" s="30">
        <f>IF(CB403="More than 15%",-10,IF(CB403="Less than 15%",10,0))</f>
        <v/>
      </c>
      <c r="CD403" s="30" t="n"/>
      <c r="CE403" s="30">
        <f>IF(CD403="Yes, more than 10%",-10,IF(CD403="No",10,0))</f>
        <v/>
      </c>
    </row>
    <row r="404">
      <c r="A404" s="30">
        <f>IF(B404=0,"",RANK(B404,$B$2:$B$427,0))</f>
        <v/>
      </c>
      <c r="B404" s="31">
        <f>SUM(N404,Y404,AA404,AC404,AE404,AG404,AI404,AK404,AM404,AO404,AQ404,AS404,AU404,AW404,AY404,BA404,BC404,BE404,BG404,BI404,BK404,BM404,BO404,BQ404,BS404,BU404,BW404,BY404,CA404,CC404,CE404)</f>
        <v/>
      </c>
      <c r="C404" s="30" t="inlineStr">
        <is>
          <t>NBCC</t>
        </is>
      </c>
      <c r="D404" s="30" t="inlineStr">
        <is>
          <t>Nbcc (india) Limited</t>
        </is>
      </c>
      <c r="E404" s="30" t="inlineStr">
        <is>
          <t>miscellaneous</t>
        </is>
      </c>
      <c r="F404" s="30" t="inlineStr">
        <is>
          <t>miscellaneous</t>
        </is>
      </c>
      <c r="G404" s="30" t="inlineStr">
        <is>
          <t>largecap</t>
        </is>
      </c>
      <c r="H404" s="31" t="n">
        <v>29740.5</v>
      </c>
      <c r="I404" s="31" t="n">
        <v>111.45</v>
      </c>
      <c r="J404" s="31" t="n">
        <v>1.18</v>
      </c>
      <c r="K404" s="31" t="n">
        <v>21519579</v>
      </c>
      <c r="L404" s="30" t="inlineStr"/>
      <c r="M404" s="30" t="inlineStr"/>
      <c r="N404" s="31">
        <f>IF(M404="Underperforming",-5,IF(L404&gt;=95,15,IF(L404&gt;=90,10,IF(L404&gt;=80,5,0))))</f>
        <v/>
      </c>
      <c r="O404" s="31" t="inlineStr"/>
      <c r="P404" s="31" t="inlineStr"/>
      <c r="Q404" s="31" t="inlineStr"/>
      <c r="R404" s="30" t="inlineStr"/>
      <c r="S404" s="30" t="inlineStr"/>
      <c r="T404" s="31" t="inlineStr"/>
      <c r="U404" s="31" t="inlineStr"/>
      <c r="V404" s="31" t="inlineStr"/>
      <c r="W404" s="31" t="inlineStr"/>
      <c r="X404" s="30" t="n"/>
      <c r="Y404" s="30">
        <f>IF(X404="Growing Industry",10,IF(X404="Cyclical in an Upturn",5,0))</f>
        <v/>
      </c>
      <c r="Z404" s="30" t="n"/>
      <c r="AA404" s="30">
        <f>IF(Z404="Monopoly",10,IF(Z404="Oligopoly",5,IF(Z404="Duopoly that cooperate",10,IF(Z404="Duopoly that compete",5,IF(Z404="Too many players with High ROCE",5,0)))))</f>
        <v/>
      </c>
      <c r="AB404" s="30" t="n"/>
      <c r="AC404" s="30">
        <f>IF(AB404="No",5,0)</f>
        <v/>
      </c>
      <c r="AD404" s="30" t="n"/>
      <c r="AE404" s="30">
        <f>IF(AD404="Tailwind",10,0)</f>
        <v/>
      </c>
      <c r="AF404" s="30" t="n"/>
      <c r="AG404" s="30">
        <f>IF(AF404="Structural (10 Years Consistency)",10,IF(AF404="Shallow Cyclical (2 to 3 years growth)",5,0))</f>
        <v/>
      </c>
      <c r="AH404" s="30" t="n"/>
      <c r="AI404" s="30">
        <f>IF(AH404="Yes due to Product Mix change or Operating Leverage",10,IF(AH404="Yes, these are peak margins",-5,IF(AH404="No",5,0)))</f>
        <v/>
      </c>
      <c r="AJ404" s="30" t="n"/>
      <c r="AK404" s="30">
        <f>IF(AJ404="Stable",10,0)</f>
        <v/>
      </c>
      <c r="AL404" s="30" t="n"/>
      <c r="AM404" s="30">
        <f>IF(AL404="Yes",10,0)</f>
        <v/>
      </c>
      <c r="AN404" s="30" t="n"/>
      <c r="AO404" s="30">
        <f>IF(AN404="B2C",10,IF(AN404="B2B",5,0))</f>
        <v/>
      </c>
      <c r="AP404" s="30" t="n"/>
      <c r="AQ404" s="30">
        <f>IF(AP404="Yes",10,0)</f>
        <v/>
      </c>
      <c r="AR404" s="30" t="n"/>
      <c r="AS404" s="30">
        <f>IF(AR404="Fully Annuity",10,IF(AR404="Higher Annuity, Lower One Time",5,IF(AR404="Higher One Time, Lower Annuity",3,0)))</f>
        <v/>
      </c>
      <c r="AT404" s="30" t="n"/>
      <c r="AU404" s="30">
        <f>IF(AT404="Good",10,0)</f>
        <v/>
      </c>
      <c r="AV404" s="30" t="n"/>
      <c r="AW404" s="30">
        <f>IF(AV404="Yes for more than 2 years",10,IF(AV404="Yes only for next 1 to 2 years",5,0))</f>
        <v/>
      </c>
      <c r="AX404" s="30" t="n"/>
      <c r="AY404" s="30">
        <f>IF(AX404="Above 40",20,IF(AX404="20 to 40",10,IF(AX404="0 to 20",-5,0)))</f>
        <v/>
      </c>
      <c r="AZ404" s="30" t="n"/>
      <c r="BA404" s="30">
        <f>IF(AZ404="Between 50 to 75",10,IF(AZ404="Above 75",0,0))</f>
        <v/>
      </c>
      <c r="BB404" s="30" t="n"/>
      <c r="BC404" s="30">
        <f>IF(BB404="Stage 2",20,IF(BB404="Stage 1",0,IF(BB404="Stage 3",5,IF(BB404="Stage 4",-5,0))))</f>
        <v/>
      </c>
      <c r="BD404" s="30" t="n"/>
      <c r="BE404" s="30">
        <f>IF(BD404="Positive Trend",20,IF(BD404="Negative Trend",-10,0))</f>
        <v/>
      </c>
      <c r="BF404" s="30" t="n"/>
      <c r="BG404" s="30">
        <f>IF(BF404="Uptrend",10,IF(BF404="Sideways",5,0))</f>
        <v/>
      </c>
      <c r="BH404" s="30" t="n"/>
      <c r="BI404" s="30">
        <f>IF(BH404="Uptrend",10,IF(BH404="Sideways",5,0))</f>
        <v/>
      </c>
      <c r="BJ404" s="30" t="n"/>
      <c r="BK404" s="30">
        <f>IF(BJ404="Overhead supply in last 2 years in last 2 years",-5,IF(BJ404="Close to 52 week high or retracement",5,IF(BJ404="Blue sky scenario",10,IF(BJ404="Long term Downtrend",-10,0))))</f>
        <v/>
      </c>
      <c r="BL404" s="30" t="n"/>
      <c r="BM404" s="30">
        <f>IF(BL404="Yes",10,0)</f>
        <v/>
      </c>
      <c r="BN404" s="30" t="n"/>
      <c r="BO404" s="30">
        <f>IF(BN404="More than 20%",10,IF(BN404="Between 12 to 20%",5,IF(BN404="Less than 12%",0,0)))</f>
        <v/>
      </c>
      <c r="BP404" s="30" t="n"/>
      <c r="BQ404" s="30">
        <f>IF(BP404="No",10,0)</f>
        <v/>
      </c>
      <c r="BR404" s="30" t="n"/>
      <c r="BS404" s="30">
        <f>IF(BR404="NO",5,0)</f>
        <v/>
      </c>
      <c r="BT404" s="30" t="n"/>
      <c r="BU404" s="30">
        <f>IF(BT404="Above 2",0,IF(BT404="Between 1.5 to 2",5,IF(BT404="Less than 1.5",10,0)))</f>
        <v/>
      </c>
      <c r="BV404" s="30" t="n"/>
      <c r="BW404" s="30">
        <f>IF(BV404="Above 70%",10,IF(BV404="Between 50% to 70%",5,IF(BV404="Less than 50%",0,IF(BV404="Negative",-10,IF(BV404="Less than 50% and Borrowings are increasing",-5,0)))))</f>
        <v/>
      </c>
      <c r="BX404" s="30" t="n"/>
      <c r="BY404" s="30">
        <f>IF(BX404="More than 1.2",-10,IF(BX404="Between 0.7 to 1.2",0,IF(BX404="Less than 0.7",10,0)))</f>
        <v/>
      </c>
      <c r="BZ404" s="30" t="n"/>
      <c r="CA404" s="30">
        <f>IF(BZ404="Yes",-10,0)</f>
        <v/>
      </c>
      <c r="CB404" s="30" t="n"/>
      <c r="CC404" s="30">
        <f>IF(CB404="More than 15%",-10,IF(CB404="Less than 15%",10,0))</f>
        <v/>
      </c>
      <c r="CD404" s="30" t="n"/>
      <c r="CE404" s="30">
        <f>IF(CD404="Yes, more than 10%",-10,IF(CD404="No",10,0))</f>
        <v/>
      </c>
    </row>
    <row r="405">
      <c r="A405" s="30">
        <f>IF(B405=0,"",RANK(B405,$B$2:$B$427,0))</f>
        <v/>
      </c>
      <c r="B405" s="31">
        <f>SUM(N405,Y405,AA405,AC405,AE405,AG405,AI405,AK405,AM405,AO405,AQ405,AS405,AU405,AW405,AY405,BA405,BC405,BE405,BG405,BI405,BK405,BM405,BO405,BQ405,BS405,BU405,BW405,BY405,CA405,CC405,CE405)</f>
        <v/>
      </c>
      <c r="C405" s="30" t="inlineStr">
        <is>
          <t>CYIENTDLM</t>
        </is>
      </c>
      <c r="D405" s="30" t="inlineStr">
        <is>
          <t>Cyient DLM Ltd</t>
        </is>
      </c>
      <c r="E405" s="30" t="inlineStr">
        <is>
          <t>consumer discretionary</t>
        </is>
      </c>
      <c r="F405" s="30" t="inlineStr">
        <is>
          <t>electronics - components</t>
        </is>
      </c>
      <c r="G405" s="30" t="inlineStr">
        <is>
          <t>smallcap</t>
        </is>
      </c>
      <c r="H405" s="31" t="n">
        <v>3722.98</v>
      </c>
      <c r="I405" s="31" t="n">
        <v>473.65</v>
      </c>
      <c r="J405" s="31" t="n">
        <v>0.97</v>
      </c>
      <c r="K405" s="31" t="n">
        <v>195204</v>
      </c>
      <c r="L405" s="30" t="inlineStr"/>
      <c r="M405" s="30" t="inlineStr"/>
      <c r="N405" s="31">
        <f>IF(M405="Underperforming",-5,IF(L405&gt;=95,15,IF(L405&gt;=90,10,IF(L405&gt;=80,5,0))))</f>
        <v/>
      </c>
      <c r="O405" s="31" t="inlineStr"/>
      <c r="P405" s="31" t="inlineStr"/>
      <c r="Q405" s="31" t="inlineStr"/>
      <c r="R405" s="30" t="inlineStr"/>
      <c r="S405" s="30" t="inlineStr"/>
      <c r="T405" s="31" t="inlineStr"/>
      <c r="U405" s="31" t="inlineStr"/>
      <c r="V405" s="31" t="inlineStr"/>
      <c r="W405" s="31" t="inlineStr"/>
      <c r="X405" s="30" t="n"/>
      <c r="Y405" s="30">
        <f>IF(X405="Growing Industry",10,IF(X405="Cyclical in an Upturn",5,0))</f>
        <v/>
      </c>
      <c r="Z405" s="30" t="n"/>
      <c r="AA405" s="30">
        <f>IF(Z405="Monopoly",10,IF(Z405="Oligopoly",5,IF(Z405="Duopoly that cooperate",10,IF(Z405="Duopoly that compete",5,IF(Z405="Too many players with High ROCE",5,0)))))</f>
        <v/>
      </c>
      <c r="AB405" s="30" t="n"/>
      <c r="AC405" s="30">
        <f>IF(AB405="No",5,0)</f>
        <v/>
      </c>
      <c r="AD405" s="30" t="n"/>
      <c r="AE405" s="30">
        <f>IF(AD405="Tailwind",10,0)</f>
        <v/>
      </c>
      <c r="AF405" s="30" t="n"/>
      <c r="AG405" s="30">
        <f>IF(AF405="Structural (10 Years Consistency)",10,IF(AF405="Shallow Cyclical (2 to 3 years growth)",5,0))</f>
        <v/>
      </c>
      <c r="AH405" s="30" t="n"/>
      <c r="AI405" s="30">
        <f>IF(AH405="Yes due to Product Mix change or Operating Leverage",10,IF(AH405="Yes, these are peak margins",-5,IF(AH405="No",5,0)))</f>
        <v/>
      </c>
      <c r="AJ405" s="30" t="n"/>
      <c r="AK405" s="30">
        <f>IF(AJ405="Stable",10,0)</f>
        <v/>
      </c>
      <c r="AL405" s="30" t="n"/>
      <c r="AM405" s="30">
        <f>IF(AL405="Yes",10,0)</f>
        <v/>
      </c>
      <c r="AN405" s="30" t="n"/>
      <c r="AO405" s="30">
        <f>IF(AN405="B2C",10,IF(AN405="B2B",5,0))</f>
        <v/>
      </c>
      <c r="AP405" s="30" t="n"/>
      <c r="AQ405" s="30">
        <f>IF(AP405="Yes",10,0)</f>
        <v/>
      </c>
      <c r="AR405" s="30" t="n"/>
      <c r="AS405" s="30">
        <f>IF(AR405="Fully Annuity",10,IF(AR405="Higher Annuity, Lower One Time",5,IF(AR405="Higher One Time, Lower Annuity",3,0)))</f>
        <v/>
      </c>
      <c r="AT405" s="30" t="n"/>
      <c r="AU405" s="30">
        <f>IF(AT405="Good",10,0)</f>
        <v/>
      </c>
      <c r="AV405" s="30" t="n"/>
      <c r="AW405" s="30">
        <f>IF(AV405="Yes for more than 2 years",10,IF(AV405="Yes only for next 1 to 2 years",5,0))</f>
        <v/>
      </c>
      <c r="AX405" s="30" t="n"/>
      <c r="AY405" s="30">
        <f>IF(AX405="Above 40",20,IF(AX405="20 to 40",10,IF(AX405="0 to 20",-5,0)))</f>
        <v/>
      </c>
      <c r="AZ405" s="30" t="n"/>
      <c r="BA405" s="30">
        <f>IF(AZ405="Between 50 to 75",10,IF(AZ405="Above 75",0,0))</f>
        <v/>
      </c>
      <c r="BB405" s="30" t="n"/>
      <c r="BC405" s="30">
        <f>IF(BB405="Stage 2",20,IF(BB405="Stage 1",0,IF(BB405="Stage 3",5,IF(BB405="Stage 4",-5,0))))</f>
        <v/>
      </c>
      <c r="BD405" s="30" t="n"/>
      <c r="BE405" s="30">
        <f>IF(BD405="Positive Trend",20,IF(BD405="Negative Trend",-10,0))</f>
        <v/>
      </c>
      <c r="BF405" s="30" t="n"/>
      <c r="BG405" s="30">
        <f>IF(BF405="Uptrend",10,IF(BF405="Sideways",5,0))</f>
        <v/>
      </c>
      <c r="BH405" s="30" t="n"/>
      <c r="BI405" s="30">
        <f>IF(BH405="Uptrend",10,IF(BH405="Sideways",5,0))</f>
        <v/>
      </c>
      <c r="BJ405" s="30" t="n"/>
      <c r="BK405" s="30">
        <f>IF(BJ405="Overhead supply in last 2 years in last 2 years",-5,IF(BJ405="Close to 52 week high or retracement",5,IF(BJ405="Blue sky scenario",10,IF(BJ405="Long term Downtrend",-10,0))))</f>
        <v/>
      </c>
      <c r="BL405" s="30" t="n"/>
      <c r="BM405" s="30">
        <f>IF(BL405="Yes",10,0)</f>
        <v/>
      </c>
      <c r="BN405" s="30" t="n"/>
      <c r="BO405" s="30">
        <f>IF(BN405="More than 20%",10,IF(BN405="Between 12 to 20%",5,IF(BN405="Less than 12%",0,0)))</f>
        <v/>
      </c>
      <c r="BP405" s="30" t="n"/>
      <c r="BQ405" s="30">
        <f>IF(BP405="No",10,0)</f>
        <v/>
      </c>
      <c r="BR405" s="30" t="n"/>
      <c r="BS405" s="30">
        <f>IF(BR405="NO",5,0)</f>
        <v/>
      </c>
      <c r="BT405" s="30" t="n"/>
      <c r="BU405" s="30">
        <f>IF(BT405="Above 2",0,IF(BT405="Between 1.5 to 2",5,IF(BT405="Less than 1.5",10,0)))</f>
        <v/>
      </c>
      <c r="BV405" s="30" t="n"/>
      <c r="BW405" s="30">
        <f>IF(BV405="Above 70%",10,IF(BV405="Between 50% to 70%",5,IF(BV405="Less than 50%",0,IF(BV405="Negative",-10,IF(BV405="Less than 50% and Borrowings are increasing",-5,0)))))</f>
        <v/>
      </c>
      <c r="BX405" s="30" t="n"/>
      <c r="BY405" s="30">
        <f>IF(BX405="More than 1.2",-10,IF(BX405="Between 0.7 to 1.2",0,IF(BX405="Less than 0.7",10,0)))</f>
        <v/>
      </c>
      <c r="BZ405" s="30" t="n"/>
      <c r="CA405" s="30">
        <f>IF(BZ405="Yes",-10,0)</f>
        <v/>
      </c>
      <c r="CB405" s="30" t="n"/>
      <c r="CC405" s="30">
        <f>IF(CB405="More than 15%",-10,IF(CB405="Less than 15%",10,0))</f>
        <v/>
      </c>
      <c r="CD405" s="30" t="n"/>
      <c r="CE405" s="30">
        <f>IF(CD405="Yes, more than 10%",-10,IF(CD405="No",10,0))</f>
        <v/>
      </c>
    </row>
    <row r="406">
      <c r="A406" s="30">
        <f>IF(B406=0,"",RANK(B406,$B$2:$B$427,0))</f>
        <v/>
      </c>
      <c r="B406" s="31">
        <f>SUM(N406,Y406,AA406,AC406,AE406,AG406,AI406,AK406,AM406,AO406,AQ406,AS406,AU406,AW406,AY406,BA406,BC406,BE406,BG406,BI406,BK406,BM406,BO406,BQ406,BS406,BU406,BW406,BY406,CA406,CC406,CE406)</f>
        <v/>
      </c>
      <c r="C406" s="30" t="inlineStr">
        <is>
          <t>DBOL</t>
        </is>
      </c>
      <c r="D406" s="30" t="inlineStr">
        <is>
          <t>Dhampur Bio Organics Ltd</t>
        </is>
      </c>
      <c r="E406" s="30" t="inlineStr">
        <is>
          <t>fmcg</t>
        </is>
      </c>
      <c r="F406" s="30" t="inlineStr">
        <is>
          <t>sugar</t>
        </is>
      </c>
      <c r="G406" s="30" t="inlineStr">
        <is>
          <t>smallcap</t>
        </is>
      </c>
      <c r="H406" s="31" t="n">
        <v>772.42</v>
      </c>
      <c r="I406" s="31" t="n">
        <v>117.39</v>
      </c>
      <c r="J406" s="31" t="n">
        <v>0.89</v>
      </c>
      <c r="K406" s="31" t="n">
        <v>28996</v>
      </c>
      <c r="L406" s="30" t="inlineStr"/>
      <c r="M406" s="30" t="inlineStr"/>
      <c r="N406" s="31">
        <f>IF(M406="Underperforming",-5,IF(L406&gt;=95,15,IF(L406&gt;=90,10,IF(L406&gt;=80,5,0))))</f>
        <v/>
      </c>
      <c r="O406" s="31" t="inlineStr"/>
      <c r="P406" s="31" t="inlineStr"/>
      <c r="Q406" s="31" t="inlineStr"/>
      <c r="R406" s="30" t="inlineStr"/>
      <c r="S406" s="30" t="inlineStr"/>
      <c r="T406" s="31" t="inlineStr"/>
      <c r="U406" s="31" t="inlineStr"/>
      <c r="V406" s="31" t="inlineStr"/>
      <c r="W406" s="31" t="inlineStr"/>
      <c r="X406" s="30" t="n"/>
      <c r="Y406" s="30">
        <f>IF(X406="Growing Industry",10,IF(X406="Cyclical in an Upturn",5,0))</f>
        <v/>
      </c>
      <c r="Z406" s="30" t="n"/>
      <c r="AA406" s="30">
        <f>IF(Z406="Monopoly",10,IF(Z406="Oligopoly",5,IF(Z406="Duopoly that cooperate",10,IF(Z406="Duopoly that compete",5,IF(Z406="Too many players with High ROCE",5,0)))))</f>
        <v/>
      </c>
      <c r="AB406" s="30" t="n"/>
      <c r="AC406" s="30">
        <f>IF(AB406="No",5,0)</f>
        <v/>
      </c>
      <c r="AD406" s="30" t="n"/>
      <c r="AE406" s="30">
        <f>IF(AD406="Tailwind",10,0)</f>
        <v/>
      </c>
      <c r="AF406" s="30" t="n"/>
      <c r="AG406" s="30">
        <f>IF(AF406="Structural (10 Years Consistency)",10,IF(AF406="Shallow Cyclical (2 to 3 years growth)",5,0))</f>
        <v/>
      </c>
      <c r="AH406" s="30" t="n"/>
      <c r="AI406" s="30">
        <f>IF(AH406="Yes due to Product Mix change or Operating Leverage",10,IF(AH406="Yes, these are peak margins",-5,IF(AH406="No",5,0)))</f>
        <v/>
      </c>
      <c r="AJ406" s="30" t="n"/>
      <c r="AK406" s="30">
        <f>IF(AJ406="Stable",10,0)</f>
        <v/>
      </c>
      <c r="AL406" s="30" t="n"/>
      <c r="AM406" s="30">
        <f>IF(AL406="Yes",10,0)</f>
        <v/>
      </c>
      <c r="AN406" s="30" t="n"/>
      <c r="AO406" s="30">
        <f>IF(AN406="B2C",10,IF(AN406="B2B",5,0))</f>
        <v/>
      </c>
      <c r="AP406" s="30" t="n"/>
      <c r="AQ406" s="30">
        <f>IF(AP406="Yes",10,0)</f>
        <v/>
      </c>
      <c r="AR406" s="30" t="n"/>
      <c r="AS406" s="30">
        <f>IF(AR406="Fully Annuity",10,IF(AR406="Higher Annuity, Lower One Time",5,IF(AR406="Higher One Time, Lower Annuity",3,0)))</f>
        <v/>
      </c>
      <c r="AT406" s="30" t="n"/>
      <c r="AU406" s="30">
        <f>IF(AT406="Good",10,0)</f>
        <v/>
      </c>
      <c r="AV406" s="30" t="n"/>
      <c r="AW406" s="30">
        <f>IF(AV406="Yes for more than 2 years",10,IF(AV406="Yes only for next 1 to 2 years",5,0))</f>
        <v/>
      </c>
      <c r="AX406" s="30" t="n"/>
      <c r="AY406" s="30">
        <f>IF(AX406="Above 40",20,IF(AX406="20 to 40",10,IF(AX406="0 to 20",-5,0)))</f>
        <v/>
      </c>
      <c r="AZ406" s="30" t="n"/>
      <c r="BA406" s="30">
        <f>IF(AZ406="Between 50 to 75",10,IF(AZ406="Above 75",0,0))</f>
        <v/>
      </c>
      <c r="BB406" s="30" t="n"/>
      <c r="BC406" s="30">
        <f>IF(BB406="Stage 2",20,IF(BB406="Stage 1",0,IF(BB406="Stage 3",5,IF(BB406="Stage 4",-5,0))))</f>
        <v/>
      </c>
      <c r="BD406" s="30" t="n"/>
      <c r="BE406" s="30">
        <f>IF(BD406="Positive Trend",20,IF(BD406="Negative Trend",-10,0))</f>
        <v/>
      </c>
      <c r="BF406" s="30" t="n"/>
      <c r="BG406" s="30">
        <f>IF(BF406="Uptrend",10,IF(BF406="Sideways",5,0))</f>
        <v/>
      </c>
      <c r="BH406" s="30" t="n"/>
      <c r="BI406" s="30">
        <f>IF(BH406="Uptrend",10,IF(BH406="Sideways",5,0))</f>
        <v/>
      </c>
      <c r="BJ406" s="30" t="n"/>
      <c r="BK406" s="30">
        <f>IF(BJ406="Overhead supply in last 2 years in last 2 years",-5,IF(BJ406="Close to 52 week high or retracement",5,IF(BJ406="Blue sky scenario",10,IF(BJ406="Long term Downtrend",-10,0))))</f>
        <v/>
      </c>
      <c r="BL406" s="30" t="n"/>
      <c r="BM406" s="30">
        <f>IF(BL406="Yes",10,0)</f>
        <v/>
      </c>
      <c r="BN406" s="30" t="n"/>
      <c r="BO406" s="30">
        <f>IF(BN406="More than 20%",10,IF(BN406="Between 12 to 20%",5,IF(BN406="Less than 12%",0,0)))</f>
        <v/>
      </c>
      <c r="BP406" s="30" t="n"/>
      <c r="BQ406" s="30">
        <f>IF(BP406="No",10,0)</f>
        <v/>
      </c>
      <c r="BR406" s="30" t="n"/>
      <c r="BS406" s="30">
        <f>IF(BR406="NO",5,0)</f>
        <v/>
      </c>
      <c r="BT406" s="30" t="n"/>
      <c r="BU406" s="30">
        <f>IF(BT406="Above 2",0,IF(BT406="Between 1.5 to 2",5,IF(BT406="Less than 1.5",10,0)))</f>
        <v/>
      </c>
      <c r="BV406" s="30" t="n"/>
      <c r="BW406" s="30">
        <f>IF(BV406="Above 70%",10,IF(BV406="Between 50% to 70%",5,IF(BV406="Less than 50%",0,IF(BV406="Negative",-10,IF(BV406="Less than 50% and Borrowings are increasing",-5,0)))))</f>
        <v/>
      </c>
      <c r="BX406" s="30" t="n"/>
      <c r="BY406" s="30">
        <f>IF(BX406="More than 1.2",-10,IF(BX406="Between 0.7 to 1.2",0,IF(BX406="Less than 0.7",10,0)))</f>
        <v/>
      </c>
      <c r="BZ406" s="30" t="n"/>
      <c r="CA406" s="30">
        <f>IF(BZ406="Yes",-10,0)</f>
        <v/>
      </c>
      <c r="CB406" s="30" t="n"/>
      <c r="CC406" s="30">
        <f>IF(CB406="More than 15%",-10,IF(CB406="Less than 15%",10,0))</f>
        <v/>
      </c>
      <c r="CD406" s="30" t="n"/>
      <c r="CE406" s="30">
        <f>IF(CD406="Yes, more than 10%",-10,IF(CD406="No",10,0))</f>
        <v/>
      </c>
    </row>
    <row r="407">
      <c r="A407" s="30">
        <f>IF(B407=0,"",RANK(B407,$B$2:$B$427,0))</f>
        <v/>
      </c>
      <c r="B407" s="31">
        <f>SUM(N407,Y407,AA407,AC407,AE407,AG407,AI407,AK407,AM407,AO407,AQ407,AS407,AU407,AW407,AY407,BA407,BC407,BE407,BG407,BI407,BK407,BM407,BO407,BQ407,BS407,BU407,BW407,BY407,CA407,CC407,CE407)</f>
        <v/>
      </c>
      <c r="C407" s="30" t="inlineStr">
        <is>
          <t>PASUPTAC</t>
        </is>
      </c>
      <c r="D407" s="30" t="inlineStr">
        <is>
          <t>Pasupati Acrylon Ltd</t>
        </is>
      </c>
      <c r="E407" s="30" t="inlineStr">
        <is>
          <t>textiles</t>
        </is>
      </c>
      <c r="F407" s="30" t="inlineStr">
        <is>
          <t>textiles - manmade</t>
        </is>
      </c>
      <c r="G407" s="30" t="inlineStr">
        <is>
          <t>smallcap</t>
        </is>
      </c>
      <c r="H407" s="31" t="n">
        <v>596.21</v>
      </c>
      <c r="I407" s="31" t="n">
        <v>67.45</v>
      </c>
      <c r="J407" s="31" t="n">
        <v>0.84</v>
      </c>
      <c r="K407" s="31" t="n">
        <v>67775</v>
      </c>
      <c r="L407" s="30" t="inlineStr"/>
      <c r="M407" s="30" t="inlineStr"/>
      <c r="N407" s="31">
        <f>IF(M407="Underperforming",-5,IF(L407&gt;=95,15,IF(L407&gt;=90,10,IF(L407&gt;=80,5,0))))</f>
        <v/>
      </c>
      <c r="O407" s="31" t="inlineStr"/>
      <c r="P407" s="31" t="inlineStr"/>
      <c r="Q407" s="31" t="inlineStr"/>
      <c r="R407" s="30" t="inlineStr"/>
      <c r="S407" s="30" t="inlineStr"/>
      <c r="T407" s="31" t="inlineStr"/>
      <c r="U407" s="31" t="inlineStr"/>
      <c r="V407" s="31" t="inlineStr"/>
      <c r="W407" s="31" t="inlineStr"/>
      <c r="X407" s="30" t="n"/>
      <c r="Y407" s="30">
        <f>IF(X407="Growing Industry",10,IF(X407="Cyclical in an Upturn",5,0))</f>
        <v/>
      </c>
      <c r="Z407" s="30" t="n"/>
      <c r="AA407" s="30">
        <f>IF(Z407="Monopoly",10,IF(Z407="Oligopoly",5,IF(Z407="Duopoly that cooperate",10,IF(Z407="Duopoly that compete",5,IF(Z407="Too many players with High ROCE",5,0)))))</f>
        <v/>
      </c>
      <c r="AB407" s="30" t="n"/>
      <c r="AC407" s="30">
        <f>IF(AB407="No",5,0)</f>
        <v/>
      </c>
      <c r="AD407" s="30" t="n"/>
      <c r="AE407" s="30">
        <f>IF(AD407="Tailwind",10,0)</f>
        <v/>
      </c>
      <c r="AF407" s="30" t="n"/>
      <c r="AG407" s="30">
        <f>IF(AF407="Structural (10 Years Consistency)",10,IF(AF407="Shallow Cyclical (2 to 3 years growth)",5,0))</f>
        <v/>
      </c>
      <c r="AH407" s="30" t="n"/>
      <c r="AI407" s="30">
        <f>IF(AH407="Yes due to Product Mix change or Operating Leverage",10,IF(AH407="Yes, these are peak margins",-5,IF(AH407="No",5,0)))</f>
        <v/>
      </c>
      <c r="AJ407" s="30" t="n"/>
      <c r="AK407" s="30">
        <f>IF(AJ407="Stable",10,0)</f>
        <v/>
      </c>
      <c r="AL407" s="30" t="n"/>
      <c r="AM407" s="30">
        <f>IF(AL407="Yes",10,0)</f>
        <v/>
      </c>
      <c r="AN407" s="30" t="n"/>
      <c r="AO407" s="30">
        <f>IF(AN407="B2C",10,IF(AN407="B2B",5,0))</f>
        <v/>
      </c>
      <c r="AP407" s="30" t="n"/>
      <c r="AQ407" s="30">
        <f>IF(AP407="Yes",10,0)</f>
        <v/>
      </c>
      <c r="AR407" s="30" t="n"/>
      <c r="AS407" s="30">
        <f>IF(AR407="Fully Annuity",10,IF(AR407="Higher Annuity, Lower One Time",5,IF(AR407="Higher One Time, Lower Annuity",3,0)))</f>
        <v/>
      </c>
      <c r="AT407" s="30" t="n"/>
      <c r="AU407" s="30">
        <f>IF(AT407="Good",10,0)</f>
        <v/>
      </c>
      <c r="AV407" s="30" t="n"/>
      <c r="AW407" s="30">
        <f>IF(AV407="Yes for more than 2 years",10,IF(AV407="Yes only for next 1 to 2 years",5,0))</f>
        <v/>
      </c>
      <c r="AX407" s="30" t="n"/>
      <c r="AY407" s="30">
        <f>IF(AX407="Above 40",20,IF(AX407="20 to 40",10,IF(AX407="0 to 20",-5,0)))</f>
        <v/>
      </c>
      <c r="AZ407" s="30" t="n"/>
      <c r="BA407" s="30">
        <f>IF(AZ407="Between 50 to 75",10,IF(AZ407="Above 75",0,0))</f>
        <v/>
      </c>
      <c r="BB407" s="30" t="n"/>
      <c r="BC407" s="30">
        <f>IF(BB407="Stage 2",20,IF(BB407="Stage 1",0,IF(BB407="Stage 3",5,IF(BB407="Stage 4",-5,0))))</f>
        <v/>
      </c>
      <c r="BD407" s="30" t="n"/>
      <c r="BE407" s="30">
        <f>IF(BD407="Positive Trend",20,IF(BD407="Negative Trend",-10,0))</f>
        <v/>
      </c>
      <c r="BF407" s="30" t="n"/>
      <c r="BG407" s="30">
        <f>IF(BF407="Uptrend",10,IF(BF407="Sideways",5,0))</f>
        <v/>
      </c>
      <c r="BH407" s="30" t="n"/>
      <c r="BI407" s="30">
        <f>IF(BH407="Uptrend",10,IF(BH407="Sideways",5,0))</f>
        <v/>
      </c>
      <c r="BJ407" s="30" t="n"/>
      <c r="BK407" s="30">
        <f>IF(BJ407="Overhead supply in last 2 years in last 2 years",-5,IF(BJ407="Close to 52 week high or retracement",5,IF(BJ407="Blue sky scenario",10,IF(BJ407="Long term Downtrend",-10,0))))</f>
        <v/>
      </c>
      <c r="BL407" s="30" t="n"/>
      <c r="BM407" s="30">
        <f>IF(BL407="Yes",10,0)</f>
        <v/>
      </c>
      <c r="BN407" s="30" t="n"/>
      <c r="BO407" s="30">
        <f>IF(BN407="More than 20%",10,IF(BN407="Between 12 to 20%",5,IF(BN407="Less than 12%",0,0)))</f>
        <v/>
      </c>
      <c r="BP407" s="30" t="n"/>
      <c r="BQ407" s="30">
        <f>IF(BP407="No",10,0)</f>
        <v/>
      </c>
      <c r="BR407" s="30" t="n"/>
      <c r="BS407" s="30">
        <f>IF(BR407="NO",5,0)</f>
        <v/>
      </c>
      <c r="BT407" s="30" t="n"/>
      <c r="BU407" s="30">
        <f>IF(BT407="Above 2",0,IF(BT407="Between 1.5 to 2",5,IF(BT407="Less than 1.5",10,0)))</f>
        <v/>
      </c>
      <c r="BV407" s="30" t="n"/>
      <c r="BW407" s="30">
        <f>IF(BV407="Above 70%",10,IF(BV407="Between 50% to 70%",5,IF(BV407="Less than 50%",0,IF(BV407="Negative",-10,IF(BV407="Less than 50% and Borrowings are increasing",-5,0)))))</f>
        <v/>
      </c>
      <c r="BX407" s="30" t="n"/>
      <c r="BY407" s="30">
        <f>IF(BX407="More than 1.2",-10,IF(BX407="Between 0.7 to 1.2",0,IF(BX407="Less than 0.7",10,0)))</f>
        <v/>
      </c>
      <c r="BZ407" s="30" t="n"/>
      <c r="CA407" s="30">
        <f>IF(BZ407="Yes",-10,0)</f>
        <v/>
      </c>
      <c r="CB407" s="30" t="n"/>
      <c r="CC407" s="30">
        <f>IF(CB407="More than 15%",-10,IF(CB407="Less than 15%",10,0))</f>
        <v/>
      </c>
      <c r="CD407" s="30" t="n"/>
      <c r="CE407" s="30">
        <f>IF(CD407="Yes, more than 10%",-10,IF(CD407="No",10,0))</f>
        <v/>
      </c>
    </row>
    <row r="408">
      <c r="A408" s="30">
        <f>IF(B408=0,"",RANK(B408,$B$2:$B$427,0))</f>
        <v/>
      </c>
      <c r="B408" s="31">
        <f>SUM(N408,Y408,AA408,AC408,AE408,AG408,AI408,AK408,AM408,AO408,AQ408,AS408,AU408,AW408,AY408,BA408,BC408,BE408,BG408,BI408,BK408,BM408,BO408,BQ408,BS408,BU408,BW408,BY408,CA408,CC408,CE408)</f>
        <v/>
      </c>
      <c r="C408" s="30" t="inlineStr">
        <is>
          <t>RISHABH</t>
        </is>
      </c>
      <c r="D408" s="30" t="inlineStr">
        <is>
          <t>Rishabh Instruments Ltd</t>
        </is>
      </c>
      <c r="E408" s="30" t="inlineStr">
        <is>
          <t>industrials</t>
        </is>
      </c>
      <c r="F408" s="30" t="inlineStr">
        <is>
          <t>electric equipment</t>
        </is>
      </c>
      <c r="G408" s="30" t="inlineStr">
        <is>
          <t>smallcap</t>
        </is>
      </c>
      <c r="H408" s="31" t="n">
        <v>2213.5</v>
      </c>
      <c r="I408" s="31" t="n">
        <v>578.65</v>
      </c>
      <c r="J408" s="31" t="n">
        <v>0.77</v>
      </c>
      <c r="K408" s="31" t="n">
        <v>140658</v>
      </c>
      <c r="L408" s="30" t="inlineStr"/>
      <c r="M408" s="30" t="inlineStr"/>
      <c r="N408" s="31">
        <f>IF(M408="Underperforming",-5,IF(L408&gt;=95,15,IF(L408&gt;=90,10,IF(L408&gt;=80,5,0))))</f>
        <v/>
      </c>
      <c r="O408" s="31" t="inlineStr"/>
      <c r="P408" s="31" t="inlineStr"/>
      <c r="Q408" s="31" t="inlineStr"/>
      <c r="R408" s="30" t="inlineStr"/>
      <c r="S408" s="30" t="inlineStr"/>
      <c r="T408" s="31" t="inlineStr"/>
      <c r="U408" s="31" t="inlineStr"/>
      <c r="V408" s="31" t="inlineStr"/>
      <c r="W408" s="31" t="inlineStr"/>
      <c r="X408" s="30" t="n"/>
      <c r="Y408" s="30">
        <f>IF(X408="Growing Industry",10,IF(X408="Cyclical in an Upturn",5,0))</f>
        <v/>
      </c>
      <c r="Z408" s="30" t="n"/>
      <c r="AA408" s="30">
        <f>IF(Z408="Monopoly",10,IF(Z408="Oligopoly",5,IF(Z408="Duopoly that cooperate",10,IF(Z408="Duopoly that compete",5,IF(Z408="Too many players with High ROCE",5,0)))))</f>
        <v/>
      </c>
      <c r="AB408" s="30" t="n"/>
      <c r="AC408" s="30">
        <f>IF(AB408="No",5,0)</f>
        <v/>
      </c>
      <c r="AD408" s="30" t="n"/>
      <c r="AE408" s="30">
        <f>IF(AD408="Tailwind",10,0)</f>
        <v/>
      </c>
      <c r="AF408" s="30" t="n"/>
      <c r="AG408" s="30">
        <f>IF(AF408="Structural (10 Years Consistency)",10,IF(AF408="Shallow Cyclical (2 to 3 years growth)",5,0))</f>
        <v/>
      </c>
      <c r="AH408" s="30" t="n"/>
      <c r="AI408" s="30">
        <f>IF(AH408="Yes due to Product Mix change or Operating Leverage",10,IF(AH408="Yes, these are peak margins",-5,IF(AH408="No",5,0)))</f>
        <v/>
      </c>
      <c r="AJ408" s="30" t="n"/>
      <c r="AK408" s="30">
        <f>IF(AJ408="Stable",10,0)</f>
        <v/>
      </c>
      <c r="AL408" s="30" t="n"/>
      <c r="AM408" s="30">
        <f>IF(AL408="Yes",10,0)</f>
        <v/>
      </c>
      <c r="AN408" s="30" t="n"/>
      <c r="AO408" s="30">
        <f>IF(AN408="B2C",10,IF(AN408="B2B",5,0))</f>
        <v/>
      </c>
      <c r="AP408" s="30" t="n"/>
      <c r="AQ408" s="30">
        <f>IF(AP408="Yes",10,0)</f>
        <v/>
      </c>
      <c r="AR408" s="30" t="n"/>
      <c r="AS408" s="30">
        <f>IF(AR408="Fully Annuity",10,IF(AR408="Higher Annuity, Lower One Time",5,IF(AR408="Higher One Time, Lower Annuity",3,0)))</f>
        <v/>
      </c>
      <c r="AT408" s="30" t="n"/>
      <c r="AU408" s="30">
        <f>IF(AT408="Good",10,0)</f>
        <v/>
      </c>
      <c r="AV408" s="30" t="n"/>
      <c r="AW408" s="30">
        <f>IF(AV408="Yes for more than 2 years",10,IF(AV408="Yes only for next 1 to 2 years",5,0))</f>
        <v/>
      </c>
      <c r="AX408" s="30" t="n"/>
      <c r="AY408" s="30">
        <f>IF(AX408="Above 40",20,IF(AX408="20 to 40",10,IF(AX408="0 to 20",-5,0)))</f>
        <v/>
      </c>
      <c r="AZ408" s="30" t="n"/>
      <c r="BA408" s="30">
        <f>IF(AZ408="Between 50 to 75",10,IF(AZ408="Above 75",0,0))</f>
        <v/>
      </c>
      <c r="BB408" s="30" t="n"/>
      <c r="BC408" s="30">
        <f>IF(BB408="Stage 2",20,IF(BB408="Stage 1",0,IF(BB408="Stage 3",5,IF(BB408="Stage 4",-5,0))))</f>
        <v/>
      </c>
      <c r="BD408" s="30" t="n"/>
      <c r="BE408" s="30">
        <f>IF(BD408="Positive Trend",20,IF(BD408="Negative Trend",-10,0))</f>
        <v/>
      </c>
      <c r="BF408" s="30" t="n"/>
      <c r="BG408" s="30">
        <f>IF(BF408="Uptrend",10,IF(BF408="Sideways",5,0))</f>
        <v/>
      </c>
      <c r="BH408" s="30" t="n"/>
      <c r="BI408" s="30">
        <f>IF(BH408="Uptrend",10,IF(BH408="Sideways",5,0))</f>
        <v/>
      </c>
      <c r="BJ408" s="30" t="n"/>
      <c r="BK408" s="30">
        <f>IF(BJ408="Overhead supply in last 2 years in last 2 years",-5,IF(BJ408="Close to 52 week high or retracement",5,IF(BJ408="Blue sky scenario",10,IF(BJ408="Long term Downtrend",-10,0))))</f>
        <v/>
      </c>
      <c r="BL408" s="30" t="n"/>
      <c r="BM408" s="30">
        <f>IF(BL408="Yes",10,0)</f>
        <v/>
      </c>
      <c r="BN408" s="30" t="n"/>
      <c r="BO408" s="30">
        <f>IF(BN408="More than 20%",10,IF(BN408="Between 12 to 20%",5,IF(BN408="Less than 12%",0,0)))</f>
        <v/>
      </c>
      <c r="BP408" s="30" t="n"/>
      <c r="BQ408" s="30">
        <f>IF(BP408="No",10,0)</f>
        <v/>
      </c>
      <c r="BR408" s="30" t="n"/>
      <c r="BS408" s="30">
        <f>IF(BR408="NO",5,0)</f>
        <v/>
      </c>
      <c r="BT408" s="30" t="n"/>
      <c r="BU408" s="30">
        <f>IF(BT408="Above 2",0,IF(BT408="Between 1.5 to 2",5,IF(BT408="Less than 1.5",10,0)))</f>
        <v/>
      </c>
      <c r="BV408" s="30" t="n"/>
      <c r="BW408" s="30">
        <f>IF(BV408="Above 70%",10,IF(BV408="Between 50% to 70%",5,IF(BV408="Less than 50%",0,IF(BV408="Negative",-10,IF(BV408="Less than 50% and Borrowings are increasing",-5,0)))))</f>
        <v/>
      </c>
      <c r="BX408" s="30" t="n"/>
      <c r="BY408" s="30">
        <f>IF(BX408="More than 1.2",-10,IF(BX408="Between 0.7 to 1.2",0,IF(BX408="Less than 0.7",10,0)))</f>
        <v/>
      </c>
      <c r="BZ408" s="30" t="n"/>
      <c r="CA408" s="30">
        <f>IF(BZ408="Yes",-10,0)</f>
        <v/>
      </c>
      <c r="CB408" s="30" t="n"/>
      <c r="CC408" s="30">
        <f>IF(CB408="More than 15%",-10,IF(CB408="Less than 15%",10,0))</f>
        <v/>
      </c>
      <c r="CD408" s="30" t="n"/>
      <c r="CE408" s="30">
        <f>IF(CD408="Yes, more than 10%",-10,IF(CD408="No",10,0))</f>
        <v/>
      </c>
    </row>
    <row r="409">
      <c r="A409" s="30">
        <f>IF(B409=0,"",RANK(B409,$B$2:$B$427,0))</f>
        <v/>
      </c>
      <c r="B409" s="31">
        <f>SUM(N409,Y409,AA409,AC409,AE409,AG409,AI409,AK409,AM409,AO409,AQ409,AS409,AU409,AW409,AY409,BA409,BC409,BE409,BG409,BI409,BK409,BM409,BO409,BQ409,BS409,BU409,BW409,BY409,CA409,CC409,CE409)</f>
        <v/>
      </c>
      <c r="C409" s="30" t="inlineStr">
        <is>
          <t>MOTHERSON</t>
        </is>
      </c>
      <c r="D409" s="30" t="inlineStr">
        <is>
          <t>Samvardhana Motherson International Ltd</t>
        </is>
      </c>
      <c r="E409" s="30" t="inlineStr">
        <is>
          <t>auto</t>
        </is>
      </c>
      <c r="F409" s="30" t="inlineStr">
        <is>
          <t>auto ancillaries</t>
        </is>
      </c>
      <c r="G409" s="30" t="inlineStr">
        <is>
          <t>largecap</t>
        </is>
      </c>
      <c r="H409" s="31" t="n">
        <v>152701.68</v>
      </c>
      <c r="I409" s="31" t="n">
        <v>145.54</v>
      </c>
      <c r="J409" s="31" t="n">
        <v>0.59</v>
      </c>
      <c r="K409" s="31" t="n">
        <v>20254043</v>
      </c>
      <c r="L409" s="30" t="inlineStr"/>
      <c r="M409" s="30" t="inlineStr"/>
      <c r="N409" s="31">
        <f>IF(M409="Underperforming",-5,IF(L409&gt;=95,15,IF(L409&gt;=90,10,IF(L409&gt;=80,5,0))))</f>
        <v/>
      </c>
      <c r="O409" s="31" t="inlineStr"/>
      <c r="P409" s="31" t="inlineStr"/>
      <c r="Q409" s="31" t="inlineStr"/>
      <c r="R409" s="30" t="inlineStr"/>
      <c r="S409" s="30" t="inlineStr"/>
      <c r="T409" s="31" t="inlineStr"/>
      <c r="U409" s="31" t="inlineStr"/>
      <c r="V409" s="31" t="inlineStr"/>
      <c r="W409" s="31" t="inlineStr"/>
      <c r="X409" s="30" t="n"/>
      <c r="Y409" s="30">
        <f>IF(X409="Growing Industry",10,IF(X409="Cyclical in an Upturn",5,0))</f>
        <v/>
      </c>
      <c r="Z409" s="30" t="n"/>
      <c r="AA409" s="30">
        <f>IF(Z409="Monopoly",10,IF(Z409="Oligopoly",5,IF(Z409="Duopoly that cooperate",10,IF(Z409="Duopoly that compete",5,IF(Z409="Too many players with High ROCE",5,0)))))</f>
        <v/>
      </c>
      <c r="AB409" s="30" t="n"/>
      <c r="AC409" s="30">
        <f>IF(AB409="No",5,0)</f>
        <v/>
      </c>
      <c r="AD409" s="30" t="n"/>
      <c r="AE409" s="30">
        <f>IF(AD409="Tailwind",10,0)</f>
        <v/>
      </c>
      <c r="AF409" s="30" t="n"/>
      <c r="AG409" s="30">
        <f>IF(AF409="Structural (10 Years Consistency)",10,IF(AF409="Shallow Cyclical (2 to 3 years growth)",5,0))</f>
        <v/>
      </c>
      <c r="AH409" s="30" t="n"/>
      <c r="AI409" s="30">
        <f>IF(AH409="Yes due to Product Mix change or Operating Leverage",10,IF(AH409="Yes, these are peak margins",-5,IF(AH409="No",5,0)))</f>
        <v/>
      </c>
      <c r="AJ409" s="30" t="n"/>
      <c r="AK409" s="30">
        <f>IF(AJ409="Stable",10,0)</f>
        <v/>
      </c>
      <c r="AL409" s="30" t="n"/>
      <c r="AM409" s="30">
        <f>IF(AL409="Yes",10,0)</f>
        <v/>
      </c>
      <c r="AN409" s="30" t="n"/>
      <c r="AO409" s="30">
        <f>IF(AN409="B2C",10,IF(AN409="B2B",5,0))</f>
        <v/>
      </c>
      <c r="AP409" s="30" t="n"/>
      <c r="AQ409" s="30">
        <f>IF(AP409="Yes",10,0)</f>
        <v/>
      </c>
      <c r="AR409" s="30" t="n"/>
      <c r="AS409" s="30">
        <f>IF(AR409="Fully Annuity",10,IF(AR409="Higher Annuity, Lower One Time",5,IF(AR409="Higher One Time, Lower Annuity",3,0)))</f>
        <v/>
      </c>
      <c r="AT409" s="30" t="n"/>
      <c r="AU409" s="30">
        <f>IF(AT409="Good",10,0)</f>
        <v/>
      </c>
      <c r="AV409" s="30" t="n"/>
      <c r="AW409" s="30">
        <f>IF(AV409="Yes for more than 2 years",10,IF(AV409="Yes only for next 1 to 2 years",5,0))</f>
        <v/>
      </c>
      <c r="AX409" s="30" t="n"/>
      <c r="AY409" s="30">
        <f>IF(AX409="Above 40",20,IF(AX409="20 to 40",10,IF(AX409="0 to 20",-5,0)))</f>
        <v/>
      </c>
      <c r="AZ409" s="30" t="n"/>
      <c r="BA409" s="30">
        <f>IF(AZ409="Between 50 to 75",10,IF(AZ409="Above 75",0,0))</f>
        <v/>
      </c>
      <c r="BB409" s="30" t="n"/>
      <c r="BC409" s="30">
        <f>IF(BB409="Stage 2",20,IF(BB409="Stage 1",0,IF(BB409="Stage 3",5,IF(BB409="Stage 4",-5,0))))</f>
        <v/>
      </c>
      <c r="BD409" s="30" t="n"/>
      <c r="BE409" s="30">
        <f>IF(BD409="Positive Trend",20,IF(BD409="Negative Trend",-10,0))</f>
        <v/>
      </c>
      <c r="BF409" s="30" t="n"/>
      <c r="BG409" s="30">
        <f>IF(BF409="Uptrend",10,IF(BF409="Sideways",5,0))</f>
        <v/>
      </c>
      <c r="BH409" s="30" t="n"/>
      <c r="BI409" s="30">
        <f>IF(BH409="Uptrend",10,IF(BH409="Sideways",5,0))</f>
        <v/>
      </c>
      <c r="BJ409" s="30" t="n"/>
      <c r="BK409" s="30">
        <f>IF(BJ409="Overhead supply in last 2 years in last 2 years",-5,IF(BJ409="Close to 52 week high or retracement",5,IF(BJ409="Blue sky scenario",10,IF(BJ409="Long term Downtrend",-10,0))))</f>
        <v/>
      </c>
      <c r="BL409" s="30" t="n"/>
      <c r="BM409" s="30">
        <f>IF(BL409="Yes",10,0)</f>
        <v/>
      </c>
      <c r="BN409" s="30" t="n"/>
      <c r="BO409" s="30">
        <f>IF(BN409="More than 20%",10,IF(BN409="Between 12 to 20%",5,IF(BN409="Less than 12%",0,0)))</f>
        <v/>
      </c>
      <c r="BP409" s="30" t="n"/>
      <c r="BQ409" s="30">
        <f>IF(BP409="No",10,0)</f>
        <v/>
      </c>
      <c r="BR409" s="30" t="n"/>
      <c r="BS409" s="30">
        <f>IF(BR409="NO",5,0)</f>
        <v/>
      </c>
      <c r="BT409" s="30" t="n"/>
      <c r="BU409" s="30">
        <f>IF(BT409="Above 2",0,IF(BT409="Between 1.5 to 2",5,IF(BT409="Less than 1.5",10,0)))</f>
        <v/>
      </c>
      <c r="BV409" s="30" t="n"/>
      <c r="BW409" s="30">
        <f>IF(BV409="Above 70%",10,IF(BV409="Between 50% to 70%",5,IF(BV409="Less than 50%",0,IF(BV409="Negative",-10,IF(BV409="Less than 50% and Borrowings are increasing",-5,0)))))</f>
        <v/>
      </c>
      <c r="BX409" s="30" t="n"/>
      <c r="BY409" s="30">
        <f>IF(BX409="More than 1.2",-10,IF(BX409="Between 0.7 to 1.2",0,IF(BX409="Less than 0.7",10,0)))</f>
        <v/>
      </c>
      <c r="BZ409" s="30" t="n"/>
      <c r="CA409" s="30">
        <f>IF(BZ409="Yes",-10,0)</f>
        <v/>
      </c>
      <c r="CB409" s="30" t="n"/>
      <c r="CC409" s="30">
        <f>IF(CB409="More than 15%",-10,IF(CB409="Less than 15%",10,0))</f>
        <v/>
      </c>
      <c r="CD409" s="30" t="n"/>
      <c r="CE409" s="30">
        <f>IF(CD409="Yes, more than 10%",-10,IF(CD409="No",10,0))</f>
        <v/>
      </c>
    </row>
    <row r="410">
      <c r="A410" s="30">
        <f>IF(B410=0,"",RANK(B410,$B$2:$B$427,0))</f>
        <v/>
      </c>
      <c r="B410" s="31">
        <f>SUM(N410,Y410,AA410,AC410,AE410,AG410,AI410,AK410,AM410,AO410,AQ410,AS410,AU410,AW410,AY410,BA410,BC410,BE410,BG410,BI410,BK410,BM410,BO410,BQ410,BS410,BU410,BW410,BY410,CA410,CC410,CE410)</f>
        <v/>
      </c>
      <c r="C410" s="30" t="inlineStr">
        <is>
          <t>ADANIPOWER</t>
        </is>
      </c>
      <c r="D410" s="30" t="inlineStr">
        <is>
          <t>Adani Power Limited</t>
        </is>
      </c>
      <c r="E410" s="30" t="inlineStr">
        <is>
          <t>power &amp; utilities</t>
        </is>
      </c>
      <c r="F410" s="30" t="inlineStr">
        <is>
          <t>power generation and supply</t>
        </is>
      </c>
      <c r="G410" s="30" t="inlineStr">
        <is>
          <t>largecap</t>
        </is>
      </c>
      <c r="H410" s="31" t="n">
        <v>444647.21</v>
      </c>
      <c r="I410" s="31" t="n">
        <v>231.76</v>
      </c>
      <c r="J410" s="31" t="n">
        <v>0.52</v>
      </c>
      <c r="K410" s="31" t="n">
        <v>46115820</v>
      </c>
      <c r="L410" s="30" t="inlineStr"/>
      <c r="M410" s="30" t="inlineStr"/>
      <c r="N410" s="31">
        <f>IF(M410="Underperforming",-5,IF(L410&gt;=95,15,IF(L410&gt;=90,10,IF(L410&gt;=80,5,0))))</f>
        <v/>
      </c>
      <c r="O410" s="31" t="inlineStr"/>
      <c r="P410" s="31" t="inlineStr"/>
      <c r="Q410" s="31" t="inlineStr"/>
      <c r="R410" s="30" t="inlineStr"/>
      <c r="S410" s="30" t="inlineStr"/>
      <c r="T410" s="31" t="inlineStr"/>
      <c r="U410" s="31" t="inlineStr"/>
      <c r="V410" s="31" t="inlineStr"/>
      <c r="W410" s="31" t="inlineStr"/>
      <c r="X410" s="30" t="n"/>
      <c r="Y410" s="30">
        <f>IF(X410="Growing Industry",10,IF(X410="Cyclical in an Upturn",5,0))</f>
        <v/>
      </c>
      <c r="Z410" s="30" t="n"/>
      <c r="AA410" s="30">
        <f>IF(Z410="Monopoly",10,IF(Z410="Oligopoly",5,IF(Z410="Duopoly that cooperate",10,IF(Z410="Duopoly that compete",5,IF(Z410="Too many players with High ROCE",5,0)))))</f>
        <v/>
      </c>
      <c r="AB410" s="30" t="n"/>
      <c r="AC410" s="30">
        <f>IF(AB410="No",5,0)</f>
        <v/>
      </c>
      <c r="AD410" s="30" t="n"/>
      <c r="AE410" s="30">
        <f>IF(AD410="Tailwind",10,0)</f>
        <v/>
      </c>
      <c r="AF410" s="30" t="n"/>
      <c r="AG410" s="30">
        <f>IF(AF410="Structural (10 Years Consistency)",10,IF(AF410="Shallow Cyclical (2 to 3 years growth)",5,0))</f>
        <v/>
      </c>
      <c r="AH410" s="30" t="n"/>
      <c r="AI410" s="30">
        <f>IF(AH410="Yes due to Product Mix change or Operating Leverage",10,IF(AH410="Yes, these are peak margins",-5,IF(AH410="No",5,0)))</f>
        <v/>
      </c>
      <c r="AJ410" s="30" t="n"/>
      <c r="AK410" s="30">
        <f>IF(AJ410="Stable",10,0)</f>
        <v/>
      </c>
      <c r="AL410" s="30" t="n"/>
      <c r="AM410" s="30">
        <f>IF(AL410="Yes",10,0)</f>
        <v/>
      </c>
      <c r="AN410" s="30" t="n"/>
      <c r="AO410" s="30">
        <f>IF(AN410="B2C",10,IF(AN410="B2B",5,0))</f>
        <v/>
      </c>
      <c r="AP410" s="30" t="n"/>
      <c r="AQ410" s="30">
        <f>IF(AP410="Yes",10,0)</f>
        <v/>
      </c>
      <c r="AR410" s="30" t="n"/>
      <c r="AS410" s="30">
        <f>IF(AR410="Fully Annuity",10,IF(AR410="Higher Annuity, Lower One Time",5,IF(AR410="Higher One Time, Lower Annuity",3,0)))</f>
        <v/>
      </c>
      <c r="AT410" s="30" t="n"/>
      <c r="AU410" s="30">
        <f>IF(AT410="Good",10,0)</f>
        <v/>
      </c>
      <c r="AV410" s="30" t="n"/>
      <c r="AW410" s="30">
        <f>IF(AV410="Yes for more than 2 years",10,IF(AV410="Yes only for next 1 to 2 years",5,0))</f>
        <v/>
      </c>
      <c r="AX410" s="30" t="n"/>
      <c r="AY410" s="30">
        <f>IF(AX410="Above 40",20,IF(AX410="20 to 40",10,IF(AX410="0 to 20",-5,0)))</f>
        <v/>
      </c>
      <c r="AZ410" s="30" t="n"/>
      <c r="BA410" s="30">
        <f>IF(AZ410="Between 50 to 75",10,IF(AZ410="Above 75",0,0))</f>
        <v/>
      </c>
      <c r="BB410" s="30" t="n"/>
      <c r="BC410" s="30">
        <f>IF(BB410="Stage 2",20,IF(BB410="Stage 1",0,IF(BB410="Stage 3",5,IF(BB410="Stage 4",-5,0))))</f>
        <v/>
      </c>
      <c r="BD410" s="30" t="n"/>
      <c r="BE410" s="30">
        <f>IF(BD410="Positive Trend",20,IF(BD410="Negative Trend",-10,0))</f>
        <v/>
      </c>
      <c r="BF410" s="30" t="n"/>
      <c r="BG410" s="30">
        <f>IF(BF410="Uptrend",10,IF(BF410="Sideways",5,0))</f>
        <v/>
      </c>
      <c r="BH410" s="30" t="n"/>
      <c r="BI410" s="30">
        <f>IF(BH410="Uptrend",10,IF(BH410="Sideways",5,0))</f>
        <v/>
      </c>
      <c r="BJ410" s="30" t="n"/>
      <c r="BK410" s="30">
        <f>IF(BJ410="Overhead supply in last 2 years in last 2 years",-5,IF(BJ410="Close to 52 week high or retracement",5,IF(BJ410="Blue sky scenario",10,IF(BJ410="Long term Downtrend",-10,0))))</f>
        <v/>
      </c>
      <c r="BL410" s="30" t="n"/>
      <c r="BM410" s="30">
        <f>IF(BL410="Yes",10,0)</f>
        <v/>
      </c>
      <c r="BN410" s="30" t="n"/>
      <c r="BO410" s="30">
        <f>IF(BN410="More than 20%",10,IF(BN410="Between 12 to 20%",5,IF(BN410="Less than 12%",0,0)))</f>
        <v/>
      </c>
      <c r="BP410" s="30" t="n"/>
      <c r="BQ410" s="30">
        <f>IF(BP410="No",10,0)</f>
        <v/>
      </c>
      <c r="BR410" s="30" t="n"/>
      <c r="BS410" s="30">
        <f>IF(BR410="NO",5,0)</f>
        <v/>
      </c>
      <c r="BT410" s="30" t="n"/>
      <c r="BU410" s="30">
        <f>IF(BT410="Above 2",0,IF(BT410="Between 1.5 to 2",5,IF(BT410="Less than 1.5",10,0)))</f>
        <v/>
      </c>
      <c r="BV410" s="30" t="n"/>
      <c r="BW410" s="30">
        <f>IF(BV410="Above 70%",10,IF(BV410="Between 50% to 70%",5,IF(BV410="Less than 50%",0,IF(BV410="Negative",-10,IF(BV410="Less than 50% and Borrowings are increasing",-5,0)))))</f>
        <v/>
      </c>
      <c r="BX410" s="30" t="n"/>
      <c r="BY410" s="30">
        <f>IF(BX410="More than 1.2",-10,IF(BX410="Between 0.7 to 1.2",0,IF(BX410="Less than 0.7",10,0)))</f>
        <v/>
      </c>
      <c r="BZ410" s="30" t="n"/>
      <c r="CA410" s="30">
        <f>IF(BZ410="Yes",-10,0)</f>
        <v/>
      </c>
      <c r="CB410" s="30" t="n"/>
      <c r="CC410" s="30">
        <f>IF(CB410="More than 15%",-10,IF(CB410="Less than 15%",10,0))</f>
        <v/>
      </c>
      <c r="CD410" s="30" t="n"/>
      <c r="CE410" s="30">
        <f>IF(CD410="Yes, more than 10%",-10,IF(CD410="No",10,0))</f>
        <v/>
      </c>
    </row>
    <row r="411">
      <c r="A411" s="30">
        <f>IF(B411=0,"",RANK(B411,$B$2:$B$427,0))</f>
        <v/>
      </c>
      <c r="B411" s="31">
        <f>SUM(N411,Y411,AA411,AC411,AE411,AG411,AI411,AK411,AM411,AO411,AQ411,AS411,AU411,AW411,AY411,BA411,BC411,BE411,BG411,BI411,BK411,BM411,BO411,BQ411,BS411,BU411,BW411,BY411,CA411,CC411,CE411)</f>
        <v/>
      </c>
      <c r="C411" s="30" t="inlineStr">
        <is>
          <t>LT</t>
        </is>
      </c>
      <c r="D411" s="30" t="inlineStr">
        <is>
          <t>Larsen &amp; Toubro Limited</t>
        </is>
      </c>
      <c r="E411" s="30" t="inlineStr">
        <is>
          <t>realty</t>
        </is>
      </c>
      <c r="F411" s="30" t="inlineStr">
        <is>
          <t>engineering - turnkey services</t>
        </is>
      </c>
      <c r="G411" s="30" t="inlineStr">
        <is>
          <t>largecap</t>
        </is>
      </c>
      <c r="H411" s="31" t="n">
        <v>576389.89</v>
      </c>
      <c r="I411" s="31" t="n">
        <v>4209.4</v>
      </c>
      <c r="J411" s="31" t="n">
        <v>0.46</v>
      </c>
      <c r="K411" s="31" t="n">
        <v>1397746</v>
      </c>
      <c r="L411" s="30" t="inlineStr"/>
      <c r="M411" s="30" t="inlineStr"/>
      <c r="N411" s="31">
        <f>IF(M411="Underperforming",-5,IF(L411&gt;=95,15,IF(L411&gt;=90,10,IF(L411&gt;=80,5,0))))</f>
        <v/>
      </c>
      <c r="O411" s="31" t="inlineStr"/>
      <c r="P411" s="31" t="inlineStr"/>
      <c r="Q411" s="31" t="inlineStr"/>
      <c r="R411" s="30" t="inlineStr"/>
      <c r="S411" s="30" t="inlineStr"/>
      <c r="T411" s="31" t="inlineStr"/>
      <c r="U411" s="31" t="inlineStr"/>
      <c r="V411" s="31" t="inlineStr"/>
      <c r="W411" s="31" t="inlineStr"/>
      <c r="X411" s="30" t="n"/>
      <c r="Y411" s="30">
        <f>IF(X411="Growing Industry",10,IF(X411="Cyclical in an Upturn",5,0))</f>
        <v/>
      </c>
      <c r="Z411" s="30" t="n"/>
      <c r="AA411" s="30">
        <f>IF(Z411="Monopoly",10,IF(Z411="Oligopoly",5,IF(Z411="Duopoly that cooperate",10,IF(Z411="Duopoly that compete",5,IF(Z411="Too many players with High ROCE",5,0)))))</f>
        <v/>
      </c>
      <c r="AB411" s="30" t="n"/>
      <c r="AC411" s="30">
        <f>IF(AB411="No",5,0)</f>
        <v/>
      </c>
      <c r="AD411" s="30" t="n"/>
      <c r="AE411" s="30">
        <f>IF(AD411="Tailwind",10,0)</f>
        <v/>
      </c>
      <c r="AF411" s="30" t="n"/>
      <c r="AG411" s="30">
        <f>IF(AF411="Structural (10 Years Consistency)",10,IF(AF411="Shallow Cyclical (2 to 3 years growth)",5,0))</f>
        <v/>
      </c>
      <c r="AH411" s="30" t="n"/>
      <c r="AI411" s="30">
        <f>IF(AH411="Yes due to Product Mix change or Operating Leverage",10,IF(AH411="Yes, these are peak margins",-5,IF(AH411="No",5,0)))</f>
        <v/>
      </c>
      <c r="AJ411" s="30" t="n"/>
      <c r="AK411" s="30">
        <f>IF(AJ411="Stable",10,0)</f>
        <v/>
      </c>
      <c r="AL411" s="30" t="n"/>
      <c r="AM411" s="30">
        <f>IF(AL411="Yes",10,0)</f>
        <v/>
      </c>
      <c r="AN411" s="30" t="n"/>
      <c r="AO411" s="30">
        <f>IF(AN411="B2C",10,IF(AN411="B2B",5,0))</f>
        <v/>
      </c>
      <c r="AP411" s="30" t="n"/>
      <c r="AQ411" s="30">
        <f>IF(AP411="Yes",10,0)</f>
        <v/>
      </c>
      <c r="AR411" s="30" t="n"/>
      <c r="AS411" s="30">
        <f>IF(AR411="Fully Annuity",10,IF(AR411="Higher Annuity, Lower One Time",5,IF(AR411="Higher One Time, Lower Annuity",3,0)))</f>
        <v/>
      </c>
      <c r="AT411" s="30" t="n"/>
      <c r="AU411" s="30">
        <f>IF(AT411="Good",10,0)</f>
        <v/>
      </c>
      <c r="AV411" s="30" t="n"/>
      <c r="AW411" s="30">
        <f>IF(AV411="Yes for more than 2 years",10,IF(AV411="Yes only for next 1 to 2 years",5,0))</f>
        <v/>
      </c>
      <c r="AX411" s="30" t="n"/>
      <c r="AY411" s="30">
        <f>IF(AX411="Above 40",20,IF(AX411="20 to 40",10,IF(AX411="0 to 20",-5,0)))</f>
        <v/>
      </c>
      <c r="AZ411" s="30" t="n"/>
      <c r="BA411" s="30">
        <f>IF(AZ411="Between 50 to 75",10,IF(AZ411="Above 75",0,0))</f>
        <v/>
      </c>
      <c r="BB411" s="30" t="n"/>
      <c r="BC411" s="30">
        <f>IF(BB411="Stage 2",20,IF(BB411="Stage 1",0,IF(BB411="Stage 3",5,IF(BB411="Stage 4",-5,0))))</f>
        <v/>
      </c>
      <c r="BD411" s="30" t="n"/>
      <c r="BE411" s="30">
        <f>IF(BD411="Positive Trend",20,IF(BD411="Negative Trend",-10,0))</f>
        <v/>
      </c>
      <c r="BF411" s="30" t="n"/>
      <c r="BG411" s="30">
        <f>IF(BF411="Uptrend",10,IF(BF411="Sideways",5,0))</f>
        <v/>
      </c>
      <c r="BH411" s="30" t="n"/>
      <c r="BI411" s="30">
        <f>IF(BH411="Uptrend",10,IF(BH411="Sideways",5,0))</f>
        <v/>
      </c>
      <c r="BJ411" s="30" t="n"/>
      <c r="BK411" s="30">
        <f>IF(BJ411="Overhead supply in last 2 years in last 2 years",-5,IF(BJ411="Close to 52 week high or retracement",5,IF(BJ411="Blue sky scenario",10,IF(BJ411="Long term Downtrend",-10,0))))</f>
        <v/>
      </c>
      <c r="BL411" s="30" t="n"/>
      <c r="BM411" s="30">
        <f>IF(BL411="Yes",10,0)</f>
        <v/>
      </c>
      <c r="BN411" s="30" t="n"/>
      <c r="BO411" s="30">
        <f>IF(BN411="More than 20%",10,IF(BN411="Between 12 to 20%",5,IF(BN411="Less than 12%",0,0)))</f>
        <v/>
      </c>
      <c r="BP411" s="30" t="n"/>
      <c r="BQ411" s="30">
        <f>IF(BP411="No",10,0)</f>
        <v/>
      </c>
      <c r="BR411" s="30" t="n"/>
      <c r="BS411" s="30">
        <f>IF(BR411="NO",5,0)</f>
        <v/>
      </c>
      <c r="BT411" s="30" t="n"/>
      <c r="BU411" s="30">
        <f>IF(BT411="Above 2",0,IF(BT411="Between 1.5 to 2",5,IF(BT411="Less than 1.5",10,0)))</f>
        <v/>
      </c>
      <c r="BV411" s="30" t="n"/>
      <c r="BW411" s="30">
        <f>IF(BV411="Above 70%",10,IF(BV411="Between 50% to 70%",5,IF(BV411="Less than 50%",0,IF(BV411="Negative",-10,IF(BV411="Less than 50% and Borrowings are increasing",-5,0)))))</f>
        <v/>
      </c>
      <c r="BX411" s="30" t="n"/>
      <c r="BY411" s="30">
        <f>IF(BX411="More than 1.2",-10,IF(BX411="Between 0.7 to 1.2",0,IF(BX411="Less than 0.7",10,0)))</f>
        <v/>
      </c>
      <c r="BZ411" s="30" t="n"/>
      <c r="CA411" s="30">
        <f>IF(BZ411="Yes",-10,0)</f>
        <v/>
      </c>
      <c r="CB411" s="30" t="n"/>
      <c r="CC411" s="30">
        <f>IF(CB411="More than 15%",-10,IF(CB411="Less than 15%",10,0))</f>
        <v/>
      </c>
      <c r="CD411" s="30" t="n"/>
      <c r="CE411" s="30">
        <f>IF(CD411="Yes, more than 10%",-10,IF(CD411="No",10,0))</f>
        <v/>
      </c>
    </row>
    <row r="412">
      <c r="A412" s="30">
        <f>IF(B412=0,"",RANK(B412,$B$2:$B$427,0))</f>
        <v/>
      </c>
      <c r="B412" s="31">
        <f>SUM(N412,Y412,AA412,AC412,AE412,AG412,AI412,AK412,AM412,AO412,AQ412,AS412,AU412,AW412,AY412,BA412,BC412,BE412,BG412,BI412,BK412,BM412,BO412,BQ412,BS412,BU412,BW412,BY412,CA412,CC412,CE412)</f>
        <v/>
      </c>
      <c r="C412" s="30" t="inlineStr">
        <is>
          <t>BOSCHLTD</t>
        </is>
      </c>
      <c r="D412" s="30" t="inlineStr">
        <is>
          <t>Bosch Limited</t>
        </is>
      </c>
      <c r="E412" s="30" t="inlineStr">
        <is>
          <t>auto</t>
        </is>
      </c>
      <c r="F412" s="30" t="inlineStr">
        <is>
          <t>auto ancillaries</t>
        </is>
      </c>
      <c r="G412" s="30" t="inlineStr">
        <is>
          <t>largecap</t>
        </is>
      </c>
      <c r="H412" s="31" t="n">
        <v>118077.79</v>
      </c>
      <c r="I412" s="31" t="n">
        <v>40195</v>
      </c>
      <c r="J412" s="31" t="n">
        <v>0.4</v>
      </c>
      <c r="K412" s="31" t="n">
        <v>41782</v>
      </c>
      <c r="L412" s="30" t="inlineStr"/>
      <c r="M412" s="30" t="inlineStr"/>
      <c r="N412" s="31">
        <f>IF(M412="Underperforming",-5,IF(L412&gt;=95,15,IF(L412&gt;=90,10,IF(L412&gt;=80,5,0))))</f>
        <v/>
      </c>
      <c r="O412" s="31" t="inlineStr"/>
      <c r="P412" s="31" t="inlineStr"/>
      <c r="Q412" s="31" t="inlineStr"/>
      <c r="R412" s="30" t="inlineStr"/>
      <c r="S412" s="30" t="inlineStr"/>
      <c r="T412" s="31" t="inlineStr"/>
      <c r="U412" s="31" t="inlineStr"/>
      <c r="V412" s="31" t="inlineStr"/>
      <c r="W412" s="31" t="inlineStr"/>
      <c r="X412" s="30" t="n"/>
      <c r="Y412" s="30">
        <f>IF(X412="Growing Industry",10,IF(X412="Cyclical in an Upturn",5,0))</f>
        <v/>
      </c>
      <c r="Z412" s="30" t="n"/>
      <c r="AA412" s="30">
        <f>IF(Z412="Monopoly",10,IF(Z412="Oligopoly",5,IF(Z412="Duopoly that cooperate",10,IF(Z412="Duopoly that compete",5,IF(Z412="Too many players with High ROCE",5,0)))))</f>
        <v/>
      </c>
      <c r="AB412" s="30" t="n"/>
      <c r="AC412" s="30">
        <f>IF(AB412="No",5,0)</f>
        <v/>
      </c>
      <c r="AD412" s="30" t="n"/>
      <c r="AE412" s="30">
        <f>IF(AD412="Tailwind",10,0)</f>
        <v/>
      </c>
      <c r="AF412" s="30" t="n"/>
      <c r="AG412" s="30">
        <f>IF(AF412="Structural (10 Years Consistency)",10,IF(AF412="Shallow Cyclical (2 to 3 years growth)",5,0))</f>
        <v/>
      </c>
      <c r="AH412" s="30" t="n"/>
      <c r="AI412" s="30">
        <f>IF(AH412="Yes due to Product Mix change or Operating Leverage",10,IF(AH412="Yes, these are peak margins",-5,IF(AH412="No",5,0)))</f>
        <v/>
      </c>
      <c r="AJ412" s="30" t="n"/>
      <c r="AK412" s="30">
        <f>IF(AJ412="Stable",10,0)</f>
        <v/>
      </c>
      <c r="AL412" s="30" t="n"/>
      <c r="AM412" s="30">
        <f>IF(AL412="Yes",10,0)</f>
        <v/>
      </c>
      <c r="AN412" s="30" t="n"/>
      <c r="AO412" s="30">
        <f>IF(AN412="B2C",10,IF(AN412="B2B",5,0))</f>
        <v/>
      </c>
      <c r="AP412" s="30" t="n"/>
      <c r="AQ412" s="30">
        <f>IF(AP412="Yes",10,0)</f>
        <v/>
      </c>
      <c r="AR412" s="30" t="n"/>
      <c r="AS412" s="30">
        <f>IF(AR412="Fully Annuity",10,IF(AR412="Higher Annuity, Lower One Time",5,IF(AR412="Higher One Time, Lower Annuity",3,0)))</f>
        <v/>
      </c>
      <c r="AT412" s="30" t="n"/>
      <c r="AU412" s="30">
        <f>IF(AT412="Good",10,0)</f>
        <v/>
      </c>
      <c r="AV412" s="30" t="n"/>
      <c r="AW412" s="30">
        <f>IF(AV412="Yes for more than 2 years",10,IF(AV412="Yes only for next 1 to 2 years",5,0))</f>
        <v/>
      </c>
      <c r="AX412" s="30" t="n"/>
      <c r="AY412" s="30">
        <f>IF(AX412="Above 40",20,IF(AX412="20 to 40",10,IF(AX412="0 to 20",-5,0)))</f>
        <v/>
      </c>
      <c r="AZ412" s="30" t="n"/>
      <c r="BA412" s="30">
        <f>IF(AZ412="Between 50 to 75",10,IF(AZ412="Above 75",0,0))</f>
        <v/>
      </c>
      <c r="BB412" s="30" t="n"/>
      <c r="BC412" s="30">
        <f>IF(BB412="Stage 2",20,IF(BB412="Stage 1",0,IF(BB412="Stage 3",5,IF(BB412="Stage 4",-5,0))))</f>
        <v/>
      </c>
      <c r="BD412" s="30" t="n"/>
      <c r="BE412" s="30">
        <f>IF(BD412="Positive Trend",20,IF(BD412="Negative Trend",-10,0))</f>
        <v/>
      </c>
      <c r="BF412" s="30" t="n"/>
      <c r="BG412" s="30">
        <f>IF(BF412="Uptrend",10,IF(BF412="Sideways",5,0))</f>
        <v/>
      </c>
      <c r="BH412" s="30" t="n"/>
      <c r="BI412" s="30">
        <f>IF(BH412="Uptrend",10,IF(BH412="Sideways",5,0))</f>
        <v/>
      </c>
      <c r="BJ412" s="30" t="n"/>
      <c r="BK412" s="30">
        <f>IF(BJ412="Overhead supply in last 2 years in last 2 years",-5,IF(BJ412="Close to 52 week high or retracement",5,IF(BJ412="Blue sky scenario",10,IF(BJ412="Long term Downtrend",-10,0))))</f>
        <v/>
      </c>
      <c r="BL412" s="30" t="n"/>
      <c r="BM412" s="30">
        <f>IF(BL412="Yes",10,0)</f>
        <v/>
      </c>
      <c r="BN412" s="30" t="n"/>
      <c r="BO412" s="30">
        <f>IF(BN412="More than 20%",10,IF(BN412="Between 12 to 20%",5,IF(BN412="Less than 12%",0,0)))</f>
        <v/>
      </c>
      <c r="BP412" s="30" t="n"/>
      <c r="BQ412" s="30">
        <f>IF(BP412="No",10,0)</f>
        <v/>
      </c>
      <c r="BR412" s="30" t="n"/>
      <c r="BS412" s="30">
        <f>IF(BR412="NO",5,0)</f>
        <v/>
      </c>
      <c r="BT412" s="30" t="n"/>
      <c r="BU412" s="30">
        <f>IF(BT412="Above 2",0,IF(BT412="Between 1.5 to 2",5,IF(BT412="Less than 1.5",10,0)))</f>
        <v/>
      </c>
      <c r="BV412" s="30" t="n"/>
      <c r="BW412" s="30">
        <f>IF(BV412="Above 70%",10,IF(BV412="Between 50% to 70%",5,IF(BV412="Less than 50%",0,IF(BV412="Negative",-10,IF(BV412="Less than 50% and Borrowings are increasing",-5,0)))))</f>
        <v/>
      </c>
      <c r="BX412" s="30" t="n"/>
      <c r="BY412" s="30">
        <f>IF(BX412="More than 1.2",-10,IF(BX412="Between 0.7 to 1.2",0,IF(BX412="Less than 0.7",10,0)))</f>
        <v/>
      </c>
      <c r="BZ412" s="30" t="n"/>
      <c r="CA412" s="30">
        <f>IF(BZ412="Yes",-10,0)</f>
        <v/>
      </c>
      <c r="CB412" s="30" t="n"/>
      <c r="CC412" s="30">
        <f>IF(CB412="More than 15%",-10,IF(CB412="Less than 15%",10,0))</f>
        <v/>
      </c>
      <c r="CD412" s="30" t="n"/>
      <c r="CE412" s="30">
        <f>IF(CD412="Yes, more than 10%",-10,IF(CD412="No",10,0))</f>
        <v/>
      </c>
    </row>
    <row r="413">
      <c r="A413" s="30">
        <f>IF(B413=0,"",RANK(B413,$B$2:$B$427,0))</f>
        <v/>
      </c>
      <c r="B413" s="31">
        <f>SUM(N413,Y413,AA413,AC413,AE413,AG413,AI413,AK413,AM413,AO413,AQ413,AS413,AU413,AW413,AY413,BA413,BC413,BE413,BG413,BI413,BK413,BM413,BO413,BQ413,BS413,BU413,BW413,BY413,CA413,CC413,CE413)</f>
        <v/>
      </c>
      <c r="C413" s="30" t="inlineStr">
        <is>
          <t>NGLFINE</t>
        </is>
      </c>
      <c r="D413" s="30" t="inlineStr">
        <is>
          <t>NGL Fine Chem Ltd</t>
        </is>
      </c>
      <c r="E413" s="30" t="inlineStr">
        <is>
          <t>healthcare</t>
        </is>
      </c>
      <c r="F413" s="30" t="inlineStr">
        <is>
          <t>pharmaceuticals - indian - bulk drugs</t>
        </is>
      </c>
      <c r="G413" s="30" t="inlineStr">
        <is>
          <t>smallcap</t>
        </is>
      </c>
      <c r="H413" s="31" t="n">
        <v>1881.46</v>
      </c>
      <c r="I413" s="31" t="n">
        <v>3055.6</v>
      </c>
      <c r="J413" s="31" t="n">
        <v>0.33</v>
      </c>
      <c r="K413" s="31" t="n">
        <v>15448</v>
      </c>
      <c r="L413" s="30" t="inlineStr"/>
      <c r="M413" s="30" t="inlineStr"/>
      <c r="N413" s="31">
        <f>IF(M413="Underperforming",-5,IF(L413&gt;=95,15,IF(L413&gt;=90,10,IF(L413&gt;=80,5,0))))</f>
        <v/>
      </c>
      <c r="O413" s="31" t="inlineStr"/>
      <c r="P413" s="31" t="inlineStr"/>
      <c r="Q413" s="31" t="inlineStr"/>
      <c r="R413" s="30" t="inlineStr"/>
      <c r="S413" s="30" t="inlineStr"/>
      <c r="T413" s="31" t="inlineStr"/>
      <c r="U413" s="31" t="inlineStr"/>
      <c r="V413" s="31" t="inlineStr"/>
      <c r="W413" s="31" t="inlineStr"/>
      <c r="X413" s="30" t="n"/>
      <c r="Y413" s="30">
        <f>IF(X413="Growing Industry",10,IF(X413="Cyclical in an Upturn",5,0))</f>
        <v/>
      </c>
      <c r="Z413" s="30" t="n"/>
      <c r="AA413" s="30">
        <f>IF(Z413="Monopoly",10,IF(Z413="Oligopoly",5,IF(Z413="Duopoly that cooperate",10,IF(Z413="Duopoly that compete",5,IF(Z413="Too many players with High ROCE",5,0)))))</f>
        <v/>
      </c>
      <c r="AB413" s="30" t="n"/>
      <c r="AC413" s="30">
        <f>IF(AB413="No",5,0)</f>
        <v/>
      </c>
      <c r="AD413" s="30" t="n"/>
      <c r="AE413" s="30">
        <f>IF(AD413="Tailwind",10,0)</f>
        <v/>
      </c>
      <c r="AF413" s="30" t="n"/>
      <c r="AG413" s="30">
        <f>IF(AF413="Structural (10 Years Consistency)",10,IF(AF413="Shallow Cyclical (2 to 3 years growth)",5,0))</f>
        <v/>
      </c>
      <c r="AH413" s="30" t="n"/>
      <c r="AI413" s="30">
        <f>IF(AH413="Yes due to Product Mix change or Operating Leverage",10,IF(AH413="Yes, these are peak margins",-5,IF(AH413="No",5,0)))</f>
        <v/>
      </c>
      <c r="AJ413" s="30" t="n"/>
      <c r="AK413" s="30">
        <f>IF(AJ413="Stable",10,0)</f>
        <v/>
      </c>
      <c r="AL413" s="30" t="n"/>
      <c r="AM413" s="30">
        <f>IF(AL413="Yes",10,0)</f>
        <v/>
      </c>
      <c r="AN413" s="30" t="n"/>
      <c r="AO413" s="30">
        <f>IF(AN413="B2C",10,IF(AN413="B2B",5,0))</f>
        <v/>
      </c>
      <c r="AP413" s="30" t="n"/>
      <c r="AQ413" s="30">
        <f>IF(AP413="Yes",10,0)</f>
        <v/>
      </c>
      <c r="AR413" s="30" t="n"/>
      <c r="AS413" s="30">
        <f>IF(AR413="Fully Annuity",10,IF(AR413="Higher Annuity, Lower One Time",5,IF(AR413="Higher One Time, Lower Annuity",3,0)))</f>
        <v/>
      </c>
      <c r="AT413" s="30" t="n"/>
      <c r="AU413" s="30">
        <f>IF(AT413="Good",10,0)</f>
        <v/>
      </c>
      <c r="AV413" s="30" t="n"/>
      <c r="AW413" s="30">
        <f>IF(AV413="Yes for more than 2 years",10,IF(AV413="Yes only for next 1 to 2 years",5,0))</f>
        <v/>
      </c>
      <c r="AX413" s="30" t="n"/>
      <c r="AY413" s="30">
        <f>IF(AX413="Above 40",20,IF(AX413="20 to 40",10,IF(AX413="0 to 20",-5,0)))</f>
        <v/>
      </c>
      <c r="AZ413" s="30" t="n"/>
      <c r="BA413" s="30">
        <f>IF(AZ413="Between 50 to 75",10,IF(AZ413="Above 75",0,0))</f>
        <v/>
      </c>
      <c r="BB413" s="30" t="n"/>
      <c r="BC413" s="30">
        <f>IF(BB413="Stage 2",20,IF(BB413="Stage 1",0,IF(BB413="Stage 3",5,IF(BB413="Stage 4",-5,0))))</f>
        <v/>
      </c>
      <c r="BD413" s="30" t="n"/>
      <c r="BE413" s="30">
        <f>IF(BD413="Positive Trend",20,IF(BD413="Negative Trend",-10,0))</f>
        <v/>
      </c>
      <c r="BF413" s="30" t="n"/>
      <c r="BG413" s="30">
        <f>IF(BF413="Uptrend",10,IF(BF413="Sideways",5,0))</f>
        <v/>
      </c>
      <c r="BH413" s="30" t="n"/>
      <c r="BI413" s="30">
        <f>IF(BH413="Uptrend",10,IF(BH413="Sideways",5,0))</f>
        <v/>
      </c>
      <c r="BJ413" s="30" t="n"/>
      <c r="BK413" s="30">
        <f>IF(BJ413="Overhead supply in last 2 years in last 2 years",-5,IF(BJ413="Close to 52 week high or retracement",5,IF(BJ413="Blue sky scenario",10,IF(BJ413="Long term Downtrend",-10,0))))</f>
        <v/>
      </c>
      <c r="BL413" s="30" t="n"/>
      <c r="BM413" s="30">
        <f>IF(BL413="Yes",10,0)</f>
        <v/>
      </c>
      <c r="BN413" s="30" t="n"/>
      <c r="BO413" s="30">
        <f>IF(BN413="More than 20%",10,IF(BN413="Between 12 to 20%",5,IF(BN413="Less than 12%",0,0)))</f>
        <v/>
      </c>
      <c r="BP413" s="30" t="n"/>
      <c r="BQ413" s="30">
        <f>IF(BP413="No",10,0)</f>
        <v/>
      </c>
      <c r="BR413" s="30" t="n"/>
      <c r="BS413" s="30">
        <f>IF(BR413="NO",5,0)</f>
        <v/>
      </c>
      <c r="BT413" s="30" t="n"/>
      <c r="BU413" s="30">
        <f>IF(BT413="Above 2",0,IF(BT413="Between 1.5 to 2",5,IF(BT413="Less than 1.5",10,0)))</f>
        <v/>
      </c>
      <c r="BV413" s="30" t="n"/>
      <c r="BW413" s="30">
        <f>IF(BV413="Above 70%",10,IF(BV413="Between 50% to 70%",5,IF(BV413="Less than 50%",0,IF(BV413="Negative",-10,IF(BV413="Less than 50% and Borrowings are increasing",-5,0)))))</f>
        <v/>
      </c>
      <c r="BX413" s="30" t="n"/>
      <c r="BY413" s="30">
        <f>IF(BX413="More than 1.2",-10,IF(BX413="Between 0.7 to 1.2",0,IF(BX413="Less than 0.7",10,0)))</f>
        <v/>
      </c>
      <c r="BZ413" s="30" t="n"/>
      <c r="CA413" s="30">
        <f>IF(BZ413="Yes",-10,0)</f>
        <v/>
      </c>
      <c r="CB413" s="30" t="n"/>
      <c r="CC413" s="30">
        <f>IF(CB413="More than 15%",-10,IF(CB413="Less than 15%",10,0))</f>
        <v/>
      </c>
      <c r="CD413" s="30" t="n"/>
      <c r="CE413" s="30">
        <f>IF(CD413="Yes, more than 10%",-10,IF(CD413="No",10,0))</f>
        <v/>
      </c>
    </row>
    <row r="414">
      <c r="A414" s="30">
        <f>IF(B414=0,"",RANK(B414,$B$2:$B$427,0))</f>
        <v/>
      </c>
      <c r="B414" s="31">
        <f>SUM(N414,Y414,AA414,AC414,AE414,AG414,AI414,AK414,AM414,AO414,AQ414,AS414,AU414,AW414,AY414,BA414,BC414,BE414,BG414,BI414,BK414,BM414,BO414,BQ414,BS414,BU414,BW414,BY414,CA414,CC414,CE414)</f>
        <v/>
      </c>
      <c r="C414" s="30" t="inlineStr">
        <is>
          <t>IRISDOREME</t>
        </is>
      </c>
      <c r="D414" s="30" t="inlineStr">
        <is>
          <t>Iris Clothings Ltd</t>
        </is>
      </c>
      <c r="E414" s="30" t="inlineStr">
        <is>
          <t>consumer discretionary</t>
        </is>
      </c>
      <c r="F414" s="30" t="inlineStr">
        <is>
          <t>textiles - products</t>
        </is>
      </c>
      <c r="G414" s="30" t="inlineStr">
        <is>
          <t>smallcap</t>
        </is>
      </c>
      <c r="H414" s="31" t="n">
        <v>759.99</v>
      </c>
      <c r="I414" s="31" t="n">
        <v>39.91</v>
      </c>
      <c r="J414" s="31" t="n">
        <v>-0.05</v>
      </c>
      <c r="K414" s="31" t="n">
        <v>285060</v>
      </c>
      <c r="L414" s="30" t="inlineStr"/>
      <c r="M414" s="30" t="inlineStr"/>
      <c r="N414" s="31">
        <f>IF(M414="Underperforming",-5,IF(L414&gt;=95,15,IF(L414&gt;=90,10,IF(L414&gt;=80,5,0))))</f>
        <v/>
      </c>
      <c r="O414" s="31" t="inlineStr"/>
      <c r="P414" s="31" t="inlineStr"/>
      <c r="Q414" s="31" t="inlineStr"/>
      <c r="R414" s="30" t="inlineStr"/>
      <c r="S414" s="30" t="inlineStr"/>
      <c r="T414" s="31" t="inlineStr"/>
      <c r="U414" s="31" t="inlineStr"/>
      <c r="V414" s="31" t="inlineStr"/>
      <c r="W414" s="31" t="inlineStr"/>
      <c r="X414" s="30" t="n"/>
      <c r="Y414" s="30">
        <f>IF(X414="Growing Industry",10,IF(X414="Cyclical in an Upturn",5,0))</f>
        <v/>
      </c>
      <c r="Z414" s="30" t="n"/>
      <c r="AA414" s="30">
        <f>IF(Z414="Monopoly",10,IF(Z414="Oligopoly",5,IF(Z414="Duopoly that cooperate",10,IF(Z414="Duopoly that compete",5,IF(Z414="Too many players with High ROCE",5,0)))))</f>
        <v/>
      </c>
      <c r="AB414" s="30" t="n"/>
      <c r="AC414" s="30">
        <f>IF(AB414="No",5,0)</f>
        <v/>
      </c>
      <c r="AD414" s="30" t="n"/>
      <c r="AE414" s="30">
        <f>IF(AD414="Tailwind",10,0)</f>
        <v/>
      </c>
      <c r="AF414" s="30" t="n"/>
      <c r="AG414" s="30">
        <f>IF(AF414="Structural (10 Years Consistency)",10,IF(AF414="Shallow Cyclical (2 to 3 years growth)",5,0))</f>
        <v/>
      </c>
      <c r="AH414" s="30" t="n"/>
      <c r="AI414" s="30">
        <f>IF(AH414="Yes due to Product Mix change or Operating Leverage",10,IF(AH414="Yes, these are peak margins",-5,IF(AH414="No",5,0)))</f>
        <v/>
      </c>
      <c r="AJ414" s="30" t="n"/>
      <c r="AK414" s="30">
        <f>IF(AJ414="Stable",10,0)</f>
        <v/>
      </c>
      <c r="AL414" s="30" t="n"/>
      <c r="AM414" s="30">
        <f>IF(AL414="Yes",10,0)</f>
        <v/>
      </c>
      <c r="AN414" s="30" t="n"/>
      <c r="AO414" s="30">
        <f>IF(AN414="B2C",10,IF(AN414="B2B",5,0))</f>
        <v/>
      </c>
      <c r="AP414" s="30" t="n"/>
      <c r="AQ414" s="30">
        <f>IF(AP414="Yes",10,0)</f>
        <v/>
      </c>
      <c r="AR414" s="30" t="n"/>
      <c r="AS414" s="30">
        <f>IF(AR414="Fully Annuity",10,IF(AR414="Higher Annuity, Lower One Time",5,IF(AR414="Higher One Time, Lower Annuity",3,0)))</f>
        <v/>
      </c>
      <c r="AT414" s="30" t="n"/>
      <c r="AU414" s="30">
        <f>IF(AT414="Good",10,0)</f>
        <v/>
      </c>
      <c r="AV414" s="30" t="n"/>
      <c r="AW414" s="30">
        <f>IF(AV414="Yes for more than 2 years",10,IF(AV414="Yes only for next 1 to 2 years",5,0))</f>
        <v/>
      </c>
      <c r="AX414" s="30" t="n"/>
      <c r="AY414" s="30">
        <f>IF(AX414="Above 40",20,IF(AX414="20 to 40",10,IF(AX414="0 to 20",-5,0)))</f>
        <v/>
      </c>
      <c r="AZ414" s="30" t="n"/>
      <c r="BA414" s="30">
        <f>IF(AZ414="Between 50 to 75",10,IF(AZ414="Above 75",0,0))</f>
        <v/>
      </c>
      <c r="BB414" s="30" t="n"/>
      <c r="BC414" s="30">
        <f>IF(BB414="Stage 2",20,IF(BB414="Stage 1",0,IF(BB414="Stage 3",5,IF(BB414="Stage 4",-5,0))))</f>
        <v/>
      </c>
      <c r="BD414" s="30" t="n"/>
      <c r="BE414" s="30">
        <f>IF(BD414="Positive Trend",20,IF(BD414="Negative Trend",-10,0))</f>
        <v/>
      </c>
      <c r="BF414" s="30" t="n"/>
      <c r="BG414" s="30">
        <f>IF(BF414="Uptrend",10,IF(BF414="Sideways",5,0))</f>
        <v/>
      </c>
      <c r="BH414" s="30" t="n"/>
      <c r="BI414" s="30">
        <f>IF(BH414="Uptrend",10,IF(BH414="Sideways",5,0))</f>
        <v/>
      </c>
      <c r="BJ414" s="30" t="n"/>
      <c r="BK414" s="30">
        <f>IF(BJ414="Overhead supply in last 2 years in last 2 years",-5,IF(BJ414="Close to 52 week high or retracement",5,IF(BJ414="Blue sky scenario",10,IF(BJ414="Long term Downtrend",-10,0))))</f>
        <v/>
      </c>
      <c r="BL414" s="30" t="n"/>
      <c r="BM414" s="30">
        <f>IF(BL414="Yes",10,0)</f>
        <v/>
      </c>
      <c r="BN414" s="30" t="n"/>
      <c r="BO414" s="30">
        <f>IF(BN414="More than 20%",10,IF(BN414="Between 12 to 20%",5,IF(BN414="Less than 12%",0,0)))</f>
        <v/>
      </c>
      <c r="BP414" s="30" t="n"/>
      <c r="BQ414" s="30">
        <f>IF(BP414="No",10,0)</f>
        <v/>
      </c>
      <c r="BR414" s="30" t="n"/>
      <c r="BS414" s="30">
        <f>IF(BR414="NO",5,0)</f>
        <v/>
      </c>
      <c r="BT414" s="30" t="n"/>
      <c r="BU414" s="30">
        <f>IF(BT414="Above 2",0,IF(BT414="Between 1.5 to 2",5,IF(BT414="Less than 1.5",10,0)))</f>
        <v/>
      </c>
      <c r="BV414" s="30" t="n"/>
      <c r="BW414" s="30">
        <f>IF(BV414="Above 70%",10,IF(BV414="Between 50% to 70%",5,IF(BV414="Less than 50%",0,IF(BV414="Negative",-10,IF(BV414="Less than 50% and Borrowings are increasing",-5,0)))))</f>
        <v/>
      </c>
      <c r="BX414" s="30" t="n"/>
      <c r="BY414" s="30">
        <f>IF(BX414="More than 1.2",-10,IF(BX414="Between 0.7 to 1.2",0,IF(BX414="Less than 0.7",10,0)))</f>
        <v/>
      </c>
      <c r="BZ414" s="30" t="n"/>
      <c r="CA414" s="30">
        <f>IF(BZ414="Yes",-10,0)</f>
        <v/>
      </c>
      <c r="CB414" s="30" t="n"/>
      <c r="CC414" s="30">
        <f>IF(CB414="More than 15%",-10,IF(CB414="Less than 15%",10,0))</f>
        <v/>
      </c>
      <c r="CD414" s="30" t="n"/>
      <c r="CE414" s="30">
        <f>IF(CD414="Yes, more than 10%",-10,IF(CD414="No",10,0))</f>
        <v/>
      </c>
    </row>
    <row r="415">
      <c r="A415" s="30">
        <f>IF(B415=0,"",RANK(B415,$B$2:$B$427,0))</f>
        <v/>
      </c>
      <c r="B415" s="31">
        <f>SUM(N415,Y415,AA415,AC415,AE415,AG415,AI415,AK415,AM415,AO415,AQ415,AS415,AU415,AW415,AY415,BA415,BC415,BE415,BG415,BI415,BK415,BM415,BO415,BQ415,BS415,BU415,BW415,BY415,CA415,CC415,CE415)</f>
        <v/>
      </c>
      <c r="C415" s="30" t="inlineStr">
        <is>
          <t>MAYURUNIQ</t>
        </is>
      </c>
      <c r="D415" s="30" t="inlineStr">
        <is>
          <t>Mayur Uniquoters Ltd</t>
        </is>
      </c>
      <c r="E415" s="30" t="inlineStr">
        <is>
          <t>consumer discretionary</t>
        </is>
      </c>
      <c r="F415" s="30" t="inlineStr">
        <is>
          <t>leather / leather products</t>
        </is>
      </c>
      <c r="G415" s="30" t="inlineStr">
        <is>
          <t>smallcap</t>
        </is>
      </c>
      <c r="H415" s="31" t="n">
        <v>3595.49</v>
      </c>
      <c r="I415" s="31" t="n">
        <v>826.25</v>
      </c>
      <c r="J415" s="31" t="n">
        <v>-0.15</v>
      </c>
      <c r="K415" s="31" t="n">
        <v>101206</v>
      </c>
      <c r="L415" s="30" t="inlineStr"/>
      <c r="M415" s="30" t="inlineStr"/>
      <c r="N415" s="31">
        <f>IF(M415="Underperforming",-5,IF(L415&gt;=95,15,IF(L415&gt;=90,10,IF(L415&gt;=80,5,0))))</f>
        <v/>
      </c>
      <c r="O415" s="31" t="inlineStr"/>
      <c r="P415" s="31" t="inlineStr"/>
      <c r="Q415" s="31" t="inlineStr"/>
      <c r="R415" s="30" t="inlineStr"/>
      <c r="S415" s="30" t="inlineStr"/>
      <c r="T415" s="31" t="inlineStr"/>
      <c r="U415" s="31" t="inlineStr"/>
      <c r="V415" s="31" t="inlineStr"/>
      <c r="W415" s="31" t="inlineStr"/>
      <c r="X415" s="30" t="n"/>
      <c r="Y415" s="30">
        <f>IF(X415="Growing Industry",10,IF(X415="Cyclical in an Upturn",5,0))</f>
        <v/>
      </c>
      <c r="Z415" s="30" t="n"/>
      <c r="AA415" s="30">
        <f>IF(Z415="Monopoly",10,IF(Z415="Oligopoly",5,IF(Z415="Duopoly that cooperate",10,IF(Z415="Duopoly that compete",5,IF(Z415="Too many players with High ROCE",5,0)))))</f>
        <v/>
      </c>
      <c r="AB415" s="30" t="n"/>
      <c r="AC415" s="30">
        <f>IF(AB415="No",5,0)</f>
        <v/>
      </c>
      <c r="AD415" s="30" t="n"/>
      <c r="AE415" s="30">
        <f>IF(AD415="Tailwind",10,0)</f>
        <v/>
      </c>
      <c r="AF415" s="30" t="n"/>
      <c r="AG415" s="30">
        <f>IF(AF415="Structural (10 Years Consistency)",10,IF(AF415="Shallow Cyclical (2 to 3 years growth)",5,0))</f>
        <v/>
      </c>
      <c r="AH415" s="30" t="n"/>
      <c r="AI415" s="30">
        <f>IF(AH415="Yes due to Product Mix change or Operating Leverage",10,IF(AH415="Yes, these are peak margins",-5,IF(AH415="No",5,0)))</f>
        <v/>
      </c>
      <c r="AJ415" s="30" t="n"/>
      <c r="AK415" s="30">
        <f>IF(AJ415="Stable",10,0)</f>
        <v/>
      </c>
      <c r="AL415" s="30" t="n"/>
      <c r="AM415" s="30">
        <f>IF(AL415="Yes",10,0)</f>
        <v/>
      </c>
      <c r="AN415" s="30" t="n"/>
      <c r="AO415" s="30">
        <f>IF(AN415="B2C",10,IF(AN415="B2B",5,0))</f>
        <v/>
      </c>
      <c r="AP415" s="30" t="n"/>
      <c r="AQ415" s="30">
        <f>IF(AP415="Yes",10,0)</f>
        <v/>
      </c>
      <c r="AR415" s="30" t="n"/>
      <c r="AS415" s="30">
        <f>IF(AR415="Fully Annuity",10,IF(AR415="Higher Annuity, Lower One Time",5,IF(AR415="Higher One Time, Lower Annuity",3,0)))</f>
        <v/>
      </c>
      <c r="AT415" s="30" t="n"/>
      <c r="AU415" s="30">
        <f>IF(AT415="Good",10,0)</f>
        <v/>
      </c>
      <c r="AV415" s="30" t="n"/>
      <c r="AW415" s="30">
        <f>IF(AV415="Yes for more than 2 years",10,IF(AV415="Yes only for next 1 to 2 years",5,0))</f>
        <v/>
      </c>
      <c r="AX415" s="30" t="n"/>
      <c r="AY415" s="30">
        <f>IF(AX415="Above 40",20,IF(AX415="20 to 40",10,IF(AX415="0 to 20",-5,0)))</f>
        <v/>
      </c>
      <c r="AZ415" s="30" t="n"/>
      <c r="BA415" s="30">
        <f>IF(AZ415="Between 50 to 75",10,IF(AZ415="Above 75",0,0))</f>
        <v/>
      </c>
      <c r="BB415" s="30" t="n"/>
      <c r="BC415" s="30">
        <f>IF(BB415="Stage 2",20,IF(BB415="Stage 1",0,IF(BB415="Stage 3",5,IF(BB415="Stage 4",-5,0))))</f>
        <v/>
      </c>
      <c r="BD415" s="30" t="n"/>
      <c r="BE415" s="30">
        <f>IF(BD415="Positive Trend",20,IF(BD415="Negative Trend",-10,0))</f>
        <v/>
      </c>
      <c r="BF415" s="30" t="n"/>
      <c r="BG415" s="30">
        <f>IF(BF415="Uptrend",10,IF(BF415="Sideways",5,0))</f>
        <v/>
      </c>
      <c r="BH415" s="30" t="n"/>
      <c r="BI415" s="30">
        <f>IF(BH415="Uptrend",10,IF(BH415="Sideways",5,0))</f>
        <v/>
      </c>
      <c r="BJ415" s="30" t="n"/>
      <c r="BK415" s="30">
        <f>IF(BJ415="Overhead supply in last 2 years in last 2 years",-5,IF(BJ415="Close to 52 week high or retracement",5,IF(BJ415="Blue sky scenario",10,IF(BJ415="Long term Downtrend",-10,0))))</f>
        <v/>
      </c>
      <c r="BL415" s="30" t="n"/>
      <c r="BM415" s="30">
        <f>IF(BL415="Yes",10,0)</f>
        <v/>
      </c>
      <c r="BN415" s="30" t="n"/>
      <c r="BO415" s="30">
        <f>IF(BN415="More than 20%",10,IF(BN415="Between 12 to 20%",5,IF(BN415="Less than 12%",0,0)))</f>
        <v/>
      </c>
      <c r="BP415" s="30" t="n"/>
      <c r="BQ415" s="30">
        <f>IF(BP415="No",10,0)</f>
        <v/>
      </c>
      <c r="BR415" s="30" t="n"/>
      <c r="BS415" s="30">
        <f>IF(BR415="NO",5,0)</f>
        <v/>
      </c>
      <c r="BT415" s="30" t="n"/>
      <c r="BU415" s="30">
        <f>IF(BT415="Above 2",0,IF(BT415="Between 1.5 to 2",5,IF(BT415="Less than 1.5",10,0)))</f>
        <v/>
      </c>
      <c r="BV415" s="30" t="n"/>
      <c r="BW415" s="30">
        <f>IF(BV415="Above 70%",10,IF(BV415="Between 50% to 70%",5,IF(BV415="Less than 50%",0,IF(BV415="Negative",-10,IF(BV415="Less than 50% and Borrowings are increasing",-5,0)))))</f>
        <v/>
      </c>
      <c r="BX415" s="30" t="n"/>
      <c r="BY415" s="30">
        <f>IF(BX415="More than 1.2",-10,IF(BX415="Between 0.7 to 1.2",0,IF(BX415="Less than 0.7",10,0)))</f>
        <v/>
      </c>
      <c r="BZ415" s="30" t="n"/>
      <c r="CA415" s="30">
        <f>IF(BZ415="Yes",-10,0)</f>
        <v/>
      </c>
      <c r="CB415" s="30" t="n"/>
      <c r="CC415" s="30">
        <f>IF(CB415="More than 15%",-10,IF(CB415="Less than 15%",10,0))</f>
        <v/>
      </c>
      <c r="CD415" s="30" t="n"/>
      <c r="CE415" s="30">
        <f>IF(CD415="Yes, more than 10%",-10,IF(CD415="No",10,0))</f>
        <v/>
      </c>
    </row>
    <row r="416">
      <c r="A416" s="30">
        <f>IF(B416=0,"",RANK(B416,$B$2:$B$427,0))</f>
        <v/>
      </c>
      <c r="B416" s="31">
        <f>SUM(N416,Y416,AA416,AC416,AE416,AG416,AI416,AK416,AM416,AO416,AQ416,AS416,AU416,AW416,AY416,BA416,BC416,BE416,BG416,BI416,BK416,BM416,BO416,BQ416,BS416,BU416,BW416,BY416,CA416,CC416,CE416)</f>
        <v/>
      </c>
      <c r="C416" s="30" t="inlineStr">
        <is>
          <t>GREENPLY</t>
        </is>
      </c>
      <c r="D416" s="30" t="inlineStr">
        <is>
          <t>Greenply Industries Limited</t>
        </is>
      </c>
      <c r="E416" s="30" t="inlineStr">
        <is>
          <t>building materials</t>
        </is>
      </c>
      <c r="F416" s="30" t="inlineStr">
        <is>
          <t>miscellaneous</t>
        </is>
      </c>
      <c r="G416" s="30" t="inlineStr">
        <is>
          <t>smallcap</t>
        </is>
      </c>
      <c r="H416" s="31" t="n">
        <v>3649.76</v>
      </c>
      <c r="I416" s="31" t="n">
        <v>291.67</v>
      </c>
      <c r="J416" s="31" t="n">
        <v>-0.18</v>
      </c>
      <c r="K416" s="31" t="n">
        <v>83223</v>
      </c>
      <c r="L416" s="30" t="inlineStr"/>
      <c r="M416" s="30" t="inlineStr"/>
      <c r="N416" s="31">
        <f>IF(M416="Underperforming",-5,IF(L416&gt;=95,15,IF(L416&gt;=90,10,IF(L416&gt;=80,5,0))))</f>
        <v/>
      </c>
      <c r="O416" s="31" t="inlineStr"/>
      <c r="P416" s="31" t="inlineStr"/>
      <c r="Q416" s="31" t="inlineStr"/>
      <c r="R416" s="30" t="inlineStr"/>
      <c r="S416" s="30" t="inlineStr"/>
      <c r="T416" s="31" t="inlineStr"/>
      <c r="U416" s="31" t="inlineStr"/>
      <c r="V416" s="31" t="inlineStr"/>
      <c r="W416" s="31" t="inlineStr"/>
      <c r="X416" s="30" t="n"/>
      <c r="Y416" s="30">
        <f>IF(X416="Growing Industry",10,IF(X416="Cyclical in an Upturn",5,0))</f>
        <v/>
      </c>
      <c r="Z416" s="30" t="n"/>
      <c r="AA416" s="30">
        <f>IF(Z416="Monopoly",10,IF(Z416="Oligopoly",5,IF(Z416="Duopoly that cooperate",10,IF(Z416="Duopoly that compete",5,IF(Z416="Too many players with High ROCE",5,0)))))</f>
        <v/>
      </c>
      <c r="AB416" s="30" t="n"/>
      <c r="AC416" s="30">
        <f>IF(AB416="No",5,0)</f>
        <v/>
      </c>
      <c r="AD416" s="30" t="n"/>
      <c r="AE416" s="30">
        <f>IF(AD416="Tailwind",10,0)</f>
        <v/>
      </c>
      <c r="AF416" s="30" t="n"/>
      <c r="AG416" s="30">
        <f>IF(AF416="Structural (10 Years Consistency)",10,IF(AF416="Shallow Cyclical (2 to 3 years growth)",5,0))</f>
        <v/>
      </c>
      <c r="AH416" s="30" t="n"/>
      <c r="AI416" s="30">
        <f>IF(AH416="Yes due to Product Mix change or Operating Leverage",10,IF(AH416="Yes, these are peak margins",-5,IF(AH416="No",5,0)))</f>
        <v/>
      </c>
      <c r="AJ416" s="30" t="n"/>
      <c r="AK416" s="30">
        <f>IF(AJ416="Stable",10,0)</f>
        <v/>
      </c>
      <c r="AL416" s="30" t="n"/>
      <c r="AM416" s="30">
        <f>IF(AL416="Yes",10,0)</f>
        <v/>
      </c>
      <c r="AN416" s="30" t="n"/>
      <c r="AO416" s="30">
        <f>IF(AN416="B2C",10,IF(AN416="B2B",5,0))</f>
        <v/>
      </c>
      <c r="AP416" s="30" t="n"/>
      <c r="AQ416" s="30">
        <f>IF(AP416="Yes",10,0)</f>
        <v/>
      </c>
      <c r="AR416" s="30" t="n"/>
      <c r="AS416" s="30">
        <f>IF(AR416="Fully Annuity",10,IF(AR416="Higher Annuity, Lower One Time",5,IF(AR416="Higher One Time, Lower Annuity",3,0)))</f>
        <v/>
      </c>
      <c r="AT416" s="30" t="n"/>
      <c r="AU416" s="30">
        <f>IF(AT416="Good",10,0)</f>
        <v/>
      </c>
      <c r="AV416" s="30" t="n"/>
      <c r="AW416" s="30">
        <f>IF(AV416="Yes for more than 2 years",10,IF(AV416="Yes only for next 1 to 2 years",5,0))</f>
        <v/>
      </c>
      <c r="AX416" s="30" t="n"/>
      <c r="AY416" s="30">
        <f>IF(AX416="Above 40",20,IF(AX416="20 to 40",10,IF(AX416="0 to 20",-5,0)))</f>
        <v/>
      </c>
      <c r="AZ416" s="30" t="n"/>
      <c r="BA416" s="30">
        <f>IF(AZ416="Between 50 to 75",10,IF(AZ416="Above 75",0,0))</f>
        <v/>
      </c>
      <c r="BB416" s="30" t="n"/>
      <c r="BC416" s="30">
        <f>IF(BB416="Stage 2",20,IF(BB416="Stage 1",0,IF(BB416="Stage 3",5,IF(BB416="Stage 4",-5,0))))</f>
        <v/>
      </c>
      <c r="BD416" s="30" t="n"/>
      <c r="BE416" s="30">
        <f>IF(BD416="Positive Trend",20,IF(BD416="Negative Trend",-10,0))</f>
        <v/>
      </c>
      <c r="BF416" s="30" t="n"/>
      <c r="BG416" s="30">
        <f>IF(BF416="Uptrend",10,IF(BF416="Sideways",5,0))</f>
        <v/>
      </c>
      <c r="BH416" s="30" t="n"/>
      <c r="BI416" s="30">
        <f>IF(BH416="Uptrend",10,IF(BH416="Sideways",5,0))</f>
        <v/>
      </c>
      <c r="BJ416" s="30" t="n"/>
      <c r="BK416" s="30">
        <f>IF(BJ416="Overhead supply in last 2 years in last 2 years",-5,IF(BJ416="Close to 52 week high or retracement",5,IF(BJ416="Blue sky scenario",10,IF(BJ416="Long term Downtrend",-10,0))))</f>
        <v/>
      </c>
      <c r="BL416" s="30" t="n"/>
      <c r="BM416" s="30">
        <f>IF(BL416="Yes",10,0)</f>
        <v/>
      </c>
      <c r="BN416" s="30" t="n"/>
      <c r="BO416" s="30">
        <f>IF(BN416="More than 20%",10,IF(BN416="Between 12 to 20%",5,IF(BN416="Less than 12%",0,0)))</f>
        <v/>
      </c>
      <c r="BP416" s="30" t="n"/>
      <c r="BQ416" s="30">
        <f>IF(BP416="No",10,0)</f>
        <v/>
      </c>
      <c r="BR416" s="30" t="n"/>
      <c r="BS416" s="30">
        <f>IF(BR416="NO",5,0)</f>
        <v/>
      </c>
      <c r="BT416" s="30" t="n"/>
      <c r="BU416" s="30">
        <f>IF(BT416="Above 2",0,IF(BT416="Between 1.5 to 2",5,IF(BT416="Less than 1.5",10,0)))</f>
        <v/>
      </c>
      <c r="BV416" s="30" t="n"/>
      <c r="BW416" s="30">
        <f>IF(BV416="Above 70%",10,IF(BV416="Between 50% to 70%",5,IF(BV416="Less than 50%",0,IF(BV416="Negative",-10,IF(BV416="Less than 50% and Borrowings are increasing",-5,0)))))</f>
        <v/>
      </c>
      <c r="BX416" s="30" t="n"/>
      <c r="BY416" s="30">
        <f>IF(BX416="More than 1.2",-10,IF(BX416="Between 0.7 to 1.2",0,IF(BX416="Less than 0.7",10,0)))</f>
        <v/>
      </c>
      <c r="BZ416" s="30" t="n"/>
      <c r="CA416" s="30">
        <f>IF(BZ416="Yes",-10,0)</f>
        <v/>
      </c>
      <c r="CB416" s="30" t="n"/>
      <c r="CC416" s="30">
        <f>IF(CB416="More than 15%",-10,IF(CB416="Less than 15%",10,0))</f>
        <v/>
      </c>
      <c r="CD416" s="30" t="n"/>
      <c r="CE416" s="30">
        <f>IF(CD416="Yes, more than 10%",-10,IF(CD416="No",10,0))</f>
        <v/>
      </c>
    </row>
    <row r="417">
      <c r="A417" s="30">
        <f>IF(B417=0,"",RANK(B417,$B$2:$B$427,0))</f>
        <v/>
      </c>
      <c r="B417" s="31">
        <f>SUM(N417,Y417,AA417,AC417,AE417,AG417,AI417,AK417,AM417,AO417,AQ417,AS417,AU417,AW417,AY417,BA417,BC417,BE417,BG417,BI417,BK417,BM417,BO417,BQ417,BS417,BU417,BW417,BY417,CA417,CC417,CE417)</f>
        <v/>
      </c>
      <c r="C417" s="30" t="inlineStr">
        <is>
          <t>TRITURBINE</t>
        </is>
      </c>
      <c r="D417" s="30" t="inlineStr">
        <is>
          <t>Triveni Turbine Limited</t>
        </is>
      </c>
      <c r="E417" s="30" t="inlineStr">
        <is>
          <t>industrials</t>
        </is>
      </c>
      <c r="F417" s="30" t="inlineStr">
        <is>
          <t>electric equipment</t>
        </is>
      </c>
      <c r="G417" s="30" t="inlineStr">
        <is>
          <t>largecap</t>
        </is>
      </c>
      <c r="H417" s="31" t="n">
        <v>21430.89</v>
      </c>
      <c r="I417" s="31" t="n">
        <v>672.3</v>
      </c>
      <c r="J417" s="31" t="n">
        <v>-0.27</v>
      </c>
      <c r="K417" s="31" t="n">
        <v>919523</v>
      </c>
      <c r="L417" s="30" t="inlineStr"/>
      <c r="M417" s="30" t="inlineStr"/>
      <c r="N417" s="31">
        <f>IF(M417="Underperforming",-5,IF(L417&gt;=95,15,IF(L417&gt;=90,10,IF(L417&gt;=80,5,0))))</f>
        <v/>
      </c>
      <c r="O417" s="31" t="inlineStr"/>
      <c r="P417" s="31" t="inlineStr"/>
      <c r="Q417" s="31" t="inlineStr"/>
      <c r="R417" s="30" t="inlineStr"/>
      <c r="S417" s="30" t="inlineStr"/>
      <c r="T417" s="31" t="inlineStr"/>
      <c r="U417" s="31" t="inlineStr"/>
      <c r="V417" s="31" t="inlineStr"/>
      <c r="W417" s="31" t="inlineStr"/>
      <c r="X417" s="30" t="n"/>
      <c r="Y417" s="30">
        <f>IF(X417="Growing Industry",10,IF(X417="Cyclical in an Upturn",5,0))</f>
        <v/>
      </c>
      <c r="Z417" s="30" t="n"/>
      <c r="AA417" s="30">
        <f>IF(Z417="Monopoly",10,IF(Z417="Oligopoly",5,IF(Z417="Duopoly that cooperate",10,IF(Z417="Duopoly that compete",5,IF(Z417="Too many players with High ROCE",5,0)))))</f>
        <v/>
      </c>
      <c r="AB417" s="30" t="n"/>
      <c r="AC417" s="30">
        <f>IF(AB417="No",5,0)</f>
        <v/>
      </c>
      <c r="AD417" s="30" t="n"/>
      <c r="AE417" s="30">
        <f>IF(AD417="Tailwind",10,0)</f>
        <v/>
      </c>
      <c r="AF417" s="30" t="n"/>
      <c r="AG417" s="30">
        <f>IF(AF417="Structural (10 Years Consistency)",10,IF(AF417="Shallow Cyclical (2 to 3 years growth)",5,0))</f>
        <v/>
      </c>
      <c r="AH417" s="30" t="n"/>
      <c r="AI417" s="30">
        <f>IF(AH417="Yes due to Product Mix change or Operating Leverage",10,IF(AH417="Yes, these are peak margins",-5,IF(AH417="No",5,0)))</f>
        <v/>
      </c>
      <c r="AJ417" s="30" t="n"/>
      <c r="AK417" s="30">
        <f>IF(AJ417="Stable",10,0)</f>
        <v/>
      </c>
      <c r="AL417" s="30" t="n"/>
      <c r="AM417" s="30">
        <f>IF(AL417="Yes",10,0)</f>
        <v/>
      </c>
      <c r="AN417" s="30" t="n"/>
      <c r="AO417" s="30">
        <f>IF(AN417="B2C",10,IF(AN417="B2B",5,0))</f>
        <v/>
      </c>
      <c r="AP417" s="30" t="n"/>
      <c r="AQ417" s="30">
        <f>IF(AP417="Yes",10,0)</f>
        <v/>
      </c>
      <c r="AR417" s="30" t="n"/>
      <c r="AS417" s="30">
        <f>IF(AR417="Fully Annuity",10,IF(AR417="Higher Annuity, Lower One Time",5,IF(AR417="Higher One Time, Lower Annuity",3,0)))</f>
        <v/>
      </c>
      <c r="AT417" s="30" t="n"/>
      <c r="AU417" s="30">
        <f>IF(AT417="Good",10,0)</f>
        <v/>
      </c>
      <c r="AV417" s="30" t="n"/>
      <c r="AW417" s="30">
        <f>IF(AV417="Yes for more than 2 years",10,IF(AV417="Yes only for next 1 to 2 years",5,0))</f>
        <v/>
      </c>
      <c r="AX417" s="30" t="n"/>
      <c r="AY417" s="30">
        <f>IF(AX417="Above 40",20,IF(AX417="20 to 40",10,IF(AX417="0 to 20",-5,0)))</f>
        <v/>
      </c>
      <c r="AZ417" s="30" t="n"/>
      <c r="BA417" s="30">
        <f>IF(AZ417="Between 50 to 75",10,IF(AZ417="Above 75",0,0))</f>
        <v/>
      </c>
      <c r="BB417" s="30" t="n"/>
      <c r="BC417" s="30">
        <f>IF(BB417="Stage 2",20,IF(BB417="Stage 1",0,IF(BB417="Stage 3",5,IF(BB417="Stage 4",-5,0))))</f>
        <v/>
      </c>
      <c r="BD417" s="30" t="n"/>
      <c r="BE417" s="30">
        <f>IF(BD417="Positive Trend",20,IF(BD417="Negative Trend",-10,0))</f>
        <v/>
      </c>
      <c r="BF417" s="30" t="n"/>
      <c r="BG417" s="30">
        <f>IF(BF417="Uptrend",10,IF(BF417="Sideways",5,0))</f>
        <v/>
      </c>
      <c r="BH417" s="30" t="n"/>
      <c r="BI417" s="30">
        <f>IF(BH417="Uptrend",10,IF(BH417="Sideways",5,0))</f>
        <v/>
      </c>
      <c r="BJ417" s="30" t="n"/>
      <c r="BK417" s="30">
        <f>IF(BJ417="Overhead supply in last 2 years in last 2 years",-5,IF(BJ417="Close to 52 week high or retracement",5,IF(BJ417="Blue sky scenario",10,IF(BJ417="Long term Downtrend",-10,0))))</f>
        <v/>
      </c>
      <c r="BL417" s="30" t="n"/>
      <c r="BM417" s="30">
        <f>IF(BL417="Yes",10,0)</f>
        <v/>
      </c>
      <c r="BN417" s="30" t="n"/>
      <c r="BO417" s="30">
        <f>IF(BN417="More than 20%",10,IF(BN417="Between 12 to 20%",5,IF(BN417="Less than 12%",0,0)))</f>
        <v/>
      </c>
      <c r="BP417" s="30" t="n"/>
      <c r="BQ417" s="30">
        <f>IF(BP417="No",10,0)</f>
        <v/>
      </c>
      <c r="BR417" s="30" t="n"/>
      <c r="BS417" s="30">
        <f>IF(BR417="NO",5,0)</f>
        <v/>
      </c>
      <c r="BT417" s="30" t="n"/>
      <c r="BU417" s="30">
        <f>IF(BT417="Above 2",0,IF(BT417="Between 1.5 to 2",5,IF(BT417="Less than 1.5",10,0)))</f>
        <v/>
      </c>
      <c r="BV417" s="30" t="n"/>
      <c r="BW417" s="30">
        <f>IF(BV417="Above 70%",10,IF(BV417="Between 50% to 70%",5,IF(BV417="Less than 50%",0,IF(BV417="Negative",-10,IF(BV417="Less than 50% and Borrowings are increasing",-5,0)))))</f>
        <v/>
      </c>
      <c r="BX417" s="30" t="n"/>
      <c r="BY417" s="30">
        <f>IF(BX417="More than 1.2",-10,IF(BX417="Between 0.7 to 1.2",0,IF(BX417="Less than 0.7",10,0)))</f>
        <v/>
      </c>
      <c r="BZ417" s="30" t="n"/>
      <c r="CA417" s="30">
        <f>IF(BZ417="Yes",-10,0)</f>
        <v/>
      </c>
      <c r="CB417" s="30" t="n"/>
      <c r="CC417" s="30">
        <f>IF(CB417="More than 15%",-10,IF(CB417="Less than 15%",10,0))</f>
        <v/>
      </c>
      <c r="CD417" s="30" t="n"/>
      <c r="CE417" s="30">
        <f>IF(CD417="Yes, more than 10%",-10,IF(CD417="No",10,0))</f>
        <v/>
      </c>
    </row>
    <row r="418">
      <c r="A418" s="30">
        <f>IF(B418=0,"",RANK(B418,$B$2:$B$427,0))</f>
        <v/>
      </c>
      <c r="B418" s="31">
        <f>SUM(N418,Y418,AA418,AC418,AE418,AG418,AI418,AK418,AM418,AO418,AQ418,AS418,AU418,AW418,AY418,BA418,BC418,BE418,BG418,BI418,BK418,BM418,BO418,BQ418,BS418,BU418,BW418,BY418,CA418,CC418,CE418)</f>
        <v/>
      </c>
      <c r="C418" s="30" t="inlineStr">
        <is>
          <t>MMFL</t>
        </is>
      </c>
      <c r="D418" s="30" t="inlineStr">
        <is>
          <t>Mm Forgings Limited</t>
        </is>
      </c>
      <c r="E418" s="30" t="inlineStr">
        <is>
          <t>industrials</t>
        </is>
      </c>
      <c r="F418" s="30" t="inlineStr">
        <is>
          <t>castings &amp; forgings</t>
        </is>
      </c>
      <c r="G418" s="30" t="inlineStr">
        <is>
          <t>smallcap</t>
        </is>
      </c>
      <c r="H418" s="31" t="n">
        <v>2275.99</v>
      </c>
      <c r="I418" s="31" t="n">
        <v>469.8</v>
      </c>
      <c r="J418" s="31" t="n">
        <v>-0.34</v>
      </c>
      <c r="K418" s="31" t="n">
        <v>65799</v>
      </c>
      <c r="L418" s="30" t="inlineStr"/>
      <c r="M418" s="30" t="inlineStr"/>
      <c r="N418" s="31">
        <f>IF(M418="Underperforming",-5,IF(L418&gt;=95,15,IF(L418&gt;=90,10,IF(L418&gt;=80,5,0))))</f>
        <v/>
      </c>
      <c r="O418" s="31" t="inlineStr"/>
      <c r="P418" s="31" t="inlineStr"/>
      <c r="Q418" s="31" t="inlineStr"/>
      <c r="R418" s="30" t="inlineStr"/>
      <c r="S418" s="30" t="inlineStr"/>
      <c r="T418" s="31" t="inlineStr"/>
      <c r="U418" s="31" t="inlineStr"/>
      <c r="V418" s="31" t="inlineStr"/>
      <c r="W418" s="31" t="inlineStr"/>
      <c r="X418" s="30" t="n"/>
      <c r="Y418" s="30">
        <f>IF(X418="Growing Industry",10,IF(X418="Cyclical in an Upturn",5,0))</f>
        <v/>
      </c>
      <c r="Z418" s="30" t="n"/>
      <c r="AA418" s="30">
        <f>IF(Z418="Monopoly",10,IF(Z418="Oligopoly",5,IF(Z418="Duopoly that cooperate",10,IF(Z418="Duopoly that compete",5,IF(Z418="Too many players with High ROCE",5,0)))))</f>
        <v/>
      </c>
      <c r="AB418" s="30" t="n"/>
      <c r="AC418" s="30">
        <f>IF(AB418="No",5,0)</f>
        <v/>
      </c>
      <c r="AD418" s="30" t="n"/>
      <c r="AE418" s="30">
        <f>IF(AD418="Tailwind",10,0)</f>
        <v/>
      </c>
      <c r="AF418" s="30" t="n"/>
      <c r="AG418" s="30">
        <f>IF(AF418="Structural (10 Years Consistency)",10,IF(AF418="Shallow Cyclical (2 to 3 years growth)",5,0))</f>
        <v/>
      </c>
      <c r="AH418" s="30" t="n"/>
      <c r="AI418" s="30">
        <f>IF(AH418="Yes due to Product Mix change or Operating Leverage",10,IF(AH418="Yes, these are peak margins",-5,IF(AH418="No",5,0)))</f>
        <v/>
      </c>
      <c r="AJ418" s="30" t="n"/>
      <c r="AK418" s="30">
        <f>IF(AJ418="Stable",10,0)</f>
        <v/>
      </c>
      <c r="AL418" s="30" t="n"/>
      <c r="AM418" s="30">
        <f>IF(AL418="Yes",10,0)</f>
        <v/>
      </c>
      <c r="AN418" s="30" t="n"/>
      <c r="AO418" s="30">
        <f>IF(AN418="B2C",10,IF(AN418="B2B",5,0))</f>
        <v/>
      </c>
      <c r="AP418" s="30" t="n"/>
      <c r="AQ418" s="30">
        <f>IF(AP418="Yes",10,0)</f>
        <v/>
      </c>
      <c r="AR418" s="30" t="n"/>
      <c r="AS418" s="30">
        <f>IF(AR418="Fully Annuity",10,IF(AR418="Higher Annuity, Lower One Time",5,IF(AR418="Higher One Time, Lower Annuity",3,0)))</f>
        <v/>
      </c>
      <c r="AT418" s="30" t="n"/>
      <c r="AU418" s="30">
        <f>IF(AT418="Good",10,0)</f>
        <v/>
      </c>
      <c r="AV418" s="30" t="n"/>
      <c r="AW418" s="30">
        <f>IF(AV418="Yes for more than 2 years",10,IF(AV418="Yes only for next 1 to 2 years",5,0))</f>
        <v/>
      </c>
      <c r="AX418" s="30" t="n"/>
      <c r="AY418" s="30">
        <f>IF(AX418="Above 40",20,IF(AX418="20 to 40",10,IF(AX418="0 to 20",-5,0)))</f>
        <v/>
      </c>
      <c r="AZ418" s="30" t="n"/>
      <c r="BA418" s="30">
        <f>IF(AZ418="Between 50 to 75",10,IF(AZ418="Above 75",0,0))</f>
        <v/>
      </c>
      <c r="BB418" s="30" t="n"/>
      <c r="BC418" s="30">
        <f>IF(BB418="Stage 2",20,IF(BB418="Stage 1",0,IF(BB418="Stage 3",5,IF(BB418="Stage 4",-5,0))))</f>
        <v/>
      </c>
      <c r="BD418" s="30" t="n"/>
      <c r="BE418" s="30">
        <f>IF(BD418="Positive Trend",20,IF(BD418="Negative Trend",-10,0))</f>
        <v/>
      </c>
      <c r="BF418" s="30" t="n"/>
      <c r="BG418" s="30">
        <f>IF(BF418="Uptrend",10,IF(BF418="Sideways",5,0))</f>
        <v/>
      </c>
      <c r="BH418" s="30" t="n"/>
      <c r="BI418" s="30">
        <f>IF(BH418="Uptrend",10,IF(BH418="Sideways",5,0))</f>
        <v/>
      </c>
      <c r="BJ418" s="30" t="n"/>
      <c r="BK418" s="30">
        <f>IF(BJ418="Overhead supply in last 2 years in last 2 years",-5,IF(BJ418="Close to 52 week high or retracement",5,IF(BJ418="Blue sky scenario",10,IF(BJ418="Long term Downtrend",-10,0))))</f>
        <v/>
      </c>
      <c r="BL418" s="30" t="n"/>
      <c r="BM418" s="30">
        <f>IF(BL418="Yes",10,0)</f>
        <v/>
      </c>
      <c r="BN418" s="30" t="n"/>
      <c r="BO418" s="30">
        <f>IF(BN418="More than 20%",10,IF(BN418="Between 12 to 20%",5,IF(BN418="Less than 12%",0,0)))</f>
        <v/>
      </c>
      <c r="BP418" s="30" t="n"/>
      <c r="BQ418" s="30">
        <f>IF(BP418="No",10,0)</f>
        <v/>
      </c>
      <c r="BR418" s="30" t="n"/>
      <c r="BS418" s="30">
        <f>IF(BR418="NO",5,0)</f>
        <v/>
      </c>
      <c r="BT418" s="30" t="n"/>
      <c r="BU418" s="30">
        <f>IF(BT418="Above 2",0,IF(BT418="Between 1.5 to 2",5,IF(BT418="Less than 1.5",10,0)))</f>
        <v/>
      </c>
      <c r="BV418" s="30" t="n"/>
      <c r="BW418" s="30">
        <f>IF(BV418="Above 70%",10,IF(BV418="Between 50% to 70%",5,IF(BV418="Less than 50%",0,IF(BV418="Negative",-10,IF(BV418="Less than 50% and Borrowings are increasing",-5,0)))))</f>
        <v/>
      </c>
      <c r="BX418" s="30" t="n"/>
      <c r="BY418" s="30">
        <f>IF(BX418="More than 1.2",-10,IF(BX418="Between 0.7 to 1.2",0,IF(BX418="Less than 0.7",10,0)))</f>
        <v/>
      </c>
      <c r="BZ418" s="30" t="n"/>
      <c r="CA418" s="30">
        <f>IF(BZ418="Yes",-10,0)</f>
        <v/>
      </c>
      <c r="CB418" s="30" t="n"/>
      <c r="CC418" s="30">
        <f>IF(CB418="More than 15%",-10,IF(CB418="Less than 15%",10,0))</f>
        <v/>
      </c>
      <c r="CD418" s="30" t="n"/>
      <c r="CE418" s="30">
        <f>IF(CD418="Yes, more than 10%",-10,IF(CD418="No",10,0))</f>
        <v/>
      </c>
    </row>
    <row r="419">
      <c r="A419" s="30">
        <f>IF(B419=0,"",RANK(B419,$B$2:$B$427,0))</f>
        <v/>
      </c>
      <c r="B419" s="31">
        <f>SUM(N419,Y419,AA419,AC419,AE419,AG419,AI419,AK419,AM419,AO419,AQ419,AS419,AU419,AW419,AY419,BA419,BC419,BE419,BG419,BI419,BK419,BM419,BO419,BQ419,BS419,BU419,BW419,BY419,CA419,CC419,CE419)</f>
        <v/>
      </c>
      <c r="C419" s="30" t="inlineStr">
        <is>
          <t>NETWEB</t>
        </is>
      </c>
      <c r="D419" s="30" t="inlineStr">
        <is>
          <t>Netweb Technologies India Ltd</t>
        </is>
      </c>
      <c r="E419" s="30" t="inlineStr">
        <is>
          <t>i.t</t>
        </is>
      </c>
      <c r="F419" s="30" t="inlineStr">
        <is>
          <t>computers - hardware</t>
        </is>
      </c>
      <c r="G419" s="30" t="inlineStr">
        <is>
          <t>largecap</t>
        </is>
      </c>
      <c r="H419" s="31" t="n">
        <v>28923.59</v>
      </c>
      <c r="I419" s="31" t="n">
        <v>5060.9</v>
      </c>
      <c r="J419" s="31" t="n">
        <v>-0.37</v>
      </c>
      <c r="K419" s="31" t="n">
        <v>2415443</v>
      </c>
      <c r="L419" s="30" t="inlineStr"/>
      <c r="M419" s="30" t="inlineStr"/>
      <c r="N419" s="31">
        <f>IF(M419="Underperforming",-5,IF(L419&gt;=95,15,IF(L419&gt;=90,10,IF(L419&gt;=80,5,0))))</f>
        <v/>
      </c>
      <c r="O419" s="31" t="inlineStr"/>
      <c r="P419" s="31" t="inlineStr"/>
      <c r="Q419" s="31" t="inlineStr"/>
      <c r="R419" s="30" t="inlineStr"/>
      <c r="S419" s="30" t="inlineStr"/>
      <c r="T419" s="31" t="inlineStr"/>
      <c r="U419" s="31" t="inlineStr"/>
      <c r="V419" s="31" t="inlineStr"/>
      <c r="W419" s="31" t="inlineStr"/>
      <c r="X419" s="30" t="n"/>
      <c r="Y419" s="30">
        <f>IF(X419="Growing Industry",10,IF(X419="Cyclical in an Upturn",5,0))</f>
        <v/>
      </c>
      <c r="Z419" s="30" t="n"/>
      <c r="AA419" s="30">
        <f>IF(Z419="Monopoly",10,IF(Z419="Oligopoly",5,IF(Z419="Duopoly that cooperate",10,IF(Z419="Duopoly that compete",5,IF(Z419="Too many players with High ROCE",5,0)))))</f>
        <v/>
      </c>
      <c r="AB419" s="30" t="n"/>
      <c r="AC419" s="30">
        <f>IF(AB419="No",5,0)</f>
        <v/>
      </c>
      <c r="AD419" s="30" t="n"/>
      <c r="AE419" s="30">
        <f>IF(AD419="Tailwind",10,0)</f>
        <v/>
      </c>
      <c r="AF419" s="30" t="n"/>
      <c r="AG419" s="30">
        <f>IF(AF419="Structural (10 Years Consistency)",10,IF(AF419="Shallow Cyclical (2 to 3 years growth)",5,0))</f>
        <v/>
      </c>
      <c r="AH419" s="30" t="n"/>
      <c r="AI419" s="30">
        <f>IF(AH419="Yes due to Product Mix change or Operating Leverage",10,IF(AH419="Yes, these are peak margins",-5,IF(AH419="No",5,0)))</f>
        <v/>
      </c>
      <c r="AJ419" s="30" t="n"/>
      <c r="AK419" s="30">
        <f>IF(AJ419="Stable",10,0)</f>
        <v/>
      </c>
      <c r="AL419" s="30" t="n"/>
      <c r="AM419" s="30">
        <f>IF(AL419="Yes",10,0)</f>
        <v/>
      </c>
      <c r="AN419" s="30" t="n"/>
      <c r="AO419" s="30">
        <f>IF(AN419="B2C",10,IF(AN419="B2B",5,0))</f>
        <v/>
      </c>
      <c r="AP419" s="30" t="n"/>
      <c r="AQ419" s="30">
        <f>IF(AP419="Yes",10,0)</f>
        <v/>
      </c>
      <c r="AR419" s="30" t="n"/>
      <c r="AS419" s="30">
        <f>IF(AR419="Fully Annuity",10,IF(AR419="Higher Annuity, Lower One Time",5,IF(AR419="Higher One Time, Lower Annuity",3,0)))</f>
        <v/>
      </c>
      <c r="AT419" s="30" t="n"/>
      <c r="AU419" s="30">
        <f>IF(AT419="Good",10,0)</f>
        <v/>
      </c>
      <c r="AV419" s="30" t="n"/>
      <c r="AW419" s="30">
        <f>IF(AV419="Yes for more than 2 years",10,IF(AV419="Yes only for next 1 to 2 years",5,0))</f>
        <v/>
      </c>
      <c r="AX419" s="30" t="n"/>
      <c r="AY419" s="30">
        <f>IF(AX419="Above 40",20,IF(AX419="20 to 40",10,IF(AX419="0 to 20",-5,0)))</f>
        <v/>
      </c>
      <c r="AZ419" s="30" t="n"/>
      <c r="BA419" s="30">
        <f>IF(AZ419="Between 50 to 75",10,IF(AZ419="Above 75",0,0))</f>
        <v/>
      </c>
      <c r="BB419" s="30" t="n"/>
      <c r="BC419" s="30">
        <f>IF(BB419="Stage 2",20,IF(BB419="Stage 1",0,IF(BB419="Stage 3",5,IF(BB419="Stage 4",-5,0))))</f>
        <v/>
      </c>
      <c r="BD419" s="30" t="n"/>
      <c r="BE419" s="30">
        <f>IF(BD419="Positive Trend",20,IF(BD419="Negative Trend",-10,0))</f>
        <v/>
      </c>
      <c r="BF419" s="30" t="n"/>
      <c r="BG419" s="30">
        <f>IF(BF419="Uptrend",10,IF(BF419="Sideways",5,0))</f>
        <v/>
      </c>
      <c r="BH419" s="30" t="n"/>
      <c r="BI419" s="30">
        <f>IF(BH419="Uptrend",10,IF(BH419="Sideways",5,0))</f>
        <v/>
      </c>
      <c r="BJ419" s="30" t="n"/>
      <c r="BK419" s="30">
        <f>IF(BJ419="Overhead supply in last 2 years in last 2 years",-5,IF(BJ419="Close to 52 week high or retracement",5,IF(BJ419="Blue sky scenario",10,IF(BJ419="Long term Downtrend",-10,0))))</f>
        <v/>
      </c>
      <c r="BL419" s="30" t="n"/>
      <c r="BM419" s="30">
        <f>IF(BL419="Yes",10,0)</f>
        <v/>
      </c>
      <c r="BN419" s="30" t="n"/>
      <c r="BO419" s="30">
        <f>IF(BN419="More than 20%",10,IF(BN419="Between 12 to 20%",5,IF(BN419="Less than 12%",0,0)))</f>
        <v/>
      </c>
      <c r="BP419" s="30" t="n"/>
      <c r="BQ419" s="30">
        <f>IF(BP419="No",10,0)</f>
        <v/>
      </c>
      <c r="BR419" s="30" t="n"/>
      <c r="BS419" s="30">
        <f>IF(BR419="NO",5,0)</f>
        <v/>
      </c>
      <c r="BT419" s="30" t="n"/>
      <c r="BU419" s="30">
        <f>IF(BT419="Above 2",0,IF(BT419="Between 1.5 to 2",5,IF(BT419="Less than 1.5",10,0)))</f>
        <v/>
      </c>
      <c r="BV419" s="30" t="n"/>
      <c r="BW419" s="30">
        <f>IF(BV419="Above 70%",10,IF(BV419="Between 50% to 70%",5,IF(BV419="Less than 50%",0,IF(BV419="Negative",-10,IF(BV419="Less than 50% and Borrowings are increasing",-5,0)))))</f>
        <v/>
      </c>
      <c r="BX419" s="30" t="n"/>
      <c r="BY419" s="30">
        <f>IF(BX419="More than 1.2",-10,IF(BX419="Between 0.7 to 1.2",0,IF(BX419="Less than 0.7",10,0)))</f>
        <v/>
      </c>
      <c r="BZ419" s="30" t="n"/>
      <c r="CA419" s="30">
        <f>IF(BZ419="Yes",-10,0)</f>
        <v/>
      </c>
      <c r="CB419" s="30" t="n"/>
      <c r="CC419" s="30">
        <f>IF(CB419="More than 15%",-10,IF(CB419="Less than 15%",10,0))</f>
        <v/>
      </c>
      <c r="CD419" s="30" t="n"/>
      <c r="CE419" s="30">
        <f>IF(CD419="Yes, more than 10%",-10,IF(CD419="No",10,0))</f>
        <v/>
      </c>
    </row>
    <row r="420">
      <c r="A420" s="30">
        <f>IF(B420=0,"",RANK(B420,$B$2:$B$427,0))</f>
        <v/>
      </c>
      <c r="B420" s="31">
        <f>SUM(N420,Y420,AA420,AC420,AE420,AG420,AI420,AK420,AM420,AO420,AQ420,AS420,AU420,AW420,AY420,BA420,BC420,BE420,BG420,BI420,BK420,BM420,BO420,BQ420,BS420,BU420,BW420,BY420,CA420,CC420,CE420)</f>
        <v/>
      </c>
      <c r="C420" s="30" t="inlineStr">
        <is>
          <t>YASHO</t>
        </is>
      </c>
      <c r="D420" s="30" t="inlineStr">
        <is>
          <t>Yasho Industries Ltd</t>
        </is>
      </c>
      <c r="E420" s="30" t="inlineStr">
        <is>
          <t>chemicals</t>
        </is>
      </c>
      <c r="F420" s="30" t="inlineStr">
        <is>
          <t>chemicals</t>
        </is>
      </c>
      <c r="G420" s="30" t="inlineStr">
        <is>
          <t>smallcap</t>
        </is>
      </c>
      <c r="H420" s="31" t="n">
        <v>3487.39</v>
      </c>
      <c r="I420" s="31" t="n">
        <v>2878.6</v>
      </c>
      <c r="J420" s="31" t="n">
        <v>-0.48</v>
      </c>
      <c r="K420" s="31" t="n">
        <v>31165</v>
      </c>
      <c r="L420" s="30" t="inlineStr"/>
      <c r="M420" s="30" t="inlineStr"/>
      <c r="N420" s="31">
        <f>IF(M420="Underperforming",-5,IF(L420&gt;=95,15,IF(L420&gt;=90,10,IF(L420&gt;=80,5,0))))</f>
        <v/>
      </c>
      <c r="O420" s="31" t="inlineStr"/>
      <c r="P420" s="31" t="inlineStr"/>
      <c r="Q420" s="31" t="inlineStr"/>
      <c r="R420" s="30" t="inlineStr"/>
      <c r="S420" s="30" t="inlineStr"/>
      <c r="T420" s="31" t="inlineStr"/>
      <c r="U420" s="31" t="inlineStr"/>
      <c r="V420" s="31" t="inlineStr"/>
      <c r="W420" s="31" t="inlineStr"/>
      <c r="X420" s="30" t="n"/>
      <c r="Y420" s="30">
        <f>IF(X420="Growing Industry",10,IF(X420="Cyclical in an Upturn",5,0))</f>
        <v/>
      </c>
      <c r="Z420" s="30" t="n"/>
      <c r="AA420" s="30">
        <f>IF(Z420="Monopoly",10,IF(Z420="Oligopoly",5,IF(Z420="Duopoly that cooperate",10,IF(Z420="Duopoly that compete",5,IF(Z420="Too many players with High ROCE",5,0)))))</f>
        <v/>
      </c>
      <c r="AB420" s="30" t="n"/>
      <c r="AC420" s="30">
        <f>IF(AB420="No",5,0)</f>
        <v/>
      </c>
      <c r="AD420" s="30" t="n"/>
      <c r="AE420" s="30">
        <f>IF(AD420="Tailwind",10,0)</f>
        <v/>
      </c>
      <c r="AF420" s="30" t="n"/>
      <c r="AG420" s="30">
        <f>IF(AF420="Structural (10 Years Consistency)",10,IF(AF420="Shallow Cyclical (2 to 3 years growth)",5,0))</f>
        <v/>
      </c>
      <c r="AH420" s="30" t="n"/>
      <c r="AI420" s="30">
        <f>IF(AH420="Yes due to Product Mix change or Operating Leverage",10,IF(AH420="Yes, these are peak margins",-5,IF(AH420="No",5,0)))</f>
        <v/>
      </c>
      <c r="AJ420" s="30" t="n"/>
      <c r="AK420" s="30">
        <f>IF(AJ420="Stable",10,0)</f>
        <v/>
      </c>
      <c r="AL420" s="30" t="n"/>
      <c r="AM420" s="30">
        <f>IF(AL420="Yes",10,0)</f>
        <v/>
      </c>
      <c r="AN420" s="30" t="n"/>
      <c r="AO420" s="30">
        <f>IF(AN420="B2C",10,IF(AN420="B2B",5,0))</f>
        <v/>
      </c>
      <c r="AP420" s="30" t="n"/>
      <c r="AQ420" s="30">
        <f>IF(AP420="Yes",10,0)</f>
        <v/>
      </c>
      <c r="AR420" s="30" t="n"/>
      <c r="AS420" s="30">
        <f>IF(AR420="Fully Annuity",10,IF(AR420="Higher Annuity, Lower One Time",5,IF(AR420="Higher One Time, Lower Annuity",3,0)))</f>
        <v/>
      </c>
      <c r="AT420" s="30" t="n"/>
      <c r="AU420" s="30">
        <f>IF(AT420="Good",10,0)</f>
        <v/>
      </c>
      <c r="AV420" s="30" t="n"/>
      <c r="AW420" s="30">
        <f>IF(AV420="Yes for more than 2 years",10,IF(AV420="Yes only for next 1 to 2 years",5,0))</f>
        <v/>
      </c>
      <c r="AX420" s="30" t="n"/>
      <c r="AY420" s="30">
        <f>IF(AX420="Above 40",20,IF(AX420="20 to 40",10,IF(AX420="0 to 20",-5,0)))</f>
        <v/>
      </c>
      <c r="AZ420" s="30" t="n"/>
      <c r="BA420" s="30">
        <f>IF(AZ420="Between 50 to 75",10,IF(AZ420="Above 75",0,0))</f>
        <v/>
      </c>
      <c r="BB420" s="30" t="n"/>
      <c r="BC420" s="30">
        <f>IF(BB420="Stage 2",20,IF(BB420="Stage 1",0,IF(BB420="Stage 3",5,IF(BB420="Stage 4",-5,0))))</f>
        <v/>
      </c>
      <c r="BD420" s="30" t="n"/>
      <c r="BE420" s="30">
        <f>IF(BD420="Positive Trend",20,IF(BD420="Negative Trend",-10,0))</f>
        <v/>
      </c>
      <c r="BF420" s="30" t="n"/>
      <c r="BG420" s="30">
        <f>IF(BF420="Uptrend",10,IF(BF420="Sideways",5,0))</f>
        <v/>
      </c>
      <c r="BH420" s="30" t="n"/>
      <c r="BI420" s="30">
        <f>IF(BH420="Uptrend",10,IF(BH420="Sideways",5,0))</f>
        <v/>
      </c>
      <c r="BJ420" s="30" t="n"/>
      <c r="BK420" s="30">
        <f>IF(BJ420="Overhead supply in last 2 years in last 2 years",-5,IF(BJ420="Close to 52 week high or retracement",5,IF(BJ420="Blue sky scenario",10,IF(BJ420="Long term Downtrend",-10,0))))</f>
        <v/>
      </c>
      <c r="BL420" s="30" t="n"/>
      <c r="BM420" s="30">
        <f>IF(BL420="Yes",10,0)</f>
        <v/>
      </c>
      <c r="BN420" s="30" t="n"/>
      <c r="BO420" s="30">
        <f>IF(BN420="More than 20%",10,IF(BN420="Between 12 to 20%",5,IF(BN420="Less than 12%",0,0)))</f>
        <v/>
      </c>
      <c r="BP420" s="30" t="n"/>
      <c r="BQ420" s="30">
        <f>IF(BP420="No",10,0)</f>
        <v/>
      </c>
      <c r="BR420" s="30" t="n"/>
      <c r="BS420" s="30">
        <f>IF(BR420="NO",5,0)</f>
        <v/>
      </c>
      <c r="BT420" s="30" t="n"/>
      <c r="BU420" s="30">
        <f>IF(BT420="Above 2",0,IF(BT420="Between 1.5 to 2",5,IF(BT420="Less than 1.5",10,0)))</f>
        <v/>
      </c>
      <c r="BV420" s="30" t="n"/>
      <c r="BW420" s="30">
        <f>IF(BV420="Above 70%",10,IF(BV420="Between 50% to 70%",5,IF(BV420="Less than 50%",0,IF(BV420="Negative",-10,IF(BV420="Less than 50% and Borrowings are increasing",-5,0)))))</f>
        <v/>
      </c>
      <c r="BX420" s="30" t="n"/>
      <c r="BY420" s="30">
        <f>IF(BX420="More than 1.2",-10,IF(BX420="Between 0.7 to 1.2",0,IF(BX420="Less than 0.7",10,0)))</f>
        <v/>
      </c>
      <c r="BZ420" s="30" t="n"/>
      <c r="CA420" s="30">
        <f>IF(BZ420="Yes",-10,0)</f>
        <v/>
      </c>
      <c r="CB420" s="30" t="n"/>
      <c r="CC420" s="30">
        <f>IF(CB420="More than 15%",-10,IF(CB420="Less than 15%",10,0))</f>
        <v/>
      </c>
      <c r="CD420" s="30" t="n"/>
      <c r="CE420" s="30">
        <f>IF(CD420="Yes, more than 10%",-10,IF(CD420="No",10,0))</f>
        <v/>
      </c>
    </row>
    <row r="421">
      <c r="A421" s="30">
        <f>IF(B421=0,"",RANK(B421,$B$2:$B$427,0))</f>
        <v/>
      </c>
      <c r="B421" s="31">
        <f>SUM(N421,Y421,AA421,AC421,AE421,AG421,AI421,AK421,AM421,AO421,AQ421,AS421,AU421,AW421,AY421,BA421,BC421,BE421,BG421,BI421,BK421,BM421,BO421,BQ421,BS421,BU421,BW421,BY421,CA421,CC421,CE421)</f>
        <v/>
      </c>
      <c r="C421" s="30" t="inlineStr">
        <is>
          <t>PANSARI</t>
        </is>
      </c>
      <c r="D421" s="30" t="inlineStr">
        <is>
          <t>Pansari Developers Ltd</t>
        </is>
      </c>
      <c r="E421" s="30" t="inlineStr">
        <is>
          <t>realty</t>
        </is>
      </c>
      <c r="F421" s="30" t="inlineStr">
        <is>
          <t>construction</t>
        </is>
      </c>
      <c r="G421" s="30" t="inlineStr">
        <is>
          <t>smallcap</t>
        </is>
      </c>
      <c r="H421" s="31" t="n">
        <v>528.64</v>
      </c>
      <c r="I421" s="31" t="n">
        <v>301.25</v>
      </c>
      <c r="J421" s="31" t="n">
        <v>-0.58</v>
      </c>
      <c r="K421" s="31" t="n">
        <v>5353</v>
      </c>
      <c r="L421" s="30" t="inlineStr"/>
      <c r="M421" s="30" t="inlineStr"/>
      <c r="N421" s="31">
        <f>IF(M421="Underperforming",-5,IF(L421&gt;=95,15,IF(L421&gt;=90,10,IF(L421&gt;=80,5,0))))</f>
        <v/>
      </c>
      <c r="O421" s="31" t="inlineStr"/>
      <c r="P421" s="31" t="inlineStr"/>
      <c r="Q421" s="31" t="inlineStr"/>
      <c r="R421" s="30" t="inlineStr"/>
      <c r="S421" s="30" t="inlineStr"/>
      <c r="T421" s="31" t="inlineStr"/>
      <c r="U421" s="31" t="inlineStr"/>
      <c r="V421" s="31" t="inlineStr"/>
      <c r="W421" s="31" t="inlineStr"/>
      <c r="X421" s="30" t="n"/>
      <c r="Y421" s="30">
        <f>IF(X421="Growing Industry",10,IF(X421="Cyclical in an Upturn",5,0))</f>
        <v/>
      </c>
      <c r="Z421" s="30" t="n"/>
      <c r="AA421" s="30">
        <f>IF(Z421="Monopoly",10,IF(Z421="Oligopoly",5,IF(Z421="Duopoly that cooperate",10,IF(Z421="Duopoly that compete",5,IF(Z421="Too many players with High ROCE",5,0)))))</f>
        <v/>
      </c>
      <c r="AB421" s="30" t="n"/>
      <c r="AC421" s="30">
        <f>IF(AB421="No",5,0)</f>
        <v/>
      </c>
      <c r="AD421" s="30" t="n"/>
      <c r="AE421" s="30">
        <f>IF(AD421="Tailwind",10,0)</f>
        <v/>
      </c>
      <c r="AF421" s="30" t="n"/>
      <c r="AG421" s="30">
        <f>IF(AF421="Structural (10 Years Consistency)",10,IF(AF421="Shallow Cyclical (2 to 3 years growth)",5,0))</f>
        <v/>
      </c>
      <c r="AH421" s="30" t="n"/>
      <c r="AI421" s="30">
        <f>IF(AH421="Yes due to Product Mix change or Operating Leverage",10,IF(AH421="Yes, these are peak margins",-5,IF(AH421="No",5,0)))</f>
        <v/>
      </c>
      <c r="AJ421" s="30" t="n"/>
      <c r="AK421" s="30">
        <f>IF(AJ421="Stable",10,0)</f>
        <v/>
      </c>
      <c r="AL421" s="30" t="n"/>
      <c r="AM421" s="30">
        <f>IF(AL421="Yes",10,0)</f>
        <v/>
      </c>
      <c r="AN421" s="30" t="n"/>
      <c r="AO421" s="30">
        <f>IF(AN421="B2C",10,IF(AN421="B2B",5,0))</f>
        <v/>
      </c>
      <c r="AP421" s="30" t="n"/>
      <c r="AQ421" s="30">
        <f>IF(AP421="Yes",10,0)</f>
        <v/>
      </c>
      <c r="AR421" s="30" t="n"/>
      <c r="AS421" s="30">
        <f>IF(AR421="Fully Annuity",10,IF(AR421="Higher Annuity, Lower One Time",5,IF(AR421="Higher One Time, Lower Annuity",3,0)))</f>
        <v/>
      </c>
      <c r="AT421" s="30" t="n"/>
      <c r="AU421" s="30">
        <f>IF(AT421="Good",10,0)</f>
        <v/>
      </c>
      <c r="AV421" s="30" t="n"/>
      <c r="AW421" s="30">
        <f>IF(AV421="Yes for more than 2 years",10,IF(AV421="Yes only for next 1 to 2 years",5,0))</f>
        <v/>
      </c>
      <c r="AX421" s="30" t="n"/>
      <c r="AY421" s="30">
        <f>IF(AX421="Above 40",20,IF(AX421="20 to 40",10,IF(AX421="0 to 20",-5,0)))</f>
        <v/>
      </c>
      <c r="AZ421" s="30" t="n"/>
      <c r="BA421" s="30">
        <f>IF(AZ421="Between 50 to 75",10,IF(AZ421="Above 75",0,0))</f>
        <v/>
      </c>
      <c r="BB421" s="30" t="n"/>
      <c r="BC421" s="30">
        <f>IF(BB421="Stage 2",20,IF(BB421="Stage 1",0,IF(BB421="Stage 3",5,IF(BB421="Stage 4",-5,0))))</f>
        <v/>
      </c>
      <c r="BD421" s="30" t="n"/>
      <c r="BE421" s="30">
        <f>IF(BD421="Positive Trend",20,IF(BD421="Negative Trend",-10,0))</f>
        <v/>
      </c>
      <c r="BF421" s="30" t="n"/>
      <c r="BG421" s="30">
        <f>IF(BF421="Uptrend",10,IF(BF421="Sideways",5,0))</f>
        <v/>
      </c>
      <c r="BH421" s="30" t="n"/>
      <c r="BI421" s="30">
        <f>IF(BH421="Uptrend",10,IF(BH421="Sideways",5,0))</f>
        <v/>
      </c>
      <c r="BJ421" s="30" t="n"/>
      <c r="BK421" s="30">
        <f>IF(BJ421="Overhead supply in last 2 years in last 2 years",-5,IF(BJ421="Close to 52 week high or retracement",5,IF(BJ421="Blue sky scenario",10,IF(BJ421="Long term Downtrend",-10,0))))</f>
        <v/>
      </c>
      <c r="BL421" s="30" t="n"/>
      <c r="BM421" s="30">
        <f>IF(BL421="Yes",10,0)</f>
        <v/>
      </c>
      <c r="BN421" s="30" t="n"/>
      <c r="BO421" s="30">
        <f>IF(BN421="More than 20%",10,IF(BN421="Between 12 to 20%",5,IF(BN421="Less than 12%",0,0)))</f>
        <v/>
      </c>
      <c r="BP421" s="30" t="n"/>
      <c r="BQ421" s="30">
        <f>IF(BP421="No",10,0)</f>
        <v/>
      </c>
      <c r="BR421" s="30" t="n"/>
      <c r="BS421" s="30">
        <f>IF(BR421="NO",5,0)</f>
        <v/>
      </c>
      <c r="BT421" s="30" t="n"/>
      <c r="BU421" s="30">
        <f>IF(BT421="Above 2",0,IF(BT421="Between 1.5 to 2",5,IF(BT421="Less than 1.5",10,0)))</f>
        <v/>
      </c>
      <c r="BV421" s="30" t="n"/>
      <c r="BW421" s="30">
        <f>IF(BV421="Above 70%",10,IF(BV421="Between 50% to 70%",5,IF(BV421="Less than 50%",0,IF(BV421="Negative",-10,IF(BV421="Less than 50% and Borrowings are increasing",-5,0)))))</f>
        <v/>
      </c>
      <c r="BX421" s="30" t="n"/>
      <c r="BY421" s="30">
        <f>IF(BX421="More than 1.2",-10,IF(BX421="Between 0.7 to 1.2",0,IF(BX421="Less than 0.7",10,0)))</f>
        <v/>
      </c>
      <c r="BZ421" s="30" t="n"/>
      <c r="CA421" s="30">
        <f>IF(BZ421="Yes",-10,0)</f>
        <v/>
      </c>
      <c r="CB421" s="30" t="n"/>
      <c r="CC421" s="30">
        <f>IF(CB421="More than 15%",-10,IF(CB421="Less than 15%",10,0))</f>
        <v/>
      </c>
      <c r="CD421" s="30" t="n"/>
      <c r="CE421" s="30">
        <f>IF(CD421="Yes, more than 10%",-10,IF(CD421="No",10,0))</f>
        <v/>
      </c>
    </row>
    <row r="422">
      <c r="A422" s="30">
        <f>IF(B422=0,"",RANK(B422,$B$2:$B$427,0))</f>
        <v/>
      </c>
      <c r="B422" s="31">
        <f>SUM(N422,Y422,AA422,AC422,AE422,AG422,AI422,AK422,AM422,AO422,AQ422,AS422,AU422,AW422,AY422,BA422,BC422,BE422,BG422,BI422,BK422,BM422,BO422,BQ422,BS422,BU422,BW422,BY422,CA422,CC422,CE422)</f>
        <v/>
      </c>
      <c r="C422" s="30" t="inlineStr">
        <is>
          <t>VTL</t>
        </is>
      </c>
      <c r="D422" s="30" t="inlineStr">
        <is>
          <t>Vardhman Textiles Limited</t>
        </is>
      </c>
      <c r="E422" s="30" t="inlineStr">
        <is>
          <t>textiles</t>
        </is>
      </c>
      <c r="F422" s="30" t="inlineStr">
        <is>
          <t>textiles - cotton/blended</t>
        </is>
      </c>
      <c r="G422" s="30" t="inlineStr">
        <is>
          <t>midcap</t>
        </is>
      </c>
      <c r="H422" s="31" t="n">
        <v>19133.1</v>
      </c>
      <c r="I422" s="31" t="n">
        <v>657.45</v>
      </c>
      <c r="J422" s="31" t="n">
        <v>-0.6</v>
      </c>
      <c r="K422" s="31" t="n">
        <v>613055</v>
      </c>
      <c r="L422" s="30" t="inlineStr"/>
      <c r="M422" s="30" t="inlineStr"/>
      <c r="N422" s="31">
        <f>IF(M422="Underperforming",-5,IF(L422&gt;=95,15,IF(L422&gt;=90,10,IF(L422&gt;=80,5,0))))</f>
        <v/>
      </c>
      <c r="O422" s="31" t="inlineStr"/>
      <c r="P422" s="31" t="inlineStr"/>
      <c r="Q422" s="31" t="inlineStr"/>
      <c r="R422" s="30" t="inlineStr"/>
      <c r="S422" s="30" t="inlineStr"/>
      <c r="T422" s="31" t="inlineStr"/>
      <c r="U422" s="31" t="inlineStr"/>
      <c r="V422" s="31" t="inlineStr"/>
      <c r="W422" s="31" t="inlineStr"/>
      <c r="X422" s="30" t="n"/>
      <c r="Y422" s="30">
        <f>IF(X422="Growing Industry",10,IF(X422="Cyclical in an Upturn",5,0))</f>
        <v/>
      </c>
      <c r="Z422" s="30" t="n"/>
      <c r="AA422" s="30">
        <f>IF(Z422="Monopoly",10,IF(Z422="Oligopoly",5,IF(Z422="Duopoly that cooperate",10,IF(Z422="Duopoly that compete",5,IF(Z422="Too many players with High ROCE",5,0)))))</f>
        <v/>
      </c>
      <c r="AB422" s="30" t="n"/>
      <c r="AC422" s="30">
        <f>IF(AB422="No",5,0)</f>
        <v/>
      </c>
      <c r="AD422" s="30" t="n"/>
      <c r="AE422" s="30">
        <f>IF(AD422="Tailwind",10,0)</f>
        <v/>
      </c>
      <c r="AF422" s="30" t="n"/>
      <c r="AG422" s="30">
        <f>IF(AF422="Structural (10 Years Consistency)",10,IF(AF422="Shallow Cyclical (2 to 3 years growth)",5,0))</f>
        <v/>
      </c>
      <c r="AH422" s="30" t="n"/>
      <c r="AI422" s="30">
        <f>IF(AH422="Yes due to Product Mix change or Operating Leverage",10,IF(AH422="Yes, these are peak margins",-5,IF(AH422="No",5,0)))</f>
        <v/>
      </c>
      <c r="AJ422" s="30" t="n"/>
      <c r="AK422" s="30">
        <f>IF(AJ422="Stable",10,0)</f>
        <v/>
      </c>
      <c r="AL422" s="30" t="n"/>
      <c r="AM422" s="30">
        <f>IF(AL422="Yes",10,0)</f>
        <v/>
      </c>
      <c r="AN422" s="30" t="n"/>
      <c r="AO422" s="30">
        <f>IF(AN422="B2C",10,IF(AN422="B2B",5,0))</f>
        <v/>
      </c>
      <c r="AP422" s="30" t="n"/>
      <c r="AQ422" s="30">
        <f>IF(AP422="Yes",10,0)</f>
        <v/>
      </c>
      <c r="AR422" s="30" t="n"/>
      <c r="AS422" s="30">
        <f>IF(AR422="Fully Annuity",10,IF(AR422="Higher Annuity, Lower One Time",5,IF(AR422="Higher One Time, Lower Annuity",3,0)))</f>
        <v/>
      </c>
      <c r="AT422" s="30" t="n"/>
      <c r="AU422" s="30">
        <f>IF(AT422="Good",10,0)</f>
        <v/>
      </c>
      <c r="AV422" s="30" t="n"/>
      <c r="AW422" s="30">
        <f>IF(AV422="Yes for more than 2 years",10,IF(AV422="Yes only for next 1 to 2 years",5,0))</f>
        <v/>
      </c>
      <c r="AX422" s="30" t="n"/>
      <c r="AY422" s="30">
        <f>IF(AX422="Above 40",20,IF(AX422="20 to 40",10,IF(AX422="0 to 20",-5,0)))</f>
        <v/>
      </c>
      <c r="AZ422" s="30" t="n"/>
      <c r="BA422" s="30">
        <f>IF(AZ422="Between 50 to 75",10,IF(AZ422="Above 75",0,0))</f>
        <v/>
      </c>
      <c r="BB422" s="30" t="n"/>
      <c r="BC422" s="30">
        <f>IF(BB422="Stage 2",20,IF(BB422="Stage 1",0,IF(BB422="Stage 3",5,IF(BB422="Stage 4",-5,0))))</f>
        <v/>
      </c>
      <c r="BD422" s="30" t="n"/>
      <c r="BE422" s="30">
        <f>IF(BD422="Positive Trend",20,IF(BD422="Negative Trend",-10,0))</f>
        <v/>
      </c>
      <c r="BF422" s="30" t="n"/>
      <c r="BG422" s="30">
        <f>IF(BF422="Uptrend",10,IF(BF422="Sideways",5,0))</f>
        <v/>
      </c>
      <c r="BH422" s="30" t="n"/>
      <c r="BI422" s="30">
        <f>IF(BH422="Uptrend",10,IF(BH422="Sideways",5,0))</f>
        <v/>
      </c>
      <c r="BJ422" s="30" t="n"/>
      <c r="BK422" s="30">
        <f>IF(BJ422="Overhead supply in last 2 years in last 2 years",-5,IF(BJ422="Close to 52 week high or retracement",5,IF(BJ422="Blue sky scenario",10,IF(BJ422="Long term Downtrend",-10,0))))</f>
        <v/>
      </c>
      <c r="BL422" s="30" t="n"/>
      <c r="BM422" s="30">
        <f>IF(BL422="Yes",10,0)</f>
        <v/>
      </c>
      <c r="BN422" s="30" t="n"/>
      <c r="BO422" s="30">
        <f>IF(BN422="More than 20%",10,IF(BN422="Between 12 to 20%",5,IF(BN422="Less than 12%",0,0)))</f>
        <v/>
      </c>
      <c r="BP422" s="30" t="n"/>
      <c r="BQ422" s="30">
        <f>IF(BP422="No",10,0)</f>
        <v/>
      </c>
      <c r="BR422" s="30" t="n"/>
      <c r="BS422" s="30">
        <f>IF(BR422="NO",5,0)</f>
        <v/>
      </c>
      <c r="BT422" s="30" t="n"/>
      <c r="BU422" s="30">
        <f>IF(BT422="Above 2",0,IF(BT422="Between 1.5 to 2",5,IF(BT422="Less than 1.5",10,0)))</f>
        <v/>
      </c>
      <c r="BV422" s="30" t="n"/>
      <c r="BW422" s="30">
        <f>IF(BV422="Above 70%",10,IF(BV422="Between 50% to 70%",5,IF(BV422="Less than 50%",0,IF(BV422="Negative",-10,IF(BV422="Less than 50% and Borrowings are increasing",-5,0)))))</f>
        <v/>
      </c>
      <c r="BX422" s="30" t="n"/>
      <c r="BY422" s="30">
        <f>IF(BX422="More than 1.2",-10,IF(BX422="Between 0.7 to 1.2",0,IF(BX422="Less than 0.7",10,0)))</f>
        <v/>
      </c>
      <c r="BZ422" s="30" t="n"/>
      <c r="CA422" s="30">
        <f>IF(BZ422="Yes",-10,0)</f>
        <v/>
      </c>
      <c r="CB422" s="30" t="n"/>
      <c r="CC422" s="30">
        <f>IF(CB422="More than 15%",-10,IF(CB422="Less than 15%",10,0))</f>
        <v/>
      </c>
      <c r="CD422" s="30" t="n"/>
      <c r="CE422" s="30">
        <f>IF(CD422="Yes, more than 10%",-10,IF(CD422="No",10,0))</f>
        <v/>
      </c>
    </row>
    <row r="423">
      <c r="A423" s="30">
        <f>IF(B423=0,"",RANK(B423,$B$2:$B$427,0))</f>
        <v/>
      </c>
      <c r="B423" s="31">
        <f>SUM(N423,Y423,AA423,AC423,AE423,AG423,AI423,AK423,AM423,AO423,AQ423,AS423,AU423,AW423,AY423,BA423,BC423,BE423,BG423,BI423,BK423,BM423,BO423,BQ423,BS423,BU423,BW423,BY423,CA423,CC423,CE423)</f>
        <v/>
      </c>
      <c r="C423" s="30" t="inlineStr">
        <is>
          <t>NAZARA</t>
        </is>
      </c>
      <c r="D423" s="30" t="inlineStr">
        <is>
          <t>Nazara Technologies Ltd</t>
        </is>
      </c>
      <c r="E423" s="30" t="inlineStr">
        <is>
          <t>i.t</t>
        </is>
      </c>
      <c r="F423" s="30" t="inlineStr">
        <is>
          <t>telecommunications - service provider</t>
        </is>
      </c>
      <c r="G423" s="30" t="inlineStr">
        <is>
          <t>midcap</t>
        </is>
      </c>
      <c r="H423" s="31" t="n">
        <v>11151</v>
      </c>
      <c r="I423" s="31" t="n">
        <v>297.35</v>
      </c>
      <c r="J423" s="31" t="n">
        <v>-1.21</v>
      </c>
      <c r="K423" s="31" t="n">
        <v>1132791</v>
      </c>
      <c r="L423" s="30" t="inlineStr"/>
      <c r="M423" s="30" t="inlineStr"/>
      <c r="N423" s="31">
        <f>IF(M423="Underperforming",-5,IF(L423&gt;=95,15,IF(L423&gt;=90,10,IF(L423&gt;=80,5,0))))</f>
        <v/>
      </c>
      <c r="O423" s="31" t="inlineStr"/>
      <c r="P423" s="31" t="inlineStr"/>
      <c r="Q423" s="31" t="inlineStr"/>
      <c r="R423" s="30" t="inlineStr"/>
      <c r="S423" s="30" t="inlineStr"/>
      <c r="T423" s="31" t="inlineStr"/>
      <c r="U423" s="31" t="inlineStr"/>
      <c r="V423" s="31" t="inlineStr"/>
      <c r="W423" s="31" t="inlineStr"/>
      <c r="X423" s="30" t="n"/>
      <c r="Y423" s="30">
        <f>IF(X423="Growing Industry",10,IF(X423="Cyclical in an Upturn",5,0))</f>
        <v/>
      </c>
      <c r="Z423" s="30" t="n"/>
      <c r="AA423" s="30">
        <f>IF(Z423="Monopoly",10,IF(Z423="Oligopoly",5,IF(Z423="Duopoly that cooperate",10,IF(Z423="Duopoly that compete",5,IF(Z423="Too many players with High ROCE",5,0)))))</f>
        <v/>
      </c>
      <c r="AB423" s="30" t="n"/>
      <c r="AC423" s="30">
        <f>IF(AB423="No",5,0)</f>
        <v/>
      </c>
      <c r="AD423" s="30" t="n"/>
      <c r="AE423" s="30">
        <f>IF(AD423="Tailwind",10,0)</f>
        <v/>
      </c>
      <c r="AF423" s="30" t="n"/>
      <c r="AG423" s="30">
        <f>IF(AF423="Structural (10 Years Consistency)",10,IF(AF423="Shallow Cyclical (2 to 3 years growth)",5,0))</f>
        <v/>
      </c>
      <c r="AH423" s="30" t="n"/>
      <c r="AI423" s="30">
        <f>IF(AH423="Yes due to Product Mix change or Operating Leverage",10,IF(AH423="Yes, these are peak margins",-5,IF(AH423="No",5,0)))</f>
        <v/>
      </c>
      <c r="AJ423" s="30" t="n"/>
      <c r="AK423" s="30">
        <f>IF(AJ423="Stable",10,0)</f>
        <v/>
      </c>
      <c r="AL423" s="30" t="n"/>
      <c r="AM423" s="30">
        <f>IF(AL423="Yes",10,0)</f>
        <v/>
      </c>
      <c r="AN423" s="30" t="n"/>
      <c r="AO423" s="30">
        <f>IF(AN423="B2C",10,IF(AN423="B2B",5,0))</f>
        <v/>
      </c>
      <c r="AP423" s="30" t="n"/>
      <c r="AQ423" s="30">
        <f>IF(AP423="Yes",10,0)</f>
        <v/>
      </c>
      <c r="AR423" s="30" t="n"/>
      <c r="AS423" s="30">
        <f>IF(AR423="Fully Annuity",10,IF(AR423="Higher Annuity, Lower One Time",5,IF(AR423="Higher One Time, Lower Annuity",3,0)))</f>
        <v/>
      </c>
      <c r="AT423" s="30" t="n"/>
      <c r="AU423" s="30">
        <f>IF(AT423="Good",10,0)</f>
        <v/>
      </c>
      <c r="AV423" s="30" t="n"/>
      <c r="AW423" s="30">
        <f>IF(AV423="Yes for more than 2 years",10,IF(AV423="Yes only for next 1 to 2 years",5,0))</f>
        <v/>
      </c>
      <c r="AX423" s="30" t="n"/>
      <c r="AY423" s="30">
        <f>IF(AX423="Above 40",20,IF(AX423="20 to 40",10,IF(AX423="0 to 20",-5,0)))</f>
        <v/>
      </c>
      <c r="AZ423" s="30" t="n"/>
      <c r="BA423" s="30">
        <f>IF(AZ423="Between 50 to 75",10,IF(AZ423="Above 75",0,0))</f>
        <v/>
      </c>
      <c r="BB423" s="30" t="n"/>
      <c r="BC423" s="30">
        <f>IF(BB423="Stage 2",20,IF(BB423="Stage 1",0,IF(BB423="Stage 3",5,IF(BB423="Stage 4",-5,0))))</f>
        <v/>
      </c>
      <c r="BD423" s="30" t="n"/>
      <c r="BE423" s="30">
        <f>IF(BD423="Positive Trend",20,IF(BD423="Negative Trend",-10,0))</f>
        <v/>
      </c>
      <c r="BF423" s="30" t="n"/>
      <c r="BG423" s="30">
        <f>IF(BF423="Uptrend",10,IF(BF423="Sideways",5,0))</f>
        <v/>
      </c>
      <c r="BH423" s="30" t="n"/>
      <c r="BI423" s="30">
        <f>IF(BH423="Uptrend",10,IF(BH423="Sideways",5,0))</f>
        <v/>
      </c>
      <c r="BJ423" s="30" t="n"/>
      <c r="BK423" s="30">
        <f>IF(BJ423="Overhead supply in last 2 years in last 2 years",-5,IF(BJ423="Close to 52 week high or retracement",5,IF(BJ423="Blue sky scenario",10,IF(BJ423="Long term Downtrend",-10,0))))</f>
        <v/>
      </c>
      <c r="BL423" s="30" t="n"/>
      <c r="BM423" s="30">
        <f>IF(BL423="Yes",10,0)</f>
        <v/>
      </c>
      <c r="BN423" s="30" t="n"/>
      <c r="BO423" s="30">
        <f>IF(BN423="More than 20%",10,IF(BN423="Between 12 to 20%",5,IF(BN423="Less than 12%",0,0)))</f>
        <v/>
      </c>
      <c r="BP423" s="30" t="n"/>
      <c r="BQ423" s="30">
        <f>IF(BP423="No",10,0)</f>
        <v/>
      </c>
      <c r="BR423" s="30" t="n"/>
      <c r="BS423" s="30">
        <f>IF(BR423="NO",5,0)</f>
        <v/>
      </c>
      <c r="BT423" s="30" t="n"/>
      <c r="BU423" s="30">
        <f>IF(BT423="Above 2",0,IF(BT423="Between 1.5 to 2",5,IF(BT423="Less than 1.5",10,0)))</f>
        <v/>
      </c>
      <c r="BV423" s="30" t="n"/>
      <c r="BW423" s="30">
        <f>IF(BV423="Above 70%",10,IF(BV423="Between 50% to 70%",5,IF(BV423="Less than 50%",0,IF(BV423="Negative",-10,IF(BV423="Less than 50% and Borrowings are increasing",-5,0)))))</f>
        <v/>
      </c>
      <c r="BX423" s="30" t="n"/>
      <c r="BY423" s="30">
        <f>IF(BX423="More than 1.2",-10,IF(BX423="Between 0.7 to 1.2",0,IF(BX423="Less than 0.7",10,0)))</f>
        <v/>
      </c>
      <c r="BZ423" s="30" t="n"/>
      <c r="CA423" s="30">
        <f>IF(BZ423="Yes",-10,0)</f>
        <v/>
      </c>
      <c r="CB423" s="30" t="n"/>
      <c r="CC423" s="30">
        <f>IF(CB423="More than 15%",-10,IF(CB423="Less than 15%",10,0))</f>
        <v/>
      </c>
      <c r="CD423" s="30" t="n"/>
      <c r="CE423" s="30">
        <f>IF(CD423="Yes, more than 10%",-10,IF(CD423="No",10,0))</f>
        <v/>
      </c>
    </row>
    <row r="424">
      <c r="A424" s="30">
        <f>IF(B424=0,"",RANK(B424,$B$2:$B$427,0))</f>
        <v/>
      </c>
      <c r="B424" s="31">
        <f>SUM(N424,Y424,AA424,AC424,AE424,AG424,AI424,AK424,AM424,AO424,AQ424,AS424,AU424,AW424,AY424,BA424,BC424,BE424,BG424,BI424,BK424,BM424,BO424,BQ424,BS424,BU424,BW424,BY424,CA424,CC424,CE424)</f>
        <v/>
      </c>
      <c r="C424" s="30" t="inlineStr">
        <is>
          <t>DEEDEV</t>
        </is>
      </c>
      <c r="D424" s="30" t="inlineStr">
        <is>
          <t>DEE Development Engineers Ltd</t>
        </is>
      </c>
      <c r="E424" s="30" t="inlineStr">
        <is>
          <t>metals &amp; mining</t>
        </is>
      </c>
      <c r="F424" s="30" t="inlineStr">
        <is>
          <t>steel - medium / small</t>
        </is>
      </c>
      <c r="G424" s="30" t="inlineStr">
        <is>
          <t>smallcap</t>
        </is>
      </c>
      <c r="H424" s="31" t="n">
        <v>4945.4</v>
      </c>
      <c r="I424" s="31" t="n">
        <v>703.05</v>
      </c>
      <c r="J424" s="31" t="n">
        <v>-1.53</v>
      </c>
      <c r="K424" s="31" t="n">
        <v>113714</v>
      </c>
      <c r="L424" s="30" t="inlineStr"/>
      <c r="M424" s="30" t="inlineStr"/>
      <c r="N424" s="31">
        <f>IF(M424="Underperforming",-5,IF(L424&gt;=95,15,IF(L424&gt;=90,10,IF(L424&gt;=80,5,0))))</f>
        <v/>
      </c>
      <c r="O424" s="31" t="inlineStr"/>
      <c r="P424" s="31" t="inlineStr"/>
      <c r="Q424" s="31" t="inlineStr"/>
      <c r="R424" s="30" t="inlineStr"/>
      <c r="S424" s="30" t="inlineStr"/>
      <c r="T424" s="31" t="inlineStr"/>
      <c r="U424" s="31" t="inlineStr"/>
      <c r="V424" s="31" t="inlineStr"/>
      <c r="W424" s="31" t="inlineStr"/>
      <c r="X424" s="30" t="n"/>
      <c r="Y424" s="30">
        <f>IF(X424="Growing Industry",10,IF(X424="Cyclical in an Upturn",5,0))</f>
        <v/>
      </c>
      <c r="Z424" s="30" t="n"/>
      <c r="AA424" s="30">
        <f>IF(Z424="Monopoly",10,IF(Z424="Oligopoly",5,IF(Z424="Duopoly that cooperate",10,IF(Z424="Duopoly that compete",5,IF(Z424="Too many players with High ROCE",5,0)))))</f>
        <v/>
      </c>
      <c r="AB424" s="30" t="n"/>
      <c r="AC424" s="30">
        <f>IF(AB424="No",5,0)</f>
        <v/>
      </c>
      <c r="AD424" s="30" t="n"/>
      <c r="AE424" s="30">
        <f>IF(AD424="Tailwind",10,0)</f>
        <v/>
      </c>
      <c r="AF424" s="30" t="n"/>
      <c r="AG424" s="30">
        <f>IF(AF424="Structural (10 Years Consistency)",10,IF(AF424="Shallow Cyclical (2 to 3 years growth)",5,0))</f>
        <v/>
      </c>
      <c r="AH424" s="30" t="n"/>
      <c r="AI424" s="30">
        <f>IF(AH424="Yes due to Product Mix change or Operating Leverage",10,IF(AH424="Yes, these are peak margins",-5,IF(AH424="No",5,0)))</f>
        <v/>
      </c>
      <c r="AJ424" s="30" t="n"/>
      <c r="AK424" s="30">
        <f>IF(AJ424="Stable",10,0)</f>
        <v/>
      </c>
      <c r="AL424" s="30" t="n"/>
      <c r="AM424" s="30">
        <f>IF(AL424="Yes",10,0)</f>
        <v/>
      </c>
      <c r="AN424" s="30" t="n"/>
      <c r="AO424" s="30">
        <f>IF(AN424="B2C",10,IF(AN424="B2B",5,0))</f>
        <v/>
      </c>
      <c r="AP424" s="30" t="n"/>
      <c r="AQ424" s="30">
        <f>IF(AP424="Yes",10,0)</f>
        <v/>
      </c>
      <c r="AR424" s="30" t="n"/>
      <c r="AS424" s="30">
        <f>IF(AR424="Fully Annuity",10,IF(AR424="Higher Annuity, Lower One Time",5,IF(AR424="Higher One Time, Lower Annuity",3,0)))</f>
        <v/>
      </c>
      <c r="AT424" s="30" t="n"/>
      <c r="AU424" s="30">
        <f>IF(AT424="Good",10,0)</f>
        <v/>
      </c>
      <c r="AV424" s="30" t="n"/>
      <c r="AW424" s="30">
        <f>IF(AV424="Yes for more than 2 years",10,IF(AV424="Yes only for next 1 to 2 years",5,0))</f>
        <v/>
      </c>
      <c r="AX424" s="30" t="n"/>
      <c r="AY424" s="30">
        <f>IF(AX424="Above 40",20,IF(AX424="20 to 40",10,IF(AX424="0 to 20",-5,0)))</f>
        <v/>
      </c>
      <c r="AZ424" s="30" t="n"/>
      <c r="BA424" s="30">
        <f>IF(AZ424="Between 50 to 75",10,IF(AZ424="Above 75",0,0))</f>
        <v/>
      </c>
      <c r="BB424" s="30" t="n"/>
      <c r="BC424" s="30">
        <f>IF(BB424="Stage 2",20,IF(BB424="Stage 1",0,IF(BB424="Stage 3",5,IF(BB424="Stage 4",-5,0))))</f>
        <v/>
      </c>
      <c r="BD424" s="30" t="n"/>
      <c r="BE424" s="30">
        <f>IF(BD424="Positive Trend",20,IF(BD424="Negative Trend",-10,0))</f>
        <v/>
      </c>
      <c r="BF424" s="30" t="n"/>
      <c r="BG424" s="30">
        <f>IF(BF424="Uptrend",10,IF(BF424="Sideways",5,0))</f>
        <v/>
      </c>
      <c r="BH424" s="30" t="n"/>
      <c r="BI424" s="30">
        <f>IF(BH424="Uptrend",10,IF(BH424="Sideways",5,0))</f>
        <v/>
      </c>
      <c r="BJ424" s="30" t="n"/>
      <c r="BK424" s="30">
        <f>IF(BJ424="Overhead supply in last 2 years in last 2 years",-5,IF(BJ424="Close to 52 week high or retracement",5,IF(BJ424="Blue sky scenario",10,IF(BJ424="Long term Downtrend",-10,0))))</f>
        <v/>
      </c>
      <c r="BL424" s="30" t="n"/>
      <c r="BM424" s="30">
        <f>IF(BL424="Yes",10,0)</f>
        <v/>
      </c>
      <c r="BN424" s="30" t="n"/>
      <c r="BO424" s="30">
        <f>IF(BN424="More than 20%",10,IF(BN424="Between 12 to 20%",5,IF(BN424="Less than 12%",0,0)))</f>
        <v/>
      </c>
      <c r="BP424" s="30" t="n"/>
      <c r="BQ424" s="30">
        <f>IF(BP424="No",10,0)</f>
        <v/>
      </c>
      <c r="BR424" s="30" t="n"/>
      <c r="BS424" s="30">
        <f>IF(BR424="NO",5,0)</f>
        <v/>
      </c>
      <c r="BT424" s="30" t="n"/>
      <c r="BU424" s="30">
        <f>IF(BT424="Above 2",0,IF(BT424="Between 1.5 to 2",5,IF(BT424="Less than 1.5",10,0)))</f>
        <v/>
      </c>
      <c r="BV424" s="30" t="n"/>
      <c r="BW424" s="30">
        <f>IF(BV424="Above 70%",10,IF(BV424="Between 50% to 70%",5,IF(BV424="Less than 50%",0,IF(BV424="Negative",-10,IF(BV424="Less than 50% and Borrowings are increasing",-5,0)))))</f>
        <v/>
      </c>
      <c r="BX424" s="30" t="n"/>
      <c r="BY424" s="30">
        <f>IF(BX424="More than 1.2",-10,IF(BX424="Between 0.7 to 1.2",0,IF(BX424="Less than 0.7",10,0)))</f>
        <v/>
      </c>
      <c r="BZ424" s="30" t="n"/>
      <c r="CA424" s="30">
        <f>IF(BZ424="Yes",-10,0)</f>
        <v/>
      </c>
      <c r="CB424" s="30" t="n"/>
      <c r="CC424" s="30">
        <f>IF(CB424="More than 15%",-10,IF(CB424="Less than 15%",10,0))</f>
        <v/>
      </c>
      <c r="CD424" s="30" t="n"/>
      <c r="CE424" s="30">
        <f>IF(CD424="Yes, more than 10%",-10,IF(CD424="No",10,0))</f>
        <v/>
      </c>
    </row>
    <row r="425">
      <c r="A425" s="30">
        <f>IF(B425=0,"",RANK(B425,$B$2:$B$427,0))</f>
        <v/>
      </c>
      <c r="B425" s="31">
        <f>SUM(N425,Y425,AA425,AC425,AE425,AG425,AI425,AK425,AM425,AO425,AQ425,AS425,AU425,AW425,AY425,BA425,BC425,BE425,BG425,BI425,BK425,BM425,BO425,BQ425,BS425,BU425,BW425,BY425,CA425,CC425,CE425)</f>
        <v/>
      </c>
      <c r="C425" s="30" t="inlineStr">
        <is>
          <t>SHRIPISTON</t>
        </is>
      </c>
      <c r="D425" s="30" t="inlineStr">
        <is>
          <t>Shriram Pistons &amp; Rings Limited</t>
        </is>
      </c>
      <c r="E425" s="30" t="inlineStr">
        <is>
          <t>auto</t>
        </is>
      </c>
      <c r="F425" s="30" t="inlineStr">
        <is>
          <t>auto ancillaries</t>
        </is>
      </c>
      <c r="G425" s="30" t="inlineStr">
        <is>
          <t>midcap</t>
        </is>
      </c>
      <c r="H425" s="31" t="n">
        <v>16770.65</v>
      </c>
      <c r="I425" s="31" t="n">
        <v>3739.7</v>
      </c>
      <c r="J425" s="31" t="n">
        <v>-1.77</v>
      </c>
      <c r="K425" s="31" t="n">
        <v>66281</v>
      </c>
      <c r="L425" s="30" t="inlineStr"/>
      <c r="M425" s="30" t="inlineStr"/>
      <c r="N425" s="31">
        <f>IF(M425="Underperforming",-5,IF(L425&gt;=95,15,IF(L425&gt;=90,10,IF(L425&gt;=80,5,0))))</f>
        <v/>
      </c>
      <c r="O425" s="31" t="inlineStr"/>
      <c r="P425" s="31" t="inlineStr"/>
      <c r="Q425" s="31" t="inlineStr"/>
      <c r="R425" s="30" t="inlineStr"/>
      <c r="S425" s="30" t="inlineStr"/>
      <c r="T425" s="31" t="inlineStr"/>
      <c r="U425" s="31" t="inlineStr"/>
      <c r="V425" s="31" t="inlineStr"/>
      <c r="W425" s="31" t="inlineStr"/>
      <c r="X425" s="30" t="n"/>
      <c r="Y425" s="30">
        <f>IF(X425="Growing Industry",10,IF(X425="Cyclical in an Upturn",5,0))</f>
        <v/>
      </c>
      <c r="Z425" s="30" t="n"/>
      <c r="AA425" s="30">
        <f>IF(Z425="Monopoly",10,IF(Z425="Oligopoly",5,IF(Z425="Duopoly that cooperate",10,IF(Z425="Duopoly that compete",5,IF(Z425="Too many players with High ROCE",5,0)))))</f>
        <v/>
      </c>
      <c r="AB425" s="30" t="n"/>
      <c r="AC425" s="30">
        <f>IF(AB425="No",5,0)</f>
        <v/>
      </c>
      <c r="AD425" s="30" t="n"/>
      <c r="AE425" s="30">
        <f>IF(AD425="Tailwind",10,0)</f>
        <v/>
      </c>
      <c r="AF425" s="30" t="n"/>
      <c r="AG425" s="30">
        <f>IF(AF425="Structural (10 Years Consistency)",10,IF(AF425="Shallow Cyclical (2 to 3 years growth)",5,0))</f>
        <v/>
      </c>
      <c r="AH425" s="30" t="n"/>
      <c r="AI425" s="30">
        <f>IF(AH425="Yes due to Product Mix change or Operating Leverage",10,IF(AH425="Yes, these are peak margins",-5,IF(AH425="No",5,0)))</f>
        <v/>
      </c>
      <c r="AJ425" s="30" t="n"/>
      <c r="AK425" s="30">
        <f>IF(AJ425="Stable",10,0)</f>
        <v/>
      </c>
      <c r="AL425" s="30" t="n"/>
      <c r="AM425" s="30">
        <f>IF(AL425="Yes",10,0)</f>
        <v/>
      </c>
      <c r="AN425" s="30" t="n"/>
      <c r="AO425" s="30">
        <f>IF(AN425="B2C",10,IF(AN425="B2B",5,0))</f>
        <v/>
      </c>
      <c r="AP425" s="30" t="n"/>
      <c r="AQ425" s="30">
        <f>IF(AP425="Yes",10,0)</f>
        <v/>
      </c>
      <c r="AR425" s="30" t="n"/>
      <c r="AS425" s="30">
        <f>IF(AR425="Fully Annuity",10,IF(AR425="Higher Annuity, Lower One Time",5,IF(AR425="Higher One Time, Lower Annuity",3,0)))</f>
        <v/>
      </c>
      <c r="AT425" s="30" t="n"/>
      <c r="AU425" s="30">
        <f>IF(AT425="Good",10,0)</f>
        <v/>
      </c>
      <c r="AV425" s="30" t="n"/>
      <c r="AW425" s="30">
        <f>IF(AV425="Yes for more than 2 years",10,IF(AV425="Yes only for next 1 to 2 years",5,0))</f>
        <v/>
      </c>
      <c r="AX425" s="30" t="n"/>
      <c r="AY425" s="30">
        <f>IF(AX425="Above 40",20,IF(AX425="20 to 40",10,IF(AX425="0 to 20",-5,0)))</f>
        <v/>
      </c>
      <c r="AZ425" s="30" t="n"/>
      <c r="BA425" s="30">
        <f>IF(AZ425="Between 50 to 75",10,IF(AZ425="Above 75",0,0))</f>
        <v/>
      </c>
      <c r="BB425" s="30" t="n"/>
      <c r="BC425" s="30">
        <f>IF(BB425="Stage 2",20,IF(BB425="Stage 1",0,IF(BB425="Stage 3",5,IF(BB425="Stage 4",-5,0))))</f>
        <v/>
      </c>
      <c r="BD425" s="30" t="n"/>
      <c r="BE425" s="30">
        <f>IF(BD425="Positive Trend",20,IF(BD425="Negative Trend",-10,0))</f>
        <v/>
      </c>
      <c r="BF425" s="30" t="n"/>
      <c r="BG425" s="30">
        <f>IF(BF425="Uptrend",10,IF(BF425="Sideways",5,0))</f>
        <v/>
      </c>
      <c r="BH425" s="30" t="n"/>
      <c r="BI425" s="30">
        <f>IF(BH425="Uptrend",10,IF(BH425="Sideways",5,0))</f>
        <v/>
      </c>
      <c r="BJ425" s="30" t="n"/>
      <c r="BK425" s="30">
        <f>IF(BJ425="Overhead supply in last 2 years in last 2 years",-5,IF(BJ425="Close to 52 week high or retracement",5,IF(BJ425="Blue sky scenario",10,IF(BJ425="Long term Downtrend",-10,0))))</f>
        <v/>
      </c>
      <c r="BL425" s="30" t="n"/>
      <c r="BM425" s="30">
        <f>IF(BL425="Yes",10,0)</f>
        <v/>
      </c>
      <c r="BN425" s="30" t="n"/>
      <c r="BO425" s="30">
        <f>IF(BN425="More than 20%",10,IF(BN425="Between 12 to 20%",5,IF(BN425="Less than 12%",0,0)))</f>
        <v/>
      </c>
      <c r="BP425" s="30" t="n"/>
      <c r="BQ425" s="30">
        <f>IF(BP425="No",10,0)</f>
        <v/>
      </c>
      <c r="BR425" s="30" t="n"/>
      <c r="BS425" s="30">
        <f>IF(BR425="NO",5,0)</f>
        <v/>
      </c>
      <c r="BT425" s="30" t="n"/>
      <c r="BU425" s="30">
        <f>IF(BT425="Above 2",0,IF(BT425="Between 1.5 to 2",5,IF(BT425="Less than 1.5",10,0)))</f>
        <v/>
      </c>
      <c r="BV425" s="30" t="n"/>
      <c r="BW425" s="30">
        <f>IF(BV425="Above 70%",10,IF(BV425="Between 50% to 70%",5,IF(BV425="Less than 50%",0,IF(BV425="Negative",-10,IF(BV425="Less than 50% and Borrowings are increasing",-5,0)))))</f>
        <v/>
      </c>
      <c r="BX425" s="30" t="n"/>
      <c r="BY425" s="30">
        <f>IF(BX425="More than 1.2",-10,IF(BX425="Between 0.7 to 1.2",0,IF(BX425="Less than 0.7",10,0)))</f>
        <v/>
      </c>
      <c r="BZ425" s="30" t="n"/>
      <c r="CA425" s="30">
        <f>IF(BZ425="Yes",-10,0)</f>
        <v/>
      </c>
      <c r="CB425" s="30" t="n"/>
      <c r="CC425" s="30">
        <f>IF(CB425="More than 15%",-10,IF(CB425="Less than 15%",10,0))</f>
        <v/>
      </c>
      <c r="CD425" s="30" t="n"/>
      <c r="CE425" s="30">
        <f>IF(CD425="Yes, more than 10%",-10,IF(CD425="No",10,0))</f>
        <v/>
      </c>
    </row>
    <row r="426">
      <c r="A426" s="30">
        <f>IF(B426=0,"",RANK(B426,$B$2:$B$427,0))</f>
        <v/>
      </c>
      <c r="B426" s="31">
        <f>SUM(N426,Y426,AA426,AC426,AE426,AG426,AI426,AK426,AM426,AO426,AQ426,AS426,AU426,AW426,AY426,BA426,BC426,BE426,BG426,BI426,BK426,BM426,BO426,BQ426,BS426,BU426,BW426,BY426,CA426,CC426,CE426)</f>
        <v/>
      </c>
      <c r="C426" s="30" t="inlineStr">
        <is>
          <t>INGERRAND</t>
        </is>
      </c>
      <c r="D426" s="30" t="inlineStr">
        <is>
          <t>Ingersoll Rand (india) Limited</t>
        </is>
      </c>
      <c r="E426" s="30" t="inlineStr">
        <is>
          <t>industrials</t>
        </is>
      </c>
      <c r="F426" s="30" t="inlineStr">
        <is>
          <t>compressors / drilling equipment</t>
        </is>
      </c>
      <c r="G426" s="30" t="inlineStr">
        <is>
          <t>midcap</t>
        </is>
      </c>
      <c r="H426" s="31" t="n">
        <v>14881.47</v>
      </c>
      <c r="I426" s="31" t="n">
        <v>4611.3</v>
      </c>
      <c r="J426" s="31" t="n">
        <v>-2.18</v>
      </c>
      <c r="K426" s="31" t="n">
        <v>21389</v>
      </c>
      <c r="L426" s="30" t="inlineStr"/>
      <c r="M426" s="30" t="inlineStr"/>
      <c r="N426" s="31">
        <f>IF(M426="Underperforming",-5,IF(L426&gt;=95,15,IF(L426&gt;=90,10,IF(L426&gt;=80,5,0))))</f>
        <v/>
      </c>
      <c r="O426" s="31" t="inlineStr"/>
      <c r="P426" s="31" t="inlineStr"/>
      <c r="Q426" s="31" t="inlineStr"/>
      <c r="R426" s="30" t="inlineStr"/>
      <c r="S426" s="30" t="inlineStr"/>
      <c r="T426" s="31" t="inlineStr"/>
      <c r="U426" s="31" t="inlineStr"/>
      <c r="V426" s="31" t="inlineStr"/>
      <c r="W426" s="31" t="inlineStr"/>
      <c r="X426" s="30" t="n"/>
      <c r="Y426" s="30">
        <f>IF(X426="Growing Industry",10,IF(X426="Cyclical in an Upturn",5,0))</f>
        <v/>
      </c>
      <c r="Z426" s="30" t="n"/>
      <c r="AA426" s="30">
        <f>IF(Z426="Monopoly",10,IF(Z426="Oligopoly",5,IF(Z426="Duopoly that cooperate",10,IF(Z426="Duopoly that compete",5,IF(Z426="Too many players with High ROCE",5,0)))))</f>
        <v/>
      </c>
      <c r="AB426" s="30" t="n"/>
      <c r="AC426" s="30">
        <f>IF(AB426="No",5,0)</f>
        <v/>
      </c>
      <c r="AD426" s="30" t="n"/>
      <c r="AE426" s="30">
        <f>IF(AD426="Tailwind",10,0)</f>
        <v/>
      </c>
      <c r="AF426" s="30" t="n"/>
      <c r="AG426" s="30">
        <f>IF(AF426="Structural (10 Years Consistency)",10,IF(AF426="Shallow Cyclical (2 to 3 years growth)",5,0))</f>
        <v/>
      </c>
      <c r="AH426" s="30" t="n"/>
      <c r="AI426" s="30">
        <f>IF(AH426="Yes due to Product Mix change or Operating Leverage",10,IF(AH426="Yes, these are peak margins",-5,IF(AH426="No",5,0)))</f>
        <v/>
      </c>
      <c r="AJ426" s="30" t="n"/>
      <c r="AK426" s="30">
        <f>IF(AJ426="Stable",10,0)</f>
        <v/>
      </c>
      <c r="AL426" s="30" t="n"/>
      <c r="AM426" s="30">
        <f>IF(AL426="Yes",10,0)</f>
        <v/>
      </c>
      <c r="AN426" s="30" t="n"/>
      <c r="AO426" s="30">
        <f>IF(AN426="B2C",10,IF(AN426="B2B",5,0))</f>
        <v/>
      </c>
      <c r="AP426" s="30" t="n"/>
      <c r="AQ426" s="30">
        <f>IF(AP426="Yes",10,0)</f>
        <v/>
      </c>
      <c r="AR426" s="30" t="n"/>
      <c r="AS426" s="30">
        <f>IF(AR426="Fully Annuity",10,IF(AR426="Higher Annuity, Lower One Time",5,IF(AR426="Higher One Time, Lower Annuity",3,0)))</f>
        <v/>
      </c>
      <c r="AT426" s="30" t="n"/>
      <c r="AU426" s="30">
        <f>IF(AT426="Good",10,0)</f>
        <v/>
      </c>
      <c r="AV426" s="30" t="n"/>
      <c r="AW426" s="30">
        <f>IF(AV426="Yes for more than 2 years",10,IF(AV426="Yes only for next 1 to 2 years",5,0))</f>
        <v/>
      </c>
      <c r="AX426" s="30" t="n"/>
      <c r="AY426" s="30">
        <f>IF(AX426="Above 40",20,IF(AX426="20 to 40",10,IF(AX426="0 to 20",-5,0)))</f>
        <v/>
      </c>
      <c r="AZ426" s="30" t="n"/>
      <c r="BA426" s="30">
        <f>IF(AZ426="Between 50 to 75",10,IF(AZ426="Above 75",0,0))</f>
        <v/>
      </c>
      <c r="BB426" s="30" t="n"/>
      <c r="BC426" s="30">
        <f>IF(BB426="Stage 2",20,IF(BB426="Stage 1",0,IF(BB426="Stage 3",5,IF(BB426="Stage 4",-5,0))))</f>
        <v/>
      </c>
      <c r="BD426" s="30" t="n"/>
      <c r="BE426" s="30">
        <f>IF(BD426="Positive Trend",20,IF(BD426="Negative Trend",-10,0))</f>
        <v/>
      </c>
      <c r="BF426" s="30" t="n"/>
      <c r="BG426" s="30">
        <f>IF(BF426="Uptrend",10,IF(BF426="Sideways",5,0))</f>
        <v/>
      </c>
      <c r="BH426" s="30" t="n"/>
      <c r="BI426" s="30">
        <f>IF(BH426="Uptrend",10,IF(BH426="Sideways",5,0))</f>
        <v/>
      </c>
      <c r="BJ426" s="30" t="n"/>
      <c r="BK426" s="30">
        <f>IF(BJ426="Overhead supply in last 2 years in last 2 years",-5,IF(BJ426="Close to 52 week high or retracement",5,IF(BJ426="Blue sky scenario",10,IF(BJ426="Long term Downtrend",-10,0))))</f>
        <v/>
      </c>
      <c r="BL426" s="30" t="n"/>
      <c r="BM426" s="30">
        <f>IF(BL426="Yes",10,0)</f>
        <v/>
      </c>
      <c r="BN426" s="30" t="n"/>
      <c r="BO426" s="30">
        <f>IF(BN426="More than 20%",10,IF(BN426="Between 12 to 20%",5,IF(BN426="Less than 12%",0,0)))</f>
        <v/>
      </c>
      <c r="BP426" s="30" t="n"/>
      <c r="BQ426" s="30">
        <f>IF(BP426="No",10,0)</f>
        <v/>
      </c>
      <c r="BR426" s="30" t="n"/>
      <c r="BS426" s="30">
        <f>IF(BR426="NO",5,0)</f>
        <v/>
      </c>
      <c r="BT426" s="30" t="n"/>
      <c r="BU426" s="30">
        <f>IF(BT426="Above 2",0,IF(BT426="Between 1.5 to 2",5,IF(BT426="Less than 1.5",10,0)))</f>
        <v/>
      </c>
      <c r="BV426" s="30" t="n"/>
      <c r="BW426" s="30">
        <f>IF(BV426="Above 70%",10,IF(BV426="Between 50% to 70%",5,IF(BV426="Less than 50%",0,IF(BV426="Negative",-10,IF(BV426="Less than 50% and Borrowings are increasing",-5,0)))))</f>
        <v/>
      </c>
      <c r="BX426" s="30" t="n"/>
      <c r="BY426" s="30">
        <f>IF(BX426="More than 1.2",-10,IF(BX426="Between 0.7 to 1.2",0,IF(BX426="Less than 0.7",10,0)))</f>
        <v/>
      </c>
      <c r="BZ426" s="30" t="n"/>
      <c r="CA426" s="30">
        <f>IF(BZ426="Yes",-10,0)</f>
        <v/>
      </c>
      <c r="CB426" s="30" t="n"/>
      <c r="CC426" s="30">
        <f>IF(CB426="More than 15%",-10,IF(CB426="Less than 15%",10,0))</f>
        <v/>
      </c>
      <c r="CD426" s="30" t="n"/>
      <c r="CE426" s="30">
        <f>IF(CD426="Yes, more than 10%",-10,IF(CD426="No",10,0))</f>
        <v/>
      </c>
    </row>
    <row r="427">
      <c r="A427" s="30">
        <f>IF(B427=0,"",RANK(B427,$B$2:$B$427,0))</f>
        <v/>
      </c>
      <c r="B427" s="31">
        <f>SUM(N427,Y427,AA427,AC427,AE427,AG427,AI427,AK427,AM427,AO427,AQ427,AS427,AU427,AW427,AY427,BA427,BC427,BE427,BG427,BI427,BK427,BM427,BO427,BQ427,BS427,BU427,BW427,BY427,CA427,CC427,CE427)</f>
        <v/>
      </c>
      <c r="C427" s="30" t="inlineStr">
        <is>
          <t>ORCHPHARMA</t>
        </is>
      </c>
      <c r="D427" s="30" t="inlineStr">
        <is>
          <t>Orchid Pharma Ltd</t>
        </is>
      </c>
      <c r="E427" s="30" t="inlineStr">
        <is>
          <t>healthcare</t>
        </is>
      </c>
      <c r="F427" s="30" t="inlineStr">
        <is>
          <t>pharmaceuticals - indian - bulk drugs &amp; formln</t>
        </is>
      </c>
      <c r="G427" s="30" t="inlineStr">
        <is>
          <t>midcap</t>
        </is>
      </c>
      <c r="H427" s="31" t="n">
        <v>5113.75</v>
      </c>
      <c r="I427" s="31" t="n">
        <v>979.05</v>
      </c>
      <c r="J427" s="31" t="n">
        <v>-2.9</v>
      </c>
      <c r="K427" s="31" t="n">
        <v>107623</v>
      </c>
      <c r="L427" s="30" t="inlineStr"/>
      <c r="M427" s="30" t="inlineStr"/>
      <c r="N427" s="31">
        <f>IF(M427="Underperforming",-5,IF(L427&gt;=95,15,IF(L427&gt;=90,10,IF(L427&gt;=80,5,0))))</f>
        <v/>
      </c>
      <c r="O427" s="31" t="inlineStr"/>
      <c r="P427" s="31" t="inlineStr"/>
      <c r="Q427" s="31" t="inlineStr"/>
      <c r="R427" s="30" t="inlineStr"/>
      <c r="S427" s="30" t="inlineStr"/>
      <c r="T427" s="31" t="inlineStr"/>
      <c r="U427" s="31" t="inlineStr"/>
      <c r="V427" s="31" t="inlineStr"/>
      <c r="W427" s="31" t="inlineStr"/>
      <c r="X427" s="30" t="n"/>
      <c r="Y427" s="30">
        <f>IF(X427="Growing Industry",10,IF(X427="Cyclical in an Upturn",5,0))</f>
        <v/>
      </c>
      <c r="Z427" s="30" t="n"/>
      <c r="AA427" s="30">
        <f>IF(Z427="Monopoly",10,IF(Z427="Oligopoly",5,IF(Z427="Duopoly that cooperate",10,IF(Z427="Duopoly that compete",5,IF(Z427="Too many players with High ROCE",5,0)))))</f>
        <v/>
      </c>
      <c r="AB427" s="30" t="n"/>
      <c r="AC427" s="30">
        <f>IF(AB427="No",5,0)</f>
        <v/>
      </c>
      <c r="AD427" s="30" t="n"/>
      <c r="AE427" s="30">
        <f>IF(AD427="Tailwind",10,0)</f>
        <v/>
      </c>
      <c r="AF427" s="30" t="n"/>
      <c r="AG427" s="30">
        <f>IF(AF427="Structural (10 Years Consistency)",10,IF(AF427="Shallow Cyclical (2 to 3 years growth)",5,0))</f>
        <v/>
      </c>
      <c r="AH427" s="30" t="n"/>
      <c r="AI427" s="30">
        <f>IF(AH427="Yes due to Product Mix change or Operating Leverage",10,IF(AH427="Yes, these are peak margins",-5,IF(AH427="No",5,0)))</f>
        <v/>
      </c>
      <c r="AJ427" s="30" t="n"/>
      <c r="AK427" s="30">
        <f>IF(AJ427="Stable",10,0)</f>
        <v/>
      </c>
      <c r="AL427" s="30" t="n"/>
      <c r="AM427" s="30">
        <f>IF(AL427="Yes",10,0)</f>
        <v/>
      </c>
      <c r="AN427" s="30" t="n"/>
      <c r="AO427" s="30">
        <f>IF(AN427="B2C",10,IF(AN427="B2B",5,0))</f>
        <v/>
      </c>
      <c r="AP427" s="30" t="n"/>
      <c r="AQ427" s="30">
        <f>IF(AP427="Yes",10,0)</f>
        <v/>
      </c>
      <c r="AR427" s="30" t="n"/>
      <c r="AS427" s="30">
        <f>IF(AR427="Fully Annuity",10,IF(AR427="Higher Annuity, Lower One Time",5,IF(AR427="Higher One Time, Lower Annuity",3,0)))</f>
        <v/>
      </c>
      <c r="AT427" s="30" t="n"/>
      <c r="AU427" s="30">
        <f>IF(AT427="Good",10,0)</f>
        <v/>
      </c>
      <c r="AV427" s="30" t="n"/>
      <c r="AW427" s="30">
        <f>IF(AV427="Yes for more than 2 years",10,IF(AV427="Yes only for next 1 to 2 years",5,0))</f>
        <v/>
      </c>
      <c r="AX427" s="30" t="n"/>
      <c r="AY427" s="30">
        <f>IF(AX427="Above 40",20,IF(AX427="20 to 40",10,IF(AX427="0 to 20",-5,0)))</f>
        <v/>
      </c>
      <c r="AZ427" s="30" t="n"/>
      <c r="BA427" s="30">
        <f>IF(AZ427="Between 50 to 75",10,IF(AZ427="Above 75",0,0))</f>
        <v/>
      </c>
      <c r="BB427" s="30" t="n"/>
      <c r="BC427" s="30">
        <f>IF(BB427="Stage 2",20,IF(BB427="Stage 1",0,IF(BB427="Stage 3",5,IF(BB427="Stage 4",-5,0))))</f>
        <v/>
      </c>
      <c r="BD427" s="30" t="n"/>
      <c r="BE427" s="30">
        <f>IF(BD427="Positive Trend",20,IF(BD427="Negative Trend",-10,0))</f>
        <v/>
      </c>
      <c r="BF427" s="30" t="n"/>
      <c r="BG427" s="30">
        <f>IF(BF427="Uptrend",10,IF(BF427="Sideways",5,0))</f>
        <v/>
      </c>
      <c r="BH427" s="30" t="n"/>
      <c r="BI427" s="30">
        <f>IF(BH427="Uptrend",10,IF(BH427="Sideways",5,0))</f>
        <v/>
      </c>
      <c r="BJ427" s="30" t="n"/>
      <c r="BK427" s="30">
        <f>IF(BJ427="Overhead supply in last 2 years in last 2 years",-5,IF(BJ427="Close to 52 week high or retracement",5,IF(BJ427="Blue sky scenario",10,IF(BJ427="Long term Downtrend",-10,0))))</f>
        <v/>
      </c>
      <c r="BL427" s="30" t="n"/>
      <c r="BM427" s="30">
        <f>IF(BL427="Yes",10,0)</f>
        <v/>
      </c>
      <c r="BN427" s="30" t="n"/>
      <c r="BO427" s="30">
        <f>IF(BN427="More than 20%",10,IF(BN427="Between 12 to 20%",5,IF(BN427="Less than 12%",0,0)))</f>
        <v/>
      </c>
      <c r="BP427" s="30" t="n"/>
      <c r="BQ427" s="30">
        <f>IF(BP427="No",10,0)</f>
        <v/>
      </c>
      <c r="BR427" s="30" t="n"/>
      <c r="BS427" s="30">
        <f>IF(BR427="NO",5,0)</f>
        <v/>
      </c>
      <c r="BT427" s="30" t="n"/>
      <c r="BU427" s="30">
        <f>IF(BT427="Above 2",0,IF(BT427="Between 1.5 to 2",5,IF(BT427="Less than 1.5",10,0)))</f>
        <v/>
      </c>
      <c r="BV427" s="30" t="n"/>
      <c r="BW427" s="30">
        <f>IF(BV427="Above 70%",10,IF(BV427="Between 50% to 70%",5,IF(BV427="Less than 50%",0,IF(BV427="Negative",-10,IF(BV427="Less than 50% and Borrowings are increasing",-5,0)))))</f>
        <v/>
      </c>
      <c r="BX427" s="30" t="n"/>
      <c r="BY427" s="30">
        <f>IF(BX427="More than 1.2",-10,IF(BX427="Between 0.7 to 1.2",0,IF(BX427="Less than 0.7",10,0)))</f>
        <v/>
      </c>
      <c r="BZ427" s="30" t="n"/>
      <c r="CA427" s="30">
        <f>IF(BZ427="Yes",-10,0)</f>
        <v/>
      </c>
      <c r="CB427" s="30" t="n"/>
      <c r="CC427" s="30">
        <f>IF(CB427="More than 15%",-10,IF(CB427="Less than 15%",10,0))</f>
        <v/>
      </c>
      <c r="CD427" s="30" t="n"/>
      <c r="CE427" s="30">
        <f>IF(CD427="Yes, more than 10%",-10,IF(CD427="No",10,0))</f>
        <v/>
      </c>
    </row>
  </sheetData>
  <autoFilter ref="A1:CE427"/>
  <conditionalFormatting sqref="B2:B42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2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2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2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2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2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2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2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2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2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2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2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2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2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42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42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27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427">
    <cfRule type="cellIs" priority="36" operator="equal" dxfId="3" stopIfTrue="1">
      <formula>"Underperforming"</formula>
    </cfRule>
  </conditionalFormatting>
  <conditionalFormatting sqref="N2:N427">
    <cfRule type="cellIs" priority="37" operator="equal" dxfId="3" stopIfTrue="1">
      <formula>-5</formula>
    </cfRule>
  </conditionalFormatting>
  <conditionalFormatting sqref="Q2:Q427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427" showDropDown="0" showInputMessage="0" showErrorMessage="0" allowBlank="1" type="list">
      <formula1>"Growing Industry,Stagnant Industry,Cyclical in an Upturn"</formula1>
    </dataValidation>
    <dataValidation sqref="Z2:Z42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427" showDropDown="0" showInputMessage="0" showErrorMessage="0" allowBlank="1" type="list">
      <formula1>"Yes,No"</formula1>
    </dataValidation>
    <dataValidation sqref="AD2:AD427" showDropDown="0" showInputMessage="0" showErrorMessage="0" allowBlank="1" type="list">
      <formula1>"Tailwind,Headwind"</formula1>
    </dataValidation>
    <dataValidation sqref="AF2:AF427" showDropDown="0" showInputMessage="0" showErrorMessage="0" allowBlank="1" type="list">
      <formula1>"Structural (10 Years Consistency),Shallow Cyclical (2 to 3 Years Growth),Cyclical"</formula1>
    </dataValidation>
    <dataValidation sqref="AH2:AH427" showDropDown="0" showInputMessage="0" showErrorMessage="0" allowBlank="1" type="list">
      <formula1>"Yes due to Product Mix change or Operating Leverage,Yes, these are peak margins,No"</formula1>
    </dataValidation>
    <dataValidation sqref="AJ2:AJ427" showDropDown="0" showInputMessage="0" showErrorMessage="0" allowBlank="1" type="list">
      <formula1>"Stable,Volatile"</formula1>
    </dataValidation>
    <dataValidation sqref="AL2:AL427" showDropDown="0" showInputMessage="0" showErrorMessage="0" allowBlank="1" type="list">
      <formula1>"Yes,No"</formula1>
    </dataValidation>
    <dataValidation sqref="AN2:AN427" showDropDown="0" showInputMessage="0" showErrorMessage="0" allowBlank="1" type="list">
      <formula1>"B2C,B2B,B2G"</formula1>
    </dataValidation>
    <dataValidation sqref="AP2:AP427" showDropDown="0" showInputMessage="0" showErrorMessage="0" allowBlank="1" type="list">
      <formula1>"Yes,No"</formula1>
    </dataValidation>
    <dataValidation sqref="AR2:AR427" showDropDown="0" showInputMessage="0" showErrorMessage="0" allowBlank="1" type="list">
      <formula1>"Fully Annuity,Higher Annuity, Lower One time,Higher One Time, Lower Annuity,Fully One Time"</formula1>
    </dataValidation>
    <dataValidation sqref="AT2:AT427" showDropDown="0" showInputMessage="0" showErrorMessage="0" allowBlank="1" type="list">
      <formula1>"Good,Allocated capital in Non-core Areas"</formula1>
    </dataValidation>
    <dataValidation sqref="AV2:AV427" showDropDown="0" showInputMessage="0" showErrorMessage="0" allowBlank="1" type="list">
      <formula1>"Yes for more than 2 years,Yes only for next 1 to 2 years,No"</formula1>
    </dataValidation>
    <dataValidation sqref="AX2:AX427" showDropDown="0" showInputMessage="0" showErrorMessage="0" allowBlank="1" type="list">
      <formula1>"Above 40,20 to 40,0 to 20"</formula1>
    </dataValidation>
    <dataValidation sqref="AZ2:AZ427" showDropDown="0" showInputMessage="0" showErrorMessage="0" allowBlank="1" type="list">
      <formula1>"Between 50 to 75,Above 75,Below 45"</formula1>
    </dataValidation>
    <dataValidation sqref="BB2:BB427" showDropDown="0" showInputMessage="0" showErrorMessage="0" allowBlank="1" type="list">
      <formula1>"Stage 1,Stage 2,Stage 3,Stage 4"</formula1>
    </dataValidation>
    <dataValidation sqref="BD2:BD427" showDropDown="0" showInputMessage="0" showErrorMessage="0" allowBlank="1" type="list">
      <formula1>"Positive Trend,Negative Trend"</formula1>
    </dataValidation>
    <dataValidation sqref="BF2:BF427" showDropDown="0" showInputMessage="0" showErrorMessage="0" allowBlank="1" type="list">
      <formula1>"Uptrend,Sideways,Downtrend"</formula1>
    </dataValidation>
    <dataValidation sqref="BH2:BH427" showDropDown="0" showInputMessage="0" showErrorMessage="0" allowBlank="1" type="list">
      <formula1>"Uptrend,Sideways,Downtrend"</formula1>
    </dataValidation>
    <dataValidation sqref="BJ2:BJ42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427" showDropDown="0" showInputMessage="0" showErrorMessage="0" allowBlank="1" type="list">
      <formula1>"Yes,No"</formula1>
    </dataValidation>
    <dataValidation sqref="BN2:BN427" showDropDown="0" showInputMessage="0" showErrorMessage="0" allowBlank="1" type="list">
      <formula1>"More than 20%,Between 12 to 20%,Less than 12%"</formula1>
    </dataValidation>
    <dataValidation sqref="BP2:BP427" showDropDown="0" showInputMessage="0" showErrorMessage="0" allowBlank="1" type="list">
      <formula1>"Yes,No"</formula1>
    </dataValidation>
    <dataValidation sqref="BR2:BR427" showDropDown="0" showInputMessage="0" showErrorMessage="0" allowBlank="1" type="list">
      <formula1>"Yes,No"</formula1>
    </dataValidation>
    <dataValidation sqref="BT2:BT427" showDropDown="0" showInputMessage="0" showErrorMessage="0" allowBlank="1" type="list">
      <formula1>"Above 2,Between 1.5 to 2,Less than 1.5"</formula1>
    </dataValidation>
    <dataValidation sqref="BV2:BV427" showDropDown="0" showInputMessage="0" showErrorMessage="0" allowBlank="1" type="list">
      <formula1>"Above 70%,Between 50% to 70%,Less than 50%,Less than 50% and Borrowings are increasing,Negative"</formula1>
    </dataValidation>
    <dataValidation sqref="BX2:BX427" showDropDown="0" showInputMessage="0" showErrorMessage="0" allowBlank="1" type="list">
      <formula1>"More than 1.2,Between 0.7 to 1.2,Less than 0.7"</formula1>
    </dataValidation>
    <dataValidation sqref="BZ2:BZ427" showDropDown="0" showInputMessage="0" showErrorMessage="0" allowBlank="1" type="list">
      <formula1>"Yes,No"</formula1>
    </dataValidation>
    <dataValidation sqref="CB2:CB427" showDropDown="0" showInputMessage="0" showErrorMessage="0" allowBlank="1" type="list">
      <formula1>"More than 15%,Less than 15%"</formula1>
    </dataValidation>
    <dataValidation sqref="CD2:CD42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7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IF(B2=0,"",RANK(B2,$B$2:$B$77,0))</f>
        <v/>
      </c>
      <c r="B2" s="31">
        <f>SUM(N2,Y2,AA2,AC2,AE2,AG2,AI2,AK2,AM2,AO2,AQ2,AS2,AU2,AW2,AY2,BA2,BC2,BE2,BG2,BI2,BK2,BM2,BO2,BQ2,BS2,BU2,BW2,BY2,CA2)</f>
        <v/>
      </c>
      <c r="C2" s="30" t="inlineStr">
        <is>
          <t>SATIN</t>
        </is>
      </c>
      <c r="D2" s="30" t="inlineStr">
        <is>
          <t>Satin Creditcare Network Limited</t>
        </is>
      </c>
      <c r="E2" s="30" t="inlineStr">
        <is>
          <t>financials</t>
        </is>
      </c>
      <c r="F2" s="30" t="inlineStr">
        <is>
          <t>finance &amp; investments</t>
        </is>
      </c>
      <c r="G2" s="30" t="inlineStr">
        <is>
          <t>smallcap</t>
        </is>
      </c>
      <c r="H2" s="31" t="n">
        <v>2556.63</v>
      </c>
      <c r="I2" s="31" t="n">
        <v>235.43</v>
      </c>
      <c r="J2" s="31" t="n">
        <v>1.73</v>
      </c>
      <c r="K2" s="31" t="n">
        <v>288640</v>
      </c>
      <c r="L2" s="30" t="n">
        <v>78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70.66</v>
      </c>
      <c r="P2" s="31" t="n">
        <v>45.82</v>
      </c>
      <c r="Q2" s="31" t="n">
        <v>187.8</v>
      </c>
      <c r="R2" s="30" t="inlineStr">
        <is>
          <t>Near 52W High Breakout</t>
        </is>
      </c>
      <c r="S2" s="30" t="inlineStr">
        <is>
          <t>Nifty Bank</t>
        </is>
      </c>
      <c r="T2" s="31" t="n">
        <v>2.55</v>
      </c>
      <c r="U2" s="31" t="n">
        <v>55.28</v>
      </c>
      <c r="V2" s="31" t="n">
        <v>51.42</v>
      </c>
      <c r="W2" s="31" t="n">
        <v>24.04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IF(B3=0,"",RANK(B3,$B$2:$B$77,0))</f>
        <v/>
      </c>
      <c r="B3" s="31">
        <f>SUM(N3,Y3,AA3,AC3,AE3,AG3,AI3,AK3,AM3,AO3,AQ3,AS3,AU3,AW3,AY3,BA3,BC3,BE3,BG3,BI3,BK3,BM3,BO3,BQ3,BS3,BU3,BW3,BY3,CA3)</f>
        <v/>
      </c>
      <c r="C3" s="30" t="inlineStr">
        <is>
          <t>MAHABANK</t>
        </is>
      </c>
      <c r="D3" s="30" t="inlineStr">
        <is>
          <t>Bank Of Maharashtra Ltd</t>
        </is>
      </c>
      <c r="E3" s="30" t="inlineStr">
        <is>
          <t>bank</t>
        </is>
      </c>
      <c r="F3" s="30" t="inlineStr">
        <is>
          <t>banks - public sector</t>
        </is>
      </c>
      <c r="G3" s="30" t="inlineStr">
        <is>
          <t>largecap</t>
        </is>
      </c>
      <c r="H3" s="31" t="n">
        <v>68839.42</v>
      </c>
      <c r="I3" s="31" t="n">
        <v>90.19</v>
      </c>
      <c r="J3" s="31" t="n">
        <v>0.77</v>
      </c>
      <c r="K3" s="31" t="n">
        <v>14248205</v>
      </c>
      <c r="L3" s="30" t="n">
        <v>71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73.27</v>
      </c>
      <c r="P3" s="31" t="n">
        <v>43.78</v>
      </c>
      <c r="Q3" s="31" t="n">
        <v>73.88</v>
      </c>
      <c r="R3" s="30" t="inlineStr">
        <is>
          <t>Near 52W High Breakout</t>
        </is>
      </c>
      <c r="S3" s="30" t="inlineStr">
        <is>
          <t>Nifty Bank</t>
        </is>
      </c>
      <c r="T3" s="31" t="n">
        <v>2.55</v>
      </c>
      <c r="U3" s="31" t="n">
        <v>72.56</v>
      </c>
      <c r="V3" s="31" t="n">
        <v>68.27</v>
      </c>
      <c r="W3" s="31" t="n">
        <v>20.41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IF(B4=0,"",RANK(B4,$B$2:$B$77,0))</f>
        <v/>
      </c>
      <c r="B4" s="31">
        <f>SUM(N4,Y4,AA4,AC4,AE4,AG4,AI4,AK4,AM4,AO4,AQ4,AS4,AU4,AW4,AY4,BA4,BC4,BE4,BG4,BI4,BK4,BM4,BO4,BQ4,BS4,BU4,BW4,BY4,CA4)</f>
        <v/>
      </c>
      <c r="C4" s="30" t="inlineStr">
        <is>
          <t>KTKBANK</t>
        </is>
      </c>
      <c r="D4" s="30" t="inlineStr">
        <is>
          <t>The Karnataka Bank Limited</t>
        </is>
      </c>
      <c r="E4" s="30" t="inlineStr">
        <is>
          <t>bank</t>
        </is>
      </c>
      <c r="F4" s="30" t="inlineStr">
        <is>
          <t>banks - private sector</t>
        </is>
      </c>
      <c r="G4" s="30" t="inlineStr">
        <is>
          <t>midcap</t>
        </is>
      </c>
      <c r="H4" s="31" t="n">
        <v>10508.52</v>
      </c>
      <c r="I4" s="31" t="n">
        <v>274.7</v>
      </c>
      <c r="J4" s="31" t="n">
        <v>-1.15</v>
      </c>
      <c r="K4" s="31" t="n">
        <v>1162649</v>
      </c>
      <c r="L4" s="30" t="n">
        <v>47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68.62</v>
      </c>
      <c r="P4" s="31" t="n">
        <v>54.63</v>
      </c>
      <c r="Q4" s="31" t="n">
        <v>220.65</v>
      </c>
      <c r="R4" s="30" t="inlineStr">
        <is>
          <t>Near 52W High Breakout</t>
        </is>
      </c>
      <c r="S4" s="30" t="inlineStr">
        <is>
          <t>Nifty Bank</t>
        </is>
      </c>
      <c r="T4" s="31" t="n">
        <v>2.55</v>
      </c>
      <c r="U4" s="31" t="n">
        <v>40.97</v>
      </c>
      <c r="V4" s="31" t="n">
        <v>37.47</v>
      </c>
      <c r="W4" s="31" t="n">
        <v>11.83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Above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IF(B5=0,"",RANK(B5,$B$2:$B$77,0))</f>
        <v/>
      </c>
      <c r="B5" s="31">
        <f>SUM(N5,Y5,AA5,AC5,AE5,AG5,AI5,AK5,AM5,AO5,AQ5,AS5,AU5,AW5,AY5,BA5,BC5,BE5,BG5,BI5,BK5,BM5,BO5,BQ5,BS5,BU5,BW5,BY5,CA5)</f>
        <v/>
      </c>
      <c r="C5" s="30" t="inlineStr">
        <is>
          <t>RBLBANK</t>
        </is>
      </c>
      <c r="D5" s="30" t="inlineStr">
        <is>
          <t>Rbl Bank Limited</t>
        </is>
      </c>
      <c r="E5" s="30" t="inlineStr">
        <is>
          <t>bank</t>
        </is>
      </c>
      <c r="F5" s="30" t="inlineStr">
        <is>
          <t>banks - private sector</t>
        </is>
      </c>
      <c r="G5" s="30" t="inlineStr">
        <is>
          <t>largecap</t>
        </is>
      </c>
      <c r="H5" s="31" t="n">
        <v>22823.76</v>
      </c>
      <c r="I5" s="31" t="n">
        <v>378.85</v>
      </c>
      <c r="J5" s="31" t="n">
        <v>2.6</v>
      </c>
      <c r="K5" s="31" t="n">
        <v>9737378</v>
      </c>
      <c r="L5" s="30" t="n">
        <v>62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72.23999999999999</v>
      </c>
      <c r="P5" s="31" t="n">
        <v>31.68</v>
      </c>
      <c r="Q5" s="31" t="n">
        <v>317.41</v>
      </c>
      <c r="R5" s="30" t="inlineStr">
        <is>
          <t>Near 52W High Breakout</t>
        </is>
      </c>
      <c r="S5" s="30" t="inlineStr">
        <is>
          <t>Nifty Bank</t>
        </is>
      </c>
      <c r="T5" s="31" t="n">
        <v>2.55</v>
      </c>
      <c r="U5" s="31" t="n">
        <v>66.73999999999999</v>
      </c>
      <c r="V5" s="31" t="n">
        <v>62.6</v>
      </c>
      <c r="W5" s="31" t="n">
        <v>16.79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IF(B6=0,"",RANK(B6,$B$2:$B$77,0))</f>
        <v/>
      </c>
      <c r="B6" s="31">
        <f>SUM(N6,Y6,AA6,AC6,AE6,AG6,AI6,AK6,AM6,AO6,AQ6,AS6,AU6,AW6,AY6,BA6,BC6,BE6,BG6,BI6,BK6,BM6,BO6,BQ6,BS6,BU6,BW6,BY6,CA6)</f>
        <v/>
      </c>
      <c r="C6" s="30" t="inlineStr">
        <is>
          <t>TMB</t>
        </is>
      </c>
      <c r="D6" s="30" t="inlineStr">
        <is>
          <t>Tamilnad Mercantile Bank Ltd</t>
        </is>
      </c>
      <c r="E6" s="30" t="inlineStr">
        <is>
          <t>bank</t>
        </is>
      </c>
      <c r="F6" s="30" t="inlineStr">
        <is>
          <t>banks - private sector</t>
        </is>
      </c>
      <c r="G6" s="30" t="inlineStr">
        <is>
          <t>midcap</t>
        </is>
      </c>
      <c r="H6" s="31" t="n">
        <v>12360.91</v>
      </c>
      <c r="I6" s="31" t="n">
        <v>780.6</v>
      </c>
      <c r="J6" s="31" t="n">
        <v>0</v>
      </c>
      <c r="K6" s="31" t="n">
        <v>192839</v>
      </c>
      <c r="L6" s="30" t="n">
        <v>70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70.2</v>
      </c>
      <c r="P6" s="31" t="n">
        <v>30.87</v>
      </c>
      <c r="Q6" s="31" t="n">
        <v>625.1799999999999</v>
      </c>
      <c r="R6" s="30" t="inlineStr">
        <is>
          <t>Near 52W High Breakout</t>
        </is>
      </c>
      <c r="S6" s="30" t="inlineStr">
        <is>
          <t>Nifty Bank</t>
        </is>
      </c>
      <c r="T6" s="31" t="n">
        <v>2.55</v>
      </c>
      <c r="U6" s="31" t="n">
        <v>84.31</v>
      </c>
      <c r="V6" s="31" t="n">
        <v>79.73</v>
      </c>
      <c r="W6" s="31" t="n">
        <v>20.13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IF(B7=0,"",RANK(B7,$B$2:$B$77,0))</f>
        <v/>
      </c>
      <c r="B7" s="31">
        <f>SUM(N7,Y7,AA7,AC7,AE7,AG7,AI7,AK7,AM7,AO7,AQ7,AS7,AU7,AW7,AY7,BA7,BC7,BE7,BG7,BI7,BK7,BM7,BO7,BQ7,BS7,BU7,BW7,BY7,CA7)</f>
        <v/>
      </c>
      <c r="C7" s="30" t="inlineStr">
        <is>
          <t>BANDHANBNK</t>
        </is>
      </c>
      <c r="D7" s="30" t="inlineStr">
        <is>
          <t>Bandhan Bank Ltd</t>
        </is>
      </c>
      <c r="E7" s="30" t="inlineStr">
        <is>
          <t>bank</t>
        </is>
      </c>
      <c r="F7" s="30" t="inlineStr">
        <is>
          <t>banks - private sector</t>
        </is>
      </c>
      <c r="G7" s="30" t="inlineStr">
        <is>
          <t>largecap</t>
        </is>
      </c>
      <c r="H7" s="31" t="n">
        <v>34519.91</v>
      </c>
      <c r="I7" s="31" t="n">
        <v>208.09</v>
      </c>
      <c r="J7" s="31" t="n">
        <v>-2.89</v>
      </c>
      <c r="K7" s="31" t="n">
        <v>7902818</v>
      </c>
      <c r="L7" s="30" t="n">
        <v>41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65.36</v>
      </c>
      <c r="P7" s="31" t="n">
        <v>26.1</v>
      </c>
      <c r="Q7" s="31" t="n">
        <v>167.18</v>
      </c>
      <c r="R7" s="30" t="inlineStr">
        <is>
          <t>Near 52W High Breakout</t>
        </is>
      </c>
      <c r="S7" s="30" t="inlineStr">
        <is>
          <t>Nifty Bank</t>
        </is>
      </c>
      <c r="T7" s="31" t="n">
        <v>2.55</v>
      </c>
      <c r="U7" s="31" t="n">
        <v>16.63</v>
      </c>
      <c r="V7" s="31" t="n">
        <v>13.73</v>
      </c>
      <c r="W7" s="31" t="n">
        <v>10.34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IF(B8=0,"",RANK(B8,$B$2:$B$77,0))</f>
        <v/>
      </c>
      <c r="B8" s="31">
        <f>SUM(N8,Y8,AA8,AC8,AE8,AG8,AI8,AK8,AM8,AO8,AQ8,AS8,AU8,AW8,AY8,BA8,BC8,BE8,BG8,BI8,BK8,BM8,BO8,BQ8,BS8,BU8,BW8,BY8,CA8)</f>
        <v/>
      </c>
      <c r="C8" s="30" t="inlineStr">
        <is>
          <t>ESAFSFB</t>
        </is>
      </c>
      <c r="D8" s="30" t="inlineStr">
        <is>
          <t>ESAF Small Finance Bank Ltd</t>
        </is>
      </c>
      <c r="E8" s="30" t="inlineStr">
        <is>
          <t>bank</t>
        </is>
      </c>
      <c r="F8" s="30" t="inlineStr">
        <is>
          <t>banks - private sector</t>
        </is>
      </c>
      <c r="G8" s="30" t="inlineStr">
        <is>
          <t>smallcap</t>
        </is>
      </c>
      <c r="H8" s="31" t="n">
        <v>1651.15</v>
      </c>
      <c r="I8" s="31" t="n">
        <v>36.33</v>
      </c>
      <c r="J8" s="31" t="n">
        <v>13.46</v>
      </c>
      <c r="K8" s="31" t="n">
        <v>20668329</v>
      </c>
      <c r="L8" s="30" t="n">
        <v>63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70.98</v>
      </c>
      <c r="P8" s="31" t="n">
        <v>25.69</v>
      </c>
      <c r="Q8" s="31" t="n">
        <v>28.07</v>
      </c>
      <c r="R8" s="30" t="inlineStr">
        <is>
          <t>Volume Spike &amp; Near 52W High Breakout</t>
        </is>
      </c>
      <c r="S8" s="30" t="inlineStr">
        <is>
          <t>Nifty Bank</t>
        </is>
      </c>
      <c r="T8" s="31" t="n">
        <v>2.55</v>
      </c>
      <c r="U8" s="31" t="n">
        <v>16.03</v>
      </c>
      <c r="V8" s="31" t="n">
        <v>13.15</v>
      </c>
      <c r="W8" s="31" t="n">
        <v>17.28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Close to 52 week high or retracement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IF(B9=0,"",RANK(B9,$B$2:$B$77,0))</f>
        <v/>
      </c>
      <c r="B9" s="31">
        <f>SUM(N9,Y9,AA9,AC9,AE9,AG9,AI9,AK9,AM9,AO9,AQ9,AS9,AU9,AW9,AY9,BA9,BC9,BE9,BG9,BI9,BK9,BM9,BO9,BQ9,BS9,BU9,BW9,BY9,CA9)</f>
        <v/>
      </c>
      <c r="C9" s="30" t="inlineStr">
        <is>
          <t>NIACL</t>
        </is>
      </c>
      <c r="D9" s="30" t="inlineStr">
        <is>
          <t>New India Assurance Company Ltd</t>
        </is>
      </c>
      <c r="E9" s="30" t="inlineStr">
        <is>
          <t>financials</t>
        </is>
      </c>
      <c r="F9" s="30" t="inlineStr">
        <is>
          <t>finance &amp; investments</t>
        </is>
      </c>
      <c r="G9" s="30" t="inlineStr">
        <is>
          <t>largecap</t>
        </is>
      </c>
      <c r="H9" s="31" t="n">
        <v>29444.82</v>
      </c>
      <c r="I9" s="31" t="n">
        <v>202.31</v>
      </c>
      <c r="J9" s="31" t="n">
        <v>13.23</v>
      </c>
      <c r="K9" s="31" t="n">
        <v>119622490</v>
      </c>
      <c r="L9" s="30" t="n">
        <v>59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68.94</v>
      </c>
      <c r="P9" s="31" t="n">
        <v>21.7</v>
      </c>
      <c r="Q9" s="31" t="n">
        <v>155.59</v>
      </c>
      <c r="R9" s="30" t="inlineStr">
        <is>
          <t>Volume Spike &amp; Near 52W High Breakout</t>
        </is>
      </c>
      <c r="S9" s="30" t="inlineStr">
        <is>
          <t>Nifty Bank</t>
        </is>
      </c>
      <c r="T9" s="31" t="n">
        <v>2.55</v>
      </c>
      <c r="U9" s="31" t="n">
        <v>10.17</v>
      </c>
      <c r="V9" s="31" t="n">
        <v>7.43</v>
      </c>
      <c r="W9" s="31" t="n">
        <v>15.48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less than 2.5x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Close to 52 week high or retracement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IF(B10=0,"",RANK(B10,$B$2:$B$77,0))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RANEHOLDIN</t>
        </is>
      </c>
      <c r="D10" s="30" t="inlineStr">
        <is>
          <t>Rane Holdings Limited</t>
        </is>
      </c>
      <c r="E10" s="30" t="inlineStr">
        <is>
          <t>financials</t>
        </is>
      </c>
      <c r="F10" s="30" t="inlineStr">
        <is>
          <t>finance &amp; investments</t>
        </is>
      </c>
      <c r="G10" s="30" t="inlineStr">
        <is>
          <t>smallcap</t>
        </is>
      </c>
      <c r="H10" s="31" t="n">
        <v>2361.98</v>
      </c>
      <c r="I10" s="31" t="n">
        <v>1688.3</v>
      </c>
      <c r="J10" s="31" t="n">
        <v>2.06</v>
      </c>
      <c r="K10" s="31" t="n">
        <v>126251</v>
      </c>
      <c r="L10" s="30" t="n">
        <v>63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71.20999999999999</v>
      </c>
      <c r="P10" s="31" t="n">
        <v>27.42</v>
      </c>
      <c r="Q10" s="31" t="n">
        <v>1256.74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2.55</v>
      </c>
      <c r="U10" s="31" t="n">
        <v>13.39</v>
      </c>
      <c r="V10" s="31" t="n">
        <v>10.58</v>
      </c>
      <c r="W10" s="31" t="n">
        <v>17.22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Close to 52 week high or retracement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IF(B11=0,"",RANK(B11,$B$2:$B$77,0))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SURYODAY</t>
        </is>
      </c>
      <c r="D11" s="30" t="inlineStr">
        <is>
          <t>Suryoday Small Finance Bank Ltd</t>
        </is>
      </c>
      <c r="E11" s="30" t="inlineStr">
        <is>
          <t>bank</t>
        </is>
      </c>
      <c r="F11" s="30" t="inlineStr">
        <is>
          <t>banks - private sector</t>
        </is>
      </c>
      <c r="G11" s="30" t="inlineStr">
        <is>
          <t>smallcap</t>
        </is>
      </c>
      <c r="H11" s="31" t="n">
        <v>1843.38</v>
      </c>
      <c r="I11" s="31" t="n">
        <v>175.09</v>
      </c>
      <c r="J11" s="31" t="n">
        <v>0.96</v>
      </c>
      <c r="K11" s="31" t="n">
        <v>928246</v>
      </c>
      <c r="L11" s="30" t="n">
        <v>54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64.53</v>
      </c>
      <c r="P11" s="31" t="n">
        <v>30.75</v>
      </c>
      <c r="Q11" s="31" t="n">
        <v>138.77</v>
      </c>
      <c r="R11" s="30" t="inlineStr">
        <is>
          <t>Near 52W High Breakout</t>
        </is>
      </c>
      <c r="S11" s="30" t="inlineStr">
        <is>
          <t>Nifty Bank</t>
        </is>
      </c>
      <c r="T11" s="31" t="n">
        <v>2.55</v>
      </c>
      <c r="U11" s="31" t="n">
        <v>25.02</v>
      </c>
      <c r="V11" s="31" t="n">
        <v>21.91</v>
      </c>
      <c r="W11" s="31" t="n">
        <v>14.27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less than 2.5x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Close to 52 week high or retracement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IF(B12=0,"",RANK(B12,$B$2:$B$77,0))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DHANBANK</t>
        </is>
      </c>
      <c r="D12" s="30" t="inlineStr">
        <is>
          <t>Dhanlaxmi Bank Limited</t>
        </is>
      </c>
      <c r="E12" s="30" t="inlineStr">
        <is>
          <t>bank</t>
        </is>
      </c>
      <c r="F12" s="30" t="inlineStr">
        <is>
          <t>banks - private sector</t>
        </is>
      </c>
      <c r="G12" s="30" t="inlineStr">
        <is>
          <t>smallcap</t>
        </is>
      </c>
      <c r="H12" s="31" t="n">
        <v>1344.34</v>
      </c>
      <c r="I12" s="31" t="n">
        <v>34.31</v>
      </c>
      <c r="J12" s="31" t="n">
        <v>0.73</v>
      </c>
      <c r="K12" s="31" t="n">
        <v>1926409</v>
      </c>
      <c r="L12" s="30" t="n">
        <v>61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70.88</v>
      </c>
      <c r="P12" s="31" t="n">
        <v>31.82</v>
      </c>
      <c r="Q12" s="31" t="n">
        <v>26.2</v>
      </c>
      <c r="R12" s="30" t="inlineStr">
        <is>
          <t>Near 52W High Breakout</t>
        </is>
      </c>
      <c r="S12" s="30" t="inlineStr">
        <is>
          <t>Nifty Bank</t>
        </is>
      </c>
      <c r="T12" s="31" t="n">
        <v>2.55</v>
      </c>
      <c r="U12" s="31" t="n">
        <v>19.51</v>
      </c>
      <c r="V12" s="31" t="n">
        <v>16.54</v>
      </c>
      <c r="W12" s="31" t="n">
        <v>16.64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less than 2.5x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Close to 52 week high or retracement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IF(B13=0,"",RANK(B13,$B$2:$B$77,0))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AUBANK</t>
        </is>
      </c>
      <c r="D13" s="30" t="inlineStr">
        <is>
          <t>AU Small Finance Bank Ltd</t>
        </is>
      </c>
      <c r="E13" s="30" t="inlineStr">
        <is>
          <t>bank</t>
        </is>
      </c>
      <c r="F13" s="30" t="inlineStr">
        <is>
          <t>banks - private sector</t>
        </is>
      </c>
      <c r="G13" s="30" t="inlineStr">
        <is>
          <t>largecap</t>
        </is>
      </c>
      <c r="H13" s="31" t="n">
        <v>76723.57000000001</v>
      </c>
      <c r="I13" s="31" t="n">
        <v>1033.05</v>
      </c>
      <c r="J13" s="31" t="n">
        <v>0.75</v>
      </c>
      <c r="K13" s="31" t="n">
        <v>1437168</v>
      </c>
      <c r="L13" s="30" t="n">
        <v>37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58.69</v>
      </c>
      <c r="P13" s="31" t="n">
        <v>21.83</v>
      </c>
      <c r="Q13" s="31" t="n">
        <v>884.04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2.55</v>
      </c>
      <c r="U13" s="31" t="n">
        <v>30.05</v>
      </c>
      <c r="V13" s="31" t="n">
        <v>26.82</v>
      </c>
      <c r="W13" s="31" t="n">
        <v>9.65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between 2.5x to 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20 to 40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Blue sky scenario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IF(B14=0,"",RANK(B14,$B$2:$B$77,0))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STARHEALTH</t>
        </is>
      </c>
      <c r="D14" s="30" t="inlineStr">
        <is>
          <t>Star Health &amp; Allied Insurance Company Ltd</t>
        </is>
      </c>
      <c r="E14" s="30" t="inlineStr">
        <is>
          <t>financials</t>
        </is>
      </c>
      <c r="F14" s="30" t="inlineStr">
        <is>
          <t>finance &amp; investments</t>
        </is>
      </c>
      <c r="G14" s="30" t="inlineStr">
        <is>
          <t>largecap</t>
        </is>
      </c>
      <c r="H14" s="31" t="n">
        <v>33283.04</v>
      </c>
      <c r="I14" s="31" t="n">
        <v>580.25</v>
      </c>
      <c r="J14" s="31" t="n">
        <v>2.58</v>
      </c>
      <c r="K14" s="31" t="n">
        <v>2848303</v>
      </c>
      <c r="L14" s="30" t="n">
        <v>49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71.41</v>
      </c>
      <c r="P14" s="31" t="n">
        <v>28.91</v>
      </c>
      <c r="Q14" s="31" t="n">
        <v>479.02</v>
      </c>
      <c r="R14" s="30" t="inlineStr">
        <is>
          <t>Volume Spike &amp; Near 52W High Breakout</t>
        </is>
      </c>
      <c r="S14" s="30" t="inlineStr">
        <is>
          <t>Nifty Bank</t>
        </is>
      </c>
      <c r="T14" s="31" t="n">
        <v>2.55</v>
      </c>
      <c r="U14" s="31" t="n">
        <v>36.29</v>
      </c>
      <c r="V14" s="31" t="n">
        <v>32.9</v>
      </c>
      <c r="W14" s="31" t="n">
        <v>12.6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between 2.5x to 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Close to 52 week high or retracement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IF(B15=0,"",RANK(B15,$B$2:$B$77,0))</f>
        <v/>
      </c>
      <c r="B15" s="31">
        <f>SUM(N15,Y15,AA15,AC15,AE15,AG15,AI15,AK15,AM15,AO15,AQ15,AS15,AU15,AW15,AY15,BA15,BC15,BE15,BG15,BI15,BK15,BM15,BO15,BQ15,BS15,BU15,BW15,BY15,CA15)</f>
        <v/>
      </c>
      <c r="C15" s="30" t="inlineStr">
        <is>
          <t>ABSLAMC</t>
        </is>
      </c>
      <c r="D15" s="30" t="inlineStr">
        <is>
          <t>Aditya Birla Sun Life AMC Ltd</t>
        </is>
      </c>
      <c r="E15" s="30" t="inlineStr">
        <is>
          <t>financials</t>
        </is>
      </c>
      <c r="F15" s="30" t="inlineStr">
        <is>
          <t>finance &amp; investments</t>
        </is>
      </c>
      <c r="G15" s="30" t="inlineStr">
        <is>
          <t>largecap</t>
        </is>
      </c>
      <c r="H15" s="31" t="n">
        <v>33706.57</v>
      </c>
      <c r="I15" s="31" t="n">
        <v>1180.6</v>
      </c>
      <c r="J15" s="31" t="n">
        <v>1.16</v>
      </c>
      <c r="K15" s="31" t="n">
        <v>443139</v>
      </c>
      <c r="L15" s="30" t="n">
        <v>59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71.23</v>
      </c>
      <c r="P15" s="31" t="n">
        <v>42.16</v>
      </c>
      <c r="Q15" s="31" t="n">
        <v>945.7</v>
      </c>
      <c r="R15" s="30" t="inlineStr">
        <is>
          <t>Near 52W High Breakout</t>
        </is>
      </c>
      <c r="S15" s="30" t="inlineStr">
        <is>
          <t>Nifty Bank</t>
        </is>
      </c>
      <c r="T15" s="31" t="n">
        <v>2.55</v>
      </c>
      <c r="U15" s="31" t="n">
        <v>60.47</v>
      </c>
      <c r="V15" s="31" t="n">
        <v>56.48</v>
      </c>
      <c r="W15" s="31" t="n">
        <v>15.69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above 5x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Above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Blue sky scenario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IF(B16=0,"",RANK(B16,$B$2:$B$77,0))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FEDERALBNK</t>
        </is>
      </c>
      <c r="D16" s="30" t="inlineStr">
        <is>
          <t>The Federal Bank  Limited</t>
        </is>
      </c>
      <c r="E16" s="30" t="inlineStr">
        <is>
          <t>bank</t>
        </is>
      </c>
      <c r="F16" s="30" t="inlineStr">
        <is>
          <t>banks - private sector</t>
        </is>
      </c>
      <c r="G16" s="30" t="inlineStr">
        <is>
          <t>largecap</t>
        </is>
      </c>
      <c r="H16" s="31" t="n">
        <v>78967.92999999999</v>
      </c>
      <c r="I16" s="31" t="n">
        <v>323.95</v>
      </c>
      <c r="J16" s="31" t="n">
        <v>1.09</v>
      </c>
      <c r="K16" s="31" t="n">
        <v>7763307</v>
      </c>
      <c r="L16" s="30" t="n">
        <v>57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70.09</v>
      </c>
      <c r="P16" s="31" t="n">
        <v>18.99</v>
      </c>
      <c r="Q16" s="31" t="n">
        <v>277.52</v>
      </c>
      <c r="R16" s="30" t="inlineStr">
        <is>
          <t>Near 52W High Breakout</t>
        </is>
      </c>
      <c r="S16" s="30" t="inlineStr">
        <is>
          <t>Nifty Bank</t>
        </is>
      </c>
      <c r="T16" s="31" t="n">
        <v>2.55</v>
      </c>
      <c r="U16" s="31" t="n">
        <v>57.06</v>
      </c>
      <c r="V16" s="31" t="n">
        <v>53.16</v>
      </c>
      <c r="W16" s="31" t="n">
        <v>14.72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less than 2.5x and Growth more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0 to 20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Blue sky scenario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IF(B17=0,"",RANK(B17,$B$2:$B$77,0))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J&amp;KBANK</t>
        </is>
      </c>
      <c r="D17" s="30" t="inlineStr">
        <is>
          <t>The Jammu &amp; Kashmir Bank Limited</t>
        </is>
      </c>
      <c r="E17" s="30" t="inlineStr">
        <is>
          <t>bank</t>
        </is>
      </c>
      <c r="F17" s="30" t="inlineStr">
        <is>
          <t>banks - private sector</t>
        </is>
      </c>
      <c r="G17" s="30" t="inlineStr">
        <is>
          <t>midcap</t>
        </is>
      </c>
      <c r="H17" s="31" t="n">
        <v>17938.26</v>
      </c>
      <c r="I17" s="31" t="n">
        <v>163.56</v>
      </c>
      <c r="J17" s="31" t="n">
        <v>0.41</v>
      </c>
      <c r="K17" s="31" t="n">
        <v>3046354</v>
      </c>
      <c r="L17" s="30" t="n">
        <v>66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75.55</v>
      </c>
      <c r="P17" s="31" t="n">
        <v>50.58</v>
      </c>
      <c r="Q17" s="31" t="n">
        <v>132.16</v>
      </c>
      <c r="R17" s="30" t="inlineStr">
        <is>
          <t>Near 52W High Breakout</t>
        </is>
      </c>
      <c r="S17" s="30" t="inlineStr">
        <is>
          <t>Nifty Bank</t>
        </is>
      </c>
      <c r="T17" s="31" t="n">
        <v>2.55</v>
      </c>
      <c r="U17" s="31" t="n">
        <v>60</v>
      </c>
      <c r="V17" s="31" t="n">
        <v>56.03</v>
      </c>
      <c r="W17" s="31" t="n">
        <v>18.51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less than 2.5x and Growth less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Above 40</t>
        </is>
      </c>
      <c r="BM17" s="30">
        <f>IF(BL17="Above 40",20,IF(BL17="20 to 40",10,IF(BL17="0 to 20",-5,0)))</f>
        <v/>
      </c>
      <c r="BN17" s="30" t="inlineStr">
        <is>
          <t>Above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Blue sky scenario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IF(B18=0,"",RANK(B18,$B$2:$B$77,0))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NIVABUPA</t>
        </is>
      </c>
      <c r="D18" s="30" t="inlineStr">
        <is>
          <t>Niva Bupa Health Insurance Company Ltd</t>
        </is>
      </c>
      <c r="E18" s="30" t="inlineStr">
        <is>
          <t>financials</t>
        </is>
      </c>
      <c r="F18" s="30" t="inlineStr">
        <is>
          <t>finance &amp; investments</t>
        </is>
      </c>
      <c r="G18" s="30" t="inlineStr">
        <is>
          <t>midcap</t>
        </is>
      </c>
      <c r="H18" s="31" t="n">
        <v>16089.5</v>
      </c>
      <c r="I18" s="31" t="n">
        <v>86.87</v>
      </c>
      <c r="J18" s="31" t="n">
        <v>-0.25</v>
      </c>
      <c r="K18" s="31" t="n">
        <v>7306794</v>
      </c>
      <c r="L18" s="30" t="n">
        <v>24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63.57</v>
      </c>
      <c r="P18" s="31" t="n">
        <v>24.61</v>
      </c>
      <c r="Q18" s="31" t="n">
        <v>71.28</v>
      </c>
      <c r="R18" s="30" t="inlineStr">
        <is>
          <t>Volume Spike &amp; Near 52W High Breakout</t>
        </is>
      </c>
      <c r="S18" s="30" t="inlineStr">
        <is>
          <t>Nifty Bank</t>
        </is>
      </c>
      <c r="T18" s="31" t="n">
        <v>2.55</v>
      </c>
      <c r="U18" s="31" t="n">
        <v>7.05</v>
      </c>
      <c r="V18" s="31" t="n">
        <v>4.39</v>
      </c>
      <c r="W18" s="31" t="n">
        <v>6.82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between 2.5x to 5x and Growth more than 20%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20 to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Close to 52 week high or retracement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IF(B19=0,"",RANK(B19,$B$2:$B$77,0))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YESBANK</t>
        </is>
      </c>
      <c r="D19" s="30" t="inlineStr">
        <is>
          <t>Yes Bank Limited</t>
        </is>
      </c>
      <c r="E19" s="30" t="inlineStr">
        <is>
          <t>bank</t>
        </is>
      </c>
      <c r="F19" s="30" t="inlineStr">
        <is>
          <t>banks - private sector</t>
        </is>
      </c>
      <c r="G19" s="30" t="inlineStr">
        <is>
          <t>largecap</t>
        </is>
      </c>
      <c r="H19" s="31" t="n">
        <v>79952.27</v>
      </c>
      <c r="I19" s="31" t="n">
        <v>25.41</v>
      </c>
      <c r="J19" s="31" t="n">
        <v>-0.27</v>
      </c>
      <c r="K19" s="31" t="n">
        <v>132491220</v>
      </c>
      <c r="L19" s="30" t="n">
        <v>53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68.56</v>
      </c>
      <c r="P19" s="31" t="n">
        <v>24.57</v>
      </c>
      <c r="Q19" s="31" t="n">
        <v>21.07</v>
      </c>
      <c r="R19" s="30" t="inlineStr">
        <is>
          <t>Volume Spike &amp; Near 52W High Breakout</t>
        </is>
      </c>
      <c r="S19" s="30" t="inlineStr">
        <is>
          <t>Nifty Bank</t>
        </is>
      </c>
      <c r="T19" s="31" t="n">
        <v>2.55</v>
      </c>
      <c r="U19" s="31" t="n">
        <v>28.79</v>
      </c>
      <c r="V19" s="31" t="n">
        <v>25.59</v>
      </c>
      <c r="W19" s="31" t="n">
        <v>13.79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less than 2.5x and Growth less than 20%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20 to 40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Blue sky scenario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IF(B20=0,"",RANK(B20,$B$2:$B$77,0))</f>
        <v/>
      </c>
      <c r="B20" s="31">
        <f>SUM(N20,Y20,AA20,AC20,AE20,AG20,AI20,AK20,AM20,AO20,AQ20,AS20,AU20,AW20,AY20,BA20,BC20,BE20,BG20,BI20,BK20,BM20,BO20,BQ20,BS20,BU20,BW20,BY20,CA20)</f>
        <v/>
      </c>
      <c r="C20" s="30" t="inlineStr">
        <is>
          <t>DCBBANK</t>
        </is>
      </c>
      <c r="D20" s="30" t="inlineStr">
        <is>
          <t>Dcb Bank Limited</t>
        </is>
      </c>
      <c r="E20" s="30" t="inlineStr">
        <is>
          <t>bank</t>
        </is>
      </c>
      <c r="F20" s="30" t="inlineStr">
        <is>
          <t>banks - private sector</t>
        </is>
      </c>
      <c r="G20" s="30" t="inlineStr">
        <is>
          <t>midcap</t>
        </is>
      </c>
      <c r="H20" s="31" t="n">
        <v>5986.41</v>
      </c>
      <c r="I20" s="31" t="n">
        <v>184.59</v>
      </c>
      <c r="J20" s="31" t="n">
        <v>-0.74</v>
      </c>
      <c r="K20" s="31" t="n">
        <v>729086</v>
      </c>
      <c r="L20" s="30" t="n">
        <v>32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57.51</v>
      </c>
      <c r="P20" s="31" t="n">
        <v>20.01</v>
      </c>
      <c r="Q20" s="31" t="n">
        <v>152.51</v>
      </c>
      <c r="R20" s="30" t="inlineStr">
        <is>
          <t>Near 52W High Breakout</t>
        </is>
      </c>
      <c r="S20" s="30" t="inlineStr">
        <is>
          <t>Nifty Bank</t>
        </is>
      </c>
      <c r="T20" s="31" t="n">
        <v>2.55</v>
      </c>
      <c r="U20" s="31" t="n">
        <v>31.7</v>
      </c>
      <c r="V20" s="31" t="n">
        <v>28.43</v>
      </c>
      <c r="W20" s="31" t="n">
        <v>8.31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less than 2.5x and Growth less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20 to 40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2</t>
        </is>
      </c>
      <c r="BQ20" s="30">
        <f>IF(BP20="Stage 2",20,IF(BP20="Stage 1",0,IF(BP20="Stage 3",5,IF(BP20="Stage 4",-5,0))))</f>
        <v/>
      </c>
      <c r="BR20" s="30" t="inlineStr">
        <is>
          <t>Positive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Blue sky scenario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IF(B21=0,"",RANK(B21,$B$2:$B$77,0))</f>
        <v/>
      </c>
      <c r="B21" s="31">
        <f>SUM(N21,Y21,AA21,AC21,AE21,AG21,AI21,AK21,AM21,AO21,AQ21,AS21,AU21,AW21,AY21,BA21,BC21,BE21,BG21,BI21,BK21,BM21,BO21,BQ21,BS21,BU21,BW21,BY21,CA21)</f>
        <v/>
      </c>
      <c r="C21" s="32" t="inlineStr">
        <is>
          <t>GEECEE</t>
        </is>
      </c>
      <c r="D21" s="32" t="inlineStr">
        <is>
          <t>Geecee Ventures Limited</t>
        </is>
      </c>
      <c r="E21" s="30" t="inlineStr">
        <is>
          <t>financials</t>
        </is>
      </c>
      <c r="F21" s="30" t="inlineStr">
        <is>
          <t>finance &amp; investments</t>
        </is>
      </c>
      <c r="G21" s="30" t="inlineStr">
        <is>
          <t>smallcap</t>
        </is>
      </c>
      <c r="H21" s="31" t="n">
        <v>732.64</v>
      </c>
      <c r="I21" s="31" t="n">
        <v>353.75</v>
      </c>
      <c r="J21" s="31" t="n">
        <v>0.97</v>
      </c>
      <c r="K21" s="31" t="n">
        <v>6777</v>
      </c>
      <c r="L21" s="30" t="n">
        <v>24</v>
      </c>
      <c r="M21" s="30" t="inlineStr">
        <is>
          <t>Underperforming</t>
        </is>
      </c>
      <c r="N21" s="31">
        <f>IF(M21="Underperforming",-5,IF(L21&gt;=95,15,IF(L21&gt;=90,10,IF(L21&gt;=80,5,0))))</f>
        <v/>
      </c>
      <c r="O21" s="31" t="n">
        <v>61.15</v>
      </c>
      <c r="P21" s="31" t="n">
        <v>24.53</v>
      </c>
      <c r="Q21" s="31" t="n">
        <v>263.96</v>
      </c>
      <c r="R21" s="30" t="inlineStr">
        <is>
          <t>Earnings / Momentum Support</t>
        </is>
      </c>
      <c r="S21" s="30" t="inlineStr">
        <is>
          <t>Nifty Bank</t>
        </is>
      </c>
      <c r="T21" s="31" t="n">
        <v>2.55</v>
      </c>
      <c r="U21" s="31" t="n">
        <v>-7.76</v>
      </c>
      <c r="V21" s="31" t="n">
        <v>-10.05</v>
      </c>
      <c r="W21" s="31" t="n">
        <v>6.92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No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less than 2.5x and Growth more than 20%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20 to 40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Positive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Close to 52 week high or retracement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IF(B22=0,"",RANK(B22,$B$2:$B$77,0))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PAISALO</t>
        </is>
      </c>
      <c r="D22" s="30" t="inlineStr">
        <is>
          <t>Paisalo Digital Ltd</t>
        </is>
      </c>
      <c r="E22" s="30" t="inlineStr">
        <is>
          <t>financials</t>
        </is>
      </c>
      <c r="F22" s="30" t="inlineStr">
        <is>
          <t>finance &amp; investments</t>
        </is>
      </c>
      <c r="G22" s="30" t="inlineStr">
        <is>
          <t>midcap</t>
        </is>
      </c>
      <c r="H22" s="31" t="n">
        <v>5321.61</v>
      </c>
      <c r="I22" s="31" t="n">
        <v>58.81</v>
      </c>
      <c r="J22" s="31" t="n">
        <v>0.51</v>
      </c>
      <c r="K22" s="31" t="n">
        <v>6346774</v>
      </c>
      <c r="L22" s="30" t="n">
        <v>87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76.09</v>
      </c>
      <c r="P22" s="31" t="n">
        <v>35.43</v>
      </c>
      <c r="Q22" s="31" t="n">
        <v>46.84</v>
      </c>
      <c r="R22" s="30" t="inlineStr">
        <is>
          <t>Near 52W High Breakout</t>
        </is>
      </c>
      <c r="S22" s="30" t="inlineStr">
        <is>
          <t>Nifty Bank</t>
        </is>
      </c>
      <c r="T22" s="31" t="n">
        <v>2.55</v>
      </c>
      <c r="U22" s="31" t="n">
        <v>95.81999999999999</v>
      </c>
      <c r="V22" s="31" t="n">
        <v>90.95</v>
      </c>
      <c r="W22" s="31" t="n">
        <v>30.99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between 2.5x to 5x and Growth more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20 to 40</t>
        </is>
      </c>
      <c r="BM22" s="30">
        <f>IF(BL22="Above 40",20,IF(BL22="20 to 40",10,IF(BL22="0 to 20",-5,0)))</f>
        <v/>
      </c>
      <c r="BN22" s="30" t="inlineStr">
        <is>
          <t>Above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Positive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Close to 52 week high or retracement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IF(B23=0,"",RANK(B23,$B$2:$B$77,0))</f>
        <v/>
      </c>
      <c r="B23" s="31">
        <f>SUM(N23,Y23,AA23,AC23,AE23,AG23,AI23,AK23,AM23,AO23,AQ23,AS23,AU23,AW23,AY23,BA23,BC23,BE23,BG23,BI23,BK23,BM23,BO23,BQ23,BS23,BU23,BW23,BY23,CA23)</f>
        <v/>
      </c>
      <c r="C23" s="30" t="inlineStr">
        <is>
          <t>HEALTHX</t>
        </is>
      </c>
      <c r="D23" s="30" t="inlineStr">
        <is>
          <t>Health X Platform Ltd</t>
        </is>
      </c>
      <c r="E23" s="30" t="inlineStr">
        <is>
          <t>financials</t>
        </is>
      </c>
      <c r="F23" s="30" t="inlineStr">
        <is>
          <t>finance &amp; investments</t>
        </is>
      </c>
      <c r="G23" s="30" t="inlineStr">
        <is>
          <t>smallcap</t>
        </is>
      </c>
      <c r="H23" s="31" t="n">
        <v>1010.46</v>
      </c>
      <c r="I23" s="31" t="n">
        <v>316.2</v>
      </c>
      <c r="J23" s="31" t="n">
        <v>-0.46</v>
      </c>
      <c r="K23" s="31" t="n">
        <v>2653</v>
      </c>
      <c r="L23" s="30" t="n">
        <v>6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58.51</v>
      </c>
      <c r="P23" s="31" t="n">
        <v>18.13</v>
      </c>
      <c r="Q23" s="31" t="n">
        <v>235.09</v>
      </c>
      <c r="R23" s="30" t="inlineStr">
        <is>
          <t>Near 52W High Breakout</t>
        </is>
      </c>
      <c r="S23" s="30" t="inlineStr">
        <is>
          <t>Nifty Bank</t>
        </is>
      </c>
      <c r="T23" s="31" t="n">
        <v>2.55</v>
      </c>
      <c r="U23" s="31" t="n">
        <v>4.75</v>
      </c>
      <c r="V23" s="31" t="n">
        <v>2.15</v>
      </c>
      <c r="W23" s="31" t="n">
        <v>3.04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less than 2.5x and Growth more than 20%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0 to 20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2</t>
        </is>
      </c>
      <c r="BQ23" s="30">
        <f>IF(BP23="Stage 2",20,IF(BP23="Stage 1",0,IF(BP23="Stage 3",5,IF(BP23="Stage 4",-5,0))))</f>
        <v/>
      </c>
      <c r="BR23" s="30" t="inlineStr">
        <is>
          <t>Positive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Close to 52 week high or retracement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IF(B24=0,"",RANK(B24,$B$2:$B$77,0))</f>
        <v/>
      </c>
      <c r="B24" s="31">
        <f>SUM(N24,Y24,AA24,AC24,AE24,AG24,AI24,AK24,AM24,AO24,AQ24,AS24,AU24,AW24,AY24,BA24,BC24,BE24,BG24,BI24,BK24,BM24,BO24,BQ24,BS24,BU24,BW24,BY24,CA24)</f>
        <v/>
      </c>
      <c r="C24" s="30" t="inlineStr">
        <is>
          <t>MUTHOOTMF</t>
        </is>
      </c>
      <c r="D24" s="30" t="inlineStr">
        <is>
          <t>Muthoot Microfin Ltd</t>
        </is>
      </c>
      <c r="E24" s="30" t="inlineStr">
        <is>
          <t>financials</t>
        </is>
      </c>
      <c r="F24" s="30" t="inlineStr">
        <is>
          <t>finance &amp; investments</t>
        </is>
      </c>
      <c r="G24" s="30" t="inlineStr">
        <is>
          <t>smallcap</t>
        </is>
      </c>
      <c r="H24" s="31" t="n">
        <v>3537.37</v>
      </c>
      <c r="I24" s="31" t="n">
        <v>203.77</v>
      </c>
      <c r="J24" s="31" t="n">
        <v>-1.79</v>
      </c>
      <c r="K24" s="31" t="n">
        <v>406619</v>
      </c>
      <c r="L24" s="30" t="n">
        <v>68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63.21</v>
      </c>
      <c r="P24" s="31" t="n">
        <v>24.85</v>
      </c>
      <c r="Q24" s="31" t="n">
        <v>152.44</v>
      </c>
      <c r="R24" s="30" t="inlineStr">
        <is>
          <t>Near 52W High Breakout</t>
        </is>
      </c>
      <c r="S24" s="30" t="inlineStr">
        <is>
          <t>Nifty Bank</t>
        </is>
      </c>
      <c r="T24" s="31" t="n">
        <v>2.55</v>
      </c>
      <c r="U24" s="31" t="n">
        <v>61.62</v>
      </c>
      <c r="V24" s="31" t="n">
        <v>57.61</v>
      </c>
      <c r="W24" s="31" t="n">
        <v>18.97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less than 2.5x and Growth less than 20%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20 to 40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2</t>
        </is>
      </c>
      <c r="BQ24" s="30">
        <f>IF(BP24="Stage 2",20,IF(BP24="Stage 1",0,IF(BP24="Stage 3",5,IF(BP24="Stage 4",-5,0))))</f>
        <v/>
      </c>
      <c r="BR24" s="30" t="inlineStr">
        <is>
          <t>Positive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Close to 52 week high or retracement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IF(B25=0,"",RANK(B25,$B$2:$B$77,0))</f>
        <v/>
      </c>
      <c r="B25" s="31">
        <f>SUM(N25,Y25,AA25,AC25,AE25,AG25,AI25,AK25,AM25,AO25,AQ25,AS25,AU25,AW25,AY25,BA25,BC25,BE25,BG25,BI25,BK25,BM25,BO25,BQ25,BS25,BU25,BW25,BY25,CA25)</f>
        <v/>
      </c>
      <c r="C25" s="30" t="inlineStr">
        <is>
          <t>IFCI</t>
        </is>
      </c>
      <c r="D25" s="30" t="inlineStr">
        <is>
          <t>Ifci Limited</t>
        </is>
      </c>
      <c r="E25" s="30" t="inlineStr">
        <is>
          <t>financials</t>
        </is>
      </c>
      <c r="F25" s="30" t="inlineStr">
        <is>
          <t>finance - term-lending institutions</t>
        </is>
      </c>
      <c r="G25" s="30" t="inlineStr">
        <is>
          <t>largecap</t>
        </is>
      </c>
      <c r="H25" s="31" t="n">
        <v>22176.9</v>
      </c>
      <c r="I25" s="31" t="n">
        <v>85.73</v>
      </c>
      <c r="J25" s="31" t="n">
        <v>4.16</v>
      </c>
      <c r="K25" s="31" t="n">
        <v>205777880</v>
      </c>
      <c r="L25" s="30" t="n">
        <v>75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73.41</v>
      </c>
      <c r="P25" s="31" t="n">
        <v>27</v>
      </c>
      <c r="Q25" s="31" t="n">
        <v>61.85</v>
      </c>
      <c r="R25" s="30" t="inlineStr">
        <is>
          <t>Volume Spike &amp; Near 52W High Breakout</t>
        </is>
      </c>
      <c r="S25" s="30" t="inlineStr">
        <is>
          <t>Nifty Bank</t>
        </is>
      </c>
      <c r="T25" s="31" t="n">
        <v>2.55</v>
      </c>
      <c r="U25" s="31" t="n">
        <v>42.98</v>
      </c>
      <c r="V25" s="31" t="n">
        <v>39.43</v>
      </c>
      <c r="W25" s="31" t="n">
        <v>22.02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between 2.5x to 5x and Growth less than 20%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20 to 40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2</t>
        </is>
      </c>
      <c r="BQ25" s="30">
        <f>IF(BP25="Stage 2",20,IF(BP25="Stage 1",0,IF(BP25="Stage 3",5,IF(BP25="Stage 4",-5,0))))</f>
        <v/>
      </c>
      <c r="BR25" s="30" t="inlineStr">
        <is>
          <t>Positive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Blue sky scenario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IF(B26=0,"",RANK(B26,$B$2:$B$77,0))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NAM-INDIA</t>
        </is>
      </c>
      <c r="D26" s="30" t="inlineStr">
        <is>
          <t>Nippon Life India Asset Management Ltd</t>
        </is>
      </c>
      <c r="E26" s="30" t="inlineStr">
        <is>
          <t>financials</t>
        </is>
      </c>
      <c r="F26" s="30" t="inlineStr">
        <is>
          <t>finance &amp; investments</t>
        </is>
      </c>
      <c r="G26" s="30" t="inlineStr">
        <is>
          <t>largecap</t>
        </is>
      </c>
      <c r="H26" s="31" t="n">
        <v>74493.66</v>
      </c>
      <c r="I26" s="31" t="n">
        <v>1186.9</v>
      </c>
      <c r="J26" s="31" t="n">
        <v>1.67</v>
      </c>
      <c r="K26" s="31" t="n">
        <v>1616527</v>
      </c>
      <c r="L26" s="30" t="n">
        <v>69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71.22</v>
      </c>
      <c r="P26" s="31" t="n">
        <v>30.18</v>
      </c>
      <c r="Q26" s="31" t="n">
        <v>941.05</v>
      </c>
      <c r="R26" s="30" t="inlineStr">
        <is>
          <t>Near 52W High Breakout</t>
        </is>
      </c>
      <c r="S26" s="30" t="inlineStr">
        <is>
          <t>Nifty Bank</t>
        </is>
      </c>
      <c r="T26" s="31" t="n">
        <v>2.55</v>
      </c>
      <c r="U26" s="31" t="n">
        <v>59.89</v>
      </c>
      <c r="V26" s="31" t="n">
        <v>55.91</v>
      </c>
      <c r="W26" s="31" t="n">
        <v>19.24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above 5x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20 to 40</t>
        </is>
      </c>
      <c r="BM26" s="30">
        <f>IF(BL26="Above 40",20,IF(BL26="20 to 40",10,IF(BL26="0 to 20",-5,0)))</f>
        <v/>
      </c>
      <c r="BN26" s="30" t="inlineStr">
        <is>
          <t>Between 50 to 75</t>
        </is>
      </c>
      <c r="BO26" s="30">
        <f>IF(BN26="Between 50 to 75",10,IF(BN26="Above 75",0,0))</f>
        <v/>
      </c>
      <c r="BP26" s="30" t="inlineStr">
        <is>
          <t>Stage 2</t>
        </is>
      </c>
      <c r="BQ26" s="30">
        <f>IF(BP26="Stage 2",20,IF(BP26="Stage 1",0,IF(BP26="Stage 3",5,IF(BP26="Stage 4",-5,0))))</f>
        <v/>
      </c>
      <c r="BR26" s="30" t="inlineStr">
        <is>
          <t>Positive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Blue sky scenario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IF(B27=0,"",RANK(B27,$B$2:$B$77,0))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ABCAPITAL</t>
        </is>
      </c>
      <c r="D27" s="30" t="inlineStr">
        <is>
          <t>Aditya Birla Capital Ltd</t>
        </is>
      </c>
      <c r="E27" s="30" t="inlineStr">
        <is>
          <t>financials</t>
        </is>
      </c>
      <c r="F27" s="30" t="inlineStr">
        <is>
          <t>finance &amp; investments</t>
        </is>
      </c>
      <c r="G27" s="30" t="inlineStr">
        <is>
          <t>largecap</t>
        </is>
      </c>
      <c r="H27" s="31" t="n">
        <v>97082.60000000001</v>
      </c>
      <c r="I27" s="31" t="n">
        <v>375.9</v>
      </c>
      <c r="J27" s="31" t="n">
        <v>1.43</v>
      </c>
      <c r="K27" s="31" t="n">
        <v>11199442</v>
      </c>
      <c r="L27" s="30" t="n">
        <v>48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64.87</v>
      </c>
      <c r="P27" s="31" t="n">
        <v>17.95</v>
      </c>
      <c r="Q27" s="31" t="n">
        <v>306.98</v>
      </c>
      <c r="R27" s="30" t="inlineStr">
        <is>
          <t>Near 52W High Breakout</t>
        </is>
      </c>
      <c r="S27" s="30" t="inlineStr">
        <is>
          <t>Nifty Bank</t>
        </is>
      </c>
      <c r="T27" s="31" t="n">
        <v>2.55</v>
      </c>
      <c r="U27" s="31" t="n">
        <v>44.42</v>
      </c>
      <c r="V27" s="31" t="n">
        <v>40.83</v>
      </c>
      <c r="W27" s="31" t="n">
        <v>12.5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between 2.5x to 5x and Growth more than 20%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0 to 20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2</t>
        </is>
      </c>
      <c r="BQ27" s="30">
        <f>IF(BP27="Stage 2",20,IF(BP27="Stage 1",0,IF(BP27="Stage 3",5,IF(BP27="Stage 4",-5,0))))</f>
        <v/>
      </c>
      <c r="BR27" s="30" t="inlineStr">
        <is>
          <t>Positive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Blue sky scenario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IF(B28=0,"",RANK(B28,$B$2:$B$77,0))</f>
        <v/>
      </c>
      <c r="B28" s="31">
        <f>SUM(N28,Y28,AA28,AC28,AE28,AG28,AI28,AK28,AM28,AO28,AQ28,AS28,AU28,AW28,AY28,BA28,BC28,BE28,BG28,BI28,BK28,BM28,BO28,BQ28,BS28,BU28,BW28,BY28,CA28)</f>
        <v/>
      </c>
      <c r="C28" s="30" t="inlineStr">
        <is>
          <t>MOTILALOFS</t>
        </is>
      </c>
      <c r="D28" s="30" t="inlineStr">
        <is>
          <t>Motilal Oswal Financial Services Limited</t>
        </is>
      </c>
      <c r="E28" s="30" t="inlineStr">
        <is>
          <t>financials</t>
        </is>
      </c>
      <c r="F28" s="30" t="inlineStr">
        <is>
          <t>finance &amp; investments</t>
        </is>
      </c>
      <c r="G28" s="30" t="inlineStr">
        <is>
          <t>largecap</t>
        </is>
      </c>
      <c r="H28" s="31" t="n">
        <v>57065.36</v>
      </c>
      <c r="I28" s="31" t="n">
        <v>953.45</v>
      </c>
      <c r="J28" s="31" t="n">
        <v>0.5600000000000001</v>
      </c>
      <c r="K28" s="31" t="n">
        <v>836211</v>
      </c>
      <c r="L28" s="30" t="n">
        <v>54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63.67</v>
      </c>
      <c r="P28" s="31" t="n">
        <v>22.29</v>
      </c>
      <c r="Q28" s="31" t="n">
        <v>756.28</v>
      </c>
      <c r="R28" s="30" t="inlineStr">
        <is>
          <t>Earnings / Momentum Support</t>
        </is>
      </c>
      <c r="S28" s="30" t="inlineStr">
        <is>
          <t>Nifty Bank</t>
        </is>
      </c>
      <c r="T28" s="31" t="n">
        <v>2.55</v>
      </c>
      <c r="U28" s="31" t="n">
        <v>16.42</v>
      </c>
      <c r="V28" s="31" t="n">
        <v>13.53</v>
      </c>
      <c r="W28" s="31" t="n">
        <v>14.19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No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between 2.5x to 5x and Growth more than 20%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20 to 40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2</t>
        </is>
      </c>
      <c r="BQ28" s="30">
        <f>IF(BP28="Stage 2",20,IF(BP28="Stage 1",0,IF(BP28="Stage 3",5,IF(BP28="Stage 4",-5,0))))</f>
        <v/>
      </c>
      <c r="BR28" s="30" t="inlineStr">
        <is>
          <t>Positive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Close to 52 week high or retracement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IF(B29=0,"",RANK(B29,$B$2:$B$77,0))</f>
        <v/>
      </c>
      <c r="B29" s="31">
        <f>SUM(N29,Y29,AA29,AC29,AE29,AG29,AI29,AK29,AM29,AO29,AQ29,AS29,AU29,AW29,AY29,BA29,BC29,BE29,BG29,BI29,BK29,BM29,BO29,BQ29,BS29,BU29,BW29,BY29,CA29)</f>
        <v/>
      </c>
      <c r="C29" s="30" t="inlineStr">
        <is>
          <t>CGCL</t>
        </is>
      </c>
      <c r="D29" s="30" t="inlineStr">
        <is>
          <t>Capri Global Capital Limited</t>
        </is>
      </c>
      <c r="E29" s="30" t="inlineStr">
        <is>
          <t>financials</t>
        </is>
      </c>
      <c r="F29" s="30" t="inlineStr">
        <is>
          <t>finance &amp; investments</t>
        </is>
      </c>
      <c r="G29" s="30" t="inlineStr">
        <is>
          <t>largecap</t>
        </is>
      </c>
      <c r="H29" s="31" t="n">
        <v>21245.32</v>
      </c>
      <c r="I29" s="31" t="n">
        <v>220.96</v>
      </c>
      <c r="J29" s="31" t="n">
        <v>0.07000000000000001</v>
      </c>
      <c r="K29" s="31" t="n">
        <v>5205174</v>
      </c>
      <c r="L29" s="30" t="n">
        <v>48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70.44</v>
      </c>
      <c r="P29" s="31" t="n">
        <v>19.4</v>
      </c>
      <c r="Q29" s="31" t="n">
        <v>180.07</v>
      </c>
      <c r="R29" s="30" t="inlineStr">
        <is>
          <t>Volume Spike &amp; Near 52W High Breakout</t>
        </is>
      </c>
      <c r="S29" s="30" t="inlineStr">
        <is>
          <t>Nifty Bank</t>
        </is>
      </c>
      <c r="T29" s="31" t="n">
        <v>2.55</v>
      </c>
      <c r="U29" s="31" t="n">
        <v>32.03</v>
      </c>
      <c r="V29" s="31" t="n">
        <v>28.75</v>
      </c>
      <c r="W29" s="31" t="n">
        <v>12.53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between 2.5x to 5x and Growth more than 20%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0 to 20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2</t>
        </is>
      </c>
      <c r="BQ29" s="30">
        <f>IF(BP29="Stage 2",20,IF(BP29="Stage 1",0,IF(BP29="Stage 3",5,IF(BP29="Stage 4",-5,0))))</f>
        <v/>
      </c>
      <c r="BR29" s="30" t="inlineStr">
        <is>
          <t>Positive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Blue sky scenario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IF(B30=0,"",RANK(B30,$B$2:$B$77,0))</f>
        <v/>
      </c>
      <c r="B30" s="31">
        <f>SUM(N30,Y30,AA30,AC30,AE30,AG30,AI30,AK30,AM30,AO30,AQ30,AS30,AU30,AW30,AY30,BA30,BC30,BE30,BG30,BI30,BK30,BM30,BO30,BQ30,BS30,BU30,BW30,BY30,CA30)</f>
        <v/>
      </c>
      <c r="C30" s="30" t="inlineStr">
        <is>
          <t>CREDITACC</t>
        </is>
      </c>
      <c r="D30" s="30" t="inlineStr">
        <is>
          <t>CreditAccess Grameen Ltd</t>
        </is>
      </c>
      <c r="E30" s="30" t="inlineStr">
        <is>
          <t>financials</t>
        </is>
      </c>
      <c r="F30" s="30" t="inlineStr">
        <is>
          <t>finance &amp; investments</t>
        </is>
      </c>
      <c r="G30" s="30" t="inlineStr">
        <is>
          <t>largecap</t>
        </is>
      </c>
      <c r="H30" s="31" t="n">
        <v>22741.43</v>
      </c>
      <c r="I30" s="31" t="n">
        <v>1406.4</v>
      </c>
      <c r="J30" s="31" t="n">
        <v>-0.93</v>
      </c>
      <c r="K30" s="31" t="n">
        <v>118093</v>
      </c>
      <c r="L30" s="30" t="n">
        <v>40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58.08</v>
      </c>
      <c r="P30" s="31" t="n">
        <v>28.44</v>
      </c>
      <c r="Q30" s="31" t="n">
        <v>1171.91</v>
      </c>
      <c r="R30" s="30" t="inlineStr">
        <is>
          <t>Earnings / Momentum Support</t>
        </is>
      </c>
      <c r="S30" s="30" t="inlineStr">
        <is>
          <t>Nifty Bank</t>
        </is>
      </c>
      <c r="T30" s="31" t="n">
        <v>2.55</v>
      </c>
      <c r="U30" s="31" t="n">
        <v>26.33</v>
      </c>
      <c r="V30" s="31" t="n">
        <v>23.19</v>
      </c>
      <c r="W30" s="31" t="n">
        <v>9.970000000000001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No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between 2.5x to 5x and Growth more than 20%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20 to 40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2</t>
        </is>
      </c>
      <c r="BQ30" s="30">
        <f>IF(BP30="Stage 2",20,IF(BP30="Stage 1",0,IF(BP30="Stage 3",5,IF(BP30="Stage 4",-5,0))))</f>
        <v/>
      </c>
      <c r="BR30" s="30" t="inlineStr">
        <is>
          <t>Positive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Close to 52 week high or retracement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IF(B31=0,"",RANK(B31,$B$2:$B$77,0))</f>
        <v/>
      </c>
      <c r="B31" s="31">
        <f>SUM(N31,Y31,AA31,AC31,AE31,AG31,AI31,AK31,AM31,AO31,AQ31,AS31,AU31,AW31,AY31,BA31,BC31,BE31,BG31,BI31,BK31,BM31,BO31,BQ31,BS31,BU31,BW31,BY31,CA31)</f>
        <v/>
      </c>
      <c r="C31" s="32" t="inlineStr">
        <is>
          <t>CAPITALSFB</t>
        </is>
      </c>
      <c r="D31" s="32" t="inlineStr">
        <is>
          <t>Capital Small Finance Bank Ltd</t>
        </is>
      </c>
      <c r="E31" s="30" t="inlineStr">
        <is>
          <t>bank</t>
        </is>
      </c>
      <c r="F31" s="30" t="inlineStr">
        <is>
          <t>banks - private sector</t>
        </is>
      </c>
      <c r="G31" s="30" t="inlineStr">
        <is>
          <t>smallcap</t>
        </is>
      </c>
      <c r="H31" s="31" t="n">
        <v>1321.69</v>
      </c>
      <c r="I31" s="31" t="n">
        <v>285.5</v>
      </c>
      <c r="J31" s="31" t="n">
        <v>-1.89</v>
      </c>
      <c r="K31" s="31" t="n">
        <v>21038</v>
      </c>
      <c r="L31" s="30" t="n">
        <v>16</v>
      </c>
      <c r="M31" s="30" t="inlineStr">
        <is>
          <t>Underperforming</t>
        </is>
      </c>
      <c r="N31" s="31">
        <f>IF(M31="Underperforming",-5,IF(L31&gt;=95,15,IF(L31&gt;=90,10,IF(L31&gt;=80,5,0))))</f>
        <v/>
      </c>
      <c r="O31" s="31" t="n">
        <v>58.47</v>
      </c>
      <c r="P31" s="31" t="n">
        <v>27.73</v>
      </c>
      <c r="Q31" s="31" t="n">
        <v>233.37</v>
      </c>
      <c r="R31" s="30" t="inlineStr">
        <is>
          <t>Volume Spike &amp; Near 52W High Breakout</t>
        </is>
      </c>
      <c r="S31" s="30" t="inlineStr">
        <is>
          <t>Nifty Bank</t>
        </is>
      </c>
      <c r="T31" s="31" t="n">
        <v>2.55</v>
      </c>
      <c r="U31" s="31" t="n">
        <v>0.77</v>
      </c>
      <c r="V31" s="31" t="n">
        <v>-1.74</v>
      </c>
      <c r="W31" s="31" t="n">
        <v>4.89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less than 2.5x and Growth less than 20%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20 to 40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2</t>
        </is>
      </c>
      <c r="BQ31" s="30">
        <f>IF(BP31="Stage 2",20,IF(BP31="Stage 1",0,IF(BP31="Stage 3",5,IF(BP31="Stage 4",-5,0))))</f>
        <v/>
      </c>
      <c r="BR31" s="30" t="inlineStr">
        <is>
          <t>Positive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Close to 52 week high or retracement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IF(B32=0,"",RANK(B32,$B$2:$B$77,0))</f>
        <v/>
      </c>
      <c r="B32" s="31">
        <f>SUM(N32,Y32,AA32,AC32,AE32,AG32,AI32,AK32,AM32,AO32,AQ32,AS32,AU32,AW32,AY32,BA32,BC32,BE32,BG32,BI32,BK32,BM32,BO32,BQ32,BS32,BU32,BW32,BY32,CA32)</f>
        <v/>
      </c>
      <c r="C32" s="30" t="inlineStr">
        <is>
          <t>AADHARHFC</t>
        </is>
      </c>
      <c r="D32" s="30" t="inlineStr">
        <is>
          <t>Aadhar Housing Finance Ltd</t>
        </is>
      </c>
      <c r="E32" s="30" t="inlineStr">
        <is>
          <t>financials</t>
        </is>
      </c>
      <c r="F32" s="30" t="inlineStr">
        <is>
          <t>finance - housing</t>
        </is>
      </c>
      <c r="G32" s="30" t="inlineStr">
        <is>
          <t>largecap</t>
        </is>
      </c>
      <c r="H32" s="31" t="n">
        <v>21194.81</v>
      </c>
      <c r="I32" s="31" t="n">
        <v>515.1</v>
      </c>
      <c r="J32" s="31" t="n">
        <v>5.89</v>
      </c>
      <c r="K32" s="31" t="n">
        <v>3191119</v>
      </c>
      <c r="L32" s="30" t="n">
        <v>24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60.03</v>
      </c>
      <c r="P32" s="31" t="n">
        <v>20.51</v>
      </c>
      <c r="Q32" s="31" t="n">
        <v>420.3</v>
      </c>
      <c r="R32" s="30" t="inlineStr">
        <is>
          <t>Volume Spike &amp; Near 52W High Breakout</t>
        </is>
      </c>
      <c r="S32" s="30" t="inlineStr">
        <is>
          <t>Nifty Bank</t>
        </is>
      </c>
      <c r="T32" s="31" t="n">
        <v>2.55</v>
      </c>
      <c r="U32" s="31" t="n">
        <v>17.74</v>
      </c>
      <c r="V32" s="31" t="n">
        <v>14.81</v>
      </c>
      <c r="W32" s="31" t="n">
        <v>6.99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between 2.5x to 5x and Growth more than 20%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20 to 40</t>
        </is>
      </c>
      <c r="BM32" s="30">
        <f>IF(BL32="Above 40",20,IF(BL32="20 to 40",10,IF(BL32="0 to 20",-5,0)))</f>
        <v/>
      </c>
      <c r="BN32" s="30" t="inlineStr">
        <is>
          <t>Between 50 to 75</t>
        </is>
      </c>
      <c r="BO32" s="30">
        <f>IF(BN32="Between 50 to 75",10,IF(BN32="Above 75",0,0))</f>
        <v/>
      </c>
      <c r="BP32" s="30" t="inlineStr">
        <is>
          <t>Stage 1</t>
        </is>
      </c>
      <c r="BQ32" s="30">
        <f>IF(BP32="Stage 2",20,IF(BP32="Stage 1",0,IF(BP32="Stage 3",5,IF(BP32="Stage 4",-5,0))))</f>
        <v/>
      </c>
      <c r="BR32" s="30" t="inlineStr">
        <is>
          <t>Positive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Blue sky scenario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  <row r="33">
      <c r="A33" s="30">
        <f>IF(B33=0,"",RANK(B33,$B$2:$B$77,0))</f>
        <v/>
      </c>
      <c r="B33" s="31">
        <f>SUM(N33,Y33,AA33,AC33,AE33,AG33,AI33,AK33,AM33,AO33,AQ33,AS33,AU33,AW33,AY33,BA33,BC33,BE33,BG33,BI33,BK33,BM33,BO33,BQ33,BS33,BU33,BW33,BY33,CA33)</f>
        <v/>
      </c>
      <c r="C33" s="30" t="inlineStr">
        <is>
          <t>PRIMESECU</t>
        </is>
      </c>
      <c r="D33" s="30" t="inlineStr">
        <is>
          <t>Prime Securities Limited</t>
        </is>
      </c>
      <c r="E33" s="30" t="inlineStr">
        <is>
          <t>financials</t>
        </is>
      </c>
      <c r="F33" s="30" t="inlineStr">
        <is>
          <t>finance &amp; investments</t>
        </is>
      </c>
      <c r="G33" s="30" t="inlineStr">
        <is>
          <t>smallcap</t>
        </is>
      </c>
      <c r="H33" s="31" t="n">
        <v>991.25</v>
      </c>
      <c r="I33" s="31" t="n">
        <v>299.9</v>
      </c>
      <c r="J33" s="31" t="n">
        <v>2.57</v>
      </c>
      <c r="K33" s="31" t="n">
        <v>61822</v>
      </c>
      <c r="L33" s="30" t="n">
        <v>13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57.74</v>
      </c>
      <c r="P33" s="31" t="n">
        <v>17.49</v>
      </c>
      <c r="Q33" s="31" t="n">
        <v>234.54</v>
      </c>
      <c r="R33" s="30" t="inlineStr">
        <is>
          <t>Near 52W High Breakout</t>
        </is>
      </c>
      <c r="S33" s="30" t="inlineStr">
        <is>
          <t>Nifty Bank</t>
        </is>
      </c>
      <c r="T33" s="31" t="n">
        <v>2.55</v>
      </c>
      <c r="U33" s="31" t="n">
        <v>16.28</v>
      </c>
      <c r="V33" s="31" t="n">
        <v>13.39</v>
      </c>
      <c r="W33" s="31" t="n">
        <v>4.46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Fragmented with High ROE</t>
        </is>
      </c>
      <c r="AA33" s="30">
        <f>IF(Z33="Fragmented with Low ROE",-5,IF(Z33="Fragmented with High ROE",10,IF(Z33= "highly cyclical",5,0)))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Consistency)",15,IF(AF33="Shallow Cyclical (2 to 3 years growth)",10,IF(AF33 = "Cyclical in an Uptick",5,IF(AF33 = "Cyclical in an Downtick",-10,0))))</f>
        <v/>
      </c>
      <c r="AH33" s="30" t="inlineStr">
        <is>
          <t>Yes</t>
        </is>
      </c>
      <c r="AI33" s="30">
        <f>IF(AH33="Yes",10,0)</f>
        <v/>
      </c>
      <c r="AJ33" s="30" t="inlineStr">
        <is>
          <t>Yes</t>
        </is>
      </c>
      <c r="AK33" s="30">
        <f>IF(AJ33="Yes",10,0)</f>
        <v/>
      </c>
      <c r="AL33" s="30" t="n"/>
      <c r="AM33" s="30">
        <f>IF(AL33="No",10,0)</f>
        <v/>
      </c>
      <c r="AN33" s="30" t="inlineStr">
        <is>
          <t>Yes</t>
        </is>
      </c>
      <c r="AO33" s="30">
        <f>IF(AN33="Yes",10,0)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Yes</t>
        </is>
      </c>
      <c r="AS33" s="30">
        <f>IF(AR33="Yes",5,0)</f>
        <v/>
      </c>
      <c r="AT33" s="30" t="inlineStr">
        <is>
          <t>No</t>
        </is>
      </c>
      <c r="AU33" s="30">
        <f>IF(AT33="No",10,IF(AT33="Yes",-10,0))</f>
        <v/>
      </c>
      <c r="AV33" s="30" t="inlineStr">
        <is>
          <t>No</t>
        </is>
      </c>
      <c r="AW33" s="30">
        <f>IF(AV33="No",10,0)</f>
        <v/>
      </c>
      <c r="AX33" s="30" t="inlineStr">
        <is>
          <t>No</t>
        </is>
      </c>
      <c r="AY33" s="30">
        <f>IF(AX33="No",10,IF(AX33= "Yes CEO Resignation",-5,0))</f>
        <v/>
      </c>
      <c r="AZ33" s="30" t="inlineStr">
        <is>
          <t>No</t>
        </is>
      </c>
      <c r="BA33" s="30">
        <f>IF(AZ33="No",10,IF(AZ33="Yes",-5,0))</f>
        <v/>
      </c>
      <c r="BB33" s="30" t="inlineStr">
        <is>
          <t>No</t>
        </is>
      </c>
      <c r="BC33" s="30">
        <f>IF(BB33="No",5,IF(BB33="Yes",-5,0))</f>
        <v/>
      </c>
      <c r="BD33" s="30" t="inlineStr">
        <is>
          <t>Yes</t>
        </is>
      </c>
      <c r="BE33" s="30">
        <f>IF(BD33="Yes",10,0)</f>
        <v/>
      </c>
      <c r="BF33" s="30" t="inlineStr">
        <is>
          <t>Yes</t>
        </is>
      </c>
      <c r="BG33" s="30">
        <f>IF(BF33="Yes",10,0)</f>
        <v/>
      </c>
      <c r="BH33" s="30" t="inlineStr">
        <is>
          <t>Yes</t>
        </is>
      </c>
      <c r="BI33" s="30">
        <f>IF(BH33="Yes",10,0)</f>
        <v/>
      </c>
      <c r="BJ33" s="30" t="inlineStr">
        <is>
          <t>P/BV between 2.5x to 5x and Growth more than 20%</t>
        </is>
      </c>
      <c r="BK33" s="30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0" t="inlineStr">
        <is>
          <t>0 to 20</t>
        </is>
      </c>
      <c r="BM33" s="30">
        <f>IF(BL33="Above 40",20,IF(BL33="20 to 40",10,IF(BL33="0 to 20",-5,0)))</f>
        <v/>
      </c>
      <c r="BN33" s="30" t="inlineStr">
        <is>
          <t>Between 50 to 75</t>
        </is>
      </c>
      <c r="BO33" s="30">
        <f>IF(BN33="Between 50 to 75",10,IF(BN33="Above 75",0,0))</f>
        <v/>
      </c>
      <c r="BP33" s="30" t="inlineStr">
        <is>
          <t>Stage 2</t>
        </is>
      </c>
      <c r="BQ33" s="30">
        <f>IF(BP33="Stage 2",20,IF(BP33="Stage 1",0,IF(BP33="Stage 3",5,IF(BP33="Stage 4",-5,0))))</f>
        <v/>
      </c>
      <c r="BR33" s="30" t="inlineStr">
        <is>
          <t>Positive Trend</t>
        </is>
      </c>
      <c r="BS33" s="30">
        <f>IF(BR33="Positive Trend",20,IF(BR33="Negative Trend",-10,0))</f>
        <v/>
      </c>
      <c r="BT33" s="30" t="inlineStr">
        <is>
          <t>Uptrend</t>
        </is>
      </c>
      <c r="BU33" s="30">
        <f>IF(BT33="Uptrend",10,IF(BT33="Sideways",5,0))</f>
        <v/>
      </c>
      <c r="BV33" s="30" t="inlineStr">
        <is>
          <t>Uptrend</t>
        </is>
      </c>
      <c r="BW33" s="30">
        <f>IF(BV33="Uptrend",10,IF(BV33="Sideways",5,0))</f>
        <v/>
      </c>
      <c r="BX33" s="30" t="inlineStr">
        <is>
          <t>Close to 52 week high or retracement</t>
        </is>
      </c>
      <c r="BY33" s="30">
        <f>IF(BX33="Overhead supply in last 2 years in last 2 years",-5,IF(BX33="Close to 52 week high or retracement",5,IF(BX33="Blue sky scenario",10,IF(BX33="Long term Downtrend",-10,0))))</f>
        <v/>
      </c>
      <c r="BZ33" s="30" t="inlineStr">
        <is>
          <t>Yes</t>
        </is>
      </c>
      <c r="CA33" s="30">
        <f>IF(BZ33="Yes",10,0)</f>
        <v/>
      </c>
    </row>
    <row r="34">
      <c r="A34" s="30">
        <f>IF(B34=0,"",RANK(B34,$B$2:$B$77,0))</f>
        <v/>
      </c>
      <c r="B34" s="31">
        <f>SUM(N34,Y34,AA34,AC34,AE34,AG34,AI34,AK34,AM34,AO34,AQ34,AS34,AU34,AW34,AY34,BA34,BC34,BE34,BG34,BI34,BK34,BM34,BO34,BQ34,BS34,BU34,BW34,BY34,CA34)</f>
        <v/>
      </c>
      <c r="C34" s="30" t="inlineStr">
        <is>
          <t>PRUDENT</t>
        </is>
      </c>
      <c r="D34" s="30" t="inlineStr">
        <is>
          <t>Prudent Corporate Advisory Services Ltd</t>
        </is>
      </c>
      <c r="E34" s="30" t="inlineStr">
        <is>
          <t>financials</t>
        </is>
      </c>
      <c r="F34" s="30" t="inlineStr">
        <is>
          <t>finance &amp; investments</t>
        </is>
      </c>
      <c r="G34" s="30" t="inlineStr">
        <is>
          <t>midcap</t>
        </is>
      </c>
      <c r="H34" s="31" t="n">
        <v>12234.43</v>
      </c>
      <c r="I34" s="31" t="n">
        <v>3029.2</v>
      </c>
      <c r="J34" s="31" t="n">
        <v>2.52</v>
      </c>
      <c r="K34" s="31" t="n">
        <v>21528</v>
      </c>
      <c r="L34" s="30" t="n">
        <v>44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65.17</v>
      </c>
      <c r="P34" s="31" t="n">
        <v>21.35</v>
      </c>
      <c r="Q34" s="31" t="n">
        <v>2386.21</v>
      </c>
      <c r="R34" s="30" t="inlineStr">
        <is>
          <t>Near 52W High Breakout</t>
        </is>
      </c>
      <c r="S34" s="30" t="inlineStr">
        <is>
          <t>Nifty Bank</t>
        </is>
      </c>
      <c r="T34" s="31" t="n">
        <v>2.55</v>
      </c>
      <c r="U34" s="31" t="n">
        <v>13.53</v>
      </c>
      <c r="V34" s="31" t="n">
        <v>10.71</v>
      </c>
      <c r="W34" s="31" t="n">
        <v>11.18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Fragmented with High ROE</t>
        </is>
      </c>
      <c r="AA34" s="30">
        <f>IF(Z34="Fragmented with Low ROE",-5,IF(Z34="Fragmented with High ROE",10,IF(Z34= "highly cyclical",5,0)))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Consistency)",15,IF(AF34="Shallow Cyclical (2 to 3 years growth)",10,IF(AF34 = "Cyclical in an Uptick",5,IF(AF34 = "Cyclical in an Downtick",-10,0))))</f>
        <v/>
      </c>
      <c r="AH34" s="30" t="inlineStr">
        <is>
          <t>Yes</t>
        </is>
      </c>
      <c r="AI34" s="30">
        <f>IF(AH34="Yes",10,0)</f>
        <v/>
      </c>
      <c r="AJ34" s="30" t="inlineStr">
        <is>
          <t>Yes</t>
        </is>
      </c>
      <c r="AK34" s="30">
        <f>IF(AJ34="Yes",10,0)</f>
        <v/>
      </c>
      <c r="AL34" s="30" t="n"/>
      <c r="AM34" s="30">
        <f>IF(AL34="No",10,0)</f>
        <v/>
      </c>
      <c r="AN34" s="30" t="inlineStr">
        <is>
          <t>Yes</t>
        </is>
      </c>
      <c r="AO34" s="30">
        <f>IF(AN34="Yes",10,0)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Yes</t>
        </is>
      </c>
      <c r="AS34" s="30">
        <f>IF(AR34="Yes",5,0)</f>
        <v/>
      </c>
      <c r="AT34" s="30" t="inlineStr">
        <is>
          <t>No</t>
        </is>
      </c>
      <c r="AU34" s="30">
        <f>IF(AT34="No",10,IF(AT34="Yes",-10,0))</f>
        <v/>
      </c>
      <c r="AV34" s="30" t="inlineStr">
        <is>
          <t>No</t>
        </is>
      </c>
      <c r="AW34" s="30">
        <f>IF(AV34="No",10,0)</f>
        <v/>
      </c>
      <c r="AX34" s="30" t="inlineStr">
        <is>
          <t>No</t>
        </is>
      </c>
      <c r="AY34" s="30">
        <f>IF(AX34="No",10,IF(AX34= "Yes CEO Resignation",-5,0))</f>
        <v/>
      </c>
      <c r="AZ34" s="30" t="inlineStr">
        <is>
          <t>No</t>
        </is>
      </c>
      <c r="BA34" s="30">
        <f>IF(AZ34="No",10,IF(AZ34="Yes",-5,0))</f>
        <v/>
      </c>
      <c r="BB34" s="30" t="inlineStr">
        <is>
          <t>No</t>
        </is>
      </c>
      <c r="BC34" s="30">
        <f>IF(BB34="No",5,IF(BB34="Yes",-5,0))</f>
        <v/>
      </c>
      <c r="BD34" s="30" t="inlineStr">
        <is>
          <t>Yes</t>
        </is>
      </c>
      <c r="BE34" s="30">
        <f>IF(BD34="Yes",10,0)</f>
        <v/>
      </c>
      <c r="BF34" s="30" t="inlineStr">
        <is>
          <t>Yes</t>
        </is>
      </c>
      <c r="BG34" s="30">
        <f>IF(BF34="Yes",10,0)</f>
        <v/>
      </c>
      <c r="BH34" s="30" t="inlineStr">
        <is>
          <t>Yes</t>
        </is>
      </c>
      <c r="BI34" s="30">
        <f>IF(BH34="Yes",10,0)</f>
        <v/>
      </c>
      <c r="BJ34" s="30" t="inlineStr">
        <is>
          <t>P/BV above 5x</t>
        </is>
      </c>
      <c r="BK34" s="30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0" t="inlineStr">
        <is>
          <t>20 to 40</t>
        </is>
      </c>
      <c r="BM34" s="30">
        <f>IF(BL34="Above 40",20,IF(BL34="20 to 40",10,IF(BL34="0 to 20",-5,0)))</f>
        <v/>
      </c>
      <c r="BN34" s="30" t="inlineStr">
        <is>
          <t>Between 50 to 75</t>
        </is>
      </c>
      <c r="BO34" s="30">
        <f>IF(BN34="Between 50 to 75",10,IF(BN34="Above 75",0,0))</f>
        <v/>
      </c>
      <c r="BP34" s="30" t="inlineStr">
        <is>
          <t>Stage 2</t>
        </is>
      </c>
      <c r="BQ34" s="30">
        <f>IF(BP34="Stage 2",20,IF(BP34="Stage 1",0,IF(BP34="Stage 3",5,IF(BP34="Stage 4",-5,0))))</f>
        <v/>
      </c>
      <c r="BR34" s="30" t="inlineStr">
        <is>
          <t>Positive Trend</t>
        </is>
      </c>
      <c r="BS34" s="30">
        <f>IF(BR34="Positive Trend",20,IF(BR34="Negative Trend",-10,0))</f>
        <v/>
      </c>
      <c r="BT34" s="30" t="inlineStr">
        <is>
          <t>Uptrend</t>
        </is>
      </c>
      <c r="BU34" s="30">
        <f>IF(BT34="Uptrend",10,IF(BT34="Sideways",5,0))</f>
        <v/>
      </c>
      <c r="BV34" s="30" t="inlineStr">
        <is>
          <t>Uptrend</t>
        </is>
      </c>
      <c r="BW34" s="30">
        <f>IF(BV34="Uptrend",10,IF(BV34="Sideways",5,0))</f>
        <v/>
      </c>
      <c r="BX34" s="30" t="inlineStr">
        <is>
          <t>Close to 52 week high or retracement</t>
        </is>
      </c>
      <c r="BY34" s="30">
        <f>IF(BX34="Overhead supply in last 2 years in last 2 years",-5,IF(BX34="Close to 52 week high or retracement",5,IF(BX34="Blue sky scenario",10,IF(BX34="Long term Downtrend",-10,0))))</f>
        <v/>
      </c>
      <c r="BZ34" s="30" t="inlineStr">
        <is>
          <t>Yes</t>
        </is>
      </c>
      <c r="CA34" s="30">
        <f>IF(BZ34="Yes",10,0)</f>
        <v/>
      </c>
    </row>
    <row r="35">
      <c r="A35" s="30">
        <f>IF(B35=0,"",RANK(B35,$B$2:$B$77,0))</f>
        <v/>
      </c>
      <c r="B35" s="31">
        <f>SUM(N35,Y35,AA35,AC35,AE35,AG35,AI35,AK35,AM35,AO35,AQ35,AS35,AU35,AW35,AY35,BA35,BC35,BE35,BG35,BI35,BK35,BM35,BO35,BQ35,BS35,BU35,BW35,BY35,CA35)</f>
        <v/>
      </c>
      <c r="C35" s="30" t="inlineStr">
        <is>
          <t>MONARCH</t>
        </is>
      </c>
      <c r="D35" s="30" t="inlineStr">
        <is>
          <t>Monarch Networth Capital Ltd</t>
        </is>
      </c>
      <c r="E35" s="30" t="inlineStr">
        <is>
          <t>financials</t>
        </is>
      </c>
      <c r="F35" s="30" t="inlineStr">
        <is>
          <t>finance &amp; investments</t>
        </is>
      </c>
      <c r="G35" s="30" t="inlineStr">
        <is>
          <t>smallcap</t>
        </is>
      </c>
      <c r="H35" s="31" t="n">
        <v>2761.71</v>
      </c>
      <c r="I35" s="31" t="n">
        <v>350.25</v>
      </c>
      <c r="J35" s="31" t="n">
        <v>0.53</v>
      </c>
      <c r="K35" s="31" t="n">
        <v>359639</v>
      </c>
      <c r="L35" s="30" t="n">
        <v>38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65.81999999999999</v>
      </c>
      <c r="P35" s="31" t="n">
        <v>19.41</v>
      </c>
      <c r="Q35" s="31" t="n">
        <v>279.38</v>
      </c>
      <c r="R35" s="30" t="inlineStr">
        <is>
          <t>Volume Spike / Accumulation</t>
        </is>
      </c>
      <c r="S35" s="30" t="inlineStr">
        <is>
          <t>Nifty Bank</t>
        </is>
      </c>
      <c r="T35" s="31" t="n">
        <v>2.55</v>
      </c>
      <c r="U35" s="31" t="n">
        <v>13.45</v>
      </c>
      <c r="V35" s="31" t="n">
        <v>10.64</v>
      </c>
      <c r="W35" s="31" t="n">
        <v>9.779999999999999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Fragmented with High ROE</t>
        </is>
      </c>
      <c r="AA35" s="30">
        <f>IF(Z35="Fragmented with Low ROE",-5,IF(Z35="Fragmented with High ROE",10,IF(Z35= "highly cyclical",5,0)))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Consistency)",15,IF(AF35="Shallow Cyclical (2 to 3 years growth)",10,IF(AF35 = "Cyclical in an Uptick",5,IF(AF35 = "Cyclical in an Downtick",-10,0))))</f>
        <v/>
      </c>
      <c r="AH35" s="30" t="inlineStr">
        <is>
          <t>Yes</t>
        </is>
      </c>
      <c r="AI35" s="30">
        <f>IF(AH35="Yes",10,0)</f>
        <v/>
      </c>
      <c r="AJ35" s="30" t="inlineStr">
        <is>
          <t>Yes</t>
        </is>
      </c>
      <c r="AK35" s="30">
        <f>IF(AJ35="Yes",10,0)</f>
        <v/>
      </c>
      <c r="AL35" s="30" t="n"/>
      <c r="AM35" s="30">
        <f>IF(AL35="No",10,0)</f>
        <v/>
      </c>
      <c r="AN35" s="30" t="inlineStr">
        <is>
          <t>Yes</t>
        </is>
      </c>
      <c r="AO35" s="30">
        <f>IF(AN35="Yes",10,0)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Yes</t>
        </is>
      </c>
      <c r="AS35" s="30">
        <f>IF(AR35="Yes",5,0)</f>
        <v/>
      </c>
      <c r="AT35" s="30" t="inlineStr">
        <is>
          <t>No</t>
        </is>
      </c>
      <c r="AU35" s="30">
        <f>IF(AT35="No",10,IF(AT35="Yes",-10,0))</f>
        <v/>
      </c>
      <c r="AV35" s="30" t="inlineStr">
        <is>
          <t>No</t>
        </is>
      </c>
      <c r="AW35" s="30">
        <f>IF(AV35="No",10,0)</f>
        <v/>
      </c>
      <c r="AX35" s="30" t="inlineStr">
        <is>
          <t>No</t>
        </is>
      </c>
      <c r="AY35" s="30">
        <f>IF(AX35="No",10,IF(AX35= "Yes CEO Resignation",-5,0))</f>
        <v/>
      </c>
      <c r="AZ35" s="30" t="inlineStr">
        <is>
          <t>No</t>
        </is>
      </c>
      <c r="BA35" s="30">
        <f>IF(AZ35="No",10,IF(AZ35="Yes",-5,0))</f>
        <v/>
      </c>
      <c r="BB35" s="30" t="inlineStr">
        <is>
          <t>No</t>
        </is>
      </c>
      <c r="BC35" s="30">
        <f>IF(BB35="No",5,IF(BB35="Yes",-5,0))</f>
        <v/>
      </c>
      <c r="BD35" s="30" t="inlineStr">
        <is>
          <t>Yes</t>
        </is>
      </c>
      <c r="BE35" s="30">
        <f>IF(BD35="Yes",10,0)</f>
        <v/>
      </c>
      <c r="BF35" s="30" t="inlineStr">
        <is>
          <t>Yes</t>
        </is>
      </c>
      <c r="BG35" s="30">
        <f>IF(BF35="Yes",10,0)</f>
        <v/>
      </c>
      <c r="BH35" s="30" t="inlineStr">
        <is>
          <t>Yes</t>
        </is>
      </c>
      <c r="BI35" s="30">
        <f>IF(BH35="Yes",10,0)</f>
        <v/>
      </c>
      <c r="BJ35" s="30" t="inlineStr">
        <is>
          <t>P/BV between 2.5x to 5x and Growth more than 20%</t>
        </is>
      </c>
      <c r="BK35" s="30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0" t="inlineStr">
        <is>
          <t>0 to 20</t>
        </is>
      </c>
      <c r="BM35" s="30">
        <f>IF(BL35="Above 40",20,IF(BL35="20 to 40",10,IF(BL35="0 to 20",-5,0)))</f>
        <v/>
      </c>
      <c r="BN35" s="30" t="inlineStr">
        <is>
          <t>Between 50 to 75</t>
        </is>
      </c>
      <c r="BO35" s="30">
        <f>IF(BN35="Between 50 to 75",10,IF(BN35="Above 75",0,0))</f>
        <v/>
      </c>
      <c r="BP35" s="30" t="inlineStr">
        <is>
          <t>Stage 2</t>
        </is>
      </c>
      <c r="BQ35" s="30">
        <f>IF(BP35="Stage 2",20,IF(BP35="Stage 1",0,IF(BP35="Stage 3",5,IF(BP35="Stage 4",-5,0))))</f>
        <v/>
      </c>
      <c r="BR35" s="30" t="inlineStr">
        <is>
          <t>Positive Trend</t>
        </is>
      </c>
      <c r="BS35" s="30">
        <f>IF(BR35="Positive Trend",20,IF(BR35="Negative Trend",-10,0))</f>
        <v/>
      </c>
      <c r="BT35" s="30" t="inlineStr">
        <is>
          <t>Uptrend</t>
        </is>
      </c>
      <c r="BU35" s="30">
        <f>IF(BT35="Uptrend",10,IF(BT35="Sideways",5,0))</f>
        <v/>
      </c>
      <c r="BV35" s="30" t="inlineStr">
        <is>
          <t>Uptrend</t>
        </is>
      </c>
      <c r="BW35" s="30">
        <f>IF(BV35="Uptrend",10,IF(BV35="Sideways",5,0))</f>
        <v/>
      </c>
      <c r="BX35" s="30" t="inlineStr">
        <is>
          <t>Close to 52 week high or retracement</t>
        </is>
      </c>
      <c r="BY35" s="30">
        <f>IF(BX35="Overhead supply in last 2 years in last 2 years",-5,IF(BX35="Close to 52 week high or retracement",5,IF(BX35="Blue sky scenario",10,IF(BX35="Long term Downtrend",-10,0))))</f>
        <v/>
      </c>
      <c r="BZ35" s="30" t="inlineStr">
        <is>
          <t>Yes</t>
        </is>
      </c>
      <c r="CA35" s="30">
        <f>IF(BZ35="Yes",10,0)</f>
        <v/>
      </c>
    </row>
    <row r="36">
      <c r="A36" s="30">
        <f>IF(B36=0,"",RANK(B36,$B$2:$B$77,0))</f>
        <v/>
      </c>
      <c r="B36" s="31">
        <f>SUM(N36,Y36,AA36,AC36,AE36,AG36,AI36,AK36,AM36,AO36,AQ36,AS36,AU36,AW36,AY36,BA36,BC36,BE36,BG36,BI36,BK36,BM36,BO36,BQ36,BS36,BU36,BW36,BY36,CA36)</f>
        <v/>
      </c>
      <c r="C36" s="30" t="inlineStr">
        <is>
          <t>SOUTHBANK</t>
        </is>
      </c>
      <c r="D36" s="30" t="inlineStr">
        <is>
          <t>The South Indian Bank Limited</t>
        </is>
      </c>
      <c r="E36" s="30" t="inlineStr">
        <is>
          <t>bank</t>
        </is>
      </c>
      <c r="F36" s="30" t="inlineStr">
        <is>
          <t>banks - private sector</t>
        </is>
      </c>
      <c r="G36" s="30" t="inlineStr">
        <is>
          <t>midcap</t>
        </is>
      </c>
      <c r="H36" s="31" t="n">
        <v>12692.59</v>
      </c>
      <c r="I36" s="31" t="n">
        <v>48.46</v>
      </c>
      <c r="J36" s="31" t="n">
        <v>-0.06</v>
      </c>
      <c r="K36" s="31" t="n">
        <v>14135084</v>
      </c>
      <c r="L36" s="30" t="n">
        <v>69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70.45</v>
      </c>
      <c r="P36" s="31" t="n">
        <v>16.48</v>
      </c>
      <c r="Q36" s="31" t="n">
        <v>38.62</v>
      </c>
      <c r="R36" s="30" t="inlineStr">
        <is>
          <t>Near 52W High Breakout</t>
        </is>
      </c>
      <c r="S36" s="30" t="inlineStr">
        <is>
          <t>Nifty Bank</t>
        </is>
      </c>
      <c r="T36" s="31" t="n">
        <v>2.55</v>
      </c>
      <c r="U36" s="31" t="n">
        <v>68.09999999999999</v>
      </c>
      <c r="V36" s="31" t="n">
        <v>63.92</v>
      </c>
      <c r="W36" s="31" t="n">
        <v>19.35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Fragmented with High ROE</t>
        </is>
      </c>
      <c r="AA36" s="30">
        <f>IF(Z36="Fragmented with Low ROE",-5,IF(Z36="Fragmented with High ROE",10,IF(Z36= "highly cyclical",5,0)))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Consistency)",15,IF(AF36="Shallow Cyclical (2 to 3 years growth)",10,IF(AF36 = "Cyclical in an Uptick",5,IF(AF36 = "Cyclical in an Downtick",-10,0))))</f>
        <v/>
      </c>
      <c r="AH36" s="30" t="inlineStr">
        <is>
          <t>Yes</t>
        </is>
      </c>
      <c r="AI36" s="30">
        <f>IF(AH36="Yes",10,0)</f>
        <v/>
      </c>
      <c r="AJ36" s="30" t="inlineStr">
        <is>
          <t>Yes</t>
        </is>
      </c>
      <c r="AK36" s="30">
        <f>IF(AJ36="Yes",10,0)</f>
        <v/>
      </c>
      <c r="AL36" s="30" t="n"/>
      <c r="AM36" s="30">
        <f>IF(AL36="No",10,0)</f>
        <v/>
      </c>
      <c r="AN36" s="30" t="inlineStr">
        <is>
          <t>Yes</t>
        </is>
      </c>
      <c r="AO36" s="30">
        <f>IF(AN36="Yes",10,0)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Yes</t>
        </is>
      </c>
      <c r="AS36" s="30">
        <f>IF(AR36="Yes",5,0)</f>
        <v/>
      </c>
      <c r="AT36" s="30" t="inlineStr">
        <is>
          <t>No</t>
        </is>
      </c>
      <c r="AU36" s="30">
        <f>IF(AT36="No",10,IF(AT36="Yes",-10,0))</f>
        <v/>
      </c>
      <c r="AV36" s="30" t="inlineStr">
        <is>
          <t>No</t>
        </is>
      </c>
      <c r="AW36" s="30">
        <f>IF(AV36="No",10,0)</f>
        <v/>
      </c>
      <c r="AX36" s="30" t="inlineStr">
        <is>
          <t>No</t>
        </is>
      </c>
      <c r="AY36" s="30">
        <f>IF(AX36="No",10,IF(AX36= "Yes CEO Resignation",-5,0))</f>
        <v/>
      </c>
      <c r="AZ36" s="30" t="inlineStr">
        <is>
          <t>No</t>
        </is>
      </c>
      <c r="BA36" s="30">
        <f>IF(AZ36="No",10,IF(AZ36="Yes",-5,0))</f>
        <v/>
      </c>
      <c r="BB36" s="30" t="inlineStr">
        <is>
          <t>No</t>
        </is>
      </c>
      <c r="BC36" s="30">
        <f>IF(BB36="No",5,IF(BB36="Yes",-5,0))</f>
        <v/>
      </c>
      <c r="BD36" s="30" t="inlineStr">
        <is>
          <t>Yes</t>
        </is>
      </c>
      <c r="BE36" s="30">
        <f>IF(BD36="Yes",10,0)</f>
        <v/>
      </c>
      <c r="BF36" s="30" t="inlineStr">
        <is>
          <t>Yes</t>
        </is>
      </c>
      <c r="BG36" s="30">
        <f>IF(BF36="Yes",10,0)</f>
        <v/>
      </c>
      <c r="BH36" s="30" t="inlineStr">
        <is>
          <t>Yes</t>
        </is>
      </c>
      <c r="BI36" s="30">
        <f>IF(BH36="Yes",10,0)</f>
        <v/>
      </c>
      <c r="BJ36" s="30" t="inlineStr">
        <is>
          <t>P/BV less than 2.5x and Growth less than 20%</t>
        </is>
      </c>
      <c r="BK36" s="30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0" t="inlineStr">
        <is>
          <t>0 to 20</t>
        </is>
      </c>
      <c r="BM36" s="30">
        <f>IF(BL36="Above 40",20,IF(BL36="20 to 40",10,IF(BL36="0 to 20",-5,0)))</f>
        <v/>
      </c>
      <c r="BN36" s="30" t="inlineStr">
        <is>
          <t>Between 50 to 75</t>
        </is>
      </c>
      <c r="BO36" s="30">
        <f>IF(BN36="Between 50 to 75",10,IF(BN36="Above 75",0,0))</f>
        <v/>
      </c>
      <c r="BP36" s="30" t="inlineStr">
        <is>
          <t>Stage 2</t>
        </is>
      </c>
      <c r="BQ36" s="30">
        <f>IF(BP36="Stage 2",20,IF(BP36="Stage 1",0,IF(BP36="Stage 3",5,IF(BP36="Stage 4",-5,0))))</f>
        <v/>
      </c>
      <c r="BR36" s="30" t="inlineStr">
        <is>
          <t>Positive Trend</t>
        </is>
      </c>
      <c r="BS36" s="30">
        <f>IF(BR36="Positive Trend",20,IF(BR36="Negative Trend",-10,0))</f>
        <v/>
      </c>
      <c r="BT36" s="30" t="inlineStr">
        <is>
          <t>Uptrend</t>
        </is>
      </c>
      <c r="BU36" s="30">
        <f>IF(BT36="Uptrend",10,IF(BT36="Sideways",5,0))</f>
        <v/>
      </c>
      <c r="BV36" s="30" t="inlineStr">
        <is>
          <t>Uptrend</t>
        </is>
      </c>
      <c r="BW36" s="30">
        <f>IF(BV36="Uptrend",10,IF(BV36="Sideways",5,0))</f>
        <v/>
      </c>
      <c r="BX36" s="30" t="inlineStr">
        <is>
          <t>Blue sky scenario</t>
        </is>
      </c>
      <c r="BY36" s="30">
        <f>IF(BX36="Overhead supply in last 2 years in last 2 years",-5,IF(BX36="Close to 52 week high or retracement",5,IF(BX36="Blue sky scenario",10,IF(BX36="Long term Downtrend",-10,0))))</f>
        <v/>
      </c>
      <c r="BZ36" s="30" t="inlineStr">
        <is>
          <t>Yes</t>
        </is>
      </c>
      <c r="CA36" s="30">
        <f>IF(BZ36="Yes",10,0)</f>
        <v/>
      </c>
    </row>
    <row r="37">
      <c r="A37" s="30">
        <f>IF(B37=0,"",RANK(B37,$B$2:$B$77,0))</f>
        <v/>
      </c>
      <c r="B37" s="31">
        <f>SUM(N37,Y37,AA37,AC37,AE37,AG37,AI37,AK37,AM37,AO37,AQ37,AS37,AU37,AW37,AY37,BA37,BC37,BE37,BG37,BI37,BK37,BM37,BO37,BQ37,BS37,BU37,BW37,BY37,CA37)</f>
        <v/>
      </c>
      <c r="C37" s="30" t="inlineStr">
        <is>
          <t>AXISBANK</t>
        </is>
      </c>
      <c r="D37" s="30" t="inlineStr">
        <is>
          <t>Axis Bank Limited</t>
        </is>
      </c>
      <c r="E37" s="30" t="inlineStr">
        <is>
          <t>bank</t>
        </is>
      </c>
      <c r="F37" s="30" t="inlineStr">
        <is>
          <t>banks - private sector</t>
        </is>
      </c>
      <c r="G37" s="30" t="inlineStr">
        <is>
          <t>largecap</t>
        </is>
      </c>
      <c r="H37" s="31" t="n">
        <v>422742.56</v>
      </c>
      <c r="I37" s="31" t="n">
        <v>1357.9</v>
      </c>
      <c r="J37" s="31" t="n">
        <v>-0.16</v>
      </c>
      <c r="K37" s="31" t="n">
        <v>4640277</v>
      </c>
      <c r="L37" s="30" t="n">
        <v>16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59.13</v>
      </c>
      <c r="P37" s="31" t="n">
        <v>9.550000000000001</v>
      </c>
      <c r="Q37" s="31" t="n">
        <v>1169</v>
      </c>
      <c r="R37" s="30" t="inlineStr">
        <is>
          <t>Near 52W High Breakout</t>
        </is>
      </c>
      <c r="S37" s="30" t="inlineStr">
        <is>
          <t>Nifty Bank</t>
        </is>
      </c>
      <c r="T37" s="31" t="n">
        <v>2.55</v>
      </c>
      <c r="U37" s="31" t="n">
        <v>11.33</v>
      </c>
      <c r="V37" s="31" t="n">
        <v>8.57</v>
      </c>
      <c r="W37" s="31" t="n">
        <v>4.98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Fragmented with High ROE</t>
        </is>
      </c>
      <c r="AA37" s="30">
        <f>IF(Z37="Fragmented with Low ROE",-5,IF(Z37="Fragmented with High ROE",10,IF(Z37= "highly cyclical",5,0)))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Consistency)",15,IF(AF37="Shallow Cyclical (2 to 3 years growth)",10,IF(AF37 = "Cyclical in an Uptick",5,IF(AF37 = "Cyclical in an Downtick",-10,0))))</f>
        <v/>
      </c>
      <c r="AH37" s="30" t="inlineStr">
        <is>
          <t>Yes</t>
        </is>
      </c>
      <c r="AI37" s="30">
        <f>IF(AH37="Yes",10,0)</f>
        <v/>
      </c>
      <c r="AJ37" s="30" t="inlineStr">
        <is>
          <t>Yes</t>
        </is>
      </c>
      <c r="AK37" s="30">
        <f>IF(AJ37="Yes",10,0)</f>
        <v/>
      </c>
      <c r="AL37" s="30" t="n"/>
      <c r="AM37" s="30">
        <f>IF(AL37="No",10,0)</f>
        <v/>
      </c>
      <c r="AN37" s="30" t="inlineStr">
        <is>
          <t>Yes</t>
        </is>
      </c>
      <c r="AO37" s="30">
        <f>IF(AN37="Yes",10,0)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Yes</t>
        </is>
      </c>
      <c r="AS37" s="30">
        <f>IF(AR37="Yes",5,0)</f>
        <v/>
      </c>
      <c r="AT37" s="30" t="inlineStr">
        <is>
          <t>No</t>
        </is>
      </c>
      <c r="AU37" s="30">
        <f>IF(AT37="No",10,IF(AT37="Yes",-10,0))</f>
        <v/>
      </c>
      <c r="AV37" s="30" t="inlineStr">
        <is>
          <t>No</t>
        </is>
      </c>
      <c r="AW37" s="30">
        <f>IF(AV37="No",10,0)</f>
        <v/>
      </c>
      <c r="AX37" s="30" t="inlineStr">
        <is>
          <t>No</t>
        </is>
      </c>
      <c r="AY37" s="30">
        <f>IF(AX37="No",10,IF(AX37= "Yes CEO Resignation",-5,0))</f>
        <v/>
      </c>
      <c r="AZ37" s="30" t="inlineStr">
        <is>
          <t>No</t>
        </is>
      </c>
      <c r="BA37" s="30">
        <f>IF(AZ37="No",10,IF(AZ37="Yes",-5,0))</f>
        <v/>
      </c>
      <c r="BB37" s="30" t="inlineStr">
        <is>
          <t>No</t>
        </is>
      </c>
      <c r="BC37" s="30">
        <f>IF(BB37="No",5,IF(BB37="Yes",-5,0))</f>
        <v/>
      </c>
      <c r="BD37" s="30" t="inlineStr">
        <is>
          <t>Yes</t>
        </is>
      </c>
      <c r="BE37" s="30">
        <f>IF(BD37="Yes",10,0)</f>
        <v/>
      </c>
      <c r="BF37" s="30" t="inlineStr">
        <is>
          <t>Yes</t>
        </is>
      </c>
      <c r="BG37" s="30">
        <f>IF(BF37="Yes",10,0)</f>
        <v/>
      </c>
      <c r="BH37" s="30" t="inlineStr">
        <is>
          <t>Yes</t>
        </is>
      </c>
      <c r="BI37" s="30">
        <f>IF(BH37="Yes",10,0)</f>
        <v/>
      </c>
      <c r="BJ37" s="30" t="inlineStr">
        <is>
          <t>P/BV less than 2.5x and Growth less than 20%</t>
        </is>
      </c>
      <c r="BK37" s="30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0" t="inlineStr">
        <is>
          <t>0 to 20</t>
        </is>
      </c>
      <c r="BM37" s="30">
        <f>IF(BL37="Above 40",20,IF(BL37="20 to 40",10,IF(BL37="0 to 20",-5,0)))</f>
        <v/>
      </c>
      <c r="BN37" s="30" t="inlineStr">
        <is>
          <t>Between 50 to 75</t>
        </is>
      </c>
      <c r="BO37" s="30">
        <f>IF(BN37="Between 50 to 75",10,IF(BN37="Above 75",0,0))</f>
        <v/>
      </c>
      <c r="BP37" s="30" t="inlineStr">
        <is>
          <t>Stage 2</t>
        </is>
      </c>
      <c r="BQ37" s="30">
        <f>IF(BP37="Stage 2",20,IF(BP37="Stage 1",0,IF(BP37="Stage 3",5,IF(BP37="Stage 4",-5,0))))</f>
        <v/>
      </c>
      <c r="BR37" s="30" t="inlineStr">
        <is>
          <t>Positive Trend</t>
        </is>
      </c>
      <c r="BS37" s="30">
        <f>IF(BR37="Positive Trend",20,IF(BR37="Negative Trend",-10,0))</f>
        <v/>
      </c>
      <c r="BT37" s="30" t="inlineStr">
        <is>
          <t>Uptrend</t>
        </is>
      </c>
      <c r="BU37" s="30">
        <f>IF(BT37="Uptrend",10,IF(BT37="Sideways",5,0))</f>
        <v/>
      </c>
      <c r="BV37" s="30" t="inlineStr">
        <is>
          <t>Uptrend</t>
        </is>
      </c>
      <c r="BW37" s="30">
        <f>IF(BV37="Uptrend",10,IF(BV37="Sideways",5,0))</f>
        <v/>
      </c>
      <c r="BX37" s="30" t="inlineStr">
        <is>
          <t>Blue sky scenario</t>
        </is>
      </c>
      <c r="BY37" s="30">
        <f>IF(BX37="Overhead supply in last 2 years in last 2 years",-5,IF(BX37="Close to 52 week high or retracement",5,IF(BX37="Blue sky scenario",10,IF(BX37="Long term Downtrend",-10,0))))</f>
        <v/>
      </c>
      <c r="BZ37" s="30" t="inlineStr">
        <is>
          <t>Yes</t>
        </is>
      </c>
      <c r="CA37" s="30">
        <f>IF(BZ37="Yes",10,0)</f>
        <v/>
      </c>
    </row>
    <row r="38">
      <c r="A38" s="30">
        <f>IF(B38=0,"",RANK(B38,$B$2:$B$77,0))</f>
        <v/>
      </c>
      <c r="B38" s="31">
        <f>SUM(N38,Y38,AA38,AC38,AE38,AG38,AI38,AK38,AM38,AO38,AQ38,AS38,AU38,AW38,AY38,BA38,BC38,BE38,BG38,BI38,BK38,BM38,BO38,BQ38,BS38,BU38,BW38,BY38,CA38)</f>
        <v/>
      </c>
      <c r="C38" s="30" t="inlineStr">
        <is>
          <t>STEL</t>
        </is>
      </c>
      <c r="D38" s="30" t="inlineStr">
        <is>
          <t>Stel Holdings Limited</t>
        </is>
      </c>
      <c r="E38" s="30" t="inlineStr">
        <is>
          <t>financials</t>
        </is>
      </c>
      <c r="F38" s="30" t="inlineStr">
        <is>
          <t>finance &amp; investments</t>
        </is>
      </c>
      <c r="G38" s="30" t="inlineStr">
        <is>
          <t>smallcap</t>
        </is>
      </c>
      <c r="H38" s="31" t="n">
        <v>1108.99</v>
      </c>
      <c r="I38" s="31" t="n">
        <v>598.05</v>
      </c>
      <c r="J38" s="31" t="n">
        <v>-0.47</v>
      </c>
      <c r="K38" s="31" t="n">
        <v>12971</v>
      </c>
      <c r="L38" s="30" t="n">
        <v>60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67.16</v>
      </c>
      <c r="P38" s="31" t="n">
        <v>9.75</v>
      </c>
      <c r="Q38" s="31" t="n">
        <v>421.14</v>
      </c>
      <c r="R38" s="30" t="inlineStr">
        <is>
          <t>Volume Spike &amp; Near 52W High Breakout</t>
        </is>
      </c>
      <c r="S38" s="30" t="inlineStr">
        <is>
          <t>Nifty Bank</t>
        </is>
      </c>
      <c r="T38" s="31" t="n">
        <v>2.55</v>
      </c>
      <c r="U38" s="31" t="n">
        <v>46.24</v>
      </c>
      <c r="V38" s="31" t="n">
        <v>42.61</v>
      </c>
      <c r="W38" s="31" t="n">
        <v>15.94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Fragmented with High ROE</t>
        </is>
      </c>
      <c r="AA38" s="30">
        <f>IF(Z38="Fragmented with Low ROE",-5,IF(Z38="Fragmented with High ROE",10,IF(Z38= "highly cyclical",5,0)))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Consistency)",15,IF(AF38="Shallow Cyclical (2 to 3 years growth)",10,IF(AF38 = "Cyclical in an Uptick",5,IF(AF38 = "Cyclical in an Downtick",-10,0))))</f>
        <v/>
      </c>
      <c r="AH38" s="30" t="inlineStr">
        <is>
          <t>Yes</t>
        </is>
      </c>
      <c r="AI38" s="30">
        <f>IF(AH38="Yes",10,0)</f>
        <v/>
      </c>
      <c r="AJ38" s="30" t="inlineStr">
        <is>
          <t>Yes</t>
        </is>
      </c>
      <c r="AK38" s="30">
        <f>IF(AJ38="Yes",10,0)</f>
        <v/>
      </c>
      <c r="AL38" s="30" t="n"/>
      <c r="AM38" s="30">
        <f>IF(AL38="No",10,0)</f>
        <v/>
      </c>
      <c r="AN38" s="30" t="inlineStr">
        <is>
          <t>Yes</t>
        </is>
      </c>
      <c r="AO38" s="30">
        <f>IF(AN38="Yes",10,0)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Yes</t>
        </is>
      </c>
      <c r="AS38" s="30">
        <f>IF(AR38="Yes",5,0)</f>
        <v/>
      </c>
      <c r="AT38" s="30" t="inlineStr">
        <is>
          <t>No</t>
        </is>
      </c>
      <c r="AU38" s="30">
        <f>IF(AT38="No",10,IF(AT38="Yes",-10,0))</f>
        <v/>
      </c>
      <c r="AV38" s="30" t="inlineStr">
        <is>
          <t>No</t>
        </is>
      </c>
      <c r="AW38" s="30">
        <f>IF(AV38="No",10,0)</f>
        <v/>
      </c>
      <c r="AX38" s="30" t="inlineStr">
        <is>
          <t>No</t>
        </is>
      </c>
      <c r="AY38" s="30">
        <f>IF(AX38="No",10,IF(AX38= "Yes CEO Resignation",-5,0))</f>
        <v/>
      </c>
      <c r="AZ38" s="30" t="inlineStr">
        <is>
          <t>No</t>
        </is>
      </c>
      <c r="BA38" s="30">
        <f>IF(AZ38="No",10,IF(AZ38="Yes",-5,0))</f>
        <v/>
      </c>
      <c r="BB38" s="30" t="inlineStr">
        <is>
          <t>No</t>
        </is>
      </c>
      <c r="BC38" s="30">
        <f>IF(BB38="No",5,IF(BB38="Yes",-5,0))</f>
        <v/>
      </c>
      <c r="BD38" s="30" t="inlineStr">
        <is>
          <t>Yes</t>
        </is>
      </c>
      <c r="BE38" s="30">
        <f>IF(BD38="Yes",10,0)</f>
        <v/>
      </c>
      <c r="BF38" s="30" t="inlineStr">
        <is>
          <t>Yes</t>
        </is>
      </c>
      <c r="BG38" s="30">
        <f>IF(BF38="Yes",10,0)</f>
        <v/>
      </c>
      <c r="BH38" s="30" t="inlineStr">
        <is>
          <t>Yes</t>
        </is>
      </c>
      <c r="BI38" s="30">
        <f>IF(BH38="Yes",10,0)</f>
        <v/>
      </c>
      <c r="BJ38" s="30" t="inlineStr">
        <is>
          <t>P/BV less than 2.5x and Growth less than 20%</t>
        </is>
      </c>
      <c r="BK38" s="30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0" t="inlineStr">
        <is>
          <t>0 to 20</t>
        </is>
      </c>
      <c r="BM38" s="30">
        <f>IF(BL38="Above 40",20,IF(BL38="20 to 40",10,IF(BL38="0 to 20",-5,0)))</f>
        <v/>
      </c>
      <c r="BN38" s="30" t="inlineStr">
        <is>
          <t>Between 50 to 75</t>
        </is>
      </c>
      <c r="BO38" s="30">
        <f>IF(BN38="Between 50 to 75",10,IF(BN38="Above 75",0,0))</f>
        <v/>
      </c>
      <c r="BP38" s="30" t="inlineStr">
        <is>
          <t>Stage 2</t>
        </is>
      </c>
      <c r="BQ38" s="30">
        <f>IF(BP38="Stage 2",20,IF(BP38="Stage 1",0,IF(BP38="Stage 3",5,IF(BP38="Stage 4",-5,0))))</f>
        <v/>
      </c>
      <c r="BR38" s="30" t="inlineStr">
        <is>
          <t>Positive Trend</t>
        </is>
      </c>
      <c r="BS38" s="30">
        <f>IF(BR38="Positive Trend",20,IF(BR38="Negative Trend",-10,0))</f>
        <v/>
      </c>
      <c r="BT38" s="30" t="inlineStr">
        <is>
          <t>Uptrend</t>
        </is>
      </c>
      <c r="BU38" s="30">
        <f>IF(BT38="Uptrend",10,IF(BT38="Sideways",5,0))</f>
        <v/>
      </c>
      <c r="BV38" s="30" t="inlineStr">
        <is>
          <t>Uptrend</t>
        </is>
      </c>
      <c r="BW38" s="30">
        <f>IF(BV38="Uptrend",10,IF(BV38="Sideways",5,0))</f>
        <v/>
      </c>
      <c r="BX38" s="30" t="inlineStr">
        <is>
          <t>Blue sky scenario</t>
        </is>
      </c>
      <c r="BY38" s="30">
        <f>IF(BX38="Overhead supply in last 2 years in last 2 years",-5,IF(BX38="Close to 52 week high or retracement",5,IF(BX38="Blue sky scenario",10,IF(BX38="Long term Downtrend",-10,0))))</f>
        <v/>
      </c>
      <c r="BZ38" s="30" t="inlineStr">
        <is>
          <t>Yes</t>
        </is>
      </c>
      <c r="CA38" s="30">
        <f>IF(BZ38="Yes",10,0)</f>
        <v/>
      </c>
    </row>
    <row r="39">
      <c r="A39" s="30">
        <f>IF(B39=0,"",RANK(B39,$B$2:$B$77,0))</f>
        <v/>
      </c>
      <c r="B39" s="31">
        <f>SUM(N39,Y39,AA39,AC39,AE39,AG39,AI39,AK39,AM39,AO39,AQ39,AS39,AU39,AW39,AY39,BA39,BC39,BE39,BG39,BI39,BK39,BM39,BO39,BQ39,BS39,BU39,BW39,BY39,CA39)</f>
        <v/>
      </c>
      <c r="C39" s="30" t="inlineStr">
        <is>
          <t>EQUITASBNK</t>
        </is>
      </c>
      <c r="D39" s="30" t="inlineStr">
        <is>
          <t>Equitas Small Finance Bank Ltd</t>
        </is>
      </c>
      <c r="E39" s="30" t="inlineStr">
        <is>
          <t>bank</t>
        </is>
      </c>
      <c r="F39" s="30" t="inlineStr">
        <is>
          <t>banks - private sector</t>
        </is>
      </c>
      <c r="G39" s="30" t="inlineStr">
        <is>
          <t>midcap</t>
        </is>
      </c>
      <c r="H39" s="31" t="n">
        <v>8865.9</v>
      </c>
      <c r="I39" s="31" t="n">
        <v>77.25</v>
      </c>
      <c r="J39" s="31" t="n">
        <v>-0.58</v>
      </c>
      <c r="K39" s="31" t="n">
        <v>3156614</v>
      </c>
      <c r="L39" s="30" t="n">
        <v>47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65.37</v>
      </c>
      <c r="P39" s="31" t="n">
        <v>23.18</v>
      </c>
      <c r="Q39" s="31" t="n">
        <v>61.66</v>
      </c>
      <c r="R39" s="30" t="inlineStr">
        <is>
          <t>Near 52W High Breakout</t>
        </is>
      </c>
      <c r="S39" s="30" t="inlineStr">
        <is>
          <t>Nifty Bank</t>
        </is>
      </c>
      <c r="T39" s="31" t="n">
        <v>2.55</v>
      </c>
      <c r="U39" s="31" t="n">
        <v>19.88</v>
      </c>
      <c r="V39" s="31" t="n">
        <v>16.9</v>
      </c>
      <c r="W39" s="31" t="n">
        <v>11.95</v>
      </c>
      <c r="X39" s="30" t="inlineStr">
        <is>
          <t>Cyclical in an Upturn</t>
        </is>
      </c>
      <c r="Y39" s="30">
        <f>IF(X39="Growing Industry",10,IF(X39="Cyclical in an Upturn",5,0))</f>
        <v/>
      </c>
      <c r="Z39" s="30" t="inlineStr">
        <is>
          <t>Fragmented with High ROE</t>
        </is>
      </c>
      <c r="AA39" s="30">
        <f>IF(Z39="Fragmented with Low ROE",-5,IF(Z39="Fragmented with High ROE",10,IF(Z39= "highly cyclical",5,0)))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Cyclical in an Uptick</t>
        </is>
      </c>
      <c r="AG39" s="30">
        <f>IF(AF39="Structural (10 Years Consistency)",15,IF(AF39="Shallow Cyclical (2 to 3 years growth)",10,IF(AF39 = "Cyclical in an Uptick",5,IF(AF39 = "Cyclical in an Downtick",-10,0))))</f>
        <v/>
      </c>
      <c r="AH39" s="30" t="inlineStr">
        <is>
          <t>Yes</t>
        </is>
      </c>
      <c r="AI39" s="30">
        <f>IF(AH39="Yes",10,0)</f>
        <v/>
      </c>
      <c r="AJ39" s="30" t="inlineStr">
        <is>
          <t>Yes</t>
        </is>
      </c>
      <c r="AK39" s="30">
        <f>IF(AJ39="Yes",10,0)</f>
        <v/>
      </c>
      <c r="AL39" s="30" t="inlineStr">
        <is>
          <t>Yes</t>
        </is>
      </c>
      <c r="AM39" s="30">
        <f>IF(AL39="No",10,0)</f>
        <v/>
      </c>
      <c r="AN39" s="30" t="inlineStr">
        <is>
          <t>Yes</t>
        </is>
      </c>
      <c r="AO39" s="30">
        <f>IF(AN39="Yes",10,0)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No</t>
        </is>
      </c>
      <c r="AS39" s="30">
        <f>IF(AR39="Yes",5,0)</f>
        <v/>
      </c>
      <c r="AT39" s="30" t="inlineStr">
        <is>
          <t>No</t>
        </is>
      </c>
      <c r="AU39" s="30">
        <f>IF(AT39="No",10,IF(AT39="Yes",-10,0))</f>
        <v/>
      </c>
      <c r="AV39" s="30" t="inlineStr">
        <is>
          <t>No</t>
        </is>
      </c>
      <c r="AW39" s="30">
        <f>IF(AV39="No",10,0)</f>
        <v/>
      </c>
      <c r="AX39" s="30" t="inlineStr">
        <is>
          <t>No</t>
        </is>
      </c>
      <c r="AY39" s="30">
        <f>IF(AX39="No",10,IF(AX39= "Yes CEO Resignation",-5,0))</f>
        <v/>
      </c>
      <c r="AZ39" s="30" t="inlineStr">
        <is>
          <t>No</t>
        </is>
      </c>
      <c r="BA39" s="30">
        <f>IF(AZ39="No",10,IF(AZ39="Yes",-5,0))</f>
        <v/>
      </c>
      <c r="BB39" s="30" t="inlineStr">
        <is>
          <t>No</t>
        </is>
      </c>
      <c r="BC39" s="30">
        <f>IF(BB39="No",5,IF(BB39="Yes",-5,0))</f>
        <v/>
      </c>
      <c r="BD39" s="30" t="inlineStr">
        <is>
          <t>Yes</t>
        </is>
      </c>
      <c r="BE39" s="30">
        <f>IF(BD39="Yes",10,0)</f>
        <v/>
      </c>
      <c r="BF39" s="30" t="inlineStr">
        <is>
          <t>No</t>
        </is>
      </c>
      <c r="BG39" s="30">
        <f>IF(BF39="Yes",10,0)</f>
        <v/>
      </c>
      <c r="BH39" s="30" t="inlineStr">
        <is>
          <t>Yes</t>
        </is>
      </c>
      <c r="BI39" s="30">
        <f>IF(BH39="Yes",10,0)</f>
        <v/>
      </c>
      <c r="BJ39" s="30" t="inlineStr">
        <is>
          <t>P/BV less than 2.5x and Growth more than 20%</t>
        </is>
      </c>
      <c r="BK39" s="30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0" t="inlineStr">
        <is>
          <t>20 to 40</t>
        </is>
      </c>
      <c r="BM39" s="30">
        <f>IF(BL39="Above 40",20,IF(BL39="20 to 40",10,IF(BL39="0 to 20",-5,0)))</f>
        <v/>
      </c>
      <c r="BN39" s="30" t="inlineStr">
        <is>
          <t>Between 50 to 75</t>
        </is>
      </c>
      <c r="BO39" s="30">
        <f>IF(BN39="Between 50 to 75",10,IF(BN39="Above 75",0,0))</f>
        <v/>
      </c>
      <c r="BP39" s="30" t="inlineStr">
        <is>
          <t>Stage 2</t>
        </is>
      </c>
      <c r="BQ39" s="30">
        <f>IF(BP39="Stage 2",20,IF(BP39="Stage 1",0,IF(BP39="Stage 3",5,IF(BP39="Stage 4",-5,0))))</f>
        <v/>
      </c>
      <c r="BR39" s="30" t="inlineStr">
        <is>
          <t>Positive Trend</t>
        </is>
      </c>
      <c r="BS39" s="30">
        <f>IF(BR39="Positive Trend",20,IF(BR39="Negative Trend",-10,0))</f>
        <v/>
      </c>
      <c r="BT39" s="30" t="inlineStr">
        <is>
          <t>Uptrend</t>
        </is>
      </c>
      <c r="BU39" s="30">
        <f>IF(BT39="Uptrend",10,IF(BT39="Sideways",5,0))</f>
        <v/>
      </c>
      <c r="BV39" s="30" t="inlineStr">
        <is>
          <t>Uptrend</t>
        </is>
      </c>
      <c r="BW39" s="30">
        <f>IF(BV39="Uptrend",10,IF(BV39="Sideways",5,0))</f>
        <v/>
      </c>
      <c r="BX39" s="30" t="inlineStr">
        <is>
          <t>Close to 52 week high or retracement</t>
        </is>
      </c>
      <c r="BY39" s="30">
        <f>IF(BX39="Overhead supply in last 2 years in last 2 years",-5,IF(BX39="Close to 52 week high or retracement",5,IF(BX39="Blue sky scenario",10,IF(BX39="Long term Downtrend",-10,0))))</f>
        <v/>
      </c>
      <c r="BZ39" s="30" t="inlineStr">
        <is>
          <t>Yes</t>
        </is>
      </c>
      <c r="CA39" s="30">
        <f>IF(BZ39="Yes",10,0)</f>
        <v/>
      </c>
    </row>
    <row r="40">
      <c r="A40" s="30">
        <f>IF(B40=0,"",RANK(B40,$B$2:$B$77,0))</f>
        <v/>
      </c>
      <c r="B40" s="31">
        <f>SUM(N40,Y40,AA40,AC40,AE40,AG40,AI40,AK40,AM40,AO40,AQ40,AS40,AU40,AW40,AY40,BA40,BC40,BE40,BG40,BI40,BK40,BM40,BO40,BQ40,BS40,BU40,BW40,BY40,CA40)</f>
        <v/>
      </c>
      <c r="C40" s="32" t="inlineStr">
        <is>
          <t>BFINVEST</t>
        </is>
      </c>
      <c r="D40" s="32" t="inlineStr">
        <is>
          <t>Bf Investment Limited</t>
        </is>
      </c>
      <c r="E40" s="30" t="inlineStr">
        <is>
          <t>financials</t>
        </is>
      </c>
      <c r="F40" s="30" t="inlineStr">
        <is>
          <t>finance &amp; investments</t>
        </is>
      </c>
      <c r="G40" s="30" t="inlineStr">
        <is>
          <t>smallcap</t>
        </is>
      </c>
      <c r="H40" s="31" t="n">
        <v>1706.34</v>
      </c>
      <c r="I40" s="31" t="n">
        <v>458</v>
      </c>
      <c r="J40" s="31" t="n">
        <v>1.1</v>
      </c>
      <c r="K40" s="31" t="n">
        <v>26467</v>
      </c>
      <c r="L40" s="30" t="n">
        <v>13</v>
      </c>
      <c r="M40" s="30" t="inlineStr">
        <is>
          <t>Underperforming</t>
        </is>
      </c>
      <c r="N40" s="31">
        <f>IF(M40="Underperforming",-5,IF(L40&gt;=95,15,IF(L40&gt;=90,10,IF(L40&gt;=80,5,0))))</f>
        <v/>
      </c>
      <c r="O40" s="31" t="n">
        <v>59.64</v>
      </c>
      <c r="P40" s="31" t="n">
        <v>18.68</v>
      </c>
      <c r="Q40" s="31" t="n">
        <v>356.86</v>
      </c>
      <c r="R40" s="30" t="inlineStr">
        <is>
          <t>Earnings / Momentum Support</t>
        </is>
      </c>
      <c r="S40" s="30" t="inlineStr">
        <is>
          <t>Nifty Bank</t>
        </is>
      </c>
      <c r="T40" s="31" t="n">
        <v>2.55</v>
      </c>
      <c r="U40" s="31" t="n">
        <v>-4.6</v>
      </c>
      <c r="V40" s="31" t="n">
        <v>-6.97</v>
      </c>
      <c r="W40" s="31" t="n">
        <v>4.5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Fragmented with High ROE</t>
        </is>
      </c>
      <c r="AA40" s="30">
        <f>IF(Z40="Fragmented with Low ROE",-5,IF(Z40="Fragmented with High ROE",10,IF(Z40= "highly cyclical",5,0)))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Consistency)",15,IF(AF40="Shallow Cyclical (2 to 3 years growth)",10,IF(AF40 = "Cyclical in an Uptick",5,IF(AF40 = "Cyclical in an Downtick",-10,0))))</f>
        <v/>
      </c>
      <c r="AH40" s="30" t="inlineStr">
        <is>
          <t>Yes</t>
        </is>
      </c>
      <c r="AI40" s="30">
        <f>IF(AH40="Yes",10,0)</f>
        <v/>
      </c>
      <c r="AJ40" s="30" t="inlineStr">
        <is>
          <t>Yes</t>
        </is>
      </c>
      <c r="AK40" s="30">
        <f>IF(AJ40="Yes",10,0)</f>
        <v/>
      </c>
      <c r="AL40" s="30" t="n"/>
      <c r="AM40" s="30">
        <f>IF(AL40="No",10,0)</f>
        <v/>
      </c>
      <c r="AN40" s="30" t="inlineStr">
        <is>
          <t>Yes</t>
        </is>
      </c>
      <c r="AO40" s="30">
        <f>IF(AN40="Yes",10,0)</f>
        <v/>
      </c>
      <c r="AP40" s="30" t="inlineStr">
        <is>
          <t>No</t>
        </is>
      </c>
      <c r="AQ40" s="30">
        <f>IF(AP40="Yes",10,0)</f>
        <v/>
      </c>
      <c r="AR40" s="30" t="inlineStr">
        <is>
          <t>Yes</t>
        </is>
      </c>
      <c r="AS40" s="30">
        <f>IF(AR40="Yes",5,0)</f>
        <v/>
      </c>
      <c r="AT40" s="30" t="inlineStr">
        <is>
          <t>No</t>
        </is>
      </c>
      <c r="AU40" s="30">
        <f>IF(AT40="No",10,IF(AT40="Yes",-10,0))</f>
        <v/>
      </c>
      <c r="AV40" s="30" t="inlineStr">
        <is>
          <t>No</t>
        </is>
      </c>
      <c r="AW40" s="30">
        <f>IF(AV40="No",10,0)</f>
        <v/>
      </c>
      <c r="AX40" s="30" t="inlineStr">
        <is>
          <t>No</t>
        </is>
      </c>
      <c r="AY40" s="30">
        <f>IF(AX40="No",10,IF(AX40= "Yes CEO Resignation",-5,0))</f>
        <v/>
      </c>
      <c r="AZ40" s="30" t="inlineStr">
        <is>
          <t>No</t>
        </is>
      </c>
      <c r="BA40" s="30">
        <f>IF(AZ40="No",10,IF(AZ40="Yes",-5,0))</f>
        <v/>
      </c>
      <c r="BB40" s="30" t="inlineStr">
        <is>
          <t>No</t>
        </is>
      </c>
      <c r="BC40" s="30">
        <f>IF(BB40="No",5,IF(BB40="Yes",-5,0))</f>
        <v/>
      </c>
      <c r="BD40" s="30" t="inlineStr">
        <is>
          <t>Yes</t>
        </is>
      </c>
      <c r="BE40" s="30">
        <f>IF(BD40="Yes",10,0)</f>
        <v/>
      </c>
      <c r="BF40" s="30" t="inlineStr">
        <is>
          <t>Yes</t>
        </is>
      </c>
      <c r="BG40" s="30">
        <f>IF(BF40="Yes",10,0)</f>
        <v/>
      </c>
      <c r="BH40" s="30" t="inlineStr">
        <is>
          <t>Yes</t>
        </is>
      </c>
      <c r="BI40" s="30">
        <f>IF(BH40="Yes",10,0)</f>
        <v/>
      </c>
      <c r="BJ40" s="30" t="inlineStr">
        <is>
          <t>P/BV less than 2.5x and Growth more than 20%</t>
        </is>
      </c>
      <c r="BK40" s="30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0" t="inlineStr">
        <is>
          <t>0 to 20</t>
        </is>
      </c>
      <c r="BM40" s="30">
        <f>IF(BL40="Above 40",20,IF(BL40="20 to 40",10,IF(BL40="0 to 20",-5,0)))</f>
        <v/>
      </c>
      <c r="BN40" s="30" t="inlineStr">
        <is>
          <t>Between 50 to 75</t>
        </is>
      </c>
      <c r="BO40" s="30">
        <f>IF(BN40="Between 50 to 75",10,IF(BN40="Above 75",0,0))</f>
        <v/>
      </c>
      <c r="BP40" s="30" t="inlineStr">
        <is>
          <t>Stage 2</t>
        </is>
      </c>
      <c r="BQ40" s="30">
        <f>IF(BP40="Stage 2",20,IF(BP40="Stage 1",0,IF(BP40="Stage 3",5,IF(BP40="Stage 4",-5,0))))</f>
        <v/>
      </c>
      <c r="BR40" s="30" t="inlineStr">
        <is>
          <t>Positive Trend</t>
        </is>
      </c>
      <c r="BS40" s="30">
        <f>IF(BR40="Positive Trend",20,IF(BR40="Negative Trend",-10,0))</f>
        <v/>
      </c>
      <c r="BT40" s="30" t="inlineStr">
        <is>
          <t>Uptrend</t>
        </is>
      </c>
      <c r="BU40" s="30">
        <f>IF(BT40="Uptrend",10,IF(BT40="Sideways",5,0))</f>
        <v/>
      </c>
      <c r="BV40" s="30" t="inlineStr">
        <is>
          <t>Uptrend</t>
        </is>
      </c>
      <c r="BW40" s="30">
        <f>IF(BV40="Uptrend",10,IF(BV40="Sideways",5,0))</f>
        <v/>
      </c>
      <c r="BX40" s="30" t="inlineStr">
        <is>
          <t>Close to 52 week high or retracement</t>
        </is>
      </c>
      <c r="BY40" s="30">
        <f>IF(BX40="Overhead supply in last 2 years in last 2 years",-5,IF(BX40="Close to 52 week high or retracement",5,IF(BX40="Blue sky scenario",10,IF(BX40="Long term Downtrend",-10,0))))</f>
        <v/>
      </c>
      <c r="BZ40" s="30" t="inlineStr">
        <is>
          <t>Yes</t>
        </is>
      </c>
      <c r="CA40" s="30">
        <f>IF(BZ40="Yes",10,0)</f>
        <v/>
      </c>
    </row>
    <row r="41">
      <c r="A41" s="30">
        <f>IF(B41=0,"",RANK(B41,$B$2:$B$77,0))</f>
        <v/>
      </c>
      <c r="B41" s="31">
        <f>SUM(N41,Y41,AA41,AC41,AE41,AG41,AI41,AK41,AM41,AO41,AQ41,AS41,AU41,AW41,AY41,BA41,BC41,BE41,BG41,BI41,BK41,BM41,BO41,BQ41,BS41,BU41,BW41,BY41,CA41)</f>
        <v/>
      </c>
      <c r="C41" s="32" t="inlineStr">
        <is>
          <t>CAMS</t>
        </is>
      </c>
      <c r="D41" s="32" t="inlineStr">
        <is>
          <t>Computer Age Management Services Ltd</t>
        </is>
      </c>
      <c r="E41" s="30" t="inlineStr">
        <is>
          <t>financials</t>
        </is>
      </c>
      <c r="F41" s="30" t="inlineStr">
        <is>
          <t>miscellaneous</t>
        </is>
      </c>
      <c r="G41" s="30" t="inlineStr">
        <is>
          <t>largecap</t>
        </is>
      </c>
      <c r="H41" s="31" t="n">
        <v>20652.15</v>
      </c>
      <c r="I41" s="31" t="n">
        <v>823.15</v>
      </c>
      <c r="J41" s="31" t="n">
        <v>-1.16</v>
      </c>
      <c r="K41" s="31" t="n">
        <v>1162760</v>
      </c>
      <c r="L41" s="30" t="n">
        <v>23</v>
      </c>
      <c r="M41" s="30" t="inlineStr">
        <is>
          <t>Underperforming</t>
        </is>
      </c>
      <c r="N41" s="31">
        <f>IF(M41="Underperforming",-5,IF(L41&gt;=95,15,IF(L41&gt;=90,10,IF(L41&gt;=80,5,0))))</f>
        <v/>
      </c>
      <c r="O41" s="31" t="n">
        <v>59.96</v>
      </c>
      <c r="P41" s="31" t="n">
        <v>20.42</v>
      </c>
      <c r="Q41" s="31" t="n">
        <v>672.92</v>
      </c>
      <c r="R41" s="30" t="inlineStr">
        <is>
          <t>Near 52W High Breakout</t>
        </is>
      </c>
      <c r="S41" s="30" t="inlineStr">
        <is>
          <t>Nifty Bank</t>
        </is>
      </c>
      <c r="T41" s="31" t="n">
        <v>2.55</v>
      </c>
      <c r="U41" s="31" t="n">
        <v>0.37</v>
      </c>
      <c r="V41" s="31" t="n">
        <v>-2.12</v>
      </c>
      <c r="W41" s="31" t="n">
        <v>6.76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Fragmented with High ROE</t>
        </is>
      </c>
      <c r="AA41" s="30">
        <f>IF(Z41="Fragmented with Low ROE",-5,IF(Z41="Fragmented with High ROE",10,IF(Z41= "highly cyclical",5,0)))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Consistency)",15,IF(AF41="Shallow Cyclical (2 to 3 years growth)",10,IF(AF41 = "Cyclical in an Uptick",5,IF(AF41 = "Cyclical in an Downtick",-10,0))))</f>
        <v/>
      </c>
      <c r="AH41" s="30" t="inlineStr">
        <is>
          <t>Yes</t>
        </is>
      </c>
      <c r="AI41" s="30">
        <f>IF(AH41="Yes",10,0)</f>
        <v/>
      </c>
      <c r="AJ41" s="30" t="inlineStr">
        <is>
          <t>Yes</t>
        </is>
      </c>
      <c r="AK41" s="30">
        <f>IF(AJ41="Yes",10,0)</f>
        <v/>
      </c>
      <c r="AL41" s="30" t="n"/>
      <c r="AM41" s="30">
        <f>IF(AL41="No",10,0)</f>
        <v/>
      </c>
      <c r="AN41" s="30" t="inlineStr">
        <is>
          <t>Yes</t>
        </is>
      </c>
      <c r="AO41" s="30">
        <f>IF(AN41="Yes",10,0)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Yes</t>
        </is>
      </c>
      <c r="AS41" s="30">
        <f>IF(AR41="Yes",5,0)</f>
        <v/>
      </c>
      <c r="AT41" s="30" t="inlineStr">
        <is>
          <t>No</t>
        </is>
      </c>
      <c r="AU41" s="30">
        <f>IF(AT41="No",10,IF(AT41="Yes",-10,0))</f>
        <v/>
      </c>
      <c r="AV41" s="30" t="inlineStr">
        <is>
          <t>No</t>
        </is>
      </c>
      <c r="AW41" s="30">
        <f>IF(AV41="No",10,0)</f>
        <v/>
      </c>
      <c r="AX41" s="30" t="inlineStr">
        <is>
          <t>No</t>
        </is>
      </c>
      <c r="AY41" s="30">
        <f>IF(AX41="No",10,IF(AX41= "Yes CEO Resignation",-5,0))</f>
        <v/>
      </c>
      <c r="AZ41" s="30" t="inlineStr">
        <is>
          <t>No</t>
        </is>
      </c>
      <c r="BA41" s="30">
        <f>IF(AZ41="No",10,IF(AZ41="Yes",-5,0))</f>
        <v/>
      </c>
      <c r="BB41" s="30" t="inlineStr">
        <is>
          <t>No</t>
        </is>
      </c>
      <c r="BC41" s="30">
        <f>IF(BB41="No",5,IF(BB41="Yes",-5,0))</f>
        <v/>
      </c>
      <c r="BD41" s="30" t="inlineStr">
        <is>
          <t>Yes</t>
        </is>
      </c>
      <c r="BE41" s="30">
        <f>IF(BD41="Yes",10,0)</f>
        <v/>
      </c>
      <c r="BF41" s="30" t="inlineStr">
        <is>
          <t>Yes</t>
        </is>
      </c>
      <c r="BG41" s="30">
        <f>IF(BF41="Yes",10,0)</f>
        <v/>
      </c>
      <c r="BH41" s="30" t="inlineStr">
        <is>
          <t>Yes</t>
        </is>
      </c>
      <c r="BI41" s="30">
        <f>IF(BH41="Yes",10,0)</f>
        <v/>
      </c>
      <c r="BJ41" s="30" t="inlineStr">
        <is>
          <t>P/BV above 5x</t>
        </is>
      </c>
      <c r="BK41" s="30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0" t="inlineStr">
        <is>
          <t>20 to 40</t>
        </is>
      </c>
      <c r="BM41" s="30">
        <f>IF(BL41="Above 40",20,IF(BL41="20 to 40",10,IF(BL41="0 to 20",-5,0)))</f>
        <v/>
      </c>
      <c r="BN41" s="30" t="inlineStr">
        <is>
          <t>Between 50 to 75</t>
        </is>
      </c>
      <c r="BO41" s="30">
        <f>IF(BN41="Between 50 to 75",10,IF(BN41="Above 75",0,0))</f>
        <v/>
      </c>
      <c r="BP41" s="30" t="inlineStr">
        <is>
          <t>Stage 2</t>
        </is>
      </c>
      <c r="BQ41" s="30">
        <f>IF(BP41="Stage 2",20,IF(BP41="Stage 1",0,IF(BP41="Stage 3",5,IF(BP41="Stage 4",-5,0))))</f>
        <v/>
      </c>
      <c r="BR41" s="30" t="inlineStr">
        <is>
          <t>Positive Trend</t>
        </is>
      </c>
      <c r="BS41" s="30">
        <f>IF(BR41="Positive Trend",20,IF(BR41="Negative Trend",-10,0))</f>
        <v/>
      </c>
      <c r="BT41" s="30" t="inlineStr">
        <is>
          <t>Uptrend</t>
        </is>
      </c>
      <c r="BU41" s="30">
        <f>IF(BT41="Uptrend",10,IF(BT41="Sideways",5,0))</f>
        <v/>
      </c>
      <c r="BV41" s="30" t="inlineStr">
        <is>
          <t>Uptrend</t>
        </is>
      </c>
      <c r="BW41" s="30">
        <f>IF(BV41="Uptrend",10,IF(BV41="Sideways",5,0))</f>
        <v/>
      </c>
      <c r="BX41" s="30" t="inlineStr">
        <is>
          <t>Close to 52 week high or retracement</t>
        </is>
      </c>
      <c r="BY41" s="30">
        <f>IF(BX41="Overhead supply in last 2 years in last 2 years",-5,IF(BX41="Close to 52 week high or retracement",5,IF(BX41="Blue sky scenario",10,IF(BX41="Long term Downtrend",-10,0))))</f>
        <v/>
      </c>
      <c r="BZ41" s="30" t="inlineStr">
        <is>
          <t>Yes</t>
        </is>
      </c>
      <c r="CA41" s="30">
        <f>IF(BZ41="Yes",10,0)</f>
        <v/>
      </c>
    </row>
    <row r="42">
      <c r="A42" s="30">
        <f>IF(B42=0,"",RANK(B42,$B$2:$B$77,0))</f>
        <v/>
      </c>
      <c r="B42" s="31">
        <f>SUM(N42,Y42,AA42,AC42,AE42,AG42,AI42,AK42,AM42,AO42,AQ42,AS42,AU42,AW42,AY42,BA42,BC42,BE42,BG42,BI42,BK42,BM42,BO42,BQ42,BS42,BU42,BW42,BY42,CA42)</f>
        <v/>
      </c>
      <c r="C42" s="32" t="inlineStr">
        <is>
          <t>CREST</t>
        </is>
      </c>
      <c r="D42" s="32" t="inlineStr">
        <is>
          <t>Crest Ventures Limited</t>
        </is>
      </c>
      <c r="E42" s="30" t="inlineStr">
        <is>
          <t>financials</t>
        </is>
      </c>
      <c r="F42" s="30" t="inlineStr">
        <is>
          <t>finance &amp; investments</t>
        </is>
      </c>
      <c r="G42" s="30" t="inlineStr">
        <is>
          <t>smallcap</t>
        </is>
      </c>
      <c r="H42" s="31" t="n">
        <v>1123.2</v>
      </c>
      <c r="I42" s="31" t="n">
        <v>402.15</v>
      </c>
      <c r="J42" s="31" t="n">
        <v>1.86</v>
      </c>
      <c r="K42" s="31" t="n">
        <v>7711</v>
      </c>
      <c r="L42" s="30" t="n">
        <v>19</v>
      </c>
      <c r="M42" s="30" t="inlineStr">
        <is>
          <t>Underperforming</t>
        </is>
      </c>
      <c r="N42" s="31">
        <f>IF(M42="Underperforming",-5,IF(L42&gt;=95,15,IF(L42&gt;=90,10,IF(L42&gt;=80,5,0))))</f>
        <v/>
      </c>
      <c r="O42" s="31" t="n">
        <v>59.75</v>
      </c>
      <c r="P42" s="31" t="n">
        <v>15.57</v>
      </c>
      <c r="Q42" s="31" t="n">
        <v>305.89</v>
      </c>
      <c r="R42" s="30" t="inlineStr">
        <is>
          <t>Near 52W High Breakout</t>
        </is>
      </c>
      <c r="S42" s="30" t="inlineStr">
        <is>
          <t>Nifty Bank</t>
        </is>
      </c>
      <c r="T42" s="31" t="n">
        <v>2.55</v>
      </c>
      <c r="U42" s="31" t="n">
        <v>1.96</v>
      </c>
      <c r="V42" s="31" t="n">
        <v>-0.57</v>
      </c>
      <c r="W42" s="31" t="n">
        <v>5.45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Fragmented with High ROE</t>
        </is>
      </c>
      <c r="AA42" s="30">
        <f>IF(Z42="Fragmented with Low ROE",-5,IF(Z42="Fragmented with High ROE",10,IF(Z42= "highly cyclical",5,0)))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Consistency)",15,IF(AF42="Shallow Cyclical (2 to 3 years growth)",10,IF(AF42 = "Cyclical in an Uptick",5,IF(AF42 = "Cyclical in an Downtick",-10,0))))</f>
        <v/>
      </c>
      <c r="AH42" s="30" t="inlineStr">
        <is>
          <t>Yes</t>
        </is>
      </c>
      <c r="AI42" s="30">
        <f>IF(AH42="Yes",10,0)</f>
        <v/>
      </c>
      <c r="AJ42" s="30" t="inlineStr">
        <is>
          <t>Yes</t>
        </is>
      </c>
      <c r="AK42" s="30">
        <f>IF(AJ42="Yes",10,0)</f>
        <v/>
      </c>
      <c r="AL42" s="30" t="n"/>
      <c r="AM42" s="30">
        <f>IF(AL42="No",10,0)</f>
        <v/>
      </c>
      <c r="AN42" s="30" t="inlineStr">
        <is>
          <t>Yes</t>
        </is>
      </c>
      <c r="AO42" s="30">
        <f>IF(AN42="Yes",10,0)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Yes</t>
        </is>
      </c>
      <c r="AS42" s="30">
        <f>IF(AR42="Yes",5,0)</f>
        <v/>
      </c>
      <c r="AT42" s="30" t="inlineStr">
        <is>
          <t>No</t>
        </is>
      </c>
      <c r="AU42" s="30">
        <f>IF(AT42="No",10,IF(AT42="Yes",-10,0))</f>
        <v/>
      </c>
      <c r="AV42" s="30" t="inlineStr">
        <is>
          <t>No</t>
        </is>
      </c>
      <c r="AW42" s="30">
        <f>IF(AV42="No",10,0)</f>
        <v/>
      </c>
      <c r="AX42" s="30" t="inlineStr">
        <is>
          <t>No</t>
        </is>
      </c>
      <c r="AY42" s="30">
        <f>IF(AX42="No",10,IF(AX42= "Yes CEO Resignation",-5,0))</f>
        <v/>
      </c>
      <c r="AZ42" s="30" t="inlineStr">
        <is>
          <t>No</t>
        </is>
      </c>
      <c r="BA42" s="30">
        <f>IF(AZ42="No",10,IF(AZ42="Yes",-5,0))</f>
        <v/>
      </c>
      <c r="BB42" s="30" t="inlineStr">
        <is>
          <t>No</t>
        </is>
      </c>
      <c r="BC42" s="30">
        <f>IF(BB42="No",5,IF(BB42="Yes",-5,0))</f>
        <v/>
      </c>
      <c r="BD42" s="30" t="inlineStr">
        <is>
          <t>Yes</t>
        </is>
      </c>
      <c r="BE42" s="30">
        <f>IF(BD42="Yes",10,0)</f>
        <v/>
      </c>
      <c r="BF42" s="30" t="inlineStr">
        <is>
          <t>Yes</t>
        </is>
      </c>
      <c r="BG42" s="30">
        <f>IF(BF42="Yes",10,0)</f>
        <v/>
      </c>
      <c r="BH42" s="30" t="inlineStr">
        <is>
          <t>Yes</t>
        </is>
      </c>
      <c r="BI42" s="30">
        <f>IF(BH42="Yes",10,0)</f>
        <v/>
      </c>
      <c r="BJ42" s="30" t="inlineStr">
        <is>
          <t>P/BV less than 2.5x and Growth less than 20%</t>
        </is>
      </c>
      <c r="BK42" s="30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0" t="inlineStr">
        <is>
          <t>0 to 20</t>
        </is>
      </c>
      <c r="BM42" s="30">
        <f>IF(BL42="Above 40",20,IF(BL42="20 to 40",10,IF(BL42="0 to 20",-5,0)))</f>
        <v/>
      </c>
      <c r="BN42" s="30" t="inlineStr">
        <is>
          <t>Between 50 to 75</t>
        </is>
      </c>
      <c r="BO42" s="30">
        <f>IF(BN42="Between 50 to 75",10,IF(BN42="Above 75",0,0))</f>
        <v/>
      </c>
      <c r="BP42" s="30" t="inlineStr">
        <is>
          <t>Stage 2</t>
        </is>
      </c>
      <c r="BQ42" s="30">
        <f>IF(BP42="Stage 2",20,IF(BP42="Stage 1",0,IF(BP42="Stage 3",5,IF(BP42="Stage 4",-5,0))))</f>
        <v/>
      </c>
      <c r="BR42" s="30" t="inlineStr">
        <is>
          <t>Positive Trend</t>
        </is>
      </c>
      <c r="BS42" s="30">
        <f>IF(BR42="Positive Trend",20,IF(BR42="Negative Trend",-10,0))</f>
        <v/>
      </c>
      <c r="BT42" s="30" t="inlineStr">
        <is>
          <t>Uptrend</t>
        </is>
      </c>
      <c r="BU42" s="30">
        <f>IF(BT42="Uptrend",10,IF(BT42="Sideways",5,0))</f>
        <v/>
      </c>
      <c r="BV42" s="30" t="inlineStr">
        <is>
          <t>Uptrend</t>
        </is>
      </c>
      <c r="BW42" s="30">
        <f>IF(BV42="Uptrend",10,IF(BV42="Sideways",5,0))</f>
        <v/>
      </c>
      <c r="BX42" s="30" t="inlineStr">
        <is>
          <t>Close to 52 week high or retracement</t>
        </is>
      </c>
      <c r="BY42" s="30">
        <f>IF(BX42="Overhead supply in last 2 years in last 2 years",-5,IF(BX42="Close to 52 week high or retracement",5,IF(BX42="Blue sky scenario",10,IF(BX42="Long term Downtrend",-10,0))))</f>
        <v/>
      </c>
      <c r="BZ42" s="30" t="inlineStr">
        <is>
          <t>Yes</t>
        </is>
      </c>
      <c r="CA42" s="30">
        <f>IF(BZ42="Yes",10,0)</f>
        <v/>
      </c>
    </row>
    <row r="43">
      <c r="A43" s="30">
        <f>IF(B43=0,"",RANK(B43,$B$2:$B$77,0))</f>
        <v/>
      </c>
      <c r="B43" s="31">
        <f>SUM(N43,Y43,AA43,AC43,AE43,AG43,AI43,AK43,AM43,AO43,AQ43,AS43,AU43,AW43,AY43,BA43,BC43,BE43,BG43,BI43,BK43,BM43,BO43,BQ43,BS43,BU43,BW43,BY43,CA43)</f>
        <v/>
      </c>
      <c r="C43" s="30" t="inlineStr">
        <is>
          <t>MUFIN</t>
        </is>
      </c>
      <c r="D43" s="30" t="inlineStr">
        <is>
          <t>Mufin Green Finance Ltd</t>
        </is>
      </c>
      <c r="E43" s="30" t="inlineStr">
        <is>
          <t>financials</t>
        </is>
      </c>
      <c r="F43" s="30" t="inlineStr">
        <is>
          <t>finance &amp; investments</t>
        </is>
      </c>
      <c r="G43" s="30" t="inlineStr">
        <is>
          <t>smallcap</t>
        </is>
      </c>
      <c r="H43" s="31" t="n">
        <v>2549.55</v>
      </c>
      <c r="I43" s="31" t="n">
        <v>130.86</v>
      </c>
      <c r="J43" s="31" t="n">
        <v>1.71</v>
      </c>
      <c r="K43" s="31" t="n">
        <v>2111684</v>
      </c>
      <c r="L43" s="30" t="n">
        <v>67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67.8</v>
      </c>
      <c r="P43" s="31" t="n">
        <v>19.27</v>
      </c>
      <c r="Q43" s="31" t="n">
        <v>105.06</v>
      </c>
      <c r="R43" s="30" t="inlineStr">
        <is>
          <t>Near 52W High Breakout</t>
        </is>
      </c>
      <c r="S43" s="30" t="inlineStr">
        <is>
          <t>Nifty Bank</t>
        </is>
      </c>
      <c r="T43" s="31" t="n">
        <v>2.55</v>
      </c>
      <c r="U43" s="31" t="n">
        <v>77.87</v>
      </c>
      <c r="V43" s="31" t="n">
        <v>73.45</v>
      </c>
      <c r="W43" s="31" t="n">
        <v>18.81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Fragmented with High ROE</t>
        </is>
      </c>
      <c r="AA43" s="30">
        <f>IF(Z43="Fragmented with Low ROE",-5,IF(Z43="Fragmented with High ROE",10,IF(Z43= "highly cyclical",5,0)))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Consistency)",15,IF(AF43="Shallow Cyclical (2 to 3 years growth)",10,IF(AF43 = "Cyclical in an Uptick",5,IF(AF43 = "Cyclical in an Downtick",-10,0))))</f>
        <v/>
      </c>
      <c r="AH43" s="30" t="inlineStr">
        <is>
          <t>Yes</t>
        </is>
      </c>
      <c r="AI43" s="30">
        <f>IF(AH43="Yes",10,0)</f>
        <v/>
      </c>
      <c r="AJ43" s="30" t="inlineStr">
        <is>
          <t>Yes</t>
        </is>
      </c>
      <c r="AK43" s="30">
        <f>IF(AJ43="Yes",10,0)</f>
        <v/>
      </c>
      <c r="AL43" s="30" t="n"/>
      <c r="AM43" s="30">
        <f>IF(AL43="No",10,0)</f>
        <v/>
      </c>
      <c r="AN43" s="30" t="inlineStr">
        <is>
          <t>Yes</t>
        </is>
      </c>
      <c r="AO43" s="30">
        <f>IF(AN43="Yes",10,0)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Yes</t>
        </is>
      </c>
      <c r="AS43" s="30">
        <f>IF(AR43="Yes",5,0)</f>
        <v/>
      </c>
      <c r="AT43" s="30" t="inlineStr">
        <is>
          <t>No</t>
        </is>
      </c>
      <c r="AU43" s="30">
        <f>IF(AT43="No",10,IF(AT43="Yes",-10,0))</f>
        <v/>
      </c>
      <c r="AV43" s="30" t="inlineStr">
        <is>
          <t>No</t>
        </is>
      </c>
      <c r="AW43" s="30">
        <f>IF(AV43="No",10,0)</f>
        <v/>
      </c>
      <c r="AX43" s="30" t="inlineStr">
        <is>
          <t>No</t>
        </is>
      </c>
      <c r="AY43" s="30">
        <f>IF(AX43="No",10,IF(AX43= "Yes CEO Resignation",-5,0))</f>
        <v/>
      </c>
      <c r="AZ43" s="30" t="inlineStr">
        <is>
          <t>No</t>
        </is>
      </c>
      <c r="BA43" s="30">
        <f>IF(AZ43="No",10,IF(AZ43="Yes",-5,0))</f>
        <v/>
      </c>
      <c r="BB43" s="30" t="inlineStr">
        <is>
          <t>No</t>
        </is>
      </c>
      <c r="BC43" s="30">
        <f>IF(BB43="No",5,IF(BB43="Yes",-5,0))</f>
        <v/>
      </c>
      <c r="BD43" s="30" t="inlineStr">
        <is>
          <t>Yes</t>
        </is>
      </c>
      <c r="BE43" s="30">
        <f>IF(BD43="Yes",10,0)</f>
        <v/>
      </c>
      <c r="BF43" s="30" t="inlineStr">
        <is>
          <t>Yes</t>
        </is>
      </c>
      <c r="BG43" s="30">
        <f>IF(BF43="Yes",10,0)</f>
        <v/>
      </c>
      <c r="BH43" s="30" t="inlineStr">
        <is>
          <t>Yes</t>
        </is>
      </c>
      <c r="BI43" s="30">
        <f>IF(BH43="Yes",10,0)</f>
        <v/>
      </c>
      <c r="BJ43" s="30" t="inlineStr">
        <is>
          <t>P/BV above 5x</t>
        </is>
      </c>
      <c r="BK43" s="30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0" t="inlineStr">
        <is>
          <t>0 to 20</t>
        </is>
      </c>
      <c r="BM43" s="30">
        <f>IF(BL43="Above 40",20,IF(BL43="20 to 40",10,IF(BL43="0 to 20",-5,0)))</f>
        <v/>
      </c>
      <c r="BN43" s="30" t="inlineStr">
        <is>
          <t>Between 50 to 75</t>
        </is>
      </c>
      <c r="BO43" s="30">
        <f>IF(BN43="Between 50 to 75",10,IF(BN43="Above 75",0,0))</f>
        <v/>
      </c>
      <c r="BP43" s="30" t="inlineStr">
        <is>
          <t>Stage 2</t>
        </is>
      </c>
      <c r="BQ43" s="30">
        <f>IF(BP43="Stage 2",20,IF(BP43="Stage 1",0,IF(BP43="Stage 3",5,IF(BP43="Stage 4",-5,0))))</f>
        <v/>
      </c>
      <c r="BR43" s="30" t="inlineStr">
        <is>
          <t>Positive Trend</t>
        </is>
      </c>
      <c r="BS43" s="30">
        <f>IF(BR43="Positive Trend",20,IF(BR43="Negative Trend",-10,0))</f>
        <v/>
      </c>
      <c r="BT43" s="30" t="inlineStr">
        <is>
          <t>Uptrend</t>
        </is>
      </c>
      <c r="BU43" s="30">
        <f>IF(BT43="Uptrend",10,IF(BT43="Sideways",5,0))</f>
        <v/>
      </c>
      <c r="BV43" s="30" t="inlineStr">
        <is>
          <t>Uptrend</t>
        </is>
      </c>
      <c r="BW43" s="30">
        <f>IF(BV43="Uptrend",10,IF(BV43="Sideways",5,0))</f>
        <v/>
      </c>
      <c r="BX43" s="30" t="inlineStr">
        <is>
          <t>Blue sky scenario</t>
        </is>
      </c>
      <c r="BY43" s="30">
        <f>IF(BX43="Overhead supply in last 2 years in last 2 years",-5,IF(BX43="Close to 52 week high or retracement",5,IF(BX43="Blue sky scenario",10,IF(BX43="Long term Downtrend",-10,0))))</f>
        <v/>
      </c>
      <c r="BZ43" s="30" t="inlineStr">
        <is>
          <t>Yes</t>
        </is>
      </c>
      <c r="CA43" s="30">
        <f>IF(BZ43="Yes",10,0)</f>
        <v/>
      </c>
    </row>
    <row r="44">
      <c r="A44" s="30">
        <f>IF(B44=0,"",RANK(B44,$B$2:$B$77,0))</f>
        <v/>
      </c>
      <c r="B44" s="31">
        <f>SUM(N44,Y44,AA44,AC44,AE44,AG44,AI44,AK44,AM44,AO44,AQ44,AS44,AU44,AW44,AY44,BA44,BC44,BE44,BG44,BI44,BK44,BM44,BO44,BQ44,BS44,BU44,BW44,BY44,CA44)</f>
        <v/>
      </c>
      <c r="C44" s="30" t="inlineStr">
        <is>
          <t>IDFCFIRSTB</t>
        </is>
      </c>
      <c r="D44" s="30" t="inlineStr">
        <is>
          <t>IDFC First Bank Ltd</t>
        </is>
      </c>
      <c r="E44" s="30" t="inlineStr">
        <is>
          <t>bank</t>
        </is>
      </c>
      <c r="F44" s="30" t="inlineStr">
        <is>
          <t>banks - private sector</t>
        </is>
      </c>
      <c r="G44" s="30" t="inlineStr">
        <is>
          <t>largecap</t>
        </is>
      </c>
      <c r="H44" s="31" t="n">
        <v>67170.67</v>
      </c>
      <c r="I44" s="31" t="n">
        <v>78.68000000000001</v>
      </c>
      <c r="J44" s="31" t="n">
        <v>0.76</v>
      </c>
      <c r="K44" s="31" t="n">
        <v>17050266</v>
      </c>
      <c r="L44" s="30" t="n">
        <v>35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59.19</v>
      </c>
      <c r="P44" s="31" t="n">
        <v>27.44</v>
      </c>
      <c r="Q44" s="31" t="n">
        <v>65.31</v>
      </c>
      <c r="R44" s="30" t="inlineStr">
        <is>
          <t>Earnings / Momentum Support</t>
        </is>
      </c>
      <c r="S44" s="30" t="inlineStr">
        <is>
          <t>Nifty Bank</t>
        </is>
      </c>
      <c r="T44" s="31" t="n">
        <v>2.55</v>
      </c>
      <c r="U44" s="31" t="n">
        <v>12.46</v>
      </c>
      <c r="V44" s="31" t="n">
        <v>9.67</v>
      </c>
      <c r="W44" s="31" t="n">
        <v>8.98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Fragmented with High ROE</t>
        </is>
      </c>
      <c r="AA44" s="30">
        <f>IF(Z44="Fragmented with Low ROE",-5,IF(Z44="Fragmented with High ROE",10,IF(Z44= "highly cyclical",5,0)))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Headwind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Consistency)",15,IF(AF44="Shallow Cyclical (2 to 3 years growth)",10,IF(AF44 = "Cyclical in an Uptick",5,IF(AF44 = "Cyclical in an Downtick",-10,0))))</f>
        <v/>
      </c>
      <c r="AH44" s="30" t="inlineStr">
        <is>
          <t>Yes</t>
        </is>
      </c>
      <c r="AI44" s="30">
        <f>IF(AH44="Yes",10,0)</f>
        <v/>
      </c>
      <c r="AJ44" s="30" t="inlineStr">
        <is>
          <t>Yes</t>
        </is>
      </c>
      <c r="AK44" s="30">
        <f>IF(AJ44="Yes",10,0)</f>
        <v/>
      </c>
      <c r="AL44" s="30" t="n"/>
      <c r="AM44" s="30">
        <f>IF(AL44="No",10,0)</f>
        <v/>
      </c>
      <c r="AN44" s="30" t="inlineStr">
        <is>
          <t>Yes</t>
        </is>
      </c>
      <c r="AO44" s="30">
        <f>IF(AN44="Yes",10,0)</f>
        <v/>
      </c>
      <c r="AP44" s="30" t="inlineStr">
        <is>
          <t>No</t>
        </is>
      </c>
      <c r="AQ44" s="30">
        <f>IF(AP44="Yes",10,0)</f>
        <v/>
      </c>
      <c r="AR44" s="30" t="inlineStr">
        <is>
          <t>Yes</t>
        </is>
      </c>
      <c r="AS44" s="30">
        <f>IF(AR44="Yes",5,0)</f>
        <v/>
      </c>
      <c r="AT44" s="30" t="inlineStr">
        <is>
          <t>No</t>
        </is>
      </c>
      <c r="AU44" s="30">
        <f>IF(AT44="No",10,IF(AT44="Yes",-10,0))</f>
        <v/>
      </c>
      <c r="AV44" s="30" t="inlineStr">
        <is>
          <t>No</t>
        </is>
      </c>
      <c r="AW44" s="30">
        <f>IF(AV44="No",10,0)</f>
        <v/>
      </c>
      <c r="AX44" s="30" t="inlineStr">
        <is>
          <t>No</t>
        </is>
      </c>
      <c r="AY44" s="30">
        <f>IF(AX44="No",10,IF(AX44= "Yes CEO Resignation",-5,0))</f>
        <v/>
      </c>
      <c r="AZ44" s="30" t="inlineStr">
        <is>
          <t>No</t>
        </is>
      </c>
      <c r="BA44" s="30">
        <f>IF(AZ44="No",10,IF(AZ44="Yes",-5,0))</f>
        <v/>
      </c>
      <c r="BB44" s="30" t="inlineStr">
        <is>
          <t>No</t>
        </is>
      </c>
      <c r="BC44" s="30">
        <f>IF(BB44="No",5,IF(BB44="Yes",-5,0))</f>
        <v/>
      </c>
      <c r="BD44" s="30" t="inlineStr">
        <is>
          <t>Yes</t>
        </is>
      </c>
      <c r="BE44" s="30">
        <f>IF(BD44="Yes",10,0)</f>
        <v/>
      </c>
      <c r="BF44" s="30" t="inlineStr">
        <is>
          <t>Yes</t>
        </is>
      </c>
      <c r="BG44" s="30">
        <f>IF(BF44="Yes",10,0)</f>
        <v/>
      </c>
      <c r="BH44" s="30" t="inlineStr">
        <is>
          <t>Yes</t>
        </is>
      </c>
      <c r="BI44" s="30">
        <f>IF(BH44="Yes",10,0)</f>
        <v/>
      </c>
      <c r="BJ44" s="30" t="inlineStr">
        <is>
          <t>P/BV less than 2.5x and Growth less than 20%</t>
        </is>
      </c>
      <c r="BK44" s="30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0" t="inlineStr">
        <is>
          <t>20 to 40</t>
        </is>
      </c>
      <c r="BM44" s="30">
        <f>IF(BL44="Above 40",20,IF(BL44="20 to 40",10,IF(BL44="0 to 20",-5,0)))</f>
        <v/>
      </c>
      <c r="BN44" s="30" t="inlineStr">
        <is>
          <t>Between 50 to 75</t>
        </is>
      </c>
      <c r="BO44" s="30">
        <f>IF(BN44="Between 50 to 75",10,IF(BN44="Above 75",0,0))</f>
        <v/>
      </c>
      <c r="BP44" s="30" t="inlineStr">
        <is>
          <t>Stage 2</t>
        </is>
      </c>
      <c r="BQ44" s="30">
        <f>IF(BP44="Stage 2",20,IF(BP44="Stage 1",0,IF(BP44="Stage 3",5,IF(BP44="Stage 4",-5,0))))</f>
        <v/>
      </c>
      <c r="BR44" s="30" t="inlineStr">
        <is>
          <t>Positive Trend</t>
        </is>
      </c>
      <c r="BS44" s="30">
        <f>IF(BR44="Positive Trend",20,IF(BR44="Negative Trend",-10,0))</f>
        <v/>
      </c>
      <c r="BT44" s="30" t="inlineStr">
        <is>
          <t>Uptrend</t>
        </is>
      </c>
      <c r="BU44" s="30">
        <f>IF(BT44="Uptrend",10,IF(BT44="Sideways",5,0))</f>
        <v/>
      </c>
      <c r="BV44" s="30" t="inlineStr">
        <is>
          <t>Uptrend</t>
        </is>
      </c>
      <c r="BW44" s="30">
        <f>IF(BV44="Uptrend",10,IF(BV44="Sideways",5,0))</f>
        <v/>
      </c>
      <c r="BX44" s="30" t="inlineStr">
        <is>
          <t>Close to 52 week high or retracement</t>
        </is>
      </c>
      <c r="BY44" s="30">
        <f>IF(BX44="Overhead supply in last 2 years in last 2 years",-5,IF(BX44="Close to 52 week high or retracement",5,IF(BX44="Blue sky scenario",10,IF(BX44="Long term Downtrend",-10,0))))</f>
        <v/>
      </c>
      <c r="BZ44" s="30" t="inlineStr">
        <is>
          <t>Yes</t>
        </is>
      </c>
      <c r="CA44" s="30">
        <f>IF(BZ44="Yes",10,0)</f>
        <v/>
      </c>
    </row>
    <row r="45">
      <c r="A45" s="30">
        <f>IF(B45=0,"",RANK(B45,$B$2:$B$77,0))</f>
        <v/>
      </c>
      <c r="B45" s="31">
        <f>SUM(N45,Y45,AA45,AC45,AE45,AG45,AI45,AK45,AM45,AO45,AQ45,AS45,AU45,AW45,AY45,BA45,BC45,BE45,BG45,BI45,BK45,BM45,BO45,BQ45,BS45,BU45,BW45,BY45,CA45)</f>
        <v/>
      </c>
      <c r="C45" s="32" t="inlineStr">
        <is>
          <t>MANBA</t>
        </is>
      </c>
      <c r="D45" s="32" t="inlineStr">
        <is>
          <t>Manba Finance Ltd</t>
        </is>
      </c>
      <c r="E45" s="30" t="inlineStr">
        <is>
          <t>financials</t>
        </is>
      </c>
      <c r="F45" s="30" t="inlineStr">
        <is>
          <t>finance &amp; investments</t>
        </is>
      </c>
      <c r="G45" s="30" t="inlineStr">
        <is>
          <t>smallcap</t>
        </is>
      </c>
      <c r="H45" s="31" t="n">
        <v>659.89</v>
      </c>
      <c r="I45" s="31" t="n">
        <v>132.35</v>
      </c>
      <c r="J45" s="31" t="n">
        <v>0.76</v>
      </c>
      <c r="K45" s="31" t="n">
        <v>91260</v>
      </c>
      <c r="L45" s="30" t="n">
        <v>5</v>
      </c>
      <c r="M45" s="30" t="inlineStr">
        <is>
          <t>Underperforming</t>
        </is>
      </c>
      <c r="N45" s="31">
        <f>IF(M45="Underperforming",-5,IF(L45&gt;=95,15,IF(L45&gt;=90,10,IF(L45&gt;=80,5,0))))</f>
        <v/>
      </c>
      <c r="O45" s="31" t="n">
        <v>59.9</v>
      </c>
      <c r="P45" s="31" t="n">
        <v>27.06</v>
      </c>
      <c r="Q45" s="31" t="n">
        <v>103.04</v>
      </c>
      <c r="R45" s="30" t="inlineStr">
        <is>
          <t>Volume Spike / Accumulation</t>
        </is>
      </c>
      <c r="S45" s="30" t="inlineStr">
        <is>
          <t>Nifty Bank</t>
        </is>
      </c>
      <c r="T45" s="31" t="n">
        <v>2.55</v>
      </c>
      <c r="U45" s="31" t="n">
        <v>-4.87</v>
      </c>
      <c r="V45" s="31" t="n">
        <v>-7.23</v>
      </c>
      <c r="W45" s="31" t="n">
        <v>2.79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Fragmented with High ROE</t>
        </is>
      </c>
      <c r="AA45" s="30">
        <f>IF(Z45="Fragmented with Low ROE",-5,IF(Z45="Fragmented with High ROE",10,IF(Z45= "highly cyclical",5,0)))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Headwind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Consistency)",15,IF(AF45="Shallow Cyclical (2 to 3 years growth)",10,IF(AF45 = "Cyclical in an Uptick",5,IF(AF45 = "Cyclical in an Downtick",-10,0))))</f>
        <v/>
      </c>
      <c r="AH45" s="30" t="inlineStr">
        <is>
          <t>Yes</t>
        </is>
      </c>
      <c r="AI45" s="30">
        <f>IF(AH45="Yes",10,0)</f>
        <v/>
      </c>
      <c r="AJ45" s="30" t="inlineStr">
        <is>
          <t>Yes</t>
        </is>
      </c>
      <c r="AK45" s="30">
        <f>IF(AJ45="Yes",10,0)</f>
        <v/>
      </c>
      <c r="AL45" s="30" t="n"/>
      <c r="AM45" s="30">
        <f>IF(AL45="No",10,0)</f>
        <v/>
      </c>
      <c r="AN45" s="30" t="inlineStr">
        <is>
          <t>Yes</t>
        </is>
      </c>
      <c r="AO45" s="30">
        <f>IF(AN45="Yes",10,0)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Yes</t>
        </is>
      </c>
      <c r="AS45" s="30">
        <f>IF(AR45="Yes",5,0)</f>
        <v/>
      </c>
      <c r="AT45" s="30" t="inlineStr">
        <is>
          <t>No</t>
        </is>
      </c>
      <c r="AU45" s="30">
        <f>IF(AT45="No",10,IF(AT45="Yes",-10,0))</f>
        <v/>
      </c>
      <c r="AV45" s="30" t="inlineStr">
        <is>
          <t>No</t>
        </is>
      </c>
      <c r="AW45" s="30">
        <f>IF(AV45="No",10,0)</f>
        <v/>
      </c>
      <c r="AX45" s="30" t="inlineStr">
        <is>
          <t>No</t>
        </is>
      </c>
      <c r="AY45" s="30">
        <f>IF(AX45="No",10,IF(AX45= "Yes CEO Resignation",-5,0))</f>
        <v/>
      </c>
      <c r="AZ45" s="30" t="inlineStr">
        <is>
          <t>No</t>
        </is>
      </c>
      <c r="BA45" s="30">
        <f>IF(AZ45="No",10,IF(AZ45="Yes",-5,0))</f>
        <v/>
      </c>
      <c r="BB45" s="30" t="inlineStr">
        <is>
          <t>No</t>
        </is>
      </c>
      <c r="BC45" s="30">
        <f>IF(BB45="No",5,IF(BB45="Yes",-5,0))</f>
        <v/>
      </c>
      <c r="BD45" s="30" t="inlineStr">
        <is>
          <t>Yes</t>
        </is>
      </c>
      <c r="BE45" s="30">
        <f>IF(BD45="Yes",10,0)</f>
        <v/>
      </c>
      <c r="BF45" s="30" t="inlineStr">
        <is>
          <t>Yes</t>
        </is>
      </c>
      <c r="BG45" s="30">
        <f>IF(BF45="Yes",10,0)</f>
        <v/>
      </c>
      <c r="BH45" s="30" t="inlineStr">
        <is>
          <t>Yes</t>
        </is>
      </c>
      <c r="BI45" s="30">
        <f>IF(BH45="Yes",10,0)</f>
        <v/>
      </c>
      <c r="BJ45" s="30" t="inlineStr">
        <is>
          <t>P/BV less than 2.5x and Growth more than 20%</t>
        </is>
      </c>
      <c r="BK45" s="30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0" t="inlineStr">
        <is>
          <t>20 to 40</t>
        </is>
      </c>
      <c r="BM45" s="30">
        <f>IF(BL45="Above 40",20,IF(BL45="20 to 40",10,IF(BL45="0 to 20",-5,0)))</f>
        <v/>
      </c>
      <c r="BN45" s="30" t="inlineStr">
        <is>
          <t>Between 50 to 75</t>
        </is>
      </c>
      <c r="BO45" s="30">
        <f>IF(BN45="Between 50 to 75",10,IF(BN45="Above 75",0,0))</f>
        <v/>
      </c>
      <c r="BP45" s="30" t="inlineStr">
        <is>
          <t>Stage 1</t>
        </is>
      </c>
      <c r="BQ45" s="30">
        <f>IF(BP45="Stage 2",20,IF(BP45="Stage 1",0,IF(BP45="Stage 3",5,IF(BP45="Stage 4",-5,0))))</f>
        <v/>
      </c>
      <c r="BR45" s="30" t="inlineStr">
        <is>
          <t>Positive Trend</t>
        </is>
      </c>
      <c r="BS45" s="30">
        <f>IF(BR45="Positive Trend",20,IF(BR45="Negative Trend",-10,0))</f>
        <v/>
      </c>
      <c r="BT45" s="30" t="inlineStr">
        <is>
          <t>Uptrend</t>
        </is>
      </c>
      <c r="BU45" s="30">
        <f>IF(BT45="Uptrend",10,IF(BT45="Sideways",5,0))</f>
        <v/>
      </c>
      <c r="BV45" s="30" t="inlineStr">
        <is>
          <t>Uptrend</t>
        </is>
      </c>
      <c r="BW45" s="30">
        <f>IF(BV45="Uptrend",10,IF(BV45="Sideways",5,0))</f>
        <v/>
      </c>
      <c r="BX45" s="30" t="inlineStr">
        <is>
          <t>Close to 52 week high or retracement</t>
        </is>
      </c>
      <c r="BY45" s="30">
        <f>IF(BX45="Overhead supply in last 2 years in last 2 years",-5,IF(BX45="Close to 52 week high or retracement",5,IF(BX45="Blue sky scenario",10,IF(BX45="Long term Downtrend",-10,0))))</f>
        <v/>
      </c>
      <c r="BZ45" s="30" t="inlineStr">
        <is>
          <t>Yes</t>
        </is>
      </c>
      <c r="CA45" s="30">
        <f>IF(BZ45="Yes",10,0)</f>
        <v/>
      </c>
    </row>
    <row r="46">
      <c r="A46" s="30">
        <f>IF(B46=0,"",RANK(B46,$B$2:$B$77,0))</f>
        <v/>
      </c>
      <c r="B46" s="31">
        <f>SUM(N46,Y46,AA46,AC46,AE46,AG46,AI46,AK46,AM46,AO46,AQ46,AS46,AU46,AW46,AY46,BA46,BC46,BE46,BG46,BI46,BK46,BM46,BO46,BQ46,BS46,BU46,BW46,BY46,CA46)</f>
        <v/>
      </c>
      <c r="C46" s="30" t="inlineStr">
        <is>
          <t>SHRIRAMFIN</t>
        </is>
      </c>
      <c r="D46" s="30" t="inlineStr">
        <is>
          <t>Shriram Finance Ltd</t>
        </is>
      </c>
      <c r="E46" s="30" t="inlineStr">
        <is>
          <t>financials</t>
        </is>
      </c>
      <c r="F46" s="30" t="inlineStr">
        <is>
          <t>finance &amp; investments</t>
        </is>
      </c>
      <c r="G46" s="30" t="inlineStr">
        <is>
          <t>largecap</t>
        </is>
      </c>
      <c r="H46" s="31" t="n">
        <v>235903.87</v>
      </c>
      <c r="I46" s="31" t="n">
        <v>1001.9</v>
      </c>
      <c r="J46" s="31" t="n">
        <v>-0.08</v>
      </c>
      <c r="K46" s="31" t="n">
        <v>2611538</v>
      </c>
      <c r="L46" s="30" t="n">
        <v>45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56.74</v>
      </c>
      <c r="P46" s="31" t="n">
        <v>10.27</v>
      </c>
      <c r="Q46" s="31" t="n">
        <v>822.87</v>
      </c>
      <c r="R46" s="30" t="inlineStr">
        <is>
          <t>Earnings / Momentum Support</t>
        </is>
      </c>
      <c r="S46" s="30" t="inlineStr">
        <is>
          <t>Nifty Bank</t>
        </is>
      </c>
      <c r="T46" s="31" t="n">
        <v>2.55</v>
      </c>
      <c r="U46" s="31" t="n">
        <v>51.95</v>
      </c>
      <c r="V46" s="31" t="n">
        <v>48.18</v>
      </c>
      <c r="W46" s="31" t="n">
        <v>11.26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Fragmented with High ROE</t>
        </is>
      </c>
      <c r="AA46" s="30">
        <f>IF(Z46="Fragmented with Low ROE",-5,IF(Z46="Fragmented with High ROE",10,IF(Z46= "highly cyclical",5,0)))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Consistency)",15,IF(AF46="Shallow Cyclical (2 to 3 years growth)",10,IF(AF46 = "Cyclical in an Uptick",5,IF(AF46 = "Cyclical in an Downtick",-10,0))))</f>
        <v/>
      </c>
      <c r="AH46" s="30" t="inlineStr">
        <is>
          <t>Yes</t>
        </is>
      </c>
      <c r="AI46" s="30">
        <f>IF(AH46="Yes",10,0)</f>
        <v/>
      </c>
      <c r="AJ46" s="30" t="inlineStr">
        <is>
          <t>Yes</t>
        </is>
      </c>
      <c r="AK46" s="30">
        <f>IF(AJ46="Yes",10,0)</f>
        <v/>
      </c>
      <c r="AL46" s="30" t="n"/>
      <c r="AM46" s="30">
        <f>IF(AL46="No",10,0)</f>
        <v/>
      </c>
      <c r="AN46" s="30" t="inlineStr">
        <is>
          <t>Yes</t>
        </is>
      </c>
      <c r="AO46" s="30">
        <f>IF(AN46="Yes",10,0)</f>
        <v/>
      </c>
      <c r="AP46" s="30" t="inlineStr">
        <is>
          <t>No</t>
        </is>
      </c>
      <c r="AQ46" s="30">
        <f>IF(AP46="Yes",10,0)</f>
        <v/>
      </c>
      <c r="AR46" s="30" t="inlineStr">
        <is>
          <t>Yes</t>
        </is>
      </c>
      <c r="AS46" s="30">
        <f>IF(AR46="Yes",5,0)</f>
        <v/>
      </c>
      <c r="AT46" s="30" t="inlineStr">
        <is>
          <t>No</t>
        </is>
      </c>
      <c r="AU46" s="30">
        <f>IF(AT46="No",10,IF(AT46="Yes",-10,0))</f>
        <v/>
      </c>
      <c r="AV46" s="30" t="inlineStr">
        <is>
          <t>No</t>
        </is>
      </c>
      <c r="AW46" s="30">
        <f>IF(AV46="No",10,0)</f>
        <v/>
      </c>
      <c r="AX46" s="30" t="inlineStr">
        <is>
          <t>No</t>
        </is>
      </c>
      <c r="AY46" s="30">
        <f>IF(AX46="No",10,IF(AX46= "Yes CEO Resignation",-5,0))</f>
        <v/>
      </c>
      <c r="AZ46" s="30" t="inlineStr">
        <is>
          <t>No</t>
        </is>
      </c>
      <c r="BA46" s="30">
        <f>IF(AZ46="No",10,IF(AZ46="Yes",-5,0))</f>
        <v/>
      </c>
      <c r="BB46" s="30" t="inlineStr">
        <is>
          <t>No</t>
        </is>
      </c>
      <c r="BC46" s="30">
        <f>IF(BB46="No",5,IF(BB46="Yes",-5,0))</f>
        <v/>
      </c>
      <c r="BD46" s="30" t="inlineStr">
        <is>
          <t>Yes</t>
        </is>
      </c>
      <c r="BE46" s="30">
        <f>IF(BD46="Yes",10,0)</f>
        <v/>
      </c>
      <c r="BF46" s="30" t="inlineStr">
        <is>
          <t>Yes</t>
        </is>
      </c>
      <c r="BG46" s="30">
        <f>IF(BF46="Yes",10,0)</f>
        <v/>
      </c>
      <c r="BH46" s="30" t="inlineStr">
        <is>
          <t>Yes</t>
        </is>
      </c>
      <c r="BI46" s="30">
        <f>IF(BH46="Yes",10,0)</f>
        <v/>
      </c>
      <c r="BJ46" s="30" t="inlineStr">
        <is>
          <t>P/BV between 2.5x to 5x and Growth more than 20%</t>
        </is>
      </c>
      <c r="BK46" s="30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0" t="inlineStr">
        <is>
          <t>0 to 20</t>
        </is>
      </c>
      <c r="BM46" s="30">
        <f>IF(BL46="Above 40",20,IF(BL46="20 to 40",10,IF(BL46="0 to 20",-5,0)))</f>
        <v/>
      </c>
      <c r="BN46" s="30" t="inlineStr">
        <is>
          <t>Between 50 to 75</t>
        </is>
      </c>
      <c r="BO46" s="30">
        <f>IF(BN46="Between 50 to 75",10,IF(BN46="Above 75",0,0))</f>
        <v/>
      </c>
      <c r="BP46" s="30" t="inlineStr">
        <is>
          <t>Stage 2</t>
        </is>
      </c>
      <c r="BQ46" s="30">
        <f>IF(BP46="Stage 2",20,IF(BP46="Stage 1",0,IF(BP46="Stage 3",5,IF(BP46="Stage 4",-5,0))))</f>
        <v/>
      </c>
      <c r="BR46" s="30" t="inlineStr">
        <is>
          <t>Positive Trend</t>
        </is>
      </c>
      <c r="BS46" s="30">
        <f>IF(BR46="Positive Trend",20,IF(BR46="Negative Trend",-10,0))</f>
        <v/>
      </c>
      <c r="BT46" s="30" t="inlineStr">
        <is>
          <t>Uptrend</t>
        </is>
      </c>
      <c r="BU46" s="30">
        <f>IF(BT46="Uptrend",10,IF(BT46="Sideways",5,0))</f>
        <v/>
      </c>
      <c r="BV46" s="30" t="inlineStr">
        <is>
          <t>Uptrend</t>
        </is>
      </c>
      <c r="BW46" s="30">
        <f>IF(BV46="Uptrend",10,IF(BV46="Sideways",5,0))</f>
        <v/>
      </c>
      <c r="BX46" s="30" t="inlineStr">
        <is>
          <t>Close to 52 week high or retracement</t>
        </is>
      </c>
      <c r="BY46" s="30">
        <f>IF(BX46="Overhead supply in last 2 years in last 2 years",-5,IF(BX46="Close to 52 week high or retracement",5,IF(BX46="Blue sky scenario",10,IF(BX46="Long term Downtrend",-10,0))))</f>
        <v/>
      </c>
      <c r="BZ46" s="30" t="inlineStr">
        <is>
          <t>Yes</t>
        </is>
      </c>
      <c r="CA46" s="30">
        <f>IF(BZ46="Yes",10,0)</f>
        <v/>
      </c>
    </row>
    <row r="47">
      <c r="A47" s="30">
        <f>IF(B47=0,"",RANK(B47,$B$2:$B$77,0))</f>
        <v/>
      </c>
      <c r="B47" s="31">
        <f>SUM(N47,Y47,AA47,AC47,AE47,AG47,AI47,AK47,AM47,AO47,AQ47,AS47,AU47,AW47,AY47,BA47,BC47,BE47,BG47,BI47,BK47,BM47,BO47,BQ47,BS47,BU47,BW47,BY47,CA47)</f>
        <v/>
      </c>
      <c r="C47" s="30" t="inlineStr">
        <is>
          <t>EDELWEISS</t>
        </is>
      </c>
      <c r="D47" s="30" t="inlineStr">
        <is>
          <t>Edelweiss Financial Services Limited</t>
        </is>
      </c>
      <c r="E47" s="30" t="inlineStr">
        <is>
          <t>financials</t>
        </is>
      </c>
      <c r="F47" s="30" t="inlineStr">
        <is>
          <t>finance &amp; investments</t>
        </is>
      </c>
      <c r="G47" s="30" t="inlineStr">
        <is>
          <t>midcap</t>
        </is>
      </c>
      <c r="H47" s="31" t="n">
        <v>11485.22</v>
      </c>
      <c r="I47" s="31" t="n">
        <v>124.71</v>
      </c>
      <c r="J47" s="31" t="n">
        <v>2.78</v>
      </c>
      <c r="K47" s="31" t="n">
        <v>11659114</v>
      </c>
      <c r="L47" s="30" t="n">
        <v>34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58.47</v>
      </c>
      <c r="P47" s="31" t="n">
        <v>7.87</v>
      </c>
      <c r="Q47" s="31" t="n">
        <v>92.15000000000001</v>
      </c>
      <c r="R47" s="30" t="inlineStr">
        <is>
          <t>Volume Spike &amp; Near 52W High Breakout</t>
        </is>
      </c>
      <c r="S47" s="30" t="inlineStr">
        <is>
          <t>Nifty Bank</t>
        </is>
      </c>
      <c r="T47" s="31" t="n">
        <v>2.55</v>
      </c>
      <c r="U47" s="31" t="n">
        <v>23.46</v>
      </c>
      <c r="V47" s="31" t="n">
        <v>20.39</v>
      </c>
      <c r="W47" s="31" t="n">
        <v>8.76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Fragmented with High ROE</t>
        </is>
      </c>
      <c r="AA47" s="30">
        <f>IF(Z47="Fragmented with Low ROE",-5,IF(Z47="Fragmented with High ROE",10,IF(Z47= "highly cyclical",5,0)))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Consistency)",15,IF(AF47="Shallow Cyclical (2 to 3 years growth)",10,IF(AF47 = "Cyclical in an Uptick",5,IF(AF47 = "Cyclical in an Downtick",-10,0))))</f>
        <v/>
      </c>
      <c r="AH47" s="30" t="inlineStr">
        <is>
          <t>Yes</t>
        </is>
      </c>
      <c r="AI47" s="30">
        <f>IF(AH47="Yes",10,0)</f>
        <v/>
      </c>
      <c r="AJ47" s="30" t="inlineStr">
        <is>
          <t>Yes</t>
        </is>
      </c>
      <c r="AK47" s="30">
        <f>IF(AJ47="Yes",10,0)</f>
        <v/>
      </c>
      <c r="AL47" s="30" t="n"/>
      <c r="AM47" s="30">
        <f>IF(AL47="No",10,0)</f>
        <v/>
      </c>
      <c r="AN47" s="30" t="inlineStr">
        <is>
          <t>Yes</t>
        </is>
      </c>
      <c r="AO47" s="30">
        <f>IF(AN47="Yes",10,0)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Yes</t>
        </is>
      </c>
      <c r="AS47" s="30">
        <f>IF(AR47="Yes",5,0)</f>
        <v/>
      </c>
      <c r="AT47" s="30" t="inlineStr">
        <is>
          <t>No</t>
        </is>
      </c>
      <c r="AU47" s="30">
        <f>IF(AT47="No",10,IF(AT47="Yes",-10,0))</f>
        <v/>
      </c>
      <c r="AV47" s="30" t="inlineStr">
        <is>
          <t>No</t>
        </is>
      </c>
      <c r="AW47" s="30">
        <f>IF(AV47="No",10,0)</f>
        <v/>
      </c>
      <c r="AX47" s="30" t="inlineStr">
        <is>
          <t>No</t>
        </is>
      </c>
      <c r="AY47" s="30">
        <f>IF(AX47="No",10,IF(AX47= "Yes CEO Resignation",-5,0))</f>
        <v/>
      </c>
      <c r="AZ47" s="30" t="inlineStr">
        <is>
          <t>No</t>
        </is>
      </c>
      <c r="BA47" s="30">
        <f>IF(AZ47="No",10,IF(AZ47="Yes",-5,0))</f>
        <v/>
      </c>
      <c r="BB47" s="30" t="inlineStr">
        <is>
          <t>No</t>
        </is>
      </c>
      <c r="BC47" s="30">
        <f>IF(BB47="No",5,IF(BB47="Yes",-5,0))</f>
        <v/>
      </c>
      <c r="BD47" s="30" t="inlineStr">
        <is>
          <t>Yes</t>
        </is>
      </c>
      <c r="BE47" s="30">
        <f>IF(BD47="Yes",10,0)</f>
        <v/>
      </c>
      <c r="BF47" s="30" t="inlineStr">
        <is>
          <t>Yes</t>
        </is>
      </c>
      <c r="BG47" s="30">
        <f>IF(BF47="Yes",10,0)</f>
        <v/>
      </c>
      <c r="BH47" s="30" t="inlineStr">
        <is>
          <t>Yes</t>
        </is>
      </c>
      <c r="BI47" s="30">
        <f>IF(BH47="Yes",10,0)</f>
        <v/>
      </c>
      <c r="BJ47" s="30" t="inlineStr">
        <is>
          <t>P/BV between 2.5x to 5x and Growth less than 20%</t>
        </is>
      </c>
      <c r="BK47" s="30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0" t="inlineStr">
        <is>
          <t>0 to 20</t>
        </is>
      </c>
      <c r="BM47" s="30">
        <f>IF(BL47="Above 40",20,IF(BL47="20 to 40",10,IF(BL47="0 to 20",-5,0)))</f>
        <v/>
      </c>
      <c r="BN47" s="30" t="inlineStr">
        <is>
          <t>Between 50 to 75</t>
        </is>
      </c>
      <c r="BO47" s="30">
        <f>IF(BN47="Between 50 to 75",10,IF(BN47="Above 75",0,0))</f>
        <v/>
      </c>
      <c r="BP47" s="30" t="inlineStr">
        <is>
          <t>Stage 2</t>
        </is>
      </c>
      <c r="BQ47" s="30">
        <f>IF(BP47="Stage 2",20,IF(BP47="Stage 1",0,IF(BP47="Stage 3",5,IF(BP47="Stage 4",-5,0))))</f>
        <v/>
      </c>
      <c r="BR47" s="30" t="inlineStr">
        <is>
          <t>Positive Trend</t>
        </is>
      </c>
      <c r="BS47" s="30">
        <f>IF(BR47="Positive Trend",20,IF(BR47="Negative Trend",-10,0))</f>
        <v/>
      </c>
      <c r="BT47" s="30" t="inlineStr">
        <is>
          <t>Uptrend</t>
        </is>
      </c>
      <c r="BU47" s="30">
        <f>IF(BT47="Uptrend",10,IF(BT47="Sideways",5,0))</f>
        <v/>
      </c>
      <c r="BV47" s="30" t="inlineStr">
        <is>
          <t>Uptrend</t>
        </is>
      </c>
      <c r="BW47" s="30">
        <f>IF(BV47="Uptrend",10,IF(BV47="Sideways",5,0))</f>
        <v/>
      </c>
      <c r="BX47" s="30" t="inlineStr">
        <is>
          <t>Close to 52 week high or retracement</t>
        </is>
      </c>
      <c r="BY47" s="30">
        <f>IF(BX47="Overhead supply in last 2 years in last 2 years",-5,IF(BX47="Close to 52 week high or retracement",5,IF(BX47="Blue sky scenario",10,IF(BX47="Long term Downtrend",-10,0))))</f>
        <v/>
      </c>
      <c r="BZ47" s="30" t="inlineStr">
        <is>
          <t>Yes</t>
        </is>
      </c>
      <c r="CA47" s="30">
        <f>IF(BZ47="Yes",10,0)</f>
        <v/>
      </c>
    </row>
    <row r="48">
      <c r="A48" s="30">
        <f>IF(B48=0,"",RANK(B48,$B$2:$B$77,0))</f>
        <v/>
      </c>
      <c r="B48" s="31">
        <f>SUM(N48,Y48,AA48,AC48,AE48,AG48,AI48,AK48,AM48,AO48,AQ48,AS48,AU48,AW48,AY48,BA48,BC48,BE48,BG48,BI48,BK48,BM48,BO48,BQ48,BS48,BU48,BW48,BY48,CA48)</f>
        <v/>
      </c>
      <c r="C48" s="32" t="inlineStr">
        <is>
          <t>LICI</t>
        </is>
      </c>
      <c r="D48" s="32" t="inlineStr">
        <is>
          <t>Life Insurance Corporation of India Ltd</t>
        </is>
      </c>
      <c r="E48" s="30" t="inlineStr">
        <is>
          <t>financials</t>
        </is>
      </c>
      <c r="F48" s="30" t="inlineStr">
        <is>
          <t>finance &amp; investments</t>
        </is>
      </c>
      <c r="G48" s="30" t="inlineStr">
        <is>
          <t>largecap</t>
        </is>
      </c>
      <c r="H48" s="31" t="n">
        <v>543949.8</v>
      </c>
      <c r="I48" s="31" t="n">
        <v>440.15</v>
      </c>
      <c r="J48" s="31" t="n">
        <v>2.36</v>
      </c>
      <c r="K48" s="31" t="n">
        <v>12106383</v>
      </c>
      <c r="L48" s="30" t="n">
        <v>4</v>
      </c>
      <c r="M48" s="30" t="inlineStr">
        <is>
          <t>Underperforming</t>
        </is>
      </c>
      <c r="N48" s="31">
        <f>IF(M48="Underperforming",-5,IF(L48&gt;=95,15,IF(L48&gt;=90,10,IF(L48&gt;=80,5,0))))</f>
        <v/>
      </c>
      <c r="O48" s="31" t="n">
        <v>58.59</v>
      </c>
      <c r="P48" s="31" t="n">
        <v>11.93</v>
      </c>
      <c r="Q48" s="31" t="n">
        <v>370.12</v>
      </c>
      <c r="R48" s="30" t="inlineStr">
        <is>
          <t>Volume Spike / Accumulation</t>
        </is>
      </c>
      <c r="S48" s="30" t="inlineStr">
        <is>
          <t>Nifty Bank</t>
        </is>
      </c>
      <c r="T48" s="31" t="n">
        <v>2.55</v>
      </c>
      <c r="U48" s="31" t="n">
        <v>-4.76</v>
      </c>
      <c r="V48" s="31" t="n">
        <v>-7.13</v>
      </c>
      <c r="W48" s="31" t="n">
        <v>1.97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Fragmented with High ROE</t>
        </is>
      </c>
      <c r="AA48" s="30">
        <f>IF(Z48="Fragmented with Low ROE",-5,IF(Z48="Fragmented with High ROE",10,IF(Z48= "highly cyclical",5,0)))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Consistency)",15,IF(AF48="Shallow Cyclical (2 to 3 years growth)",10,IF(AF48 = "Cyclical in an Uptick",5,IF(AF48 = "Cyclical in an Downtick",-10,0))))</f>
        <v/>
      </c>
      <c r="AH48" s="30" t="inlineStr">
        <is>
          <t>Yes</t>
        </is>
      </c>
      <c r="AI48" s="30">
        <f>IF(AH48="Yes",10,0)</f>
        <v/>
      </c>
      <c r="AJ48" s="30" t="inlineStr">
        <is>
          <t>Yes</t>
        </is>
      </c>
      <c r="AK48" s="30">
        <f>IF(AJ48="Yes",10,0)</f>
        <v/>
      </c>
      <c r="AL48" s="30" t="n"/>
      <c r="AM48" s="30">
        <f>IF(AL48="No",10,0)</f>
        <v/>
      </c>
      <c r="AN48" s="30" t="inlineStr">
        <is>
          <t>Yes</t>
        </is>
      </c>
      <c r="AO48" s="30">
        <f>IF(AN48="Yes",10,0)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Yes</t>
        </is>
      </c>
      <c r="AS48" s="30">
        <f>IF(AR48="Yes",5,0)</f>
        <v/>
      </c>
      <c r="AT48" s="30" t="inlineStr">
        <is>
          <t>No</t>
        </is>
      </c>
      <c r="AU48" s="30">
        <f>IF(AT48="No",10,IF(AT48="Yes",-10,0))</f>
        <v/>
      </c>
      <c r="AV48" s="30" t="inlineStr">
        <is>
          <t>No</t>
        </is>
      </c>
      <c r="AW48" s="30">
        <f>IF(AV48="No",10,0)</f>
        <v/>
      </c>
      <c r="AX48" s="30" t="inlineStr">
        <is>
          <t>No</t>
        </is>
      </c>
      <c r="AY48" s="30">
        <f>IF(AX48="No",10,IF(AX48= "Yes CEO Resignation",-5,0))</f>
        <v/>
      </c>
      <c r="AZ48" s="30" t="inlineStr">
        <is>
          <t>No</t>
        </is>
      </c>
      <c r="BA48" s="30">
        <f>IF(AZ48="No",10,IF(AZ48="Yes",-5,0))</f>
        <v/>
      </c>
      <c r="BB48" s="30" t="inlineStr">
        <is>
          <t>No</t>
        </is>
      </c>
      <c r="BC48" s="30">
        <f>IF(BB48="No",5,IF(BB48="Yes",-5,0))</f>
        <v/>
      </c>
      <c r="BD48" s="30" t="inlineStr">
        <is>
          <t>Yes</t>
        </is>
      </c>
      <c r="BE48" s="30">
        <f>IF(BD48="Yes",10,0)</f>
        <v/>
      </c>
      <c r="BF48" s="30" t="inlineStr">
        <is>
          <t>Yes</t>
        </is>
      </c>
      <c r="BG48" s="30">
        <f>IF(BF48="Yes",10,0)</f>
        <v/>
      </c>
      <c r="BH48" s="30" t="inlineStr">
        <is>
          <t>Yes</t>
        </is>
      </c>
      <c r="BI48" s="30">
        <f>IF(BH48="Yes",10,0)</f>
        <v/>
      </c>
      <c r="BJ48" s="30" t="inlineStr">
        <is>
          <t>P/BV less than 2.5x and Growth more than 20%</t>
        </is>
      </c>
      <c r="BK48" s="30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0" t="inlineStr">
        <is>
          <t>0 to 20</t>
        </is>
      </c>
      <c r="BM48" s="30">
        <f>IF(BL48="Above 40",20,IF(BL48="20 to 40",10,IF(BL48="0 to 20",-5,0)))</f>
        <v/>
      </c>
      <c r="BN48" s="30" t="inlineStr">
        <is>
          <t>Between 50 to 75</t>
        </is>
      </c>
      <c r="BO48" s="30">
        <f>IF(BN48="Between 50 to 75",10,IF(BN48="Above 75",0,0))</f>
        <v/>
      </c>
      <c r="BP48" s="30" t="inlineStr">
        <is>
          <t>Stage 1</t>
        </is>
      </c>
      <c r="BQ48" s="30">
        <f>IF(BP48="Stage 2",20,IF(BP48="Stage 1",0,IF(BP48="Stage 3",5,IF(BP48="Stage 4",-5,0))))</f>
        <v/>
      </c>
      <c r="BR48" s="30" t="inlineStr">
        <is>
          <t>Positive Trend</t>
        </is>
      </c>
      <c r="BS48" s="30">
        <f>IF(BR48="Positive Trend",20,IF(BR48="Negative Trend",-10,0))</f>
        <v/>
      </c>
      <c r="BT48" s="30" t="inlineStr">
        <is>
          <t>Uptrend</t>
        </is>
      </c>
      <c r="BU48" s="30">
        <f>IF(BT48="Uptrend",10,IF(BT48="Sideways",5,0))</f>
        <v/>
      </c>
      <c r="BV48" s="30" t="inlineStr">
        <is>
          <t>Uptrend</t>
        </is>
      </c>
      <c r="BW48" s="30">
        <f>IF(BV48="Uptrend",10,IF(BV48="Sideways",5,0))</f>
        <v/>
      </c>
      <c r="BX48" s="30" t="inlineStr">
        <is>
          <t>Close to 52 week high or retracement</t>
        </is>
      </c>
      <c r="BY48" s="30">
        <f>IF(BX48="Overhead supply in last 2 years in last 2 years",-5,IF(BX48="Close to 52 week high or retracement",5,IF(BX48="Blue sky scenario",10,IF(BX48="Long term Downtrend",-10,0))))</f>
        <v/>
      </c>
      <c r="BZ48" s="30" t="inlineStr">
        <is>
          <t>Yes</t>
        </is>
      </c>
      <c r="CA48" s="30">
        <f>IF(BZ48="Yes",10,0)</f>
        <v/>
      </c>
    </row>
    <row r="49">
      <c r="A49" s="30">
        <f>IF(B49=0,"",RANK(B49,$B$2:$B$77,0))</f>
        <v/>
      </c>
      <c r="B49" s="31">
        <f>SUM(N49,Y49,AA49,AC49,AE49,AG49,AI49,AK49,AM49,AO49,AQ49,AS49,AU49,AW49,AY49,BA49,BC49,BE49,BG49,BI49,BK49,BM49,BO49,BQ49,BS49,BU49,BW49,BY49,CA49)</f>
        <v/>
      </c>
      <c r="C49" s="30" t="inlineStr">
        <is>
          <t>SAMMAANCAP</t>
        </is>
      </c>
      <c r="D49" s="30" t="inlineStr">
        <is>
          <t>Sammaan Capital Ltd</t>
        </is>
      </c>
      <c r="E49" s="30" t="inlineStr">
        <is>
          <t>financials</t>
        </is>
      </c>
      <c r="F49" s="30" t="inlineStr">
        <is>
          <t>finance - housing</t>
        </is>
      </c>
      <c r="G49" s="30" t="inlineStr">
        <is>
          <t>largecap</t>
        </is>
      </c>
      <c r="H49" s="31" t="n">
        <v>20259.77</v>
      </c>
      <c r="I49" s="31" t="n">
        <v>174.6</v>
      </c>
      <c r="J49" s="31" t="n">
        <v>0.11</v>
      </c>
      <c r="K49" s="31" t="n">
        <v>24969139</v>
      </c>
      <c r="L49" s="30" t="n">
        <v>53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60.86</v>
      </c>
      <c r="P49" s="31" t="n">
        <v>19.79</v>
      </c>
      <c r="Q49" s="31" t="n">
        <v>142.56</v>
      </c>
      <c r="R49" s="30" t="inlineStr">
        <is>
          <t>Earnings / Momentum Support</t>
        </is>
      </c>
      <c r="S49" s="30" t="inlineStr">
        <is>
          <t>Nifty Bank</t>
        </is>
      </c>
      <c r="T49" s="31" t="n">
        <v>2.55</v>
      </c>
      <c r="U49" s="31" t="n">
        <v>46.87</v>
      </c>
      <c r="V49" s="31" t="n">
        <v>43.22</v>
      </c>
      <c r="W49" s="31" t="n">
        <v>13.99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Fragmented with High ROE</t>
        </is>
      </c>
      <c r="AA49" s="30">
        <f>IF(Z49="Fragmented with Low ROE",-5,IF(Z49="Fragmented with High ROE",10,IF(Z49= "highly cyclical",5,0)))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Consistency)",15,IF(AF49="Shallow Cyclical (2 to 3 years growth)",10,IF(AF49 = "Cyclical in an Uptick",5,IF(AF49 = "Cyclical in an Downtick",-10,0))))</f>
        <v/>
      </c>
      <c r="AH49" s="30" t="inlineStr">
        <is>
          <t>Yes</t>
        </is>
      </c>
      <c r="AI49" s="30">
        <f>IF(AH49="Yes",10,0)</f>
        <v/>
      </c>
      <c r="AJ49" s="30" t="inlineStr">
        <is>
          <t>Yes</t>
        </is>
      </c>
      <c r="AK49" s="30">
        <f>IF(AJ49="Yes",10,0)</f>
        <v/>
      </c>
      <c r="AL49" s="30" t="n"/>
      <c r="AM49" s="30">
        <f>IF(AL49="No",10,0)</f>
        <v/>
      </c>
      <c r="AN49" s="30" t="inlineStr">
        <is>
          <t>Yes</t>
        </is>
      </c>
      <c r="AO49" s="30">
        <f>IF(AN49="Yes",10,0)</f>
        <v/>
      </c>
      <c r="AP49" s="30" t="inlineStr">
        <is>
          <t>No</t>
        </is>
      </c>
      <c r="AQ49" s="30">
        <f>IF(AP49="Yes",10,0)</f>
        <v/>
      </c>
      <c r="AR49" s="30" t="inlineStr">
        <is>
          <t>Yes</t>
        </is>
      </c>
      <c r="AS49" s="30">
        <f>IF(AR49="Yes",5,0)</f>
        <v/>
      </c>
      <c r="AT49" s="30" t="inlineStr">
        <is>
          <t>No</t>
        </is>
      </c>
      <c r="AU49" s="30">
        <f>IF(AT49="No",10,IF(AT49="Yes",-10,0))</f>
        <v/>
      </c>
      <c r="AV49" s="30" t="inlineStr">
        <is>
          <t>No</t>
        </is>
      </c>
      <c r="AW49" s="30">
        <f>IF(AV49="No",10,0)</f>
        <v/>
      </c>
      <c r="AX49" s="30" t="inlineStr">
        <is>
          <t>No</t>
        </is>
      </c>
      <c r="AY49" s="30">
        <f>IF(AX49="No",10,IF(AX49= "Yes CEO Resignation",-5,0))</f>
        <v/>
      </c>
      <c r="AZ49" s="30" t="inlineStr">
        <is>
          <t>No</t>
        </is>
      </c>
      <c r="BA49" s="30">
        <f>IF(AZ49="No",10,IF(AZ49="Yes",-5,0))</f>
        <v/>
      </c>
      <c r="BB49" s="30" t="inlineStr">
        <is>
          <t>No</t>
        </is>
      </c>
      <c r="BC49" s="30">
        <f>IF(BB49="No",5,IF(BB49="Yes",-5,0))</f>
        <v/>
      </c>
      <c r="BD49" s="30" t="inlineStr">
        <is>
          <t>Yes</t>
        </is>
      </c>
      <c r="BE49" s="30">
        <f>IF(BD49="Yes",10,0)</f>
        <v/>
      </c>
      <c r="BF49" s="30" t="inlineStr">
        <is>
          <t>Yes</t>
        </is>
      </c>
      <c r="BG49" s="30">
        <f>IF(BF49="Yes",10,0)</f>
        <v/>
      </c>
      <c r="BH49" s="30" t="inlineStr">
        <is>
          <t>Yes</t>
        </is>
      </c>
      <c r="BI49" s="30">
        <f>IF(BH49="Yes",10,0)</f>
        <v/>
      </c>
      <c r="BJ49" s="30" t="inlineStr">
        <is>
          <t>P/BV less than 2.5x and Growth less than 20%</t>
        </is>
      </c>
      <c r="BK49" s="30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0" t="inlineStr">
        <is>
          <t>0 to 20</t>
        </is>
      </c>
      <c r="BM49" s="30">
        <f>IF(BL49="Above 40",20,IF(BL49="20 to 40",10,IF(BL49="0 to 20",-5,0)))</f>
        <v/>
      </c>
      <c r="BN49" s="30" t="inlineStr">
        <is>
          <t>Between 50 to 75</t>
        </is>
      </c>
      <c r="BO49" s="30">
        <f>IF(BN49="Between 50 to 75",10,IF(BN49="Above 75",0,0))</f>
        <v/>
      </c>
      <c r="BP49" s="30" t="inlineStr">
        <is>
          <t>Stage 2</t>
        </is>
      </c>
      <c r="BQ49" s="30">
        <f>IF(BP49="Stage 2",20,IF(BP49="Stage 1",0,IF(BP49="Stage 3",5,IF(BP49="Stage 4",-5,0))))</f>
        <v/>
      </c>
      <c r="BR49" s="30" t="inlineStr">
        <is>
          <t>Positive Trend</t>
        </is>
      </c>
      <c r="BS49" s="30">
        <f>IF(BR49="Positive Trend",20,IF(BR49="Negative Trend",-10,0))</f>
        <v/>
      </c>
      <c r="BT49" s="30" t="inlineStr">
        <is>
          <t>Uptrend</t>
        </is>
      </c>
      <c r="BU49" s="30">
        <f>IF(BT49="Uptrend",10,IF(BT49="Sideways",5,0))</f>
        <v/>
      </c>
      <c r="BV49" s="30" t="inlineStr">
        <is>
          <t>Uptrend</t>
        </is>
      </c>
      <c r="BW49" s="30">
        <f>IF(BV49="Uptrend",10,IF(BV49="Sideways",5,0))</f>
        <v/>
      </c>
      <c r="BX49" s="30" t="inlineStr">
        <is>
          <t>Close to 52 week high or retracement</t>
        </is>
      </c>
      <c r="BY49" s="30">
        <f>IF(BX49="Overhead supply in last 2 years in last 2 years",-5,IF(BX49="Close to 52 week high or retracement",5,IF(BX49="Blue sky scenario",10,IF(BX49="Long term Downtrend",-10,0))))</f>
        <v/>
      </c>
      <c r="BZ49" s="30" t="inlineStr">
        <is>
          <t>Yes</t>
        </is>
      </c>
      <c r="CA49" s="30">
        <f>IF(BZ49="Yes",10,0)</f>
        <v/>
      </c>
    </row>
    <row r="50">
      <c r="A50" s="30">
        <f>IF(B50=0,"",RANK(B50,$B$2:$B$77,0))</f>
        <v/>
      </c>
      <c r="B50" s="31">
        <f>SUM(N50,Y50,AA50,AC50,AE50,AG50,AI50,AK50,AM50,AO50,AQ50,AS50,AU50,AW50,AY50,BA50,BC50,BE50,BG50,BI50,BK50,BM50,BO50,BQ50,BS50,BU50,BW50,BY50,CA50)</f>
        <v/>
      </c>
      <c r="C50" s="30" t="inlineStr">
        <is>
          <t>UNIONBANK</t>
        </is>
      </c>
      <c r="D50" s="30" t="inlineStr">
        <is>
          <t>Union Bank Of India Ltd</t>
        </is>
      </c>
      <c r="E50" s="30" t="inlineStr">
        <is>
          <t>bank</t>
        </is>
      </c>
      <c r="F50" s="30" t="inlineStr">
        <is>
          <t>banks - public sector</t>
        </is>
      </c>
      <c r="G50" s="30" t="inlineStr">
        <is>
          <t>largecap</t>
        </is>
      </c>
      <c r="H50" s="31" t="n">
        <v>134443.06</v>
      </c>
      <c r="I50" s="31" t="n">
        <v>175.76</v>
      </c>
      <c r="J50" s="31" t="n">
        <v>-0.2</v>
      </c>
      <c r="K50" s="31" t="n">
        <v>11232086</v>
      </c>
      <c r="L50" s="30" t="n">
        <v>15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55.03</v>
      </c>
      <c r="P50" s="31" t="n">
        <v>18.6</v>
      </c>
      <c r="Q50" s="31" t="n">
        <v>155.09</v>
      </c>
      <c r="R50" s="30" t="inlineStr">
        <is>
          <t>Earnings / Momentum Support</t>
        </is>
      </c>
      <c r="S50" s="30" t="inlineStr">
        <is>
          <t>Nifty Bank</t>
        </is>
      </c>
      <c r="T50" s="31" t="n">
        <v>2.55</v>
      </c>
      <c r="U50" s="31" t="n">
        <v>26.65</v>
      </c>
      <c r="V50" s="31" t="n">
        <v>23.5</v>
      </c>
      <c r="W50" s="31" t="n">
        <v>4.82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Fragmented with High ROE</t>
        </is>
      </c>
      <c r="AA50" s="30">
        <f>IF(Z50="Fragmented with Low ROE",-5,IF(Z50="Fragmented with High ROE",10,IF(Z50= "highly cyclical",5,0)))</f>
        <v/>
      </c>
      <c r="AB50" s="30" t="inlineStr">
        <is>
          <t>Yes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Consistency)",15,IF(AF50="Shallow Cyclical (2 to 3 years growth)",10,IF(AF50 = "Cyclical in an Uptick",5,IF(AF50 = "Cyclical in an Downtick",-10,0))))</f>
        <v/>
      </c>
      <c r="AH50" s="30" t="inlineStr">
        <is>
          <t>Yes</t>
        </is>
      </c>
      <c r="AI50" s="30">
        <f>IF(AH50="Yes",10,0)</f>
        <v/>
      </c>
      <c r="AJ50" s="30" t="inlineStr">
        <is>
          <t>Yes</t>
        </is>
      </c>
      <c r="AK50" s="30">
        <f>IF(AJ50="Yes",10,0)</f>
        <v/>
      </c>
      <c r="AL50" s="30" t="n"/>
      <c r="AM50" s="30">
        <f>IF(AL50="No",10,0)</f>
        <v/>
      </c>
      <c r="AN50" s="30" t="inlineStr">
        <is>
          <t>Yes</t>
        </is>
      </c>
      <c r="AO50" s="30">
        <f>IF(AN50="Yes",10,0)</f>
        <v/>
      </c>
      <c r="AP50" s="30" t="inlineStr">
        <is>
          <t>No</t>
        </is>
      </c>
      <c r="AQ50" s="30">
        <f>IF(AP50="Yes",10,0)</f>
        <v/>
      </c>
      <c r="AR50" s="30" t="inlineStr">
        <is>
          <t>Yes</t>
        </is>
      </c>
      <c r="AS50" s="30">
        <f>IF(AR50="Yes",5,0)</f>
        <v/>
      </c>
      <c r="AT50" s="30" t="inlineStr">
        <is>
          <t>No</t>
        </is>
      </c>
      <c r="AU50" s="30">
        <f>IF(AT50="No",10,IF(AT50="Yes",-10,0))</f>
        <v/>
      </c>
      <c r="AV50" s="30" t="inlineStr">
        <is>
          <t>No</t>
        </is>
      </c>
      <c r="AW50" s="30">
        <f>IF(AV50="No",10,0)</f>
        <v/>
      </c>
      <c r="AX50" s="30" t="inlineStr">
        <is>
          <t>No</t>
        </is>
      </c>
      <c r="AY50" s="30">
        <f>IF(AX50="No",10,IF(AX50= "Yes CEO Resignation",-5,0))</f>
        <v/>
      </c>
      <c r="AZ50" s="30" t="inlineStr">
        <is>
          <t>No</t>
        </is>
      </c>
      <c r="BA50" s="30">
        <f>IF(AZ50="No",10,IF(AZ50="Yes",-5,0))</f>
        <v/>
      </c>
      <c r="BB50" s="30" t="inlineStr">
        <is>
          <t>No</t>
        </is>
      </c>
      <c r="BC50" s="30">
        <f>IF(BB50="No",5,IF(BB50="Yes",-5,0))</f>
        <v/>
      </c>
      <c r="BD50" s="30" t="inlineStr">
        <is>
          <t>Yes</t>
        </is>
      </c>
      <c r="BE50" s="30">
        <f>IF(BD50="Yes",10,0)</f>
        <v/>
      </c>
      <c r="BF50" s="30" t="inlineStr">
        <is>
          <t>Yes</t>
        </is>
      </c>
      <c r="BG50" s="30">
        <f>IF(BF50="Yes",10,0)</f>
        <v/>
      </c>
      <c r="BH50" s="30" t="inlineStr">
        <is>
          <t>Yes</t>
        </is>
      </c>
      <c r="BI50" s="30">
        <f>IF(BH50="Yes",10,0)</f>
        <v/>
      </c>
      <c r="BJ50" s="30" t="inlineStr">
        <is>
          <t>P/BV less than 2.5x and Growth less than 20%</t>
        </is>
      </c>
      <c r="BK50" s="30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0" t="inlineStr">
        <is>
          <t>0 to 20</t>
        </is>
      </c>
      <c r="BM50" s="30">
        <f>IF(BL50="Above 40",20,IF(BL50="20 to 40",10,IF(BL50="0 to 20",-5,0)))</f>
        <v/>
      </c>
      <c r="BN50" s="30" t="inlineStr">
        <is>
          <t>Between 50 to 75</t>
        </is>
      </c>
      <c r="BO50" s="30">
        <f>IF(BN50="Between 50 to 75",10,IF(BN50="Above 75",0,0))</f>
        <v/>
      </c>
      <c r="BP50" s="30" t="inlineStr">
        <is>
          <t>Stage 2</t>
        </is>
      </c>
      <c r="BQ50" s="30">
        <f>IF(BP50="Stage 2",20,IF(BP50="Stage 1",0,IF(BP50="Stage 3",5,IF(BP50="Stage 4",-5,0))))</f>
        <v/>
      </c>
      <c r="BR50" s="30" t="inlineStr">
        <is>
          <t>Positive Trend</t>
        </is>
      </c>
      <c r="BS50" s="30">
        <f>IF(BR50="Positive Trend",20,IF(BR50="Negative Trend",-10,0))</f>
        <v/>
      </c>
      <c r="BT50" s="30" t="inlineStr">
        <is>
          <t>Uptrend</t>
        </is>
      </c>
      <c r="BU50" s="30">
        <f>IF(BT50="Uptrend",10,IF(BT50="Sideways",5,0))</f>
        <v/>
      </c>
      <c r="BV50" s="30" t="inlineStr">
        <is>
          <t>Uptrend</t>
        </is>
      </c>
      <c r="BW50" s="30">
        <f>IF(BV50="Uptrend",10,IF(BV50="Sideways",5,0))</f>
        <v/>
      </c>
      <c r="BX50" s="30" t="inlineStr">
        <is>
          <t>Close to 52 week high or retracement</t>
        </is>
      </c>
      <c r="BY50" s="30">
        <f>IF(BX50="Overhead supply in last 2 years in last 2 years",-5,IF(BX50="Close to 52 week high or retracement",5,IF(BX50="Blue sky scenario",10,IF(BX50="Long term Downtrend",-10,0))))</f>
        <v/>
      </c>
      <c r="BZ50" s="30" t="inlineStr">
        <is>
          <t>Yes</t>
        </is>
      </c>
      <c r="CA50" s="30">
        <f>IF(BZ50="Yes",10,0)</f>
        <v/>
      </c>
    </row>
    <row r="51">
      <c r="A51" s="30">
        <f>IF(B51=0,"",RANK(B51,$B$2:$B$77,0))</f>
        <v/>
      </c>
      <c r="B51" s="31">
        <f>SUM(N51,Y51,AA51,AC51,AE51,AG51,AI51,AK51,AM51,AO51,AQ51,AS51,AU51,AW51,AY51,BA51,BC51,BE51,BG51,BI51,BK51,BM51,BO51,BQ51,BS51,BU51,BW51,BY51,CA51)</f>
        <v/>
      </c>
      <c r="C51" s="30" t="inlineStr">
        <is>
          <t>MANAPPURAM</t>
        </is>
      </c>
      <c r="D51" s="30" t="inlineStr">
        <is>
          <t>Manappuram Finance Limited</t>
        </is>
      </c>
      <c r="E51" s="30" t="inlineStr">
        <is>
          <t>financials</t>
        </is>
      </c>
      <c r="F51" s="30" t="inlineStr">
        <is>
          <t>finance &amp; investments</t>
        </is>
      </c>
      <c r="G51" s="30" t="inlineStr">
        <is>
          <t>largecap</t>
        </is>
      </c>
      <c r="H51" s="31" t="n">
        <v>30185.57</v>
      </c>
      <c r="I51" s="31" t="n">
        <v>318.65</v>
      </c>
      <c r="J51" s="31" t="n">
        <v>-0.84</v>
      </c>
      <c r="K51" s="31" t="n">
        <v>3024159</v>
      </c>
      <c r="L51" s="30" t="n">
        <v>33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59.42</v>
      </c>
      <c r="P51" s="31" t="n">
        <v>19.45</v>
      </c>
      <c r="Q51" s="31" t="n">
        <v>259.65</v>
      </c>
      <c r="R51" s="30" t="inlineStr">
        <is>
          <t>Near 52W High Breakout</t>
        </is>
      </c>
      <c r="S51" s="30" t="inlineStr">
        <is>
          <t>Nifty Bank</t>
        </is>
      </c>
      <c r="T51" s="31" t="n">
        <v>2.55</v>
      </c>
      <c r="U51" s="31" t="n">
        <v>18.22</v>
      </c>
      <c r="V51" s="31" t="n">
        <v>15.28</v>
      </c>
      <c r="W51" s="31" t="n">
        <v>8.609999999999999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Fragmented with High ROE</t>
        </is>
      </c>
      <c r="AA51" s="30">
        <f>IF(Z51="Fragmented with Low ROE",-5,IF(Z51="Fragmented with High ROE",10,IF(Z51= "highly cyclical",5,0)))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Consistency)",15,IF(AF51="Shallow Cyclical (2 to 3 years growth)",10,IF(AF51 = "Cyclical in an Uptick",5,IF(AF51 = "Cyclical in an Downtick",-10,0))))</f>
        <v/>
      </c>
      <c r="AH51" s="30" t="inlineStr">
        <is>
          <t>Yes</t>
        </is>
      </c>
      <c r="AI51" s="30">
        <f>IF(AH51="Yes",10,0)</f>
        <v/>
      </c>
      <c r="AJ51" s="30" t="inlineStr">
        <is>
          <t>Yes</t>
        </is>
      </c>
      <c r="AK51" s="30">
        <f>IF(AJ51="Yes",10,0)</f>
        <v/>
      </c>
      <c r="AL51" s="30" t="n"/>
      <c r="AM51" s="30">
        <f>IF(AL51="No",10,0)</f>
        <v/>
      </c>
      <c r="AN51" s="30" t="inlineStr">
        <is>
          <t>Yes</t>
        </is>
      </c>
      <c r="AO51" s="30">
        <f>IF(AN51="Yes",10,0)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Yes</t>
        </is>
      </c>
      <c r="AS51" s="30">
        <f>IF(AR51="Yes",5,0)</f>
        <v/>
      </c>
      <c r="AT51" s="30" t="inlineStr">
        <is>
          <t>No</t>
        </is>
      </c>
      <c r="AU51" s="30">
        <f>IF(AT51="No",10,IF(AT51="Yes",-10,0))</f>
        <v/>
      </c>
      <c r="AV51" s="30" t="inlineStr">
        <is>
          <t>No</t>
        </is>
      </c>
      <c r="AW51" s="30">
        <f>IF(AV51="No",10,0)</f>
        <v/>
      </c>
      <c r="AX51" s="30" t="inlineStr">
        <is>
          <t>No</t>
        </is>
      </c>
      <c r="AY51" s="30">
        <f>IF(AX51="No",10,IF(AX51= "Yes CEO Resignation",-5,0))</f>
        <v/>
      </c>
      <c r="AZ51" s="30" t="inlineStr">
        <is>
          <t>No</t>
        </is>
      </c>
      <c r="BA51" s="30">
        <f>IF(AZ51="No",10,IF(AZ51="Yes",-5,0))</f>
        <v/>
      </c>
      <c r="BB51" s="30" t="inlineStr">
        <is>
          <t>No</t>
        </is>
      </c>
      <c r="BC51" s="30">
        <f>IF(BB51="No",5,IF(BB51="Yes",-5,0))</f>
        <v/>
      </c>
      <c r="BD51" s="30" t="inlineStr">
        <is>
          <t>Yes</t>
        </is>
      </c>
      <c r="BE51" s="30">
        <f>IF(BD51="Yes",10,0)</f>
        <v/>
      </c>
      <c r="BF51" s="30" t="inlineStr">
        <is>
          <t>Yes</t>
        </is>
      </c>
      <c r="BG51" s="30">
        <f>IF(BF51="Yes",10,0)</f>
        <v/>
      </c>
      <c r="BH51" s="30" t="inlineStr">
        <is>
          <t>Yes</t>
        </is>
      </c>
      <c r="BI51" s="30">
        <f>IF(BH51="Yes",10,0)</f>
        <v/>
      </c>
      <c r="BJ51" s="30" t="inlineStr">
        <is>
          <t>P/BV less than 2.5x and Growth more than 20%</t>
        </is>
      </c>
      <c r="BK51" s="30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0" t="inlineStr">
        <is>
          <t>0 to 20</t>
        </is>
      </c>
      <c r="BM51" s="30">
        <f>IF(BL51="Above 40",20,IF(BL51="20 to 40",10,IF(BL51="0 to 20",-5,0)))</f>
        <v/>
      </c>
      <c r="BN51" s="30" t="inlineStr">
        <is>
          <t>Between 50 to 75</t>
        </is>
      </c>
      <c r="BO51" s="30">
        <f>IF(BN51="Between 50 to 75",10,IF(BN51="Above 75",0,0))</f>
        <v/>
      </c>
      <c r="BP51" s="30" t="inlineStr">
        <is>
          <t>Stage 2</t>
        </is>
      </c>
      <c r="BQ51" s="30">
        <f>IF(BP51="Stage 2",20,IF(BP51="Stage 1",0,IF(BP51="Stage 3",5,IF(BP51="Stage 4",-5,0))))</f>
        <v/>
      </c>
      <c r="BR51" s="30" t="inlineStr">
        <is>
          <t>Negative Trend</t>
        </is>
      </c>
      <c r="BS51" s="30">
        <f>IF(BR51="Positive Trend",20,IF(BR51="Negative Trend",-10,0))</f>
        <v/>
      </c>
      <c r="BT51" s="30" t="inlineStr">
        <is>
          <t>Uptrend</t>
        </is>
      </c>
      <c r="BU51" s="30">
        <f>IF(BT51="Uptrend",10,IF(BT51="Sideways",5,0))</f>
        <v/>
      </c>
      <c r="BV51" s="30" t="inlineStr">
        <is>
          <t>Uptrend</t>
        </is>
      </c>
      <c r="BW51" s="30">
        <f>IF(BV51="Uptrend",10,IF(BV51="Sideways",5,0))</f>
        <v/>
      </c>
      <c r="BX51" s="30" t="inlineStr">
        <is>
          <t>Blue sky scenario</t>
        </is>
      </c>
      <c r="BY51" s="30">
        <f>IF(BX51="Overhead supply in last 2 years in last 2 years",-5,IF(BX51="Close to 52 week high or retracement",5,IF(BX51="Blue sky scenario",10,IF(BX51="Long term Downtrend",-10,0))))</f>
        <v/>
      </c>
      <c r="BZ51" s="30" t="inlineStr">
        <is>
          <t>Yes</t>
        </is>
      </c>
      <c r="CA51" s="30">
        <f>IF(BZ51="Yes",10,0)</f>
        <v/>
      </c>
    </row>
    <row r="52">
      <c r="A52" s="30">
        <f>IF(B52=0,"",RANK(B52,$B$2:$B$77,0))</f>
        <v/>
      </c>
      <c r="B52" s="31">
        <f>SUM(N52,Y52,AA52,AC52,AE52,AG52,AI52,AK52,AM52,AO52,AQ52,AS52,AU52,AW52,AY52,BA52,BC52,BE52,BG52,BI52,BK52,BM52,BO52,BQ52,BS52,BU52,BW52,BY52,CA52)</f>
        <v/>
      </c>
      <c r="C52" s="32" t="inlineStr">
        <is>
          <t>GEOJITFSL</t>
        </is>
      </c>
      <c r="D52" s="32" t="inlineStr">
        <is>
          <t>Geojit Financial Services Ltd</t>
        </is>
      </c>
      <c r="E52" s="30" t="inlineStr">
        <is>
          <t>financials</t>
        </is>
      </c>
      <c r="F52" s="30" t="inlineStr">
        <is>
          <t>finance &amp; investments</t>
        </is>
      </c>
      <c r="G52" s="30" t="inlineStr">
        <is>
          <t>smallcap</t>
        </is>
      </c>
      <c r="H52" s="31" t="n">
        <v>2168.5</v>
      </c>
      <c r="I52" s="31" t="n">
        <v>78.34999999999999</v>
      </c>
      <c r="J52" s="31" t="n">
        <v>0.85</v>
      </c>
      <c r="K52" s="31" t="n">
        <v>315691</v>
      </c>
      <c r="L52" s="30" t="n">
        <v>26</v>
      </c>
      <c r="M52" s="30" t="inlineStr">
        <is>
          <t>Underperforming</t>
        </is>
      </c>
      <c r="N52" s="31">
        <f>IF(M52="Underperforming",-5,IF(L52&gt;=95,15,IF(L52&gt;=90,10,IF(L52&gt;=80,5,0))))</f>
        <v/>
      </c>
      <c r="O52" s="31" t="n">
        <v>61.18</v>
      </c>
      <c r="P52" s="31" t="n">
        <v>16.84</v>
      </c>
      <c r="Q52" s="31" t="n">
        <v>60.19</v>
      </c>
      <c r="R52" s="30" t="inlineStr">
        <is>
          <t>Earnings / Momentum Support</t>
        </is>
      </c>
      <c r="S52" s="30" t="inlineStr">
        <is>
          <t>Nifty Bank</t>
        </is>
      </c>
      <c r="T52" s="31" t="n">
        <v>2.55</v>
      </c>
      <c r="U52" s="31" t="n">
        <v>-0.06</v>
      </c>
      <c r="V52" s="31" t="n">
        <v>-2.54</v>
      </c>
      <c r="W52" s="31" t="n">
        <v>7.59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Fragmented with High ROE</t>
        </is>
      </c>
      <c r="AA52" s="30">
        <f>IF(Z52="Fragmented with Low ROE",-5,IF(Z52="Fragmented with High ROE",10,IF(Z52= "highly cyclical",5,0)))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Consistency)",15,IF(AF52="Shallow Cyclical (2 to 3 years growth)",10,IF(AF52 = "Cyclical in an Uptick",5,IF(AF52 = "Cyclical in an Downtick",-10,0))))</f>
        <v/>
      </c>
      <c r="AH52" s="30" t="inlineStr">
        <is>
          <t>Yes</t>
        </is>
      </c>
      <c r="AI52" s="30">
        <f>IF(AH52="Yes",10,0)</f>
        <v/>
      </c>
      <c r="AJ52" s="30" t="inlineStr">
        <is>
          <t>Yes</t>
        </is>
      </c>
      <c r="AK52" s="30">
        <f>IF(AJ52="Yes",10,0)</f>
        <v/>
      </c>
      <c r="AL52" s="30" t="n"/>
      <c r="AM52" s="30">
        <f>IF(AL52="No",10,0)</f>
        <v/>
      </c>
      <c r="AN52" s="30" t="inlineStr">
        <is>
          <t>Yes</t>
        </is>
      </c>
      <c r="AO52" s="30">
        <f>IF(AN52="Yes",10,0)</f>
        <v/>
      </c>
      <c r="AP52" s="30" t="inlineStr">
        <is>
          <t>No</t>
        </is>
      </c>
      <c r="AQ52" s="30">
        <f>IF(AP52="Yes",10,0)</f>
        <v/>
      </c>
      <c r="AR52" s="30" t="inlineStr">
        <is>
          <t>Yes</t>
        </is>
      </c>
      <c r="AS52" s="30">
        <f>IF(AR52="Yes",5,0)</f>
        <v/>
      </c>
      <c r="AT52" s="30" t="inlineStr">
        <is>
          <t>No</t>
        </is>
      </c>
      <c r="AU52" s="30">
        <f>IF(AT52="No",10,IF(AT52="Yes",-10,0))</f>
        <v/>
      </c>
      <c r="AV52" s="30" t="inlineStr">
        <is>
          <t>No</t>
        </is>
      </c>
      <c r="AW52" s="30">
        <f>IF(AV52="No",10,0)</f>
        <v/>
      </c>
      <c r="AX52" s="30" t="inlineStr">
        <is>
          <t>No</t>
        </is>
      </c>
      <c r="AY52" s="30">
        <f>IF(AX52="No",10,IF(AX52= "Yes CEO Resignation",-5,0))</f>
        <v/>
      </c>
      <c r="AZ52" s="30" t="inlineStr">
        <is>
          <t>No</t>
        </is>
      </c>
      <c r="BA52" s="30">
        <f>IF(AZ52="No",10,IF(AZ52="Yes",-5,0))</f>
        <v/>
      </c>
      <c r="BB52" s="30" t="inlineStr">
        <is>
          <t>No</t>
        </is>
      </c>
      <c r="BC52" s="30">
        <f>IF(BB52="No",5,IF(BB52="Yes",-5,0))</f>
        <v/>
      </c>
      <c r="BD52" s="30" t="inlineStr">
        <is>
          <t>Yes</t>
        </is>
      </c>
      <c r="BE52" s="30">
        <f>IF(BD52="Yes",10,0)</f>
        <v/>
      </c>
      <c r="BF52" s="30" t="inlineStr">
        <is>
          <t>Yes</t>
        </is>
      </c>
      <c r="BG52" s="30">
        <f>IF(BF52="Yes",10,0)</f>
        <v/>
      </c>
      <c r="BH52" s="30" t="inlineStr">
        <is>
          <t>Yes</t>
        </is>
      </c>
      <c r="BI52" s="30">
        <f>IF(BH52="Yes",10,0)</f>
        <v/>
      </c>
      <c r="BJ52" s="30" t="inlineStr">
        <is>
          <t>P/BV less than 2.5x and Growth less than 20%</t>
        </is>
      </c>
      <c r="BK52" s="30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0" t="inlineStr">
        <is>
          <t>0 to 20</t>
        </is>
      </c>
      <c r="BM52" s="30">
        <f>IF(BL52="Above 40",20,IF(BL52="20 to 40",10,IF(BL52="0 to 20",-5,0)))</f>
        <v/>
      </c>
      <c r="BN52" s="30" t="inlineStr">
        <is>
          <t>Between 50 to 75</t>
        </is>
      </c>
      <c r="BO52" s="30">
        <f>IF(BN52="Between 50 to 75",10,IF(BN52="Above 75",0,0))</f>
        <v/>
      </c>
      <c r="BP52" s="30" t="inlineStr">
        <is>
          <t>Stage 2</t>
        </is>
      </c>
      <c r="BQ52" s="30">
        <f>IF(BP52="Stage 2",20,IF(BP52="Stage 1",0,IF(BP52="Stage 3",5,IF(BP52="Stage 4",-5,0))))</f>
        <v/>
      </c>
      <c r="BR52" s="30" t="inlineStr">
        <is>
          <t>Positive Trend</t>
        </is>
      </c>
      <c r="BS52" s="30">
        <f>IF(BR52="Positive Trend",20,IF(BR52="Negative Trend",-10,0))</f>
        <v/>
      </c>
      <c r="BT52" s="30" t="inlineStr">
        <is>
          <t>Uptrend</t>
        </is>
      </c>
      <c r="BU52" s="30">
        <f>IF(BT52="Uptrend",10,IF(BT52="Sideways",5,0))</f>
        <v/>
      </c>
      <c r="BV52" s="30" t="inlineStr">
        <is>
          <t>Uptrend</t>
        </is>
      </c>
      <c r="BW52" s="30">
        <f>IF(BV52="Uptrend",10,IF(BV52="Sideways",5,0))</f>
        <v/>
      </c>
      <c r="BX52" s="30" t="inlineStr">
        <is>
          <t>Close to 52 week high or retracement</t>
        </is>
      </c>
      <c r="BY52" s="30">
        <f>IF(BX52="Overhead supply in last 2 years in last 2 years",-5,IF(BX52="Close to 52 week high or retracement",5,IF(BX52="Blue sky scenario",10,IF(BX52="Long term Downtrend",-10,0))))</f>
        <v/>
      </c>
      <c r="BZ52" s="30" t="inlineStr">
        <is>
          <t>Yes</t>
        </is>
      </c>
      <c r="CA52" s="30">
        <f>IF(BZ52="Yes",10,0)</f>
        <v/>
      </c>
    </row>
    <row r="53">
      <c r="A53" s="30">
        <f>IF(B53=0,"",RANK(B53,$B$2:$B$77,0))</f>
        <v/>
      </c>
      <c r="B53" s="31">
        <f>SUM(N53,Y53,AA53,AC53,AE53,AG53,AI53,AK53,AM53,AO53,AQ53,AS53,AU53,AW53,AY53,BA53,BC53,BE53,BG53,BI53,BK53,BM53,BO53,BQ53,BS53,BU53,BW53,BY53,CA53)</f>
        <v/>
      </c>
      <c r="C53" s="30" t="inlineStr">
        <is>
          <t>LTF</t>
        </is>
      </c>
      <c r="D53" s="30" t="inlineStr">
        <is>
          <t>L&amp;T Finance Ltd</t>
        </is>
      </c>
      <c r="E53" s="30" t="inlineStr">
        <is>
          <t>financials</t>
        </is>
      </c>
      <c r="F53" s="30" t="inlineStr">
        <is>
          <t>finance &amp; investments</t>
        </is>
      </c>
      <c r="G53" s="30" t="inlineStr">
        <is>
          <t>largecap</t>
        </is>
      </c>
      <c r="H53" s="31" t="n">
        <v>71850.83</v>
      </c>
      <c r="I53" s="31" t="n">
        <v>286.5</v>
      </c>
      <c r="J53" s="31" t="n">
        <v>-0.14</v>
      </c>
      <c r="K53" s="31" t="n">
        <v>4742265</v>
      </c>
      <c r="L53" s="30" t="n">
        <v>47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53.97</v>
      </c>
      <c r="P53" s="31" t="n">
        <v>15.31</v>
      </c>
      <c r="Q53" s="31" t="n">
        <v>236.35</v>
      </c>
      <c r="R53" s="30" t="inlineStr">
        <is>
          <t>Earnings / Momentum Support</t>
        </is>
      </c>
      <c r="S53" s="30" t="inlineStr">
        <is>
          <t>Nifty Bank</t>
        </is>
      </c>
      <c r="T53" s="31" t="n">
        <v>2.55</v>
      </c>
      <c r="U53" s="31" t="n">
        <v>52.3</v>
      </c>
      <c r="V53" s="31" t="n">
        <v>48.52</v>
      </c>
      <c r="W53" s="31" t="n">
        <v>12.03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Fragmented with High ROE</t>
        </is>
      </c>
      <c r="AA53" s="30">
        <f>IF(Z53="Fragmented with Low ROE",-5,IF(Z53="Fragmented with High ROE",10,IF(Z53= "highly cyclical",5,0)))</f>
        <v/>
      </c>
      <c r="AB53" s="30" t="inlineStr">
        <is>
          <t>Yes</t>
        </is>
      </c>
      <c r="AC53" s="30">
        <f>IF(AB53="No",5,0)</f>
        <v/>
      </c>
      <c r="AD53" s="30" t="inlineStr">
        <is>
          <t>Headwind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Consistency)",15,IF(AF53="Shallow Cyclical (2 to 3 years growth)",10,IF(AF53 = "Cyclical in an Uptick",5,IF(AF53 = "Cyclical in an Downtick",-10,0))))</f>
        <v/>
      </c>
      <c r="AH53" s="30" t="inlineStr">
        <is>
          <t>Yes</t>
        </is>
      </c>
      <c r="AI53" s="30">
        <f>IF(AH53="Yes",10,0)</f>
        <v/>
      </c>
      <c r="AJ53" s="30" t="inlineStr">
        <is>
          <t>Yes</t>
        </is>
      </c>
      <c r="AK53" s="30">
        <f>IF(AJ53="Yes",10,0)</f>
        <v/>
      </c>
      <c r="AL53" s="30" t="n"/>
      <c r="AM53" s="30">
        <f>IF(AL53="No",10,0)</f>
        <v/>
      </c>
      <c r="AN53" s="30" t="inlineStr">
        <is>
          <t>Yes</t>
        </is>
      </c>
      <c r="AO53" s="30">
        <f>IF(AN53="Yes",10,0)</f>
        <v/>
      </c>
      <c r="AP53" s="30" t="inlineStr">
        <is>
          <t>No</t>
        </is>
      </c>
      <c r="AQ53" s="30">
        <f>IF(AP53="Yes",10,0)</f>
        <v/>
      </c>
      <c r="AR53" s="30" t="inlineStr">
        <is>
          <t>Yes</t>
        </is>
      </c>
      <c r="AS53" s="30">
        <f>IF(AR53="Yes",5,0)</f>
        <v/>
      </c>
      <c r="AT53" s="30" t="inlineStr">
        <is>
          <t>No</t>
        </is>
      </c>
      <c r="AU53" s="30">
        <f>IF(AT53="No",10,IF(AT53="Yes",-10,0))</f>
        <v/>
      </c>
      <c r="AV53" s="30" t="inlineStr">
        <is>
          <t>No</t>
        </is>
      </c>
      <c r="AW53" s="30">
        <f>IF(AV53="No",10,0)</f>
        <v/>
      </c>
      <c r="AX53" s="30" t="inlineStr">
        <is>
          <t>No</t>
        </is>
      </c>
      <c r="AY53" s="30">
        <f>IF(AX53="No",10,IF(AX53= "Yes CEO Resignation",-5,0))</f>
        <v/>
      </c>
      <c r="AZ53" s="30" t="inlineStr">
        <is>
          <t>No</t>
        </is>
      </c>
      <c r="BA53" s="30">
        <f>IF(AZ53="No",10,IF(AZ53="Yes",-5,0))</f>
        <v/>
      </c>
      <c r="BB53" s="30" t="inlineStr">
        <is>
          <t>No</t>
        </is>
      </c>
      <c r="BC53" s="30">
        <f>IF(BB53="No",5,IF(BB53="Yes",-5,0))</f>
        <v/>
      </c>
      <c r="BD53" s="30" t="inlineStr">
        <is>
          <t>Yes</t>
        </is>
      </c>
      <c r="BE53" s="30">
        <f>IF(BD53="Yes",10,0)</f>
        <v/>
      </c>
      <c r="BF53" s="30" t="inlineStr">
        <is>
          <t>Yes</t>
        </is>
      </c>
      <c r="BG53" s="30">
        <f>IF(BF53="Yes",10,0)</f>
        <v/>
      </c>
      <c r="BH53" s="30" t="inlineStr">
        <is>
          <t>Yes</t>
        </is>
      </c>
      <c r="BI53" s="30">
        <f>IF(BH53="Yes",10,0)</f>
        <v/>
      </c>
      <c r="BJ53" s="30" t="inlineStr">
        <is>
          <t>P/BV between 2.5x to 5x and Growth more than 20%</t>
        </is>
      </c>
      <c r="BK53" s="30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0" t="inlineStr">
        <is>
          <t>0 to 20</t>
        </is>
      </c>
      <c r="BM53" s="30">
        <f>IF(BL53="Above 40",20,IF(BL53="20 to 40",10,IF(BL53="0 to 20",-5,0)))</f>
        <v/>
      </c>
      <c r="BN53" s="30" t="inlineStr">
        <is>
          <t>Between 50 to 75</t>
        </is>
      </c>
      <c r="BO53" s="30">
        <f>IF(BN53="Between 50 to 75",10,IF(BN53="Above 75",0,0))</f>
        <v/>
      </c>
      <c r="BP53" s="30" t="inlineStr">
        <is>
          <t>Stage 2</t>
        </is>
      </c>
      <c r="BQ53" s="30">
        <f>IF(BP53="Stage 2",20,IF(BP53="Stage 1",0,IF(BP53="Stage 3",5,IF(BP53="Stage 4",-5,0))))</f>
        <v/>
      </c>
      <c r="BR53" s="30" t="inlineStr">
        <is>
          <t>Positive Trend</t>
        </is>
      </c>
      <c r="BS53" s="30">
        <f>IF(BR53="Positive Trend",20,IF(BR53="Negative Trend",-10,0))</f>
        <v/>
      </c>
      <c r="BT53" s="30" t="inlineStr">
        <is>
          <t>Uptrend</t>
        </is>
      </c>
      <c r="BU53" s="30">
        <f>IF(BT53="Uptrend",10,IF(BT53="Sideways",5,0))</f>
        <v/>
      </c>
      <c r="BV53" s="30" t="inlineStr">
        <is>
          <t>Uptrend</t>
        </is>
      </c>
      <c r="BW53" s="30">
        <f>IF(BV53="Uptrend",10,IF(BV53="Sideways",5,0))</f>
        <v/>
      </c>
      <c r="BX53" s="30" t="inlineStr">
        <is>
          <t>Close to 52 week high or retracement</t>
        </is>
      </c>
      <c r="BY53" s="30">
        <f>IF(BX53="Overhead supply in last 2 years in last 2 years",-5,IF(BX53="Close to 52 week high or retracement",5,IF(BX53="Blue sky scenario",10,IF(BX53="Long term Downtrend",-10,0))))</f>
        <v/>
      </c>
      <c r="BZ53" s="30" t="inlineStr">
        <is>
          <t>Yes</t>
        </is>
      </c>
      <c r="CA53" s="30">
        <f>IF(BZ53="Yes",10,0)</f>
        <v/>
      </c>
    </row>
    <row r="54">
      <c r="A54" s="30">
        <f>IF(B54=0,"",RANK(B54,$B$2:$B$77,0))</f>
        <v/>
      </c>
      <c r="B54" s="31">
        <f>SUM(N54,Y54,AA54,AC54,AE54,AG54,AI54,AK54,AM54,AO54,AQ54,AS54,AU54,AW54,AY54,BA54,BC54,BE54,BG54,BI54,BK54,BM54,BO54,BQ54,BS54,BU54,BW54,BY54,CA54)</f>
        <v/>
      </c>
      <c r="C54" s="30" t="inlineStr">
        <is>
          <t>MASFIN</t>
        </is>
      </c>
      <c r="D54" s="30" t="inlineStr">
        <is>
          <t>MAS Financial Services Ltd</t>
        </is>
      </c>
      <c r="E54" s="30" t="inlineStr">
        <is>
          <t>financials</t>
        </is>
      </c>
      <c r="F54" s="30" t="inlineStr">
        <is>
          <t>finance &amp; investments</t>
        </is>
      </c>
      <c r="G54" s="30" t="inlineStr">
        <is>
          <t>midcap</t>
        </is>
      </c>
      <c r="H54" s="31" t="n">
        <v>5807.42</v>
      </c>
      <c r="I54" s="31" t="n">
        <v>319.05</v>
      </c>
      <c r="J54" s="31" t="n">
        <v>-0.31</v>
      </c>
      <c r="K54" s="31" t="n">
        <v>112538</v>
      </c>
      <c r="L54" s="30" t="n">
        <v>7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52.52</v>
      </c>
      <c r="P54" s="31" t="n">
        <v>16.28</v>
      </c>
      <c r="Q54" s="31" t="n">
        <v>282.89</v>
      </c>
      <c r="R54" s="30" t="inlineStr">
        <is>
          <t>Earnings / Momentum Support</t>
        </is>
      </c>
      <c r="S54" s="30" t="inlineStr">
        <is>
          <t>Nifty Bank</t>
        </is>
      </c>
      <c r="T54" s="31" t="n">
        <v>2.55</v>
      </c>
      <c r="U54" s="31" t="n">
        <v>10.74</v>
      </c>
      <c r="V54" s="31" t="n">
        <v>7.99</v>
      </c>
      <c r="W54" s="31" t="n">
        <v>3.25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Fragmented with High ROE</t>
        </is>
      </c>
      <c r="AA54" s="30">
        <f>IF(Z54="Fragmented with Low ROE",-5,IF(Z54="Fragmented with High ROE",10,IF(Z54= "highly cyclical",5,0)))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Consistency)",15,IF(AF54="Shallow Cyclical (2 to 3 years growth)",10,IF(AF54 = "Cyclical in an Uptick",5,IF(AF54 = "Cyclical in an Downtick",-10,0))))</f>
        <v/>
      </c>
      <c r="AH54" s="30" t="inlineStr">
        <is>
          <t>Yes</t>
        </is>
      </c>
      <c r="AI54" s="30">
        <f>IF(AH54="Yes",10,0)</f>
        <v/>
      </c>
      <c r="AJ54" s="30" t="inlineStr">
        <is>
          <t>Yes</t>
        </is>
      </c>
      <c r="AK54" s="30">
        <f>IF(AJ54="Yes",10,0)</f>
        <v/>
      </c>
      <c r="AL54" s="30" t="n"/>
      <c r="AM54" s="30">
        <f>IF(AL54="No",10,0)</f>
        <v/>
      </c>
      <c r="AN54" s="30" t="inlineStr">
        <is>
          <t>Yes</t>
        </is>
      </c>
      <c r="AO54" s="30">
        <f>IF(AN54="Yes",10,0)</f>
        <v/>
      </c>
      <c r="AP54" s="30" t="inlineStr">
        <is>
          <t>No</t>
        </is>
      </c>
      <c r="AQ54" s="30">
        <f>IF(AP54="Yes",10,0)</f>
        <v/>
      </c>
      <c r="AR54" s="30" t="inlineStr">
        <is>
          <t>Yes</t>
        </is>
      </c>
      <c r="AS54" s="30">
        <f>IF(AR54="Yes",5,0)</f>
        <v/>
      </c>
      <c r="AT54" s="30" t="inlineStr">
        <is>
          <t>No</t>
        </is>
      </c>
      <c r="AU54" s="30">
        <f>IF(AT54="No",10,IF(AT54="Yes",-10,0))</f>
        <v/>
      </c>
      <c r="AV54" s="30" t="inlineStr">
        <is>
          <t>No</t>
        </is>
      </c>
      <c r="AW54" s="30">
        <f>IF(AV54="No",10,0)</f>
        <v/>
      </c>
      <c r="AX54" s="30" t="inlineStr">
        <is>
          <t>No</t>
        </is>
      </c>
      <c r="AY54" s="30">
        <f>IF(AX54="No",10,IF(AX54= "Yes CEO Resignation",-5,0))</f>
        <v/>
      </c>
      <c r="AZ54" s="30" t="inlineStr">
        <is>
          <t>No</t>
        </is>
      </c>
      <c r="BA54" s="30">
        <f>IF(AZ54="No",10,IF(AZ54="Yes",-5,0))</f>
        <v/>
      </c>
      <c r="BB54" s="30" t="inlineStr">
        <is>
          <t>No</t>
        </is>
      </c>
      <c r="BC54" s="30">
        <f>IF(BB54="No",5,IF(BB54="Yes",-5,0))</f>
        <v/>
      </c>
      <c r="BD54" s="30" t="inlineStr">
        <is>
          <t>Yes</t>
        </is>
      </c>
      <c r="BE54" s="30">
        <f>IF(BD54="Yes",10,0)</f>
        <v/>
      </c>
      <c r="BF54" s="30" t="inlineStr">
        <is>
          <t>Yes</t>
        </is>
      </c>
      <c r="BG54" s="30">
        <f>IF(BF54="Yes",10,0)</f>
        <v/>
      </c>
      <c r="BH54" s="30" t="inlineStr">
        <is>
          <t>Yes</t>
        </is>
      </c>
      <c r="BI54" s="30">
        <f>IF(BH54="Yes",10,0)</f>
        <v/>
      </c>
      <c r="BJ54" s="30" t="inlineStr">
        <is>
          <t>P/BV less than 2.5x and Growth more than 20%</t>
        </is>
      </c>
      <c r="BK54" s="30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0" t="inlineStr">
        <is>
          <t>0 to 20</t>
        </is>
      </c>
      <c r="BM54" s="30">
        <f>IF(BL54="Above 40",20,IF(BL54="20 to 40",10,IF(BL54="0 to 20",-5,0)))</f>
        <v/>
      </c>
      <c r="BN54" s="30" t="inlineStr">
        <is>
          <t>Between 50 to 75</t>
        </is>
      </c>
      <c r="BO54" s="30">
        <f>IF(BN54="Between 50 to 75",10,IF(BN54="Above 75",0,0))</f>
        <v/>
      </c>
      <c r="BP54" s="30" t="inlineStr">
        <is>
          <t>Stage 1</t>
        </is>
      </c>
      <c r="BQ54" s="30">
        <f>IF(BP54="Stage 2",20,IF(BP54="Stage 1",0,IF(BP54="Stage 3",5,IF(BP54="Stage 4",-5,0))))</f>
        <v/>
      </c>
      <c r="BR54" s="30" t="inlineStr">
        <is>
          <t>Positive Trend</t>
        </is>
      </c>
      <c r="BS54" s="30">
        <f>IF(BR54="Positive Trend",20,IF(BR54="Negative Trend",-10,0))</f>
        <v/>
      </c>
      <c r="BT54" s="30" t="inlineStr">
        <is>
          <t>Uptrend</t>
        </is>
      </c>
      <c r="BU54" s="30">
        <f>IF(BT54="Uptrend",10,IF(BT54="Sideways",5,0))</f>
        <v/>
      </c>
      <c r="BV54" s="30" t="inlineStr">
        <is>
          <t>Uptrend</t>
        </is>
      </c>
      <c r="BW54" s="30">
        <f>IF(BV54="Uptrend",10,IF(BV54="Sideways",5,0))</f>
        <v/>
      </c>
      <c r="BX54" s="30" t="inlineStr">
        <is>
          <t>Close to 52 week high or retracement</t>
        </is>
      </c>
      <c r="BY54" s="30">
        <f>IF(BX54="Overhead supply in last 2 years in last 2 years",-5,IF(BX54="Close to 52 week high or retracement",5,IF(BX54="Blue sky scenario",10,IF(BX54="Long term Downtrend",-10,0))))</f>
        <v/>
      </c>
      <c r="BZ54" s="30" t="inlineStr">
        <is>
          <t>Yes</t>
        </is>
      </c>
      <c r="CA54" s="30">
        <f>IF(BZ54="Yes",10,0)</f>
        <v/>
      </c>
    </row>
    <row r="55">
      <c r="A55" s="30">
        <f>IF(B55=0,"",RANK(B55,$B$2:$B$77,0))</f>
        <v/>
      </c>
      <c r="B55" s="31">
        <f>SUM(N55,Y55,AA55,AC55,AE55,AG55,AI55,AK55,AM55,AO55,AQ55,AS55,AU55,AW55,AY55,BA55,BC55,BE55,BG55,BI55,BK55,BM55,BO55,BQ55,BS55,BU55,BW55,BY55,CA55)</f>
        <v/>
      </c>
      <c r="C55" s="30" t="inlineStr">
        <is>
          <t>UJJIVANSFB</t>
        </is>
      </c>
      <c r="D55" s="30" t="inlineStr">
        <is>
          <t>Ujjivan Small Finance Bank Ltd</t>
        </is>
      </c>
      <c r="E55" s="30" t="inlineStr">
        <is>
          <t>bank</t>
        </is>
      </c>
      <c r="F55" s="30" t="inlineStr">
        <is>
          <t>banks - private sector</t>
        </is>
      </c>
      <c r="G55" s="30" t="inlineStr">
        <is>
          <t>midcap</t>
        </is>
      </c>
      <c r="H55" s="31" t="n">
        <v>11388.19</v>
      </c>
      <c r="I55" s="31" t="n">
        <v>57.27</v>
      </c>
      <c r="J55" s="31" t="n">
        <v>-2.3</v>
      </c>
      <c r="K55" s="31" t="n">
        <v>6884920</v>
      </c>
      <c r="L55" s="30" t="n">
        <v>18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52.92</v>
      </c>
      <c r="P55" s="31" t="n">
        <v>16.13</v>
      </c>
      <c r="Q55" s="31" t="n">
        <v>48.58</v>
      </c>
      <c r="R55" s="30" t="inlineStr">
        <is>
          <t>Earnings / Momentum Support</t>
        </is>
      </c>
      <c r="S55" s="30" t="inlineStr">
        <is>
          <t>Nifty Bank</t>
        </is>
      </c>
      <c r="T55" s="31" t="n">
        <v>2.55</v>
      </c>
      <c r="U55" s="31" t="n">
        <v>18.89</v>
      </c>
      <c r="V55" s="31" t="n">
        <v>15.94</v>
      </c>
      <c r="W55" s="31" t="n">
        <v>5.3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Fragmented with High ROE</t>
        </is>
      </c>
      <c r="AA55" s="30">
        <f>IF(Z55="Fragmented with Low ROE",-5,IF(Z55="Fragmented with High ROE",10,IF(Z55= "highly cyclical",5,0)))</f>
        <v/>
      </c>
      <c r="AB55" s="30" t="inlineStr">
        <is>
          <t>Yes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Consistency)",15,IF(AF55="Shallow Cyclical (2 to 3 years growth)",10,IF(AF55 = "Cyclical in an Uptick",5,IF(AF55 = "Cyclical in an Downtick",-10,0))))</f>
        <v/>
      </c>
      <c r="AH55" s="30" t="inlineStr">
        <is>
          <t>Yes</t>
        </is>
      </c>
      <c r="AI55" s="30">
        <f>IF(AH55="Yes",10,0)</f>
        <v/>
      </c>
      <c r="AJ55" s="30" t="inlineStr">
        <is>
          <t>Yes</t>
        </is>
      </c>
      <c r="AK55" s="30">
        <f>IF(AJ55="Yes",10,0)</f>
        <v/>
      </c>
      <c r="AL55" s="30" t="n"/>
      <c r="AM55" s="30">
        <f>IF(AL55="No",10,0)</f>
        <v/>
      </c>
      <c r="AN55" s="30" t="inlineStr">
        <is>
          <t>Yes</t>
        </is>
      </c>
      <c r="AO55" s="30">
        <f>IF(AN55="Yes",10,0)</f>
        <v/>
      </c>
      <c r="AP55" s="30" t="inlineStr">
        <is>
          <t>No</t>
        </is>
      </c>
      <c r="AQ55" s="30">
        <f>IF(AP55="Yes",10,0)</f>
        <v/>
      </c>
      <c r="AR55" s="30" t="inlineStr">
        <is>
          <t>Yes</t>
        </is>
      </c>
      <c r="AS55" s="30">
        <f>IF(AR55="Yes",5,0)</f>
        <v/>
      </c>
      <c r="AT55" s="30" t="inlineStr">
        <is>
          <t>No</t>
        </is>
      </c>
      <c r="AU55" s="30">
        <f>IF(AT55="No",10,IF(AT55="Yes",-10,0))</f>
        <v/>
      </c>
      <c r="AV55" s="30" t="inlineStr">
        <is>
          <t>No</t>
        </is>
      </c>
      <c r="AW55" s="30">
        <f>IF(AV55="No",10,0)</f>
        <v/>
      </c>
      <c r="AX55" s="30" t="inlineStr">
        <is>
          <t>No</t>
        </is>
      </c>
      <c r="AY55" s="30">
        <f>IF(AX55="No",10,IF(AX55= "Yes CEO Resignation",-5,0))</f>
        <v/>
      </c>
      <c r="AZ55" s="30" t="inlineStr">
        <is>
          <t>No</t>
        </is>
      </c>
      <c r="BA55" s="30">
        <f>IF(AZ55="No",10,IF(AZ55="Yes",-5,0))</f>
        <v/>
      </c>
      <c r="BB55" s="30" t="inlineStr">
        <is>
          <t>No</t>
        </is>
      </c>
      <c r="BC55" s="30">
        <f>IF(BB55="No",5,IF(BB55="Yes",-5,0))</f>
        <v/>
      </c>
      <c r="BD55" s="30" t="inlineStr">
        <is>
          <t>Yes</t>
        </is>
      </c>
      <c r="BE55" s="30">
        <f>IF(BD55="Yes",10,0)</f>
        <v/>
      </c>
      <c r="BF55" s="30" t="inlineStr">
        <is>
          <t>Yes</t>
        </is>
      </c>
      <c r="BG55" s="30">
        <f>IF(BF55="Yes",10,0)</f>
        <v/>
      </c>
      <c r="BH55" s="30" t="inlineStr">
        <is>
          <t>Yes</t>
        </is>
      </c>
      <c r="BI55" s="30">
        <f>IF(BH55="Yes",10,0)</f>
        <v/>
      </c>
      <c r="BJ55" s="30" t="inlineStr">
        <is>
          <t>P/BV less than 2.5x and Growth more than 20%</t>
        </is>
      </c>
      <c r="BK55" s="30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0" t="inlineStr">
        <is>
          <t>0 to 20</t>
        </is>
      </c>
      <c r="BM55" s="30">
        <f>IF(BL55="Above 40",20,IF(BL55="20 to 40",10,IF(BL55="0 to 20",-5,0)))</f>
        <v/>
      </c>
      <c r="BN55" s="30" t="inlineStr">
        <is>
          <t>Between 50 to 75</t>
        </is>
      </c>
      <c r="BO55" s="30">
        <f>IF(BN55="Between 50 to 75",10,IF(BN55="Above 75",0,0))</f>
        <v/>
      </c>
      <c r="BP55" s="30" t="inlineStr">
        <is>
          <t>Stage 1</t>
        </is>
      </c>
      <c r="BQ55" s="30">
        <f>IF(BP55="Stage 2",20,IF(BP55="Stage 1",0,IF(BP55="Stage 3",5,IF(BP55="Stage 4",-5,0))))</f>
        <v/>
      </c>
      <c r="BR55" s="30" t="inlineStr">
        <is>
          <t>Positive Trend</t>
        </is>
      </c>
      <c r="BS55" s="30">
        <f>IF(BR55="Positive Trend",20,IF(BR55="Negative Trend",-10,0))</f>
        <v/>
      </c>
      <c r="BT55" s="30" t="inlineStr">
        <is>
          <t>Uptrend</t>
        </is>
      </c>
      <c r="BU55" s="30">
        <f>IF(BT55="Uptrend",10,IF(BT55="Sideways",5,0))</f>
        <v/>
      </c>
      <c r="BV55" s="30" t="inlineStr">
        <is>
          <t>Uptrend</t>
        </is>
      </c>
      <c r="BW55" s="30">
        <f>IF(BV55="Uptrend",10,IF(BV55="Sideways",5,0))</f>
        <v/>
      </c>
      <c r="BX55" s="30" t="inlineStr">
        <is>
          <t>Close to 52 week high or retracement</t>
        </is>
      </c>
      <c r="BY55" s="30">
        <f>IF(BX55="Overhead supply in last 2 years in last 2 years",-5,IF(BX55="Close to 52 week high or retracement",5,IF(BX55="Blue sky scenario",10,IF(BX55="Long term Downtrend",-10,0))))</f>
        <v/>
      </c>
      <c r="BZ55" s="30" t="inlineStr">
        <is>
          <t>Yes</t>
        </is>
      </c>
      <c r="CA55" s="30">
        <f>IF(BZ55="Yes",10,0)</f>
        <v/>
      </c>
    </row>
    <row r="56">
      <c r="A56" s="30">
        <f>IF(B56=0,"",RANK(B56,$B$2:$B$77,0))</f>
        <v/>
      </c>
      <c r="B56" s="31">
        <f>SUM(N56,Y56,AA56,AC56,AE56,AG56,AI56,AK56,AM56,AO56,AQ56,AS56,AU56,AW56,AY56,BA56,BC56,BE56,BG56,BI56,BK56,BM56,BO56,BQ56,BS56,BU56,BW56,BY56,CA56)</f>
        <v/>
      </c>
      <c r="C56" s="30" t="inlineStr">
        <is>
          <t>RELIGARE</t>
        </is>
      </c>
      <c r="D56" s="30" t="inlineStr">
        <is>
          <t>Religare Enterprises Limited</t>
        </is>
      </c>
      <c r="E56" s="30" t="inlineStr">
        <is>
          <t>financials</t>
        </is>
      </c>
      <c r="F56" s="30" t="inlineStr">
        <is>
          <t>finance &amp; investments</t>
        </is>
      </c>
      <c r="G56" s="30" t="inlineStr">
        <is>
          <t>midcap</t>
        </is>
      </c>
      <c r="H56" s="31" t="n">
        <v>8449.969999999999</v>
      </c>
      <c r="I56" s="31" t="n">
        <v>253.4</v>
      </c>
      <c r="J56" s="31" t="n">
        <v>2.33</v>
      </c>
      <c r="K56" s="31" t="n">
        <v>2467002</v>
      </c>
      <c r="L56" s="30" t="n">
        <v>22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60.96</v>
      </c>
      <c r="P56" s="31" t="n">
        <v>9.449999999999999</v>
      </c>
      <c r="Q56" s="31" t="n">
        <v>199.65</v>
      </c>
      <c r="R56" s="30" t="inlineStr">
        <is>
          <t>Earnings / Momentum Support</t>
        </is>
      </c>
      <c r="S56" s="30" t="inlineStr">
        <is>
          <t>Nifty Bank</t>
        </is>
      </c>
      <c r="T56" s="31" t="n">
        <v>2.55</v>
      </c>
      <c r="U56" s="31" t="n">
        <v>12.57</v>
      </c>
      <c r="V56" s="31" t="n">
        <v>9.77</v>
      </c>
      <c r="W56" s="31" t="n">
        <v>6.33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Fragmented with High ROE</t>
        </is>
      </c>
      <c r="AA56" s="30">
        <f>IF(Z56="Fragmented with Low ROE",-5,IF(Z56="Fragmented with High ROE",10,IF(Z56= "highly cyclical",5,0)))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Consistency)",15,IF(AF56="Shallow Cyclical (2 to 3 years growth)",10,IF(AF56 = "Cyclical in an Uptick",5,IF(AF56 = "Cyclical in an Downtick",-10,0))))</f>
        <v/>
      </c>
      <c r="AH56" s="30" t="inlineStr">
        <is>
          <t>Yes</t>
        </is>
      </c>
      <c r="AI56" s="30">
        <f>IF(AH56="Yes",10,0)</f>
        <v/>
      </c>
      <c r="AJ56" s="30" t="inlineStr">
        <is>
          <t>Yes</t>
        </is>
      </c>
      <c r="AK56" s="30">
        <f>IF(AJ56="Yes",10,0)</f>
        <v/>
      </c>
      <c r="AL56" s="30" t="n"/>
      <c r="AM56" s="30">
        <f>IF(AL56="No",10,0)</f>
        <v/>
      </c>
      <c r="AN56" s="30" t="inlineStr">
        <is>
          <t>Yes</t>
        </is>
      </c>
      <c r="AO56" s="30">
        <f>IF(AN56="Yes",10,0)</f>
        <v/>
      </c>
      <c r="AP56" s="30" t="inlineStr">
        <is>
          <t>No</t>
        </is>
      </c>
      <c r="AQ56" s="30">
        <f>IF(AP56="Yes",10,0)</f>
        <v/>
      </c>
      <c r="AR56" s="30" t="inlineStr">
        <is>
          <t>Yes</t>
        </is>
      </c>
      <c r="AS56" s="30">
        <f>IF(AR56="Yes",5,0)</f>
        <v/>
      </c>
      <c r="AT56" s="30" t="inlineStr">
        <is>
          <t>No</t>
        </is>
      </c>
      <c r="AU56" s="30">
        <f>IF(AT56="No",10,IF(AT56="Yes",-10,0))</f>
        <v/>
      </c>
      <c r="AV56" s="30" t="inlineStr">
        <is>
          <t>No</t>
        </is>
      </c>
      <c r="AW56" s="30">
        <f>IF(AV56="No",10,0)</f>
        <v/>
      </c>
      <c r="AX56" s="30" t="inlineStr">
        <is>
          <t>No</t>
        </is>
      </c>
      <c r="AY56" s="30">
        <f>IF(AX56="No",10,IF(AX56= "Yes CEO Resignation",-5,0))</f>
        <v/>
      </c>
      <c r="AZ56" s="30" t="inlineStr">
        <is>
          <t>No</t>
        </is>
      </c>
      <c r="BA56" s="30">
        <f>IF(AZ56="No",10,IF(AZ56="Yes",-5,0))</f>
        <v/>
      </c>
      <c r="BB56" s="30" t="inlineStr">
        <is>
          <t>No</t>
        </is>
      </c>
      <c r="BC56" s="30">
        <f>IF(BB56="No",5,IF(BB56="Yes",-5,0))</f>
        <v/>
      </c>
      <c r="BD56" s="30" t="inlineStr">
        <is>
          <t>Yes</t>
        </is>
      </c>
      <c r="BE56" s="30">
        <f>IF(BD56="Yes",10,0)</f>
        <v/>
      </c>
      <c r="BF56" s="30" t="inlineStr">
        <is>
          <t>Yes</t>
        </is>
      </c>
      <c r="BG56" s="30">
        <f>IF(BF56="Yes",10,0)</f>
        <v/>
      </c>
      <c r="BH56" s="30" t="inlineStr">
        <is>
          <t>Yes</t>
        </is>
      </c>
      <c r="BI56" s="30">
        <f>IF(BH56="Yes",10,0)</f>
        <v/>
      </c>
      <c r="BJ56" s="30" t="inlineStr">
        <is>
          <t>P/BV between 2.5x to 5x and Growth less than 20%</t>
        </is>
      </c>
      <c r="BK56" s="30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0" t="inlineStr">
        <is>
          <t>0 to 20</t>
        </is>
      </c>
      <c r="BM56" s="30">
        <f>IF(BL56="Above 40",20,IF(BL56="20 to 40",10,IF(BL56="0 to 20",-5,0)))</f>
        <v/>
      </c>
      <c r="BN56" s="30" t="inlineStr">
        <is>
          <t>Between 50 to 75</t>
        </is>
      </c>
      <c r="BO56" s="30">
        <f>IF(BN56="Between 50 to 75",10,IF(BN56="Above 75",0,0))</f>
        <v/>
      </c>
      <c r="BP56" s="30" t="inlineStr">
        <is>
          <t>Stage 2</t>
        </is>
      </c>
      <c r="BQ56" s="30">
        <f>IF(BP56="Stage 2",20,IF(BP56="Stage 1",0,IF(BP56="Stage 3",5,IF(BP56="Stage 4",-5,0))))</f>
        <v/>
      </c>
      <c r="BR56" s="30" t="inlineStr">
        <is>
          <t>Positive Trend</t>
        </is>
      </c>
      <c r="BS56" s="30">
        <f>IF(BR56="Positive Trend",20,IF(BR56="Negative Trend",-10,0))</f>
        <v/>
      </c>
      <c r="BT56" s="30" t="inlineStr">
        <is>
          <t>Uptrend</t>
        </is>
      </c>
      <c r="BU56" s="30">
        <f>IF(BT56="Uptrend",10,IF(BT56="Sideways",5,0))</f>
        <v/>
      </c>
      <c r="BV56" s="30" t="inlineStr">
        <is>
          <t>Uptrend</t>
        </is>
      </c>
      <c r="BW56" s="30">
        <f>IF(BV56="Uptrend",10,IF(BV56="Sideways",5,0))</f>
        <v/>
      </c>
      <c r="BX56" s="30" t="inlineStr">
        <is>
          <t>Close to 52 week high or retracement</t>
        </is>
      </c>
      <c r="BY56" s="30">
        <f>IF(BX56="Overhead supply in last 2 years in last 2 years",-5,IF(BX56="Close to 52 week high or retracement",5,IF(BX56="Blue sky scenario",10,IF(BX56="Long term Downtrend",-10,0))))</f>
        <v/>
      </c>
      <c r="BZ56" s="30" t="inlineStr">
        <is>
          <t>Yes</t>
        </is>
      </c>
      <c r="CA56" s="30">
        <f>IF(BZ56="Yes",10,0)</f>
        <v/>
      </c>
    </row>
    <row r="57">
      <c r="A57" s="30">
        <f>IF(B57=0,"",RANK(B57,$B$2:$B$77,0))</f>
        <v/>
      </c>
      <c r="B57" s="31">
        <f>SUM(N57,Y57,AA57,AC57,AE57,AG57,AI57,AK57,AM57,AO57,AQ57,AS57,AU57,AW57,AY57,BA57,BC57,BE57,BG57,BI57,BK57,BM57,BO57,BQ57,BS57,BU57,BW57,BY57,CA57)</f>
        <v/>
      </c>
      <c r="C57" s="30" t="inlineStr">
        <is>
          <t>CHOLAFIN</t>
        </is>
      </c>
      <c r="D57" s="30" t="inlineStr">
        <is>
          <t>Cholamandalam Investment And Finance Company Limited</t>
        </is>
      </c>
      <c r="E57" s="30" t="inlineStr">
        <is>
          <t>financials</t>
        </is>
      </c>
      <c r="F57" s="30" t="inlineStr">
        <is>
          <t>finance &amp; investments</t>
        </is>
      </c>
      <c r="G57" s="30" t="inlineStr">
        <is>
          <t>largecap</t>
        </is>
      </c>
      <c r="H57" s="31" t="n">
        <v>143900.56</v>
      </c>
      <c r="I57" s="31" t="n">
        <v>1693.4</v>
      </c>
      <c r="J57" s="31" t="n">
        <v>0.27</v>
      </c>
      <c r="K57" s="31" t="n">
        <v>1247083</v>
      </c>
      <c r="L57" s="30" t="n">
        <v>20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56.67</v>
      </c>
      <c r="P57" s="31" t="n">
        <v>11.47</v>
      </c>
      <c r="Q57" s="31" t="n">
        <v>1340.93</v>
      </c>
      <c r="R57" s="30" t="inlineStr">
        <is>
          <t>Near 52W High Breakout</t>
        </is>
      </c>
      <c r="S57" s="30" t="inlineStr">
        <is>
          <t>Nifty Bank</t>
        </is>
      </c>
      <c r="T57" s="31" t="n">
        <v>2.55</v>
      </c>
      <c r="U57" s="31" t="n">
        <v>8.859999999999999</v>
      </c>
      <c r="V57" s="31" t="n">
        <v>6.15</v>
      </c>
      <c r="W57" s="31" t="n">
        <v>5.67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Fragmented with High ROE</t>
        </is>
      </c>
      <c r="AA57" s="30">
        <f>IF(Z57="Fragmented with Low ROE",-5,IF(Z57="Fragmented with High ROE",10,IF(Z57= "highly cyclical",5,0)))</f>
        <v/>
      </c>
      <c r="AB57" s="30" t="inlineStr">
        <is>
          <t>Yes</t>
        </is>
      </c>
      <c r="AC57" s="30">
        <f>IF(AB57="No",5,0)</f>
        <v/>
      </c>
      <c r="AD57" s="30" t="inlineStr">
        <is>
          <t>Headwind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Consistency)",15,IF(AF57="Shallow Cyclical (2 to 3 years growth)",10,IF(AF57 = "Cyclical in an Uptick",5,IF(AF57 = "Cyclical in an Downtick",-10,0))))</f>
        <v/>
      </c>
      <c r="AH57" s="30" t="inlineStr">
        <is>
          <t>Yes</t>
        </is>
      </c>
      <c r="AI57" s="30">
        <f>IF(AH57="Yes",10,0)</f>
        <v/>
      </c>
      <c r="AJ57" s="30" t="inlineStr">
        <is>
          <t>Yes</t>
        </is>
      </c>
      <c r="AK57" s="30">
        <f>IF(AJ57="Yes",10,0)</f>
        <v/>
      </c>
      <c r="AL57" s="30" t="n"/>
      <c r="AM57" s="30">
        <f>IF(AL57="No",10,0)</f>
        <v/>
      </c>
      <c r="AN57" s="30" t="inlineStr">
        <is>
          <t>Yes</t>
        </is>
      </c>
      <c r="AO57" s="30">
        <f>IF(AN57="Yes",10,0)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Yes</t>
        </is>
      </c>
      <c r="AS57" s="30">
        <f>IF(AR57="Yes",5,0)</f>
        <v/>
      </c>
      <c r="AT57" s="30" t="inlineStr">
        <is>
          <t>No</t>
        </is>
      </c>
      <c r="AU57" s="30">
        <f>IF(AT57="No",10,IF(AT57="Yes",-10,0))</f>
        <v/>
      </c>
      <c r="AV57" s="30" t="inlineStr">
        <is>
          <t>No</t>
        </is>
      </c>
      <c r="AW57" s="30">
        <f>IF(AV57="No",10,0)</f>
        <v/>
      </c>
      <c r="AX57" s="30" t="inlineStr">
        <is>
          <t>No</t>
        </is>
      </c>
      <c r="AY57" s="30">
        <f>IF(AX57="No",10,IF(AX57= "Yes CEO Resignation",-5,0))</f>
        <v/>
      </c>
      <c r="AZ57" s="30" t="inlineStr">
        <is>
          <t>No</t>
        </is>
      </c>
      <c r="BA57" s="30">
        <f>IF(AZ57="No",10,IF(AZ57="Yes",-5,0))</f>
        <v/>
      </c>
      <c r="BB57" s="30" t="inlineStr">
        <is>
          <t>No</t>
        </is>
      </c>
      <c r="BC57" s="30">
        <f>IF(BB57="No",5,IF(BB57="Yes",-5,0))</f>
        <v/>
      </c>
      <c r="BD57" s="30" t="inlineStr">
        <is>
          <t>Yes</t>
        </is>
      </c>
      <c r="BE57" s="30">
        <f>IF(BD57="Yes",10,0)</f>
        <v/>
      </c>
      <c r="BF57" s="30" t="inlineStr">
        <is>
          <t>Yes</t>
        </is>
      </c>
      <c r="BG57" s="30">
        <f>IF(BF57="Yes",10,0)</f>
        <v/>
      </c>
      <c r="BH57" s="30" t="inlineStr">
        <is>
          <t>Yes</t>
        </is>
      </c>
      <c r="BI57" s="30">
        <f>IF(BH57="Yes",10,0)</f>
        <v/>
      </c>
      <c r="BJ57" s="30" t="inlineStr">
        <is>
          <t>P/BV between 2.5x to 5x and Growth more than 20%</t>
        </is>
      </c>
      <c r="BK57" s="30">
        <f>IF(BJ57="P/BV less than 2.5x and Growth more than 20%",20,IF(BJ57 = "P/BV less than 2.5x and Growth less than 20%",5,IF(BJ57="P/BV between 2.5x to 5x and Growth more than 20%",10,IF(BJ57= "P/BV between 2.5x to 5x and Growth less than 20%",-5,IF(BJ57= "P/BV above 5x",-5,0)))))</f>
        <v/>
      </c>
      <c r="BL57" s="30" t="inlineStr">
        <is>
          <t>0 to 20</t>
        </is>
      </c>
      <c r="BM57" s="30">
        <f>IF(BL57="Above 40",20,IF(BL57="20 to 40",10,IF(BL57="0 to 20",-5,0)))</f>
        <v/>
      </c>
      <c r="BN57" s="30" t="inlineStr">
        <is>
          <t>Between 50 to 75</t>
        </is>
      </c>
      <c r="BO57" s="30">
        <f>IF(BN57="Between 50 to 75",10,IF(BN57="Above 75",0,0))</f>
        <v/>
      </c>
      <c r="BP57" s="30" t="inlineStr">
        <is>
          <t>Stage 1</t>
        </is>
      </c>
      <c r="BQ57" s="30">
        <f>IF(BP57="Stage 2",20,IF(BP57="Stage 1",0,IF(BP57="Stage 3",5,IF(BP57="Stage 4",-5,0))))</f>
        <v/>
      </c>
      <c r="BR57" s="30" t="inlineStr">
        <is>
          <t>Positive Trend</t>
        </is>
      </c>
      <c r="BS57" s="30">
        <f>IF(BR57="Positive Trend",20,IF(BR57="Negative Trend",-10,0))</f>
        <v/>
      </c>
      <c r="BT57" s="30" t="inlineStr">
        <is>
          <t>Uptrend</t>
        </is>
      </c>
      <c r="BU57" s="30">
        <f>IF(BT57="Uptrend",10,IF(BT57="Sideways",5,0))</f>
        <v/>
      </c>
      <c r="BV57" s="30" t="inlineStr">
        <is>
          <t>Uptrend</t>
        </is>
      </c>
      <c r="BW57" s="30">
        <f>IF(BV57="Uptrend",10,IF(BV57="Sideways",5,0))</f>
        <v/>
      </c>
      <c r="BX57" s="30" t="inlineStr">
        <is>
          <t>Blue sky scenario</t>
        </is>
      </c>
      <c r="BY57" s="30">
        <f>IF(BX57="Overhead supply in last 2 years in last 2 years",-5,IF(BX57="Close to 52 week high or retracement",5,IF(BX57="Blue sky scenario",10,IF(BX57="Long term Downtrend",-10,0))))</f>
        <v/>
      </c>
      <c r="BZ57" s="30" t="inlineStr">
        <is>
          <t>Yes</t>
        </is>
      </c>
      <c r="CA57" s="30">
        <f>IF(BZ57="Yes",10,0)</f>
        <v/>
      </c>
    </row>
    <row r="58">
      <c r="A58" s="30">
        <f>IF(B58=0,"",RANK(B58,$B$2:$B$77,0))</f>
        <v/>
      </c>
      <c r="B58" s="31">
        <f>SUM(N58,Y58,AA58,AC58,AE58,AG58,AI58,AK58,AM58,AO58,AQ58,AS58,AU58,AW58,AY58,BA58,BC58,BE58,BG58,BI58,BK58,BM58,BO58,BQ58,BS58,BU58,BW58,BY58,CA58)</f>
        <v/>
      </c>
      <c r="C58" s="30" t="inlineStr">
        <is>
          <t>IIFLCAPS</t>
        </is>
      </c>
      <c r="D58" s="30" t="inlineStr">
        <is>
          <t>IIFL Capital Services Ltd</t>
        </is>
      </c>
      <c r="E58" s="30" t="inlineStr">
        <is>
          <t>financials</t>
        </is>
      </c>
      <c r="F58" s="30" t="inlineStr">
        <is>
          <t>finance &amp; investments</t>
        </is>
      </c>
      <c r="G58" s="30" t="inlineStr">
        <is>
          <t>midcap</t>
        </is>
      </c>
      <c r="H58" s="31" t="n">
        <v>10848.83</v>
      </c>
      <c r="I58" s="31" t="n">
        <v>344.4</v>
      </c>
      <c r="J58" s="31" t="n">
        <v>-1.13</v>
      </c>
      <c r="K58" s="31" t="n">
        <v>663406</v>
      </c>
      <c r="L58" s="30" t="n">
        <v>28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57.12</v>
      </c>
      <c r="P58" s="31" t="n">
        <v>19.17</v>
      </c>
      <c r="Q58" s="31" t="n">
        <v>277.41</v>
      </c>
      <c r="R58" s="30" t="inlineStr">
        <is>
          <t>Earnings / Momentum Support</t>
        </is>
      </c>
      <c r="S58" s="30" t="inlineStr">
        <is>
          <t>Nifty Bank</t>
        </is>
      </c>
      <c r="T58" s="31" t="n">
        <v>2.55</v>
      </c>
      <c r="U58" s="31" t="n">
        <v>6.56</v>
      </c>
      <c r="V58" s="31" t="n">
        <v>3.92</v>
      </c>
      <c r="W58" s="31" t="n">
        <v>7.83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Fragmented with High ROE</t>
        </is>
      </c>
      <c r="AA58" s="30">
        <f>IF(Z58="Fragmented with Low ROE",-5,IF(Z58="Fragmented with High ROE",10,IF(Z58= "highly cyclical",5,0)))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Consistency)",15,IF(AF58="Shallow Cyclical (2 to 3 years growth)",10,IF(AF58 = "Cyclical in an Uptick",5,IF(AF58 = "Cyclical in an Downtick",-10,0))))</f>
        <v/>
      </c>
      <c r="AH58" s="30" t="inlineStr">
        <is>
          <t>Yes</t>
        </is>
      </c>
      <c r="AI58" s="30">
        <f>IF(AH58="Yes",10,0)</f>
        <v/>
      </c>
      <c r="AJ58" s="30" t="inlineStr">
        <is>
          <t>Yes</t>
        </is>
      </c>
      <c r="AK58" s="30">
        <f>IF(AJ58="Yes",10,0)</f>
        <v/>
      </c>
      <c r="AL58" s="30" t="n"/>
      <c r="AM58" s="30">
        <f>IF(AL58="No",10,0)</f>
        <v/>
      </c>
      <c r="AN58" s="30" t="inlineStr">
        <is>
          <t>Yes</t>
        </is>
      </c>
      <c r="AO58" s="30">
        <f>IF(AN58="Yes",10,0)</f>
        <v/>
      </c>
      <c r="AP58" s="30" t="inlineStr">
        <is>
          <t>No</t>
        </is>
      </c>
      <c r="AQ58" s="30">
        <f>IF(AP58="Yes",10,0)</f>
        <v/>
      </c>
      <c r="AR58" s="30" t="inlineStr">
        <is>
          <t>Yes</t>
        </is>
      </c>
      <c r="AS58" s="30">
        <f>IF(AR58="Yes",5,0)</f>
        <v/>
      </c>
      <c r="AT58" s="30" t="inlineStr">
        <is>
          <t>No</t>
        </is>
      </c>
      <c r="AU58" s="30">
        <f>IF(AT58="No",10,IF(AT58="Yes",-10,0))</f>
        <v/>
      </c>
      <c r="AV58" s="30" t="inlineStr">
        <is>
          <t>No</t>
        </is>
      </c>
      <c r="AW58" s="30">
        <f>IF(AV58="No",10,0)</f>
        <v/>
      </c>
      <c r="AX58" s="30" t="inlineStr">
        <is>
          <t>No</t>
        </is>
      </c>
      <c r="AY58" s="30">
        <f>IF(AX58="No",10,IF(AX58= "Yes CEO Resignation",-5,0))</f>
        <v/>
      </c>
      <c r="AZ58" s="30" t="inlineStr">
        <is>
          <t>No</t>
        </is>
      </c>
      <c r="BA58" s="30">
        <f>IF(AZ58="No",10,IF(AZ58="Yes",-5,0))</f>
        <v/>
      </c>
      <c r="BB58" s="30" t="inlineStr">
        <is>
          <t>No</t>
        </is>
      </c>
      <c r="BC58" s="30">
        <f>IF(BB58="No",5,IF(BB58="Yes",-5,0))</f>
        <v/>
      </c>
      <c r="BD58" s="30" t="inlineStr">
        <is>
          <t>Yes</t>
        </is>
      </c>
      <c r="BE58" s="30">
        <f>IF(BD58="Yes",10,0)</f>
        <v/>
      </c>
      <c r="BF58" s="30" t="inlineStr">
        <is>
          <t>Yes</t>
        </is>
      </c>
      <c r="BG58" s="30">
        <f>IF(BF58="Yes",10,0)</f>
        <v/>
      </c>
      <c r="BH58" s="30" t="inlineStr">
        <is>
          <t>Yes</t>
        </is>
      </c>
      <c r="BI58" s="30">
        <f>IF(BH58="Yes",10,0)</f>
        <v/>
      </c>
      <c r="BJ58" s="30" t="inlineStr">
        <is>
          <t>P/BV between 2.5x to 5x and Growth less than 20%</t>
        </is>
      </c>
      <c r="BK58" s="30">
        <f>IF(BJ58="P/BV less than 2.5x and Growth more than 20%",20,IF(BJ58 = "P/BV less than 2.5x and Growth less than 20%",5,IF(BJ58="P/BV between 2.5x to 5x and Growth more than 20%",10,IF(BJ58= "P/BV between 2.5x to 5x and Growth less than 20%",-5,IF(BJ58= "P/BV above 5x",-5,0)))))</f>
        <v/>
      </c>
      <c r="BL58" s="30" t="inlineStr">
        <is>
          <t>0 to 20</t>
        </is>
      </c>
      <c r="BM58" s="30">
        <f>IF(BL58="Above 40",20,IF(BL58="20 to 40",10,IF(BL58="0 to 20",-5,0)))</f>
        <v/>
      </c>
      <c r="BN58" s="30" t="inlineStr">
        <is>
          <t>Between 50 to 75</t>
        </is>
      </c>
      <c r="BO58" s="30">
        <f>IF(BN58="Between 50 to 75",10,IF(BN58="Above 75",0,0))</f>
        <v/>
      </c>
      <c r="BP58" s="30" t="inlineStr">
        <is>
          <t>Stage 2</t>
        </is>
      </c>
      <c r="BQ58" s="30">
        <f>IF(BP58="Stage 2",20,IF(BP58="Stage 1",0,IF(BP58="Stage 3",5,IF(BP58="Stage 4",-5,0))))</f>
        <v/>
      </c>
      <c r="BR58" s="30" t="inlineStr">
        <is>
          <t>Positive Trend</t>
        </is>
      </c>
      <c r="BS58" s="30">
        <f>IF(BR58="Positive Trend",20,IF(BR58="Negative Trend",-10,0))</f>
        <v/>
      </c>
      <c r="BT58" s="30" t="inlineStr">
        <is>
          <t>Uptrend</t>
        </is>
      </c>
      <c r="BU58" s="30">
        <f>IF(BT58="Uptrend",10,IF(BT58="Sideways",5,0))</f>
        <v/>
      </c>
      <c r="BV58" s="30" t="inlineStr">
        <is>
          <t>Uptrend</t>
        </is>
      </c>
      <c r="BW58" s="30">
        <f>IF(BV58="Uptrend",10,IF(BV58="Sideways",5,0))</f>
        <v/>
      </c>
      <c r="BX58" s="30" t="inlineStr">
        <is>
          <t>Close to 52 week high or retracement</t>
        </is>
      </c>
      <c r="BY58" s="30">
        <f>IF(BX58="Overhead supply in last 2 years in last 2 years",-5,IF(BX58="Close to 52 week high or retracement",5,IF(BX58="Blue sky scenario",10,IF(BX58="Long term Downtrend",-10,0))))</f>
        <v/>
      </c>
      <c r="BZ58" s="30" t="inlineStr">
        <is>
          <t>Yes</t>
        </is>
      </c>
      <c r="CA58" s="30">
        <f>IF(BZ58="Yes",10,0)</f>
        <v/>
      </c>
    </row>
    <row r="59">
      <c r="A59" s="30">
        <f>IF(B59=0,"",RANK(B59,$B$2:$B$77,0))</f>
        <v/>
      </c>
      <c r="B59" s="31">
        <f>SUM(N59,Y59,AA59,AC59,AE59,AG59,AI59,AK59,AM59,AO59,AQ59,AS59,AU59,AW59,AY59,BA59,BC59,BE59,BG59,BI59,BK59,BM59,BO59,BQ59,BS59,BU59,BW59,BY59,CA59)</f>
        <v/>
      </c>
      <c r="C59" s="30" t="inlineStr">
        <is>
          <t>CANFINHOME</t>
        </is>
      </c>
      <c r="D59" s="30" t="inlineStr">
        <is>
          <t>Can Fin Homes Limited</t>
        </is>
      </c>
      <c r="E59" s="30" t="inlineStr">
        <is>
          <t>financials</t>
        </is>
      </c>
      <c r="F59" s="30" t="inlineStr">
        <is>
          <t>finance - housing</t>
        </is>
      </c>
      <c r="G59" s="30" t="inlineStr">
        <is>
          <t>midcap</t>
        </is>
      </c>
      <c r="H59" s="31" t="n">
        <v>11766.83</v>
      </c>
      <c r="I59" s="31" t="n">
        <v>885.35</v>
      </c>
      <c r="J59" s="31" t="n">
        <v>0.19</v>
      </c>
      <c r="K59" s="31" t="n">
        <v>109890</v>
      </c>
      <c r="L59" s="30" t="n">
        <v>19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55.44</v>
      </c>
      <c r="P59" s="31" t="n">
        <v>16.21</v>
      </c>
      <c r="Q59" s="31" t="n">
        <v>734.95</v>
      </c>
      <c r="R59" s="30" t="inlineStr">
        <is>
          <t>Earnings / Momentum Support</t>
        </is>
      </c>
      <c r="S59" s="30" t="inlineStr">
        <is>
          <t>Nifty Bank</t>
        </is>
      </c>
      <c r="T59" s="31" t="n">
        <v>2.55</v>
      </c>
      <c r="U59" s="31" t="n">
        <v>17.58</v>
      </c>
      <c r="V59" s="31" t="n">
        <v>14.66</v>
      </c>
      <c r="W59" s="31" t="n">
        <v>5.43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Fragmented with High ROE</t>
        </is>
      </c>
      <c r="AA59" s="30">
        <f>IF(Z59="Fragmented with Low ROE",-5,IF(Z59="Fragmented with High ROE",10,IF(Z59= "highly cyclical",5,0)))</f>
        <v/>
      </c>
      <c r="AB59" s="30" t="inlineStr">
        <is>
          <t>Yes</t>
        </is>
      </c>
      <c r="AC59" s="30">
        <f>IF(AB59="No",5,0)</f>
        <v/>
      </c>
      <c r="AD59" s="30" t="inlineStr">
        <is>
          <t>Headwind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Consistency)",15,IF(AF59="Shallow Cyclical (2 to 3 years growth)",10,IF(AF59 = "Cyclical in an Uptick",5,IF(AF59 = "Cyclical in an Downtick",-10,0))))</f>
        <v/>
      </c>
      <c r="AH59" s="30" t="inlineStr">
        <is>
          <t>Yes</t>
        </is>
      </c>
      <c r="AI59" s="30">
        <f>IF(AH59="Yes",10,0)</f>
        <v/>
      </c>
      <c r="AJ59" s="30" t="inlineStr">
        <is>
          <t>Yes</t>
        </is>
      </c>
      <c r="AK59" s="30">
        <f>IF(AJ59="Yes",10,0)</f>
        <v/>
      </c>
      <c r="AL59" s="30" t="n"/>
      <c r="AM59" s="30">
        <f>IF(AL59="No",10,0)</f>
        <v/>
      </c>
      <c r="AN59" s="30" t="inlineStr">
        <is>
          <t>Yes</t>
        </is>
      </c>
      <c r="AO59" s="30">
        <f>IF(AN59="Yes",10,0)</f>
        <v/>
      </c>
      <c r="AP59" s="30" t="inlineStr">
        <is>
          <t>No</t>
        </is>
      </c>
      <c r="AQ59" s="30">
        <f>IF(AP59="Yes",10,0)</f>
        <v/>
      </c>
      <c r="AR59" s="30" t="inlineStr">
        <is>
          <t>Yes</t>
        </is>
      </c>
      <c r="AS59" s="30">
        <f>IF(AR59="Yes",5,0)</f>
        <v/>
      </c>
      <c r="AT59" s="30" t="inlineStr">
        <is>
          <t>No</t>
        </is>
      </c>
      <c r="AU59" s="30">
        <f>IF(AT59="No",10,IF(AT59="Yes",-10,0))</f>
        <v/>
      </c>
      <c r="AV59" s="30" t="inlineStr">
        <is>
          <t>No</t>
        </is>
      </c>
      <c r="AW59" s="30">
        <f>IF(AV59="No",10,0)</f>
        <v/>
      </c>
      <c r="AX59" s="30" t="inlineStr">
        <is>
          <t>No</t>
        </is>
      </c>
      <c r="AY59" s="30">
        <f>IF(AX59="No",10,IF(AX59= "Yes CEO Resignation",-5,0))</f>
        <v/>
      </c>
      <c r="AZ59" s="30" t="inlineStr">
        <is>
          <t>No</t>
        </is>
      </c>
      <c r="BA59" s="30">
        <f>IF(AZ59="No",10,IF(AZ59="Yes",-5,0))</f>
        <v/>
      </c>
      <c r="BB59" s="30" t="inlineStr">
        <is>
          <t>No</t>
        </is>
      </c>
      <c r="BC59" s="30">
        <f>IF(BB59="No",5,IF(BB59="Yes",-5,0))</f>
        <v/>
      </c>
      <c r="BD59" s="30" t="inlineStr">
        <is>
          <t>Yes</t>
        </is>
      </c>
      <c r="BE59" s="30">
        <f>IF(BD59="Yes",10,0)</f>
        <v/>
      </c>
      <c r="BF59" s="30" t="inlineStr">
        <is>
          <t>Yes</t>
        </is>
      </c>
      <c r="BG59" s="30">
        <f>IF(BF59="Yes",10,0)</f>
        <v/>
      </c>
      <c r="BH59" s="30" t="inlineStr">
        <is>
          <t>Yes</t>
        </is>
      </c>
      <c r="BI59" s="30">
        <f>IF(BH59="Yes",10,0)</f>
        <v/>
      </c>
      <c r="BJ59" s="30" t="inlineStr">
        <is>
          <t>P/BV less than 2.5x and Growth more than 20%</t>
        </is>
      </c>
      <c r="BK59" s="30">
        <f>IF(BJ59="P/BV less than 2.5x and Growth more than 20%",20,IF(BJ59 = "P/BV less than 2.5x and Growth less than 20%",5,IF(BJ59="P/BV between 2.5x to 5x and Growth more than 20%",10,IF(BJ59= "P/BV between 2.5x to 5x and Growth less than 20%",-5,IF(BJ59= "P/BV above 5x",-5,0)))))</f>
        <v/>
      </c>
      <c r="BL59" s="30" t="inlineStr">
        <is>
          <t>0 to 20</t>
        </is>
      </c>
      <c r="BM59" s="30">
        <f>IF(BL59="Above 40",20,IF(BL59="20 to 40",10,IF(BL59="0 to 20",-5,0)))</f>
        <v/>
      </c>
      <c r="BN59" s="30" t="inlineStr">
        <is>
          <t>Between 50 to 75</t>
        </is>
      </c>
      <c r="BO59" s="30">
        <f>IF(BN59="Between 50 to 75",10,IF(BN59="Above 75",0,0))</f>
        <v/>
      </c>
      <c r="BP59" s="30" t="inlineStr">
        <is>
          <t>Stage 1</t>
        </is>
      </c>
      <c r="BQ59" s="30">
        <f>IF(BP59="Stage 2",20,IF(BP59="Stage 1",0,IF(BP59="Stage 3",5,IF(BP59="Stage 4",-5,0))))</f>
        <v/>
      </c>
      <c r="BR59" s="30" t="inlineStr">
        <is>
          <t>Positive Trend</t>
        </is>
      </c>
      <c r="BS59" s="30">
        <f>IF(BR59="Positive Trend",20,IF(BR59="Negative Trend",-10,0))</f>
        <v/>
      </c>
      <c r="BT59" s="30" t="inlineStr">
        <is>
          <t>Uptrend</t>
        </is>
      </c>
      <c r="BU59" s="30">
        <f>IF(BT59="Uptrend",10,IF(BT59="Sideways",5,0))</f>
        <v/>
      </c>
      <c r="BV59" s="30" t="inlineStr">
        <is>
          <t>Uptrend</t>
        </is>
      </c>
      <c r="BW59" s="30">
        <f>IF(BV59="Uptrend",10,IF(BV59="Sideways",5,0))</f>
        <v/>
      </c>
      <c r="BX59" s="30" t="inlineStr">
        <is>
          <t>Close to 52 week high or retracement</t>
        </is>
      </c>
      <c r="BY59" s="30">
        <f>IF(BX59="Overhead supply in last 2 years in last 2 years",-5,IF(BX59="Close to 52 week high or retracement",5,IF(BX59="Blue sky scenario",10,IF(BX59="Long term Downtrend",-10,0))))</f>
        <v/>
      </c>
      <c r="BZ59" s="30" t="inlineStr">
        <is>
          <t>Yes</t>
        </is>
      </c>
      <c r="CA59" s="30">
        <f>IF(BZ59="Yes",10,0)</f>
        <v/>
      </c>
    </row>
    <row r="60">
      <c r="A60" s="30">
        <f>IF(B60=0,"",RANK(B60,$B$2:$B$77,0))</f>
        <v/>
      </c>
      <c r="B60" s="31">
        <f>SUM(N60,Y60,AA60,AC60,AE60,AG60,AI60,AK60,AM60,AO60,AQ60,AS60,AU60,AW60,AY60,BA60,BC60,BE60,BG60,BI60,BK60,BM60,BO60,BQ60,BS60,BU60,BW60,BY60,CA60)</f>
        <v/>
      </c>
      <c r="C60" s="30" t="inlineStr">
        <is>
          <t>INDIANB</t>
        </is>
      </c>
      <c r="D60" s="30" t="inlineStr">
        <is>
          <t>Indian Bank Ltd</t>
        </is>
      </c>
      <c r="E60" s="30" t="inlineStr">
        <is>
          <t>bank</t>
        </is>
      </c>
      <c r="F60" s="30" t="inlineStr">
        <is>
          <t>banks - public sector</t>
        </is>
      </c>
      <c r="G60" s="30" t="inlineStr">
        <is>
          <t>largecap</t>
        </is>
      </c>
      <c r="H60" s="31" t="n">
        <v>117953.64</v>
      </c>
      <c r="I60" s="31" t="n">
        <v>870.1</v>
      </c>
      <c r="J60" s="31" t="n">
        <v>-0.64</v>
      </c>
      <c r="K60" s="31" t="n">
        <v>1460346</v>
      </c>
      <c r="L60" s="30" t="n">
        <v>29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55.03</v>
      </c>
      <c r="P60" s="31" t="n">
        <v>13.72</v>
      </c>
      <c r="Q60" s="31" t="n">
        <v>769.49</v>
      </c>
      <c r="R60" s="30" t="inlineStr">
        <is>
          <t>Earnings / Momentum Support</t>
        </is>
      </c>
      <c r="S60" s="30" t="inlineStr">
        <is>
          <t>Nifty Bank</t>
        </is>
      </c>
      <c r="T60" s="31" t="n">
        <v>2.55</v>
      </c>
      <c r="U60" s="31" t="n">
        <v>44.34</v>
      </c>
      <c r="V60" s="31" t="n">
        <v>40.76</v>
      </c>
      <c r="W60" s="31" t="n">
        <v>8.01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Fragmented with High ROE</t>
        </is>
      </c>
      <c r="AA60" s="30">
        <f>IF(Z60="Fragmented with Low ROE",-5,IF(Z60="Fragmented with High ROE",10,IF(Z60= "highly cyclical",5,0)))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Consistency)",15,IF(AF60="Shallow Cyclical (2 to 3 years growth)",10,IF(AF60 = "Cyclical in an Uptick",5,IF(AF60 = "Cyclical in an Downtick",-10,0))))</f>
        <v/>
      </c>
      <c r="AH60" s="30" t="inlineStr">
        <is>
          <t>Yes</t>
        </is>
      </c>
      <c r="AI60" s="30">
        <f>IF(AH60="Yes",10,0)</f>
        <v/>
      </c>
      <c r="AJ60" s="30" t="inlineStr">
        <is>
          <t>Yes</t>
        </is>
      </c>
      <c r="AK60" s="30">
        <f>IF(AJ60="Yes",10,0)</f>
        <v/>
      </c>
      <c r="AL60" s="30" t="n"/>
      <c r="AM60" s="30">
        <f>IF(AL60="No",10,0)</f>
        <v/>
      </c>
      <c r="AN60" s="30" t="inlineStr">
        <is>
          <t>Yes</t>
        </is>
      </c>
      <c r="AO60" s="30">
        <f>IF(AN60="Yes",10,0)</f>
        <v/>
      </c>
      <c r="AP60" s="30" t="inlineStr">
        <is>
          <t>No</t>
        </is>
      </c>
      <c r="AQ60" s="30">
        <f>IF(AP60="Yes",10,0)</f>
        <v/>
      </c>
      <c r="AR60" s="30" t="inlineStr">
        <is>
          <t>Yes</t>
        </is>
      </c>
      <c r="AS60" s="30">
        <f>IF(AR60="Yes",5,0)</f>
        <v/>
      </c>
      <c r="AT60" s="30" t="inlineStr">
        <is>
          <t>No</t>
        </is>
      </c>
      <c r="AU60" s="30">
        <f>IF(AT60="No",10,IF(AT60="Yes",-10,0))</f>
        <v/>
      </c>
      <c r="AV60" s="30" t="inlineStr">
        <is>
          <t>No</t>
        </is>
      </c>
      <c r="AW60" s="30">
        <f>IF(AV60="No",10,0)</f>
        <v/>
      </c>
      <c r="AX60" s="30" t="inlineStr">
        <is>
          <t>No</t>
        </is>
      </c>
      <c r="AY60" s="30">
        <f>IF(AX60="No",10,IF(AX60= "Yes CEO Resignation",-5,0))</f>
        <v/>
      </c>
      <c r="AZ60" s="30" t="inlineStr">
        <is>
          <t>No</t>
        </is>
      </c>
      <c r="BA60" s="30">
        <f>IF(AZ60="No",10,IF(AZ60="Yes",-5,0))</f>
        <v/>
      </c>
      <c r="BB60" s="30" t="inlineStr">
        <is>
          <t>No</t>
        </is>
      </c>
      <c r="BC60" s="30">
        <f>IF(BB60="No",5,IF(BB60="Yes",-5,0))</f>
        <v/>
      </c>
      <c r="BD60" s="30" t="inlineStr">
        <is>
          <t>Yes</t>
        </is>
      </c>
      <c r="BE60" s="30">
        <f>IF(BD60="Yes",10,0)</f>
        <v/>
      </c>
      <c r="BF60" s="30" t="inlineStr">
        <is>
          <t>Yes</t>
        </is>
      </c>
      <c r="BG60" s="30">
        <f>IF(BF60="Yes",10,0)</f>
        <v/>
      </c>
      <c r="BH60" s="30" t="inlineStr">
        <is>
          <t>Yes</t>
        </is>
      </c>
      <c r="BI60" s="30">
        <f>IF(BH60="Yes",10,0)</f>
        <v/>
      </c>
      <c r="BJ60" s="30" t="inlineStr">
        <is>
          <t>P/BV less than 2.5x and Growth less than 20%</t>
        </is>
      </c>
      <c r="BK60" s="30">
        <f>IF(BJ60="P/BV less than 2.5x and Growth more than 20%",20,IF(BJ60 = "P/BV less than 2.5x and Growth less than 20%",5,IF(BJ60="P/BV between 2.5x to 5x and Growth more than 20%",10,IF(BJ60= "P/BV between 2.5x to 5x and Growth less than 20%",-5,IF(BJ60= "P/BV above 5x",-5,0)))))</f>
        <v/>
      </c>
      <c r="BL60" s="30" t="inlineStr">
        <is>
          <t>0 to 20</t>
        </is>
      </c>
      <c r="BM60" s="30">
        <f>IF(BL60="Above 40",20,IF(BL60="20 to 40",10,IF(BL60="0 to 20",-5,0)))</f>
        <v/>
      </c>
      <c r="BN60" s="30" t="inlineStr">
        <is>
          <t>Between 50 to 75</t>
        </is>
      </c>
      <c r="BO60" s="30">
        <f>IF(BN60="Between 50 to 75",10,IF(BN60="Above 75",0,0))</f>
        <v/>
      </c>
      <c r="BP60" s="30" t="inlineStr">
        <is>
          <t>Stage 1</t>
        </is>
      </c>
      <c r="BQ60" s="30">
        <f>IF(BP60="Stage 2",20,IF(BP60="Stage 1",0,IF(BP60="Stage 3",5,IF(BP60="Stage 4",-5,0))))</f>
        <v/>
      </c>
      <c r="BR60" s="30" t="inlineStr">
        <is>
          <t>Positive Trend</t>
        </is>
      </c>
      <c r="BS60" s="30">
        <f>IF(BR60="Positive Trend",20,IF(BR60="Negative Trend",-10,0))</f>
        <v/>
      </c>
      <c r="BT60" s="30" t="inlineStr">
        <is>
          <t>Uptrend</t>
        </is>
      </c>
      <c r="BU60" s="30">
        <f>IF(BT60="Uptrend",10,IF(BT60="Sideways",5,0))</f>
        <v/>
      </c>
      <c r="BV60" s="30" t="inlineStr">
        <is>
          <t>Uptrend</t>
        </is>
      </c>
      <c r="BW60" s="30">
        <f>IF(BV60="Uptrend",10,IF(BV60="Sideways",5,0))</f>
        <v/>
      </c>
      <c r="BX60" s="30" t="inlineStr">
        <is>
          <t>Close to 52 week high or retracement</t>
        </is>
      </c>
      <c r="BY60" s="30">
        <f>IF(BX60="Overhead supply in last 2 years in last 2 years",-5,IF(BX60="Close to 52 week high or retracement",5,IF(BX60="Blue sky scenario",10,IF(BX60="Long term Downtrend",-10,0))))</f>
        <v/>
      </c>
      <c r="BZ60" s="30" t="inlineStr">
        <is>
          <t>Yes</t>
        </is>
      </c>
      <c r="CA60" s="30">
        <f>IF(BZ60="Yes",10,0)</f>
        <v/>
      </c>
    </row>
    <row r="61">
      <c r="A61" s="30">
        <f>IF(B61=0,"",RANK(B61,$B$2:$B$77,0))</f>
        <v/>
      </c>
      <c r="B61" s="31">
        <f>SUM(N61,Y61,AA61,AC61,AE61,AG61,AI61,AK61,AM61,AO61,AQ61,AS61,AU61,AW61,AY61,BA61,BC61,BE61,BG61,BI61,BK61,BM61,BO61,BQ61,BS61,BU61,BW61,BY61,CA61)</f>
        <v/>
      </c>
      <c r="C61" s="30" t="inlineStr">
        <is>
          <t>SBIN</t>
        </is>
      </c>
      <c r="D61" s="30" t="inlineStr">
        <is>
          <t>State Bank Of India Ltd</t>
        </is>
      </c>
      <c r="E61" s="30" t="inlineStr">
        <is>
          <t>bank</t>
        </is>
      </c>
      <c r="F61" s="30" t="inlineStr">
        <is>
          <t>banks - public sector</t>
        </is>
      </c>
      <c r="G61" s="30" t="inlineStr">
        <is>
          <t>largecap</t>
        </is>
      </c>
      <c r="H61" s="31" t="n">
        <v>962476.5</v>
      </c>
      <c r="I61" s="31" t="n">
        <v>1035.1</v>
      </c>
      <c r="J61" s="31" t="n">
        <v>-0.73</v>
      </c>
      <c r="K61" s="31" t="n">
        <v>9099878</v>
      </c>
      <c r="L61" s="30" t="n">
        <v>21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54.65</v>
      </c>
      <c r="P61" s="31" t="n">
        <v>9.27</v>
      </c>
      <c r="Q61" s="31" t="n">
        <v>928.16</v>
      </c>
      <c r="R61" s="30" t="inlineStr">
        <is>
          <t>Earnings / Momentum Support</t>
        </is>
      </c>
      <c r="S61" s="30" t="inlineStr">
        <is>
          <t>Nifty Bank</t>
        </is>
      </c>
      <c r="T61" s="31" t="n">
        <v>2.55</v>
      </c>
      <c r="U61" s="31" t="n">
        <v>32.36</v>
      </c>
      <c r="V61" s="31" t="n">
        <v>29.07</v>
      </c>
      <c r="W61" s="31" t="n">
        <v>5.82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Fragmented with High ROE</t>
        </is>
      </c>
      <c r="AA61" s="30">
        <f>IF(Z61="Fragmented with Low ROE",-5,IF(Z61="Fragmented with High ROE",10,IF(Z61= "highly cyclical",5,0)))</f>
        <v/>
      </c>
      <c r="AB61" s="30" t="inlineStr">
        <is>
          <t>Yes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Consistency)",15,IF(AF61="Shallow Cyclical (2 to 3 years growth)",10,IF(AF61 = "Cyclical in an Uptick",5,IF(AF61 = "Cyclical in an Downtick",-10,0))))</f>
        <v/>
      </c>
      <c r="AH61" s="30" t="inlineStr">
        <is>
          <t>Yes</t>
        </is>
      </c>
      <c r="AI61" s="30">
        <f>IF(AH61="Yes",10,0)</f>
        <v/>
      </c>
      <c r="AJ61" s="30" t="inlineStr">
        <is>
          <t>Yes</t>
        </is>
      </c>
      <c r="AK61" s="30">
        <f>IF(AJ61="Yes",10,0)</f>
        <v/>
      </c>
      <c r="AL61" s="30" t="n"/>
      <c r="AM61" s="30">
        <f>IF(AL61="No",10,0)</f>
        <v/>
      </c>
      <c r="AN61" s="30" t="inlineStr">
        <is>
          <t>Yes</t>
        </is>
      </c>
      <c r="AO61" s="30">
        <f>IF(AN61="Yes",10,0)</f>
        <v/>
      </c>
      <c r="AP61" s="30" t="inlineStr">
        <is>
          <t>No</t>
        </is>
      </c>
      <c r="AQ61" s="30">
        <f>IF(AP61="Yes",10,0)</f>
        <v/>
      </c>
      <c r="AR61" s="30" t="inlineStr">
        <is>
          <t>Yes</t>
        </is>
      </c>
      <c r="AS61" s="30">
        <f>IF(AR61="Yes",5,0)</f>
        <v/>
      </c>
      <c r="AT61" s="30" t="inlineStr">
        <is>
          <t>No</t>
        </is>
      </c>
      <c r="AU61" s="30">
        <f>IF(AT61="No",10,IF(AT61="Yes",-10,0))</f>
        <v/>
      </c>
      <c r="AV61" s="30" t="inlineStr">
        <is>
          <t>No</t>
        </is>
      </c>
      <c r="AW61" s="30">
        <f>IF(AV61="No",10,0)</f>
        <v/>
      </c>
      <c r="AX61" s="30" t="inlineStr">
        <is>
          <t>No</t>
        </is>
      </c>
      <c r="AY61" s="30">
        <f>IF(AX61="No",10,IF(AX61= "Yes CEO Resignation",-5,0))</f>
        <v/>
      </c>
      <c r="AZ61" s="30" t="inlineStr">
        <is>
          <t>No</t>
        </is>
      </c>
      <c r="BA61" s="30">
        <f>IF(AZ61="No",10,IF(AZ61="Yes",-5,0))</f>
        <v/>
      </c>
      <c r="BB61" s="30" t="inlineStr">
        <is>
          <t>No</t>
        </is>
      </c>
      <c r="BC61" s="30">
        <f>IF(BB61="No",5,IF(BB61="Yes",-5,0))</f>
        <v/>
      </c>
      <c r="BD61" s="30" t="inlineStr">
        <is>
          <t>Yes</t>
        </is>
      </c>
      <c r="BE61" s="30">
        <f>IF(BD61="Yes",10,0)</f>
        <v/>
      </c>
      <c r="BF61" s="30" t="inlineStr">
        <is>
          <t>Yes</t>
        </is>
      </c>
      <c r="BG61" s="30">
        <f>IF(BF61="Yes",10,0)</f>
        <v/>
      </c>
      <c r="BH61" s="30" t="inlineStr">
        <is>
          <t>Yes</t>
        </is>
      </c>
      <c r="BI61" s="30">
        <f>IF(BH61="Yes",10,0)</f>
        <v/>
      </c>
      <c r="BJ61" s="30" t="inlineStr">
        <is>
          <t>P/BV less than 2.5x and Growth less than 20%</t>
        </is>
      </c>
      <c r="BK61" s="30">
        <f>IF(BJ61="P/BV less than 2.5x and Growth more than 20%",20,IF(BJ61 = "P/BV less than 2.5x and Growth less than 20%",5,IF(BJ61="P/BV between 2.5x to 5x and Growth more than 20%",10,IF(BJ61= "P/BV between 2.5x to 5x and Growth less than 20%",-5,IF(BJ61= "P/BV above 5x",-5,0)))))</f>
        <v/>
      </c>
      <c r="BL61" s="30" t="inlineStr">
        <is>
          <t>0 to 20</t>
        </is>
      </c>
      <c r="BM61" s="30">
        <f>IF(BL61="Above 40",20,IF(BL61="20 to 40",10,IF(BL61="0 to 20",-5,0)))</f>
        <v/>
      </c>
      <c r="BN61" s="30" t="inlineStr">
        <is>
          <t>Between 50 to 75</t>
        </is>
      </c>
      <c r="BO61" s="30">
        <f>IF(BN61="Between 50 to 75",10,IF(BN61="Above 75",0,0))</f>
        <v/>
      </c>
      <c r="BP61" s="30" t="inlineStr">
        <is>
          <t>Stage 1</t>
        </is>
      </c>
      <c r="BQ61" s="30">
        <f>IF(BP61="Stage 2",20,IF(BP61="Stage 1",0,IF(BP61="Stage 3",5,IF(BP61="Stage 4",-5,0))))</f>
        <v/>
      </c>
      <c r="BR61" s="30" t="inlineStr">
        <is>
          <t>Positive Trend</t>
        </is>
      </c>
      <c r="BS61" s="30">
        <f>IF(BR61="Positive Trend",20,IF(BR61="Negative Trend",-10,0))</f>
        <v/>
      </c>
      <c r="BT61" s="30" t="inlineStr">
        <is>
          <t>Uptrend</t>
        </is>
      </c>
      <c r="BU61" s="30">
        <f>IF(BT61="Uptrend",10,IF(BT61="Sideways",5,0))</f>
        <v/>
      </c>
      <c r="BV61" s="30" t="inlineStr">
        <is>
          <t>Uptrend</t>
        </is>
      </c>
      <c r="BW61" s="30">
        <f>IF(BV61="Uptrend",10,IF(BV61="Sideways",5,0))</f>
        <v/>
      </c>
      <c r="BX61" s="30" t="inlineStr">
        <is>
          <t>Close to 52 week high or retracement</t>
        </is>
      </c>
      <c r="BY61" s="30">
        <f>IF(BX61="Overhead supply in last 2 years in last 2 years",-5,IF(BX61="Close to 52 week high or retracement",5,IF(BX61="Blue sky scenario",10,IF(BX61="Long term Downtrend",-10,0))))</f>
        <v/>
      </c>
      <c r="BZ61" s="30" t="inlineStr">
        <is>
          <t>Yes</t>
        </is>
      </c>
      <c r="CA61" s="30">
        <f>IF(BZ61="Yes",10,0)</f>
        <v/>
      </c>
    </row>
    <row r="62">
      <c r="A62" s="30">
        <f>IF(B62=0,"",RANK(B62,$B$2:$B$77,0))</f>
        <v/>
      </c>
      <c r="B62" s="31">
        <f>SUM(N62,Y62,AA62,AC62,AE62,AG62,AI62,AK62,AM62,AO62,AQ62,AS62,AU62,AW62,AY62,BA62,BC62,BE62,BG62,BI62,BK62,BM62,BO62,BQ62,BS62,BU62,BW62,BY62,CA62)</f>
        <v/>
      </c>
      <c r="C62" s="30" t="inlineStr">
        <is>
          <t>CHOICEIN</t>
        </is>
      </c>
      <c r="D62" s="30" t="inlineStr">
        <is>
          <t>Choice International Ltd</t>
        </is>
      </c>
      <c r="E62" s="30" t="inlineStr">
        <is>
          <t>financials</t>
        </is>
      </c>
      <c r="F62" s="30" t="inlineStr">
        <is>
          <t>finance &amp; investments</t>
        </is>
      </c>
      <c r="G62" s="30" t="inlineStr">
        <is>
          <t>midcap</t>
        </is>
      </c>
      <c r="H62" s="31" t="n">
        <v>15762.55</v>
      </c>
      <c r="I62" s="31" t="n">
        <v>726.1</v>
      </c>
      <c r="J62" s="31" t="n">
        <v>2.62</v>
      </c>
      <c r="K62" s="31" t="n">
        <v>1203479</v>
      </c>
      <c r="L62" s="30" t="n">
        <v>17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53</v>
      </c>
      <c r="P62" s="31" t="n">
        <v>26.03</v>
      </c>
      <c r="Q62" s="31" t="n">
        <v>576.89</v>
      </c>
      <c r="R62" s="30" t="inlineStr">
        <is>
          <t>Earnings / Momentum Support</t>
        </is>
      </c>
      <c r="S62" s="30" t="inlineStr">
        <is>
          <t>Nifty Bank</t>
        </is>
      </c>
      <c r="T62" s="31" t="n">
        <v>2.55</v>
      </c>
      <c r="U62" s="31" t="n">
        <v>3.07</v>
      </c>
      <c r="V62" s="31" t="n">
        <v>0.51</v>
      </c>
      <c r="W62" s="31" t="n">
        <v>5.28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Fragmented with High ROE</t>
        </is>
      </c>
      <c r="AA62" s="30">
        <f>IF(Z62="Fragmented with Low ROE",-5,IF(Z62="Fragmented with High ROE",10,IF(Z62= "highly cyclical",5,0)))</f>
        <v/>
      </c>
      <c r="AB62" s="30" t="inlineStr">
        <is>
          <t>Yes</t>
        </is>
      </c>
      <c r="AC62" s="30">
        <f>IF(AB62="No",5,0)</f>
        <v/>
      </c>
      <c r="AD62" s="30" t="inlineStr">
        <is>
          <t>Headwind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Consistency)",15,IF(AF62="Shallow Cyclical (2 to 3 years growth)",10,IF(AF62 = "Cyclical in an Uptick",5,IF(AF62 = "Cyclical in an Downtick",-10,0))))</f>
        <v/>
      </c>
      <c r="AH62" s="30" t="inlineStr">
        <is>
          <t>Yes</t>
        </is>
      </c>
      <c r="AI62" s="30">
        <f>IF(AH62="Yes",10,0)</f>
        <v/>
      </c>
      <c r="AJ62" s="30" t="inlineStr">
        <is>
          <t>Yes</t>
        </is>
      </c>
      <c r="AK62" s="30">
        <f>IF(AJ62="Yes",10,0)</f>
        <v/>
      </c>
      <c r="AL62" s="30" t="n"/>
      <c r="AM62" s="30">
        <f>IF(AL62="No",10,0)</f>
        <v/>
      </c>
      <c r="AN62" s="30" t="inlineStr">
        <is>
          <t>Yes</t>
        </is>
      </c>
      <c r="AO62" s="30">
        <f>IF(AN62="Yes",10,0)</f>
        <v/>
      </c>
      <c r="AP62" s="30" t="inlineStr">
        <is>
          <t>No</t>
        </is>
      </c>
      <c r="AQ62" s="30">
        <f>IF(AP62="Yes",10,0)</f>
        <v/>
      </c>
      <c r="AR62" s="30" t="inlineStr">
        <is>
          <t>Yes</t>
        </is>
      </c>
      <c r="AS62" s="30">
        <f>IF(AR62="Yes",5,0)</f>
        <v/>
      </c>
      <c r="AT62" s="30" t="inlineStr">
        <is>
          <t>No</t>
        </is>
      </c>
      <c r="AU62" s="30">
        <f>IF(AT62="No",10,IF(AT62="Yes",-10,0))</f>
        <v/>
      </c>
      <c r="AV62" s="30" t="inlineStr">
        <is>
          <t>No</t>
        </is>
      </c>
      <c r="AW62" s="30">
        <f>IF(AV62="No",10,0)</f>
        <v/>
      </c>
      <c r="AX62" s="30" t="inlineStr">
        <is>
          <t>No</t>
        </is>
      </c>
      <c r="AY62" s="30">
        <f>IF(AX62="No",10,IF(AX62= "Yes CEO Resignation",-5,0))</f>
        <v/>
      </c>
      <c r="AZ62" s="30" t="inlineStr">
        <is>
          <t>No</t>
        </is>
      </c>
      <c r="BA62" s="30">
        <f>IF(AZ62="No",10,IF(AZ62="Yes",-5,0))</f>
        <v/>
      </c>
      <c r="BB62" s="30" t="inlineStr">
        <is>
          <t>No</t>
        </is>
      </c>
      <c r="BC62" s="30">
        <f>IF(BB62="No",5,IF(BB62="Yes",-5,0))</f>
        <v/>
      </c>
      <c r="BD62" s="30" t="inlineStr">
        <is>
          <t>Yes</t>
        </is>
      </c>
      <c r="BE62" s="30">
        <f>IF(BD62="Yes",10,0)</f>
        <v/>
      </c>
      <c r="BF62" s="30" t="inlineStr">
        <is>
          <t>Yes</t>
        </is>
      </c>
      <c r="BG62" s="30">
        <f>IF(BF62="Yes",10,0)</f>
        <v/>
      </c>
      <c r="BH62" s="30" t="inlineStr">
        <is>
          <t>Yes</t>
        </is>
      </c>
      <c r="BI62" s="30">
        <f>IF(BH62="Yes",10,0)</f>
        <v/>
      </c>
      <c r="BJ62" s="30" t="inlineStr">
        <is>
          <t>P/BV above 5x</t>
        </is>
      </c>
      <c r="BK62" s="30">
        <f>IF(BJ62="P/BV less than 2.5x and Growth more than 20%",20,IF(BJ62 = "P/BV less than 2.5x and Growth less than 20%",5,IF(BJ62="P/BV between 2.5x to 5x and Growth more than 20%",10,IF(BJ62= "P/BV between 2.5x to 5x and Growth less than 20%",-5,IF(BJ62= "P/BV above 5x",-5,0)))))</f>
        <v/>
      </c>
      <c r="BL62" s="30" t="inlineStr">
        <is>
          <t>20 to 40</t>
        </is>
      </c>
      <c r="BM62" s="30">
        <f>IF(BL62="Above 40",20,IF(BL62="20 to 40",10,IF(BL62="0 to 20",-5,0)))</f>
        <v/>
      </c>
      <c r="BN62" s="30" t="inlineStr">
        <is>
          <t>Between 50 to 75</t>
        </is>
      </c>
      <c r="BO62" s="30">
        <f>IF(BN62="Between 50 to 75",10,IF(BN62="Above 75",0,0))</f>
        <v/>
      </c>
      <c r="BP62" s="30" t="inlineStr">
        <is>
          <t>Stage 1</t>
        </is>
      </c>
      <c r="BQ62" s="30">
        <f>IF(BP62="Stage 2",20,IF(BP62="Stage 1",0,IF(BP62="Stage 3",5,IF(BP62="Stage 4",-5,0))))</f>
        <v/>
      </c>
      <c r="BR62" s="30" t="inlineStr">
        <is>
          <t>Positive Trend</t>
        </is>
      </c>
      <c r="BS62" s="30">
        <f>IF(BR62="Positive Trend",20,IF(BR62="Negative Trend",-10,0))</f>
        <v/>
      </c>
      <c r="BT62" s="30" t="inlineStr">
        <is>
          <t>Uptrend</t>
        </is>
      </c>
      <c r="BU62" s="30">
        <f>IF(BT62="Uptrend",10,IF(BT62="Sideways",5,0))</f>
        <v/>
      </c>
      <c r="BV62" s="30" t="inlineStr">
        <is>
          <t>Uptrend</t>
        </is>
      </c>
      <c r="BW62" s="30">
        <f>IF(BV62="Uptrend",10,IF(BV62="Sideways",5,0))</f>
        <v/>
      </c>
      <c r="BX62" s="30" t="inlineStr">
        <is>
          <t>Close to 52 week high or retracement</t>
        </is>
      </c>
      <c r="BY62" s="30">
        <f>IF(BX62="Overhead supply in last 2 years in last 2 years",-5,IF(BX62="Close to 52 week high or retracement",5,IF(BX62="Blue sky scenario",10,IF(BX62="Long term Downtrend",-10,0))))</f>
        <v/>
      </c>
      <c r="BZ62" s="30" t="inlineStr">
        <is>
          <t>Yes</t>
        </is>
      </c>
      <c r="CA62" s="30">
        <f>IF(BZ62="Yes",10,0)</f>
        <v/>
      </c>
    </row>
    <row r="63">
      <c r="A63" s="30">
        <f>IF(B63=0,"",RANK(B63,$B$2:$B$77,0))</f>
        <v/>
      </c>
      <c r="B63" s="31">
        <f>SUM(N63,Y63,AA63,AC63,AE63,AG63,AI63,AK63,AM63,AO63,AQ63,AS63,AU63,AW63,AY63,BA63,BC63,BE63,BG63,BI63,BK63,BM63,BO63,BQ63,BS63,BU63,BW63,BY63,CA63)</f>
        <v/>
      </c>
      <c r="C63" s="32" t="inlineStr">
        <is>
          <t>360ONE</t>
        </is>
      </c>
      <c r="D63" s="32" t="inlineStr">
        <is>
          <t>360 ONE WAM Ltd</t>
        </is>
      </c>
      <c r="E63" s="30" t="inlineStr">
        <is>
          <t>financials</t>
        </is>
      </c>
      <c r="F63" s="30" t="inlineStr">
        <is>
          <t>finance &amp; investments</t>
        </is>
      </c>
      <c r="G63" s="30" t="inlineStr">
        <is>
          <t>largecap</t>
        </is>
      </c>
      <c r="H63" s="31" t="n">
        <v>46352.58</v>
      </c>
      <c r="I63" s="31" t="n">
        <v>1145.1</v>
      </c>
      <c r="J63" s="31" t="n">
        <v>0.33</v>
      </c>
      <c r="K63" s="31" t="n">
        <v>1587197</v>
      </c>
      <c r="L63" s="30" t="n">
        <v>5</v>
      </c>
      <c r="M63" s="30" t="inlineStr">
        <is>
          <t>Underperforming</t>
        </is>
      </c>
      <c r="N63" s="31">
        <f>IF(M63="Underperforming",-5,IF(L63&gt;=95,15,IF(L63&gt;=90,10,IF(L63&gt;=80,5,0))))</f>
        <v/>
      </c>
      <c r="O63" s="31" t="n">
        <v>56.3</v>
      </c>
      <c r="P63" s="31" t="n">
        <v>14.22</v>
      </c>
      <c r="Q63" s="31" t="n">
        <v>911.13</v>
      </c>
      <c r="R63" s="30" t="inlineStr">
        <is>
          <t>Earnings / Momentum Support</t>
        </is>
      </c>
      <c r="S63" s="30" t="inlineStr">
        <is>
          <t>Nifty Bank</t>
        </is>
      </c>
      <c r="T63" s="31" t="n">
        <v>2.55</v>
      </c>
      <c r="U63" s="31" t="n">
        <v>1.79</v>
      </c>
      <c r="V63" s="31" t="n">
        <v>-0.74</v>
      </c>
      <c r="W63" s="31" t="n">
        <v>2.74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Fragmented with High ROE</t>
        </is>
      </c>
      <c r="AA63" s="30">
        <f>IF(Z63="Fragmented with Low ROE",-5,IF(Z63="Fragmented with High ROE",10,IF(Z63= "highly cyclical",5,0)))</f>
        <v/>
      </c>
      <c r="AB63" s="30" t="inlineStr">
        <is>
          <t>Yes</t>
        </is>
      </c>
      <c r="AC63" s="30">
        <f>IF(AB63="No",5,0)</f>
        <v/>
      </c>
      <c r="AD63" s="30" t="inlineStr">
        <is>
          <t>Headwind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Consistency)",15,IF(AF63="Shallow Cyclical (2 to 3 years growth)",10,IF(AF63 = "Cyclical in an Uptick",5,IF(AF63 = "Cyclical in an Downtick",-10,0))))</f>
        <v/>
      </c>
      <c r="AH63" s="30" t="inlineStr">
        <is>
          <t>Yes</t>
        </is>
      </c>
      <c r="AI63" s="30">
        <f>IF(AH63="Yes",10,0)</f>
        <v/>
      </c>
      <c r="AJ63" s="30" t="inlineStr">
        <is>
          <t>Yes</t>
        </is>
      </c>
      <c r="AK63" s="30">
        <f>IF(AJ63="Yes",10,0)</f>
        <v/>
      </c>
      <c r="AL63" s="30" t="n"/>
      <c r="AM63" s="30">
        <f>IF(AL63="No",10,0)</f>
        <v/>
      </c>
      <c r="AN63" s="30" t="inlineStr">
        <is>
          <t>Yes</t>
        </is>
      </c>
      <c r="AO63" s="30">
        <f>IF(AN63="Yes",10,0)</f>
        <v/>
      </c>
      <c r="AP63" s="30" t="inlineStr">
        <is>
          <t>No</t>
        </is>
      </c>
      <c r="AQ63" s="30">
        <f>IF(AP63="Yes",10,0)</f>
        <v/>
      </c>
      <c r="AR63" s="30" t="inlineStr">
        <is>
          <t>Yes</t>
        </is>
      </c>
      <c r="AS63" s="30">
        <f>IF(AR63="Yes",5,0)</f>
        <v/>
      </c>
      <c r="AT63" s="30" t="inlineStr">
        <is>
          <t>No</t>
        </is>
      </c>
      <c r="AU63" s="30">
        <f>IF(AT63="No",10,IF(AT63="Yes",-10,0))</f>
        <v/>
      </c>
      <c r="AV63" s="30" t="inlineStr">
        <is>
          <t>No</t>
        </is>
      </c>
      <c r="AW63" s="30">
        <f>IF(AV63="No",10,0)</f>
        <v/>
      </c>
      <c r="AX63" s="30" t="inlineStr">
        <is>
          <t>No</t>
        </is>
      </c>
      <c r="AY63" s="30">
        <f>IF(AX63="No",10,IF(AX63= "Yes CEO Resignation",-5,0))</f>
        <v/>
      </c>
      <c r="AZ63" s="30" t="inlineStr">
        <is>
          <t>No</t>
        </is>
      </c>
      <c r="BA63" s="30">
        <f>IF(AZ63="No",10,IF(AZ63="Yes",-5,0))</f>
        <v/>
      </c>
      <c r="BB63" s="30" t="inlineStr">
        <is>
          <t>No</t>
        </is>
      </c>
      <c r="BC63" s="30">
        <f>IF(BB63="No",5,IF(BB63="Yes",-5,0))</f>
        <v/>
      </c>
      <c r="BD63" s="30" t="inlineStr">
        <is>
          <t>Yes</t>
        </is>
      </c>
      <c r="BE63" s="30">
        <f>IF(BD63="Yes",10,0)</f>
        <v/>
      </c>
      <c r="BF63" s="30" t="inlineStr">
        <is>
          <t>Yes</t>
        </is>
      </c>
      <c r="BG63" s="30">
        <f>IF(BF63="Yes",10,0)</f>
        <v/>
      </c>
      <c r="BH63" s="30" t="inlineStr">
        <is>
          <t>Yes</t>
        </is>
      </c>
      <c r="BI63" s="30">
        <f>IF(BH63="Yes",10,0)</f>
        <v/>
      </c>
      <c r="BJ63" s="30" t="inlineStr">
        <is>
          <t>P/BV between 2.5x to 5x and Growth less than 20%</t>
        </is>
      </c>
      <c r="BK63" s="30">
        <f>IF(BJ63="P/BV less than 2.5x and Growth more than 20%",20,IF(BJ63 = "P/BV less than 2.5x and Growth less than 20%",5,IF(BJ63="P/BV between 2.5x to 5x and Growth more than 20%",10,IF(BJ63= "P/BV between 2.5x to 5x and Growth less than 20%",-5,IF(BJ63= "P/BV above 5x",-5,0)))))</f>
        <v/>
      </c>
      <c r="BL63" s="30" t="inlineStr">
        <is>
          <t>0 to 20</t>
        </is>
      </c>
      <c r="BM63" s="30">
        <f>IF(BL63="Above 40",20,IF(BL63="20 to 40",10,IF(BL63="0 to 20",-5,0)))</f>
        <v/>
      </c>
      <c r="BN63" s="30" t="inlineStr">
        <is>
          <t>Between 50 to 75</t>
        </is>
      </c>
      <c r="BO63" s="30">
        <f>IF(BN63="Between 50 to 75",10,IF(BN63="Above 75",0,0))</f>
        <v/>
      </c>
      <c r="BP63" s="30" t="inlineStr">
        <is>
          <t>Stage 2</t>
        </is>
      </c>
      <c r="BQ63" s="30">
        <f>IF(BP63="Stage 2",20,IF(BP63="Stage 1",0,IF(BP63="Stage 3",5,IF(BP63="Stage 4",-5,0))))</f>
        <v/>
      </c>
      <c r="BR63" s="30" t="inlineStr">
        <is>
          <t>Positive Trend</t>
        </is>
      </c>
      <c r="BS63" s="30">
        <f>IF(BR63="Positive Trend",20,IF(BR63="Negative Trend",-10,0))</f>
        <v/>
      </c>
      <c r="BT63" s="30" t="inlineStr">
        <is>
          <t>Uptrend</t>
        </is>
      </c>
      <c r="BU63" s="30">
        <f>IF(BT63="Uptrend",10,IF(BT63="Sideways",5,0))</f>
        <v/>
      </c>
      <c r="BV63" s="30" t="inlineStr">
        <is>
          <t>Uptrend</t>
        </is>
      </c>
      <c r="BW63" s="30">
        <f>IF(BV63="Uptrend",10,IF(BV63="Sideways",5,0))</f>
        <v/>
      </c>
      <c r="BX63" s="30" t="inlineStr">
        <is>
          <t>Close to 52 week high or retracement</t>
        </is>
      </c>
      <c r="BY63" s="30">
        <f>IF(BX63="Overhead supply in last 2 years in last 2 years",-5,IF(BX63="Close to 52 week high or retracement",5,IF(BX63="Blue sky scenario",10,IF(BX63="Long term Downtrend",-10,0))))</f>
        <v/>
      </c>
      <c r="BZ63" s="30" t="inlineStr">
        <is>
          <t>Yes</t>
        </is>
      </c>
      <c r="CA63" s="30">
        <f>IF(BZ63="Yes",10,0)</f>
        <v/>
      </c>
    </row>
    <row r="64">
      <c r="A64" s="30">
        <f>IF(B64=0,"",RANK(B64,$B$2:$B$77,0))</f>
        <v/>
      </c>
      <c r="B64" s="31">
        <f>SUM(N64,Y64,AA64,AC64,AE64,AG64,AI64,AK64,AM64,AO64,AQ64,AS64,AU64,AW64,AY64,BA64,BC64,BE64,BG64,BI64,BK64,BM64,BO64,BQ64,BS64,BU64,BW64,BY64,CA64)</f>
        <v/>
      </c>
      <c r="C64" s="32" t="inlineStr">
        <is>
          <t>REPCOHOME</t>
        </is>
      </c>
      <c r="D64" s="32" t="inlineStr">
        <is>
          <t>Repco Home Finance Limited</t>
        </is>
      </c>
      <c r="E64" s="30" t="inlineStr">
        <is>
          <t>financials</t>
        </is>
      </c>
      <c r="F64" s="30" t="inlineStr">
        <is>
          <t>finance - housing</t>
        </is>
      </c>
      <c r="G64" s="30" t="inlineStr">
        <is>
          <t>smallcap</t>
        </is>
      </c>
      <c r="H64" s="31" t="n">
        <v>2446.15</v>
      </c>
      <c r="I64" s="31" t="n">
        <v>393.65</v>
      </c>
      <c r="J64" s="31" t="n">
        <v>0.68</v>
      </c>
      <c r="K64" s="31" t="n">
        <v>57133</v>
      </c>
      <c r="L64" s="30" t="n">
        <v>3</v>
      </c>
      <c r="M64" s="30" t="inlineStr">
        <is>
          <t>Underperforming</t>
        </is>
      </c>
      <c r="N64" s="31">
        <f>IF(M64="Underperforming",-5,IF(L64&gt;=95,15,IF(L64&gt;=90,10,IF(L64&gt;=80,5,0))))</f>
        <v/>
      </c>
      <c r="O64" s="31" t="n">
        <v>51.72</v>
      </c>
      <c r="P64" s="31" t="n">
        <v>12.62</v>
      </c>
      <c r="Q64" s="31" t="n">
        <v>325.39</v>
      </c>
      <c r="R64" s="30" t="inlineStr">
        <is>
          <t>Earnings / Momentum Support</t>
        </is>
      </c>
      <c r="S64" s="30" t="inlineStr">
        <is>
          <t>Nifty Bank</t>
        </is>
      </c>
      <c r="T64" s="31" t="n">
        <v>2.55</v>
      </c>
      <c r="U64" s="31" t="n">
        <v>-4.09</v>
      </c>
      <c r="V64" s="31" t="n">
        <v>-6.47</v>
      </c>
      <c r="W64" s="31" t="n">
        <v>1.92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Fragmented with High ROE</t>
        </is>
      </c>
      <c r="AA64" s="30">
        <f>IF(Z64="Fragmented with Low ROE",-5,IF(Z64="Fragmented with High ROE",10,IF(Z64= "highly cyclical",5,0)))</f>
        <v/>
      </c>
      <c r="AB64" s="30" t="inlineStr">
        <is>
          <t>Yes</t>
        </is>
      </c>
      <c r="AC64" s="30">
        <f>IF(AB64="No",5,0)</f>
        <v/>
      </c>
      <c r="AD64" s="30" t="inlineStr">
        <is>
          <t>Headwind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Consistency)",15,IF(AF64="Shallow Cyclical (2 to 3 years growth)",10,IF(AF64 = "Cyclical in an Uptick",5,IF(AF64 = "Cyclical in an Downtick",-10,0))))</f>
        <v/>
      </c>
      <c r="AH64" s="30" t="inlineStr">
        <is>
          <t>Yes</t>
        </is>
      </c>
      <c r="AI64" s="30">
        <f>IF(AH64="Yes",10,0)</f>
        <v/>
      </c>
      <c r="AJ64" s="30" t="inlineStr">
        <is>
          <t>Yes</t>
        </is>
      </c>
      <c r="AK64" s="30">
        <f>IF(AJ64="Yes",10,0)</f>
        <v/>
      </c>
      <c r="AL64" s="30" t="n"/>
      <c r="AM64" s="30">
        <f>IF(AL64="No",10,0)</f>
        <v/>
      </c>
      <c r="AN64" s="30" t="inlineStr">
        <is>
          <t>Yes</t>
        </is>
      </c>
      <c r="AO64" s="30">
        <f>IF(AN64="Yes",10,0)</f>
        <v/>
      </c>
      <c r="AP64" s="30" t="inlineStr">
        <is>
          <t>No</t>
        </is>
      </c>
      <c r="AQ64" s="30">
        <f>IF(AP64="Yes",10,0)</f>
        <v/>
      </c>
      <c r="AR64" s="30" t="inlineStr">
        <is>
          <t>Yes</t>
        </is>
      </c>
      <c r="AS64" s="30">
        <f>IF(AR64="Yes",5,0)</f>
        <v/>
      </c>
      <c r="AT64" s="30" t="inlineStr">
        <is>
          <t>No</t>
        </is>
      </c>
      <c r="AU64" s="30">
        <f>IF(AT64="No",10,IF(AT64="Yes",-10,0))</f>
        <v/>
      </c>
      <c r="AV64" s="30" t="inlineStr">
        <is>
          <t>No</t>
        </is>
      </c>
      <c r="AW64" s="30">
        <f>IF(AV64="No",10,0)</f>
        <v/>
      </c>
      <c r="AX64" s="30" t="inlineStr">
        <is>
          <t>No</t>
        </is>
      </c>
      <c r="AY64" s="30">
        <f>IF(AX64="No",10,IF(AX64= "Yes CEO Resignation",-5,0))</f>
        <v/>
      </c>
      <c r="AZ64" s="30" t="inlineStr">
        <is>
          <t>No</t>
        </is>
      </c>
      <c r="BA64" s="30">
        <f>IF(AZ64="No",10,IF(AZ64="Yes",-5,0))</f>
        <v/>
      </c>
      <c r="BB64" s="30" t="inlineStr">
        <is>
          <t>No</t>
        </is>
      </c>
      <c r="BC64" s="30">
        <f>IF(BB64="No",5,IF(BB64="Yes",-5,0))</f>
        <v/>
      </c>
      <c r="BD64" s="30" t="inlineStr">
        <is>
          <t>Yes</t>
        </is>
      </c>
      <c r="BE64" s="30">
        <f>IF(BD64="Yes",10,0)</f>
        <v/>
      </c>
      <c r="BF64" s="30" t="inlineStr">
        <is>
          <t>Yes</t>
        </is>
      </c>
      <c r="BG64" s="30">
        <f>IF(BF64="Yes",10,0)</f>
        <v/>
      </c>
      <c r="BH64" s="30" t="inlineStr">
        <is>
          <t>Yes</t>
        </is>
      </c>
      <c r="BI64" s="30">
        <f>IF(BH64="Yes",10,0)</f>
        <v/>
      </c>
      <c r="BJ64" s="30" t="inlineStr">
        <is>
          <t>P/BV less than 2.5x and Growth less than 20%</t>
        </is>
      </c>
      <c r="BK64" s="30">
        <f>IF(BJ64="P/BV less than 2.5x and Growth more than 20%",20,IF(BJ64 = "P/BV less than 2.5x and Growth less than 20%",5,IF(BJ64="P/BV between 2.5x to 5x and Growth more than 20%",10,IF(BJ64= "P/BV between 2.5x to 5x and Growth less than 20%",-5,IF(BJ64= "P/BV above 5x",-5,0)))))</f>
        <v/>
      </c>
      <c r="BL64" s="30" t="inlineStr">
        <is>
          <t>0 to 20</t>
        </is>
      </c>
      <c r="BM64" s="30">
        <f>IF(BL64="Above 40",20,IF(BL64="20 to 40",10,IF(BL64="0 to 20",-5,0)))</f>
        <v/>
      </c>
      <c r="BN64" s="30" t="inlineStr">
        <is>
          <t>Between 50 to 75</t>
        </is>
      </c>
      <c r="BO64" s="30">
        <f>IF(BN64="Between 50 to 75",10,IF(BN64="Above 75",0,0))</f>
        <v/>
      </c>
      <c r="BP64" s="30" t="inlineStr">
        <is>
          <t>Stage 1</t>
        </is>
      </c>
      <c r="BQ64" s="30">
        <f>IF(BP64="Stage 2",20,IF(BP64="Stage 1",0,IF(BP64="Stage 3",5,IF(BP64="Stage 4",-5,0))))</f>
        <v/>
      </c>
      <c r="BR64" s="30" t="inlineStr">
        <is>
          <t>Positive Trend</t>
        </is>
      </c>
      <c r="BS64" s="30">
        <f>IF(BR64="Positive Trend",20,IF(BR64="Negative Trend",-10,0))</f>
        <v/>
      </c>
      <c r="BT64" s="30" t="inlineStr">
        <is>
          <t>Uptrend</t>
        </is>
      </c>
      <c r="BU64" s="30">
        <f>IF(BT64="Uptrend",10,IF(BT64="Sideways",5,0))</f>
        <v/>
      </c>
      <c r="BV64" s="30" t="inlineStr">
        <is>
          <t>Uptrend</t>
        </is>
      </c>
      <c r="BW64" s="30">
        <f>IF(BV64="Uptrend",10,IF(BV64="Sideways",5,0))</f>
        <v/>
      </c>
      <c r="BX64" s="30" t="inlineStr">
        <is>
          <t>Close to 52 week high or retracement</t>
        </is>
      </c>
      <c r="BY64" s="30">
        <f>IF(BX64="Overhead supply in last 2 years in last 2 years",-5,IF(BX64="Close to 52 week high or retracement",5,IF(BX64="Blue sky scenario",10,IF(BX64="Long term Downtrend",-10,0))))</f>
        <v/>
      </c>
      <c r="BZ64" s="30" t="inlineStr">
        <is>
          <t>Yes</t>
        </is>
      </c>
      <c r="CA64" s="30">
        <f>IF(BZ64="Yes",10,0)</f>
        <v/>
      </c>
    </row>
    <row r="65">
      <c r="A65" s="30">
        <f>IF(B65=0,"",RANK(B65,$B$2:$B$77,0))</f>
        <v/>
      </c>
      <c r="B65" s="31">
        <f>SUM(N65,Y65,AA65,AC65,AE65,AG65,AI65,AK65,AM65,AO65,AQ65,AS65,AU65,AW65,AY65,BA65,BC65,BE65,BG65,BI65,BK65,BM65,BO65,BQ65,BS65,BU65,BW65,BY65,CA65)</f>
        <v/>
      </c>
      <c r="C65" s="32" t="inlineStr">
        <is>
          <t>KOTAKBANK</t>
        </is>
      </c>
      <c r="D65" s="32" t="inlineStr">
        <is>
          <t>Kotak Mahindra Bank Limited</t>
        </is>
      </c>
      <c r="E65" s="30" t="inlineStr">
        <is>
          <t>bank</t>
        </is>
      </c>
      <c r="F65" s="30" t="inlineStr">
        <is>
          <t>banks - private sector</t>
        </is>
      </c>
      <c r="G65" s="30" t="inlineStr">
        <is>
          <t>largecap</t>
        </is>
      </c>
      <c r="H65" s="31" t="n">
        <v>80150.73</v>
      </c>
      <c r="I65" s="31" t="n">
        <v>399.25</v>
      </c>
      <c r="J65" s="31" t="n">
        <v>-0.92</v>
      </c>
      <c r="K65" s="31" t="n">
        <v>17504009</v>
      </c>
      <c r="L65" s="30" t="n">
        <v>1</v>
      </c>
      <c r="M65" s="30" t="inlineStr">
        <is>
          <t>Underperforming</t>
        </is>
      </c>
      <c r="N65" s="31">
        <f>IF(M65="Underperforming",-5,IF(L65&gt;=95,15,IF(L65&gt;=90,10,IF(L65&gt;=80,5,0))))</f>
        <v/>
      </c>
      <c r="O65" s="31" t="n">
        <v>52.28</v>
      </c>
      <c r="P65" s="31" t="n">
        <v>18.53</v>
      </c>
      <c r="Q65" s="31" t="n">
        <v>347.68</v>
      </c>
      <c r="R65" s="30" t="inlineStr">
        <is>
          <t>Earnings / Momentum Support</t>
        </is>
      </c>
      <c r="S65" s="30" t="inlineStr">
        <is>
          <t>Nifty Bank</t>
        </is>
      </c>
      <c r="T65" s="31" t="n">
        <v>2.55</v>
      </c>
      <c r="U65" s="31" t="n">
        <v>-7.89</v>
      </c>
      <c r="V65" s="31" t="n">
        <v>-10.18</v>
      </c>
      <c r="W65" s="31" t="n">
        <v>0.54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Fragmented with High ROE</t>
        </is>
      </c>
      <c r="AA65" s="30">
        <f>IF(Z65="Fragmented with Low ROE",-5,IF(Z65="Fragmented with High ROE",10,IF(Z65= "highly cyclical",5,0)))</f>
        <v/>
      </c>
      <c r="AB65" s="30" t="inlineStr">
        <is>
          <t>Yes</t>
        </is>
      </c>
      <c r="AC65" s="30">
        <f>IF(AB65="No",5,0)</f>
        <v/>
      </c>
      <c r="AD65" s="30" t="inlineStr">
        <is>
          <t>Headwind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Consistency)",15,IF(AF65="Shallow Cyclical (2 to 3 years growth)",10,IF(AF65 = "Cyclical in an Uptick",5,IF(AF65 = "Cyclical in an Downtick",-10,0))))</f>
        <v/>
      </c>
      <c r="AH65" s="30" t="inlineStr">
        <is>
          <t>Yes</t>
        </is>
      </c>
      <c r="AI65" s="30">
        <f>IF(AH65="Yes",10,0)</f>
        <v/>
      </c>
      <c r="AJ65" s="30" t="inlineStr">
        <is>
          <t>Yes</t>
        </is>
      </c>
      <c r="AK65" s="30">
        <f>IF(AJ65="Yes",10,0)</f>
        <v/>
      </c>
      <c r="AL65" s="30" t="n"/>
      <c r="AM65" s="30">
        <f>IF(AL65="No",10,0)</f>
        <v/>
      </c>
      <c r="AN65" s="30" t="inlineStr">
        <is>
          <t>Yes</t>
        </is>
      </c>
      <c r="AO65" s="30">
        <f>IF(AN65="Yes",10,0)</f>
        <v/>
      </c>
      <c r="AP65" s="30" t="inlineStr">
        <is>
          <t>No</t>
        </is>
      </c>
      <c r="AQ65" s="30">
        <f>IF(AP65="Yes",10,0)</f>
        <v/>
      </c>
      <c r="AR65" s="30" t="inlineStr">
        <is>
          <t>Yes</t>
        </is>
      </c>
      <c r="AS65" s="30">
        <f>IF(AR65="Yes",5,0)</f>
        <v/>
      </c>
      <c r="AT65" s="30" t="inlineStr">
        <is>
          <t>No</t>
        </is>
      </c>
      <c r="AU65" s="30">
        <f>IF(AT65="No",10,IF(AT65="Yes",-10,0))</f>
        <v/>
      </c>
      <c r="AV65" s="30" t="inlineStr">
        <is>
          <t>No</t>
        </is>
      </c>
      <c r="AW65" s="30">
        <f>IF(AV65="No",10,0)</f>
        <v/>
      </c>
      <c r="AX65" s="30" t="inlineStr">
        <is>
          <t>No</t>
        </is>
      </c>
      <c r="AY65" s="30">
        <f>IF(AX65="No",10,IF(AX65= "Yes CEO Resignation",-5,0))</f>
        <v/>
      </c>
      <c r="AZ65" s="30" t="inlineStr">
        <is>
          <t>No</t>
        </is>
      </c>
      <c r="BA65" s="30">
        <f>IF(AZ65="No",10,IF(AZ65="Yes",-5,0))</f>
        <v/>
      </c>
      <c r="BB65" s="30" t="inlineStr">
        <is>
          <t>No</t>
        </is>
      </c>
      <c r="BC65" s="30">
        <f>IF(BB65="No",5,IF(BB65="Yes",-5,0))</f>
        <v/>
      </c>
      <c r="BD65" s="30" t="inlineStr">
        <is>
          <t>Yes</t>
        </is>
      </c>
      <c r="BE65" s="30">
        <f>IF(BD65="Yes",10,0)</f>
        <v/>
      </c>
      <c r="BF65" s="30" t="inlineStr">
        <is>
          <t>Yes</t>
        </is>
      </c>
      <c r="BG65" s="30">
        <f>IF(BF65="Yes",10,0)</f>
        <v/>
      </c>
      <c r="BH65" s="30" t="inlineStr">
        <is>
          <t>Yes</t>
        </is>
      </c>
      <c r="BI65" s="30">
        <f>IF(BH65="Yes",10,0)</f>
        <v/>
      </c>
      <c r="BJ65" s="30" t="inlineStr">
        <is>
          <t>P/BV less than 2.5x and Growth less than 20%</t>
        </is>
      </c>
      <c r="BK65" s="30">
        <f>IF(BJ65="P/BV less than 2.5x and Growth more than 20%",20,IF(BJ65 = "P/BV less than 2.5x and Growth less than 20%",5,IF(BJ65="P/BV between 2.5x to 5x and Growth more than 20%",10,IF(BJ65= "P/BV between 2.5x to 5x and Growth less than 20%",-5,IF(BJ65= "P/BV above 5x",-5,0)))))</f>
        <v/>
      </c>
      <c r="BL65" s="30" t="inlineStr">
        <is>
          <t>0 to 20</t>
        </is>
      </c>
      <c r="BM65" s="30">
        <f>IF(BL65="Above 40",20,IF(BL65="20 to 40",10,IF(BL65="0 to 20",-5,0)))</f>
        <v/>
      </c>
      <c r="BN65" s="30" t="inlineStr">
        <is>
          <t>Between 50 to 75</t>
        </is>
      </c>
      <c r="BO65" s="30">
        <f>IF(BN65="Between 50 to 75",10,IF(BN65="Above 75",0,0))</f>
        <v/>
      </c>
      <c r="BP65" s="30" t="inlineStr">
        <is>
          <t>Stage 1</t>
        </is>
      </c>
      <c r="BQ65" s="30">
        <f>IF(BP65="Stage 2",20,IF(BP65="Stage 1",0,IF(BP65="Stage 3",5,IF(BP65="Stage 4",-5,0))))</f>
        <v/>
      </c>
      <c r="BR65" s="30" t="inlineStr">
        <is>
          <t>Positive Trend</t>
        </is>
      </c>
      <c r="BS65" s="30">
        <f>IF(BR65="Positive Trend",20,IF(BR65="Negative Trend",-10,0))</f>
        <v/>
      </c>
      <c r="BT65" s="30" t="inlineStr">
        <is>
          <t>Uptrend</t>
        </is>
      </c>
      <c r="BU65" s="30">
        <f>IF(BT65="Uptrend",10,IF(BT65="Sideways",5,0))</f>
        <v/>
      </c>
      <c r="BV65" s="30" t="inlineStr">
        <is>
          <t>Uptrend</t>
        </is>
      </c>
      <c r="BW65" s="30">
        <f>IF(BV65="Uptrend",10,IF(BV65="Sideways",5,0))</f>
        <v/>
      </c>
      <c r="BX65" s="30" t="inlineStr">
        <is>
          <t>Close to 52 week high or retracement</t>
        </is>
      </c>
      <c r="BY65" s="30">
        <f>IF(BX65="Overhead supply in last 2 years in last 2 years",-5,IF(BX65="Close to 52 week high or retracement",5,IF(BX65="Blue sky scenario",10,IF(BX65="Long term Downtrend",-10,0))))</f>
        <v/>
      </c>
      <c r="BZ65" s="30" t="inlineStr">
        <is>
          <t>Yes</t>
        </is>
      </c>
      <c r="CA65" s="30">
        <f>IF(BZ65="Yes",10,0)</f>
        <v/>
      </c>
    </row>
    <row r="66">
      <c r="A66" s="30">
        <f>IF(B66=0,"",RANK(B66,$B$2:$B$77,0))</f>
        <v/>
      </c>
      <c r="B66" s="31">
        <f>SUM(N66,Y66,AA66,AC66,AE66,AG66,AI66,AK66,AM66,AO66,AQ66,AS66,AU66,AW66,AY66,BA66,BC66,BE66,BG66,BI66,BK66,BM66,BO66,BQ66,BS66,BU66,BW66,BY66,CA66)</f>
        <v/>
      </c>
      <c r="C66" s="30" t="inlineStr">
        <is>
          <t>BAJFINANCE</t>
        </is>
      </c>
      <c r="D66" s="30" t="inlineStr">
        <is>
          <t>Bajaj Finance Limited</t>
        </is>
      </c>
      <c r="E66" s="30" t="inlineStr">
        <is>
          <t>financials</t>
        </is>
      </c>
      <c r="F66" s="30" t="inlineStr">
        <is>
          <t>finance &amp; investments</t>
        </is>
      </c>
      <c r="G66" s="30" t="inlineStr">
        <is>
          <t>largecap</t>
        </is>
      </c>
      <c r="H66" s="31" t="n">
        <v>596642.67</v>
      </c>
      <c r="I66" s="31" t="n">
        <v>961.8</v>
      </c>
      <c r="J66" s="31" t="n">
        <v>0.31</v>
      </c>
      <c r="K66" s="31" t="n">
        <v>12941776</v>
      </c>
      <c r="L66" s="30" t="n">
        <v>17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54.12</v>
      </c>
      <c r="P66" s="31" t="n">
        <v>13.71</v>
      </c>
      <c r="Q66" s="31" t="n">
        <v>785.02</v>
      </c>
      <c r="R66" s="30" t="inlineStr">
        <is>
          <t>Earnings / Momentum Support</t>
        </is>
      </c>
      <c r="S66" s="30" t="inlineStr">
        <is>
          <t>Nifty Bank</t>
        </is>
      </c>
      <c r="T66" s="31" t="n">
        <v>2.55</v>
      </c>
      <c r="U66" s="31" t="n">
        <v>6.28</v>
      </c>
      <c r="V66" s="31" t="n">
        <v>3.64</v>
      </c>
      <c r="W66" s="31" t="n">
        <v>5.05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Fragmented with High ROE</t>
        </is>
      </c>
      <c r="AA66" s="30">
        <f>IF(Z66="Fragmented with Low ROE",-5,IF(Z66="Fragmented with High ROE",10,IF(Z66= "highly cyclical",5,0)))</f>
        <v/>
      </c>
      <c r="AB66" s="30" t="inlineStr">
        <is>
          <t>Yes</t>
        </is>
      </c>
      <c r="AC66" s="30">
        <f>IF(AB66="No",5,0)</f>
        <v/>
      </c>
      <c r="AD66" s="30" t="inlineStr">
        <is>
          <t>Headwind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Consistency)",15,IF(AF66="Shallow Cyclical (2 to 3 years growth)",10,IF(AF66 = "Cyclical in an Uptick",5,IF(AF66 = "Cyclical in an Downtick",-10,0))))</f>
        <v/>
      </c>
      <c r="AH66" s="30" t="inlineStr">
        <is>
          <t>Yes</t>
        </is>
      </c>
      <c r="AI66" s="30">
        <f>IF(AH66="Yes",10,0)</f>
        <v/>
      </c>
      <c r="AJ66" s="30" t="inlineStr">
        <is>
          <t>Yes</t>
        </is>
      </c>
      <c r="AK66" s="30">
        <f>IF(AJ66="Yes",10,0)</f>
        <v/>
      </c>
      <c r="AL66" s="30" t="n"/>
      <c r="AM66" s="30">
        <f>IF(AL66="No",10,0)</f>
        <v/>
      </c>
      <c r="AN66" s="30" t="inlineStr">
        <is>
          <t>Yes</t>
        </is>
      </c>
      <c r="AO66" s="30">
        <f>IF(AN66="Yes",10,0)</f>
        <v/>
      </c>
      <c r="AP66" s="30" t="inlineStr">
        <is>
          <t>No</t>
        </is>
      </c>
      <c r="AQ66" s="30">
        <f>IF(AP66="Yes",10,0)</f>
        <v/>
      </c>
      <c r="AR66" s="30" t="inlineStr">
        <is>
          <t>Yes</t>
        </is>
      </c>
      <c r="AS66" s="30">
        <f>IF(AR66="Yes",5,0)</f>
        <v/>
      </c>
      <c r="AT66" s="30" t="inlineStr">
        <is>
          <t>No</t>
        </is>
      </c>
      <c r="AU66" s="30">
        <f>IF(AT66="No",10,IF(AT66="Yes",-10,0))</f>
        <v/>
      </c>
      <c r="AV66" s="30" t="inlineStr">
        <is>
          <t>No</t>
        </is>
      </c>
      <c r="AW66" s="30">
        <f>IF(AV66="No",10,0)</f>
        <v/>
      </c>
      <c r="AX66" s="30" t="inlineStr">
        <is>
          <t>No</t>
        </is>
      </c>
      <c r="AY66" s="30">
        <f>IF(AX66="No",10,IF(AX66= "Yes CEO Resignation",-5,0))</f>
        <v/>
      </c>
      <c r="AZ66" s="30" t="inlineStr">
        <is>
          <t>No</t>
        </is>
      </c>
      <c r="BA66" s="30">
        <f>IF(AZ66="No",10,IF(AZ66="Yes",-5,0))</f>
        <v/>
      </c>
      <c r="BB66" s="30" t="inlineStr">
        <is>
          <t>No</t>
        </is>
      </c>
      <c r="BC66" s="30">
        <f>IF(BB66="No",5,IF(BB66="Yes",-5,0))</f>
        <v/>
      </c>
      <c r="BD66" s="30" t="inlineStr">
        <is>
          <t>Yes</t>
        </is>
      </c>
      <c r="BE66" s="30">
        <f>IF(BD66="Yes",10,0)</f>
        <v/>
      </c>
      <c r="BF66" s="30" t="inlineStr">
        <is>
          <t>Yes</t>
        </is>
      </c>
      <c r="BG66" s="30">
        <f>IF(BF66="Yes",10,0)</f>
        <v/>
      </c>
      <c r="BH66" s="30" t="inlineStr">
        <is>
          <t>Yes</t>
        </is>
      </c>
      <c r="BI66" s="30">
        <f>IF(BH66="Yes",10,0)</f>
        <v/>
      </c>
      <c r="BJ66" s="30" t="inlineStr">
        <is>
          <t>P/BV above 5x</t>
        </is>
      </c>
      <c r="BK66" s="30">
        <f>IF(BJ66="P/BV less than 2.5x and Growth more than 20%",20,IF(BJ66 = "P/BV less than 2.5x and Growth less than 20%",5,IF(BJ66="P/BV between 2.5x to 5x and Growth more than 20%",10,IF(BJ66= "P/BV between 2.5x to 5x and Growth less than 20%",-5,IF(BJ66= "P/BV above 5x",-5,0)))))</f>
        <v/>
      </c>
      <c r="BL66" s="30" t="inlineStr">
        <is>
          <t>0 to 20</t>
        </is>
      </c>
      <c r="BM66" s="30">
        <f>IF(BL66="Above 40",20,IF(BL66="20 to 40",10,IF(BL66="0 to 20",-5,0)))</f>
        <v/>
      </c>
      <c r="BN66" s="30" t="inlineStr">
        <is>
          <t>Between 50 to 75</t>
        </is>
      </c>
      <c r="BO66" s="30">
        <f>IF(BN66="Between 50 to 75",10,IF(BN66="Above 75",0,0))</f>
        <v/>
      </c>
      <c r="BP66" s="30" t="inlineStr">
        <is>
          <t>Stage 1</t>
        </is>
      </c>
      <c r="BQ66" s="30">
        <f>IF(BP66="Stage 2",20,IF(BP66="Stage 1",0,IF(BP66="Stage 3",5,IF(BP66="Stage 4",-5,0))))</f>
        <v/>
      </c>
      <c r="BR66" s="30" t="inlineStr">
        <is>
          <t>Positive Trend</t>
        </is>
      </c>
      <c r="BS66" s="30">
        <f>IF(BR66="Positive Trend",20,IF(BR66="Negative Trend",-10,0))</f>
        <v/>
      </c>
      <c r="BT66" s="30" t="inlineStr">
        <is>
          <t>Uptrend</t>
        </is>
      </c>
      <c r="BU66" s="30">
        <f>IF(BT66="Uptrend",10,IF(BT66="Sideways",5,0))</f>
        <v/>
      </c>
      <c r="BV66" s="30" t="inlineStr">
        <is>
          <t>Uptrend</t>
        </is>
      </c>
      <c r="BW66" s="30">
        <f>IF(BV66="Uptrend",10,IF(BV66="Sideways",5,0))</f>
        <v/>
      </c>
      <c r="BX66" s="30" t="inlineStr">
        <is>
          <t>Close to 52 week high or retracement</t>
        </is>
      </c>
      <c r="BY66" s="30">
        <f>IF(BX66="Overhead supply in last 2 years in last 2 years",-5,IF(BX66="Close to 52 week high or retracement",5,IF(BX66="Blue sky scenario",10,IF(BX66="Long term Downtrend",-10,0))))</f>
        <v/>
      </c>
      <c r="BZ66" s="30" t="inlineStr">
        <is>
          <t>Yes</t>
        </is>
      </c>
      <c r="CA66" s="30">
        <f>IF(BZ66="Yes",10,0)</f>
        <v/>
      </c>
    </row>
    <row r="67">
      <c r="A67" s="30">
        <f>IF(B67=0,"",RANK(B67,$B$2:$B$77,0))</f>
        <v/>
      </c>
      <c r="B67" s="31">
        <f>SUM(N67,Y67,AA67,AC67,AE67,AG67,AI67,AK67,AM67,AO67,AQ67,AS67,AU67,AW67,AY67,BA67,BC67,BE67,BG67,BI67,BK67,BM67,BO67,BQ67,BS67,BU67,BW67,BY67,CA67)</f>
        <v/>
      </c>
      <c r="C67" s="32" t="inlineStr">
        <is>
          <t>CARERATING</t>
        </is>
      </c>
      <c r="D67" s="32" t="inlineStr">
        <is>
          <t>CARE Ratings Ltd</t>
        </is>
      </c>
      <c r="E67" s="30" t="inlineStr">
        <is>
          <t>financials</t>
        </is>
      </c>
      <c r="F67" s="30" t="inlineStr">
        <is>
          <t>miscellaneous</t>
        </is>
      </c>
      <c r="G67" s="30" t="inlineStr">
        <is>
          <t>smallcap</t>
        </is>
      </c>
      <c r="H67" s="31" t="n">
        <v>4932.81</v>
      </c>
      <c r="I67" s="31" t="n">
        <v>1713.3</v>
      </c>
      <c r="J67" s="31" t="n">
        <v>4.29</v>
      </c>
      <c r="K67" s="31" t="n">
        <v>79552</v>
      </c>
      <c r="L67" s="30" t="n">
        <v>3</v>
      </c>
      <c r="M67" s="30" t="inlineStr">
        <is>
          <t>Underperforming</t>
        </is>
      </c>
      <c r="N67" s="31">
        <f>IF(M67="Underperforming",-5,IF(L67&gt;=95,15,IF(L67&gt;=90,10,IF(L67&gt;=80,5,0))))</f>
        <v/>
      </c>
      <c r="O67" s="31" t="n">
        <v>57</v>
      </c>
      <c r="P67" s="31" t="n">
        <v>14.43</v>
      </c>
      <c r="Q67" s="31" t="n">
        <v>1441.8</v>
      </c>
      <c r="R67" s="30" t="inlineStr">
        <is>
          <t>Earnings / Momentum Support</t>
        </is>
      </c>
      <c r="S67" s="30" t="inlineStr">
        <is>
          <t>Nifty Bank</t>
        </is>
      </c>
      <c r="T67" s="31" t="n">
        <v>2.55</v>
      </c>
      <c r="U67" s="31" t="n">
        <v>-4.07</v>
      </c>
      <c r="V67" s="31" t="n">
        <v>-6.45</v>
      </c>
      <c r="W67" s="31" t="n">
        <v>1.71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Fragmented with High ROE</t>
        </is>
      </c>
      <c r="AA67" s="30">
        <f>IF(Z67="Fragmented with Low ROE",-5,IF(Z67="Fragmented with High ROE",10,IF(Z67= "highly cyclical",5,0)))</f>
        <v/>
      </c>
      <c r="AB67" s="30" t="inlineStr">
        <is>
          <t>Yes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Consistency)",15,IF(AF67="Shallow Cyclical (2 to 3 years growth)",10,IF(AF67 = "Cyclical in an Uptick",5,IF(AF67 = "Cyclical in an Downtick",-10,0))))</f>
        <v/>
      </c>
      <c r="AH67" s="30" t="inlineStr">
        <is>
          <t>Yes</t>
        </is>
      </c>
      <c r="AI67" s="30">
        <f>IF(AH67="Yes",10,0)</f>
        <v/>
      </c>
      <c r="AJ67" s="30" t="inlineStr">
        <is>
          <t>Yes</t>
        </is>
      </c>
      <c r="AK67" s="30">
        <f>IF(AJ67="Yes",10,0)</f>
        <v/>
      </c>
      <c r="AL67" s="30" t="n"/>
      <c r="AM67" s="30">
        <f>IF(AL67="No",10,0)</f>
        <v/>
      </c>
      <c r="AN67" s="30" t="inlineStr">
        <is>
          <t>Yes</t>
        </is>
      </c>
      <c r="AO67" s="30">
        <f>IF(AN67="Yes",10,0)</f>
        <v/>
      </c>
      <c r="AP67" s="30" t="inlineStr">
        <is>
          <t>No</t>
        </is>
      </c>
      <c r="AQ67" s="30">
        <f>IF(AP67="Yes",10,0)</f>
        <v/>
      </c>
      <c r="AR67" s="30" t="inlineStr">
        <is>
          <t>Yes</t>
        </is>
      </c>
      <c r="AS67" s="30">
        <f>IF(AR67="Yes",5,0)</f>
        <v/>
      </c>
      <c r="AT67" s="30" t="inlineStr">
        <is>
          <t>No</t>
        </is>
      </c>
      <c r="AU67" s="30">
        <f>IF(AT67="No",10,IF(AT67="Yes",-10,0))</f>
        <v/>
      </c>
      <c r="AV67" s="30" t="inlineStr">
        <is>
          <t>No</t>
        </is>
      </c>
      <c r="AW67" s="30">
        <f>IF(AV67="No",10,0)</f>
        <v/>
      </c>
      <c r="AX67" s="30" t="inlineStr">
        <is>
          <t>No</t>
        </is>
      </c>
      <c r="AY67" s="30">
        <f>IF(AX67="No",10,IF(AX67= "Yes CEO Resignation",-5,0))</f>
        <v/>
      </c>
      <c r="AZ67" s="30" t="inlineStr">
        <is>
          <t>No</t>
        </is>
      </c>
      <c r="BA67" s="30">
        <f>IF(AZ67="No",10,IF(AZ67="Yes",-5,0))</f>
        <v/>
      </c>
      <c r="BB67" s="30" t="inlineStr">
        <is>
          <t>No</t>
        </is>
      </c>
      <c r="BC67" s="30">
        <f>IF(BB67="No",5,IF(BB67="Yes",-5,0))</f>
        <v/>
      </c>
      <c r="BD67" s="30" t="inlineStr">
        <is>
          <t>Yes</t>
        </is>
      </c>
      <c r="BE67" s="30">
        <f>IF(BD67="Yes",10,0)</f>
        <v/>
      </c>
      <c r="BF67" s="30" t="inlineStr">
        <is>
          <t>Yes</t>
        </is>
      </c>
      <c r="BG67" s="30">
        <f>IF(BF67="Yes",10,0)</f>
        <v/>
      </c>
      <c r="BH67" s="30" t="inlineStr">
        <is>
          <t>Yes</t>
        </is>
      </c>
      <c r="BI67" s="30">
        <f>IF(BH67="Yes",10,0)</f>
        <v/>
      </c>
      <c r="BJ67" s="30" t="inlineStr">
        <is>
          <t>P/BV above 5x</t>
        </is>
      </c>
      <c r="BK67" s="30">
        <f>IF(BJ67="P/BV less than 2.5x and Growth more than 20%",20,IF(BJ67 = "P/BV less than 2.5x and Growth less than 20%",5,IF(BJ67="P/BV between 2.5x to 5x and Growth more than 20%",10,IF(BJ67= "P/BV between 2.5x to 5x and Growth less than 20%",-5,IF(BJ67= "P/BV above 5x",-5,0)))))</f>
        <v/>
      </c>
      <c r="BL67" s="30" t="inlineStr">
        <is>
          <t>0 to 20</t>
        </is>
      </c>
      <c r="BM67" s="30">
        <f>IF(BL67="Above 40",20,IF(BL67="20 to 40",10,IF(BL67="0 to 20",-5,0)))</f>
        <v/>
      </c>
      <c r="BN67" s="30" t="inlineStr">
        <is>
          <t>Between 50 to 75</t>
        </is>
      </c>
      <c r="BO67" s="30">
        <f>IF(BN67="Between 50 to 75",10,IF(BN67="Above 75",0,0))</f>
        <v/>
      </c>
      <c r="BP67" s="30" t="inlineStr">
        <is>
          <t>Stage 2</t>
        </is>
      </c>
      <c r="BQ67" s="30">
        <f>IF(BP67="Stage 2",20,IF(BP67="Stage 1",0,IF(BP67="Stage 3",5,IF(BP67="Stage 4",-5,0))))</f>
        <v/>
      </c>
      <c r="BR67" s="30" t="inlineStr">
        <is>
          <t>Negative Trend</t>
        </is>
      </c>
      <c r="BS67" s="30">
        <f>IF(BR67="Positive Trend",20,IF(BR67="Negative Trend",-10,0))</f>
        <v/>
      </c>
      <c r="BT67" s="30" t="inlineStr">
        <is>
          <t>Uptrend</t>
        </is>
      </c>
      <c r="BU67" s="30">
        <f>IF(BT67="Uptrend",10,IF(BT67="Sideways",5,0))</f>
        <v/>
      </c>
      <c r="BV67" s="30" t="inlineStr">
        <is>
          <t>Uptrend</t>
        </is>
      </c>
      <c r="BW67" s="30">
        <f>IF(BV67="Uptrend",10,IF(BV67="Sideways",5,0))</f>
        <v/>
      </c>
      <c r="BX67" s="30" t="inlineStr">
        <is>
          <t>Close to 52 week high or retracement</t>
        </is>
      </c>
      <c r="BY67" s="30">
        <f>IF(BX67="Overhead supply in last 2 years in last 2 years",-5,IF(BX67="Close to 52 week high or retracement",5,IF(BX67="Blue sky scenario",10,IF(BX67="Long term Downtrend",-10,0))))</f>
        <v/>
      </c>
      <c r="BZ67" s="30" t="inlineStr">
        <is>
          <t>Yes</t>
        </is>
      </c>
      <c r="CA67" s="30">
        <f>IF(BZ67="Yes",10,0)</f>
        <v/>
      </c>
    </row>
    <row r="68">
      <c r="A68" s="30">
        <f>IF(B68=0,"",RANK(B68,$B$2:$B$77,0))</f>
        <v/>
      </c>
      <c r="B68" s="31">
        <f>SUM(N68,Y68,AA68,AC68,AE68,AG68,AI68,AK68,AM68,AO68,AQ68,AS68,AU68,AW68,AY68,BA68,BC68,BE68,BG68,BI68,BK68,BM68,BO68,BQ68,BS68,BU68,BW68,BY68,CA68)</f>
        <v/>
      </c>
      <c r="C68" s="32" t="inlineStr">
        <is>
          <t>ICICIGI</t>
        </is>
      </c>
      <c r="D68" s="32" t="inlineStr">
        <is>
          <t>ICICI Lombard General Insurance Company Ltd</t>
        </is>
      </c>
      <c r="E68" s="30" t="inlineStr">
        <is>
          <t>financials</t>
        </is>
      </c>
      <c r="F68" s="30" t="inlineStr">
        <is>
          <t>finance &amp; investments</t>
        </is>
      </c>
      <c r="G68" s="30" t="inlineStr">
        <is>
          <t>largecap</t>
        </is>
      </c>
      <c r="H68" s="31" t="n">
        <v>91673.23</v>
      </c>
      <c r="I68" s="31" t="n">
        <v>1870.1</v>
      </c>
      <c r="J68" s="31" t="n">
        <v>1.69</v>
      </c>
      <c r="K68" s="31" t="n">
        <v>1503031</v>
      </c>
      <c r="L68" s="30" t="n">
        <v>1</v>
      </c>
      <c r="M68" s="30" t="inlineStr">
        <is>
          <t>Underperforming</t>
        </is>
      </c>
      <c r="N68" s="31">
        <f>IF(M68="Underperforming",-5,IF(L68&gt;=95,15,IF(L68&gt;=90,10,IF(L68&gt;=80,5,0))))</f>
        <v/>
      </c>
      <c r="O68" s="31" t="n">
        <v>53.28</v>
      </c>
      <c r="P68" s="31" t="n">
        <v>12.9</v>
      </c>
      <c r="Q68" s="31" t="n">
        <v>1564.3</v>
      </c>
      <c r="R68" s="30" t="inlineStr">
        <is>
          <t>Earnings / Momentum Support</t>
        </is>
      </c>
      <c r="S68" s="30" t="inlineStr">
        <is>
          <t>Nifty Bank</t>
        </is>
      </c>
      <c r="T68" s="31" t="n">
        <v>2.55</v>
      </c>
      <c r="U68" s="31" t="n">
        <v>-4.45</v>
      </c>
      <c r="V68" s="31" t="n">
        <v>-6.82</v>
      </c>
      <c r="W68" s="31" t="n">
        <v>0.39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Fragmented with High ROE</t>
        </is>
      </c>
      <c r="AA68" s="30">
        <f>IF(Z68="Fragmented with Low ROE",-5,IF(Z68="Fragmented with High ROE",10,IF(Z68= "highly cyclical",5,0)))</f>
        <v/>
      </c>
      <c r="AB68" s="30" t="inlineStr">
        <is>
          <t>Yes</t>
        </is>
      </c>
      <c r="AC68" s="30">
        <f>IF(AB68="No",5,0)</f>
        <v/>
      </c>
      <c r="AD68" s="30" t="inlineStr">
        <is>
          <t>Headwind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Consistency)",15,IF(AF68="Shallow Cyclical (2 to 3 years growth)",10,IF(AF68 = "Cyclical in an Uptick",5,IF(AF68 = "Cyclical in an Downtick",-10,0))))</f>
        <v/>
      </c>
      <c r="AH68" s="30" t="inlineStr">
        <is>
          <t>Yes</t>
        </is>
      </c>
      <c r="AI68" s="30">
        <f>IF(AH68="Yes",10,0)</f>
        <v/>
      </c>
      <c r="AJ68" s="30" t="inlineStr">
        <is>
          <t>Yes</t>
        </is>
      </c>
      <c r="AK68" s="30">
        <f>IF(AJ68="Yes",10,0)</f>
        <v/>
      </c>
      <c r="AL68" s="30" t="n"/>
      <c r="AM68" s="30">
        <f>IF(AL68="No",10,0)</f>
        <v/>
      </c>
      <c r="AN68" s="30" t="inlineStr">
        <is>
          <t>Yes</t>
        </is>
      </c>
      <c r="AO68" s="30">
        <f>IF(AN68="Yes",10,0)</f>
        <v/>
      </c>
      <c r="AP68" s="30" t="inlineStr">
        <is>
          <t>No</t>
        </is>
      </c>
      <c r="AQ68" s="30">
        <f>IF(AP68="Yes",10,0)</f>
        <v/>
      </c>
      <c r="AR68" s="30" t="inlineStr">
        <is>
          <t>Yes</t>
        </is>
      </c>
      <c r="AS68" s="30">
        <f>IF(AR68="Yes",5,0)</f>
        <v/>
      </c>
      <c r="AT68" s="30" t="inlineStr">
        <is>
          <t>No</t>
        </is>
      </c>
      <c r="AU68" s="30">
        <f>IF(AT68="No",10,IF(AT68="Yes",-10,0))</f>
        <v/>
      </c>
      <c r="AV68" s="30" t="inlineStr">
        <is>
          <t>No</t>
        </is>
      </c>
      <c r="AW68" s="30">
        <f>IF(AV68="No",10,0)</f>
        <v/>
      </c>
      <c r="AX68" s="30" t="inlineStr">
        <is>
          <t>No</t>
        </is>
      </c>
      <c r="AY68" s="30">
        <f>IF(AX68="No",10,IF(AX68= "Yes CEO Resignation",-5,0))</f>
        <v/>
      </c>
      <c r="AZ68" s="30" t="inlineStr">
        <is>
          <t>No</t>
        </is>
      </c>
      <c r="BA68" s="30">
        <f>IF(AZ68="No",10,IF(AZ68="Yes",-5,0))</f>
        <v/>
      </c>
      <c r="BB68" s="30" t="inlineStr">
        <is>
          <t>No</t>
        </is>
      </c>
      <c r="BC68" s="30">
        <f>IF(BB68="No",5,IF(BB68="Yes",-5,0))</f>
        <v/>
      </c>
      <c r="BD68" s="30" t="inlineStr">
        <is>
          <t>Yes</t>
        </is>
      </c>
      <c r="BE68" s="30">
        <f>IF(BD68="Yes",10,0)</f>
        <v/>
      </c>
      <c r="BF68" s="30" t="inlineStr">
        <is>
          <t>Yes</t>
        </is>
      </c>
      <c r="BG68" s="30">
        <f>IF(BF68="Yes",10,0)</f>
        <v/>
      </c>
      <c r="BH68" s="30" t="inlineStr">
        <is>
          <t>Yes</t>
        </is>
      </c>
      <c r="BI68" s="30">
        <f>IF(BH68="Yes",10,0)</f>
        <v/>
      </c>
      <c r="BJ68" s="30" t="inlineStr">
        <is>
          <t>P/BV above 5x</t>
        </is>
      </c>
      <c r="BK68" s="30">
        <f>IF(BJ68="P/BV less than 2.5x and Growth more than 20%",20,IF(BJ68 = "P/BV less than 2.5x and Growth less than 20%",5,IF(BJ68="P/BV between 2.5x to 5x and Growth more than 20%",10,IF(BJ68= "P/BV between 2.5x to 5x and Growth less than 20%",-5,IF(BJ68= "P/BV above 5x",-5,0)))))</f>
        <v/>
      </c>
      <c r="BL68" s="30" t="inlineStr">
        <is>
          <t>0 to 20</t>
        </is>
      </c>
      <c r="BM68" s="30">
        <f>IF(BL68="Above 40",20,IF(BL68="20 to 40",10,IF(BL68="0 to 20",-5,0)))</f>
        <v/>
      </c>
      <c r="BN68" s="30" t="inlineStr">
        <is>
          <t>Between 50 to 75</t>
        </is>
      </c>
      <c r="BO68" s="30">
        <f>IF(BN68="Between 50 to 75",10,IF(BN68="Above 75",0,0))</f>
        <v/>
      </c>
      <c r="BP68" s="30" t="inlineStr">
        <is>
          <t>Stage 1</t>
        </is>
      </c>
      <c r="BQ68" s="30">
        <f>IF(BP68="Stage 2",20,IF(BP68="Stage 1",0,IF(BP68="Stage 3",5,IF(BP68="Stage 4",-5,0))))</f>
        <v/>
      </c>
      <c r="BR68" s="30" t="inlineStr">
        <is>
          <t>Positive Trend</t>
        </is>
      </c>
      <c r="BS68" s="30">
        <f>IF(BR68="Positive Trend",20,IF(BR68="Negative Trend",-10,0))</f>
        <v/>
      </c>
      <c r="BT68" s="30" t="inlineStr">
        <is>
          <t>Uptrend</t>
        </is>
      </c>
      <c r="BU68" s="30">
        <f>IF(BT68="Uptrend",10,IF(BT68="Sideways",5,0))</f>
        <v/>
      </c>
      <c r="BV68" s="30" t="inlineStr">
        <is>
          <t>Uptrend</t>
        </is>
      </c>
      <c r="BW68" s="30">
        <f>IF(BV68="Uptrend",10,IF(BV68="Sideways",5,0))</f>
        <v/>
      </c>
      <c r="BX68" s="30" t="inlineStr">
        <is>
          <t>Close to 52 week high or retracement</t>
        </is>
      </c>
      <c r="BY68" s="30">
        <f>IF(BX68="Overhead supply in last 2 years in last 2 years",-5,IF(BX68="Close to 52 week high or retracement",5,IF(BX68="Blue sky scenario",10,IF(BX68="Long term Downtrend",-10,0))))</f>
        <v/>
      </c>
      <c r="BZ68" s="30" t="inlineStr">
        <is>
          <t>Yes</t>
        </is>
      </c>
      <c r="CA68" s="30">
        <f>IF(BZ68="Yes",10,0)</f>
        <v/>
      </c>
    </row>
    <row r="69">
      <c r="A69" s="30">
        <f>IF(B69=0,"",RANK(B69,$B$2:$B$77,0))</f>
        <v/>
      </c>
      <c r="B69" s="31">
        <f>SUM(N69,Y69,AA69,AC69,AE69,AG69,AI69,AK69,AM69,AO69,AQ69,AS69,AU69,AW69,AY69,BA69,BC69,BE69,BG69,BI69,BK69,BM69,BO69,BQ69,BS69,BU69,BW69,BY69,CA69)</f>
        <v/>
      </c>
      <c r="C69" s="32" t="inlineStr">
        <is>
          <t>ICICIBANK</t>
        </is>
      </c>
      <c r="D69" s="32" t="inlineStr">
        <is>
          <t>Icici Bank Limited</t>
        </is>
      </c>
      <c r="E69" s="30" t="inlineStr">
        <is>
          <t>bank</t>
        </is>
      </c>
      <c r="F69" s="30" t="inlineStr">
        <is>
          <t>banks - private sector</t>
        </is>
      </c>
      <c r="G69" s="30" t="inlineStr">
        <is>
          <t>largecap</t>
        </is>
      </c>
      <c r="H69" s="31" t="n">
        <v>961101.91</v>
      </c>
      <c r="I69" s="31" t="n">
        <v>1346.5</v>
      </c>
      <c r="J69" s="31" t="n">
        <v>0.31</v>
      </c>
      <c r="K69" s="31" t="n">
        <v>9057322</v>
      </c>
      <c r="L69" s="30" t="n">
        <v>1</v>
      </c>
      <c r="M69" s="30" t="inlineStr">
        <is>
          <t>Underperforming</t>
        </is>
      </c>
      <c r="N69" s="31">
        <f>IF(M69="Underperforming",-5,IF(L69&gt;=95,15,IF(L69&gt;=90,10,IF(L69&gt;=80,5,0))))</f>
        <v/>
      </c>
      <c r="O69" s="31" t="n">
        <v>54.39</v>
      </c>
      <c r="P69" s="31" t="n">
        <v>15.07</v>
      </c>
      <c r="Q69" s="31" t="n">
        <v>1172.53</v>
      </c>
      <c r="R69" s="30" t="inlineStr">
        <is>
          <t>Earnings / Momentum Support</t>
        </is>
      </c>
      <c r="S69" s="30" t="inlineStr">
        <is>
          <t>Nifty Bank</t>
        </is>
      </c>
      <c r="T69" s="31" t="n">
        <v>2.55</v>
      </c>
      <c r="U69" s="31" t="n">
        <v>-4.92</v>
      </c>
      <c r="V69" s="31" t="n">
        <v>-7.28</v>
      </c>
      <c r="W69" s="31" t="n">
        <v>0.76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Fragmented with High ROE</t>
        </is>
      </c>
      <c r="AA69" s="30">
        <f>IF(Z69="Fragmented with Low ROE",-5,IF(Z69="Fragmented with High ROE",10,IF(Z69= "highly cyclical",5,0)))</f>
        <v/>
      </c>
      <c r="AB69" s="30" t="inlineStr">
        <is>
          <t>Yes</t>
        </is>
      </c>
      <c r="AC69" s="30">
        <f>IF(AB69="No",5,0)</f>
        <v/>
      </c>
      <c r="AD69" s="30" t="inlineStr">
        <is>
          <t>Headwind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Consistency)",15,IF(AF69="Shallow Cyclical (2 to 3 years growth)",10,IF(AF69 = "Cyclical in an Uptick",5,IF(AF69 = "Cyclical in an Downtick",-10,0))))</f>
        <v/>
      </c>
      <c r="AH69" s="30" t="inlineStr">
        <is>
          <t>Yes</t>
        </is>
      </c>
      <c r="AI69" s="30">
        <f>IF(AH69="Yes",10,0)</f>
        <v/>
      </c>
      <c r="AJ69" s="30" t="inlineStr">
        <is>
          <t>Yes</t>
        </is>
      </c>
      <c r="AK69" s="30">
        <f>IF(AJ69="Yes",10,0)</f>
        <v/>
      </c>
      <c r="AL69" s="30" t="n"/>
      <c r="AM69" s="30">
        <f>IF(AL69="No",10,0)</f>
        <v/>
      </c>
      <c r="AN69" s="30" t="inlineStr">
        <is>
          <t>Yes</t>
        </is>
      </c>
      <c r="AO69" s="30">
        <f>IF(AN69="Yes",10,0)</f>
        <v/>
      </c>
      <c r="AP69" s="30" t="inlineStr">
        <is>
          <t>No</t>
        </is>
      </c>
      <c r="AQ69" s="30">
        <f>IF(AP69="Yes",10,0)</f>
        <v/>
      </c>
      <c r="AR69" s="30" t="inlineStr">
        <is>
          <t>Yes</t>
        </is>
      </c>
      <c r="AS69" s="30">
        <f>IF(AR69="Yes",5,0)</f>
        <v/>
      </c>
      <c r="AT69" s="30" t="inlineStr">
        <is>
          <t>No</t>
        </is>
      </c>
      <c r="AU69" s="30">
        <f>IF(AT69="No",10,IF(AT69="Yes",-10,0))</f>
        <v/>
      </c>
      <c r="AV69" s="30" t="inlineStr">
        <is>
          <t>No</t>
        </is>
      </c>
      <c r="AW69" s="30">
        <f>IF(AV69="No",10,0)</f>
        <v/>
      </c>
      <c r="AX69" s="30" t="inlineStr">
        <is>
          <t>No</t>
        </is>
      </c>
      <c r="AY69" s="30">
        <f>IF(AX69="No",10,IF(AX69= "Yes CEO Resignation",-5,0))</f>
        <v/>
      </c>
      <c r="AZ69" s="30" t="inlineStr">
        <is>
          <t>No</t>
        </is>
      </c>
      <c r="BA69" s="30">
        <f>IF(AZ69="No",10,IF(AZ69="Yes",-5,0))</f>
        <v/>
      </c>
      <c r="BB69" s="30" t="inlineStr">
        <is>
          <t>No</t>
        </is>
      </c>
      <c r="BC69" s="30">
        <f>IF(BB69="No",5,IF(BB69="Yes",-5,0))</f>
        <v/>
      </c>
      <c r="BD69" s="30" t="inlineStr">
        <is>
          <t>Yes</t>
        </is>
      </c>
      <c r="BE69" s="30">
        <f>IF(BD69="Yes",10,0)</f>
        <v/>
      </c>
      <c r="BF69" s="30" t="inlineStr">
        <is>
          <t>Yes</t>
        </is>
      </c>
      <c r="BG69" s="30">
        <f>IF(BF69="Yes",10,0)</f>
        <v/>
      </c>
      <c r="BH69" s="30" t="inlineStr">
        <is>
          <t>Yes</t>
        </is>
      </c>
      <c r="BI69" s="30">
        <f>IF(BH69="Yes",10,0)</f>
        <v/>
      </c>
      <c r="BJ69" s="30" t="inlineStr">
        <is>
          <t>P/BV between 2.5x to 5x and Growth less than 20%</t>
        </is>
      </c>
      <c r="BK69" s="30">
        <f>IF(BJ69="P/BV less than 2.5x and Growth more than 20%",20,IF(BJ69 = "P/BV less than 2.5x and Growth less than 20%",5,IF(BJ69="P/BV between 2.5x to 5x and Growth more than 20%",10,IF(BJ69= "P/BV between 2.5x to 5x and Growth less than 20%",-5,IF(BJ69= "P/BV above 5x",-5,0)))))</f>
        <v/>
      </c>
      <c r="BL69" s="30" t="inlineStr">
        <is>
          <t>0 to 20</t>
        </is>
      </c>
      <c r="BM69" s="30">
        <f>IF(BL69="Above 40",20,IF(BL69="20 to 40",10,IF(BL69="0 to 20",-5,0)))</f>
        <v/>
      </c>
      <c r="BN69" s="30" t="inlineStr">
        <is>
          <t>Between 50 to 75</t>
        </is>
      </c>
      <c r="BO69" s="30">
        <f>IF(BN69="Between 50 to 75",10,IF(BN69="Above 75",0,0))</f>
        <v/>
      </c>
      <c r="BP69" s="30" t="inlineStr">
        <is>
          <t>Stage 1</t>
        </is>
      </c>
      <c r="BQ69" s="30">
        <f>IF(BP69="Stage 2",20,IF(BP69="Stage 1",0,IF(BP69="Stage 3",5,IF(BP69="Stage 4",-5,0))))</f>
        <v/>
      </c>
      <c r="BR69" s="30" t="inlineStr">
        <is>
          <t>Positive Trend</t>
        </is>
      </c>
      <c r="BS69" s="30">
        <f>IF(BR69="Positive Trend",20,IF(BR69="Negative Trend",-10,0))</f>
        <v/>
      </c>
      <c r="BT69" s="30" t="inlineStr">
        <is>
          <t>Uptrend</t>
        </is>
      </c>
      <c r="BU69" s="30">
        <f>IF(BT69="Uptrend",10,IF(BT69="Sideways",5,0))</f>
        <v/>
      </c>
      <c r="BV69" s="30" t="inlineStr">
        <is>
          <t>Uptrend</t>
        </is>
      </c>
      <c r="BW69" s="30">
        <f>IF(BV69="Uptrend",10,IF(BV69="Sideways",5,0))</f>
        <v/>
      </c>
      <c r="BX69" s="30" t="inlineStr">
        <is>
          <t>Close to 52 week high or retracement</t>
        </is>
      </c>
      <c r="BY69" s="30">
        <f>IF(BX69="Overhead supply in last 2 years in last 2 years",-5,IF(BX69="Close to 52 week high or retracement",5,IF(BX69="Blue sky scenario",10,IF(BX69="Long term Downtrend",-10,0))))</f>
        <v/>
      </c>
      <c r="BZ69" s="30" t="inlineStr">
        <is>
          <t>Yes</t>
        </is>
      </c>
      <c r="CA69" s="30">
        <f>IF(BZ69="Yes",10,0)</f>
        <v/>
      </c>
    </row>
    <row r="70">
      <c r="A70" s="30">
        <f>IF(B70=0,"",RANK(B70,$B$2:$B$77,0))</f>
        <v/>
      </c>
      <c r="B70" s="31">
        <f>SUM(N70,Y70,AA70,AC70,AE70,AG70,AI70,AK70,AM70,AO70,AQ70,AS70,AU70,AW70,AY70,BA70,BC70,BE70,BG70,BI70,BK70,BM70,BO70,BQ70,BS70,BU70,BW70,BY70,CA70)</f>
        <v/>
      </c>
      <c r="C70" s="30" t="inlineStr">
        <is>
          <t>MFSL</t>
        </is>
      </c>
      <c r="D70" s="30" t="inlineStr">
        <is>
          <t>Max Financial Services Limited</t>
        </is>
      </c>
      <c r="E70" s="30" t="inlineStr">
        <is>
          <t>miscellaneous</t>
        </is>
      </c>
      <c r="F70" s="30" t="inlineStr">
        <is>
          <t>miscellaneous</t>
        </is>
      </c>
      <c r="G70" s="30" t="inlineStr">
        <is>
          <t>largecap</t>
        </is>
      </c>
      <c r="H70" s="31" t="n">
        <v>58262.28</v>
      </c>
      <c r="I70" s="31" t="n">
        <v>1669.3</v>
      </c>
      <c r="J70" s="31" t="n">
        <v>-1.12</v>
      </c>
      <c r="K70" s="31" t="n">
        <v>366339</v>
      </c>
      <c r="L70" s="30" t="n">
        <v>2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52.21</v>
      </c>
      <c r="P70" s="31" t="n">
        <v>7.04</v>
      </c>
      <c r="Q70" s="31" t="n">
        <v>1377.64</v>
      </c>
      <c r="R70" s="30" t="inlineStr">
        <is>
          <t>Earnings / Momentum Support</t>
        </is>
      </c>
      <c r="S70" s="30" t="inlineStr">
        <is>
          <t>Nifty 500</t>
        </is>
      </c>
      <c r="T70" s="31" t="n">
        <v>0.45</v>
      </c>
      <c r="U70" s="31" t="n">
        <v>4.64</v>
      </c>
      <c r="V70" s="31" t="n">
        <v>4.17</v>
      </c>
      <c r="W70" s="31" t="n">
        <v>1.35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Fragmented with High ROE</t>
        </is>
      </c>
      <c r="AA70" s="30">
        <f>IF(Z70="Fragmented with Low ROE",-5,IF(Z70="Fragmented with High ROE",10,IF(Z70= "highly cyclical",5,0)))</f>
        <v/>
      </c>
      <c r="AB70" s="30" t="inlineStr">
        <is>
          <t>No</t>
        </is>
      </c>
      <c r="AC70" s="30">
        <f>IF(AB70="No",5,0)</f>
        <v/>
      </c>
      <c r="AD70" s="30" t="inlineStr">
        <is>
          <t>Headwind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Consistency)",15,IF(AF70="Shallow Cyclical (2 to 3 years growth)",10,IF(AF70 = "Cyclical in an Uptick",5,IF(AF70 = "Cyclical in an Downtick",-10,0))))</f>
        <v/>
      </c>
      <c r="AH70" s="30" t="inlineStr">
        <is>
          <t>Yes</t>
        </is>
      </c>
      <c r="AI70" s="30">
        <f>IF(AH70="Yes",10,0)</f>
        <v/>
      </c>
      <c r="AJ70" s="30" t="inlineStr">
        <is>
          <t>Yes</t>
        </is>
      </c>
      <c r="AK70" s="30">
        <f>IF(AJ70="Yes",10,0)</f>
        <v/>
      </c>
      <c r="AL70" s="30" t="n"/>
      <c r="AM70" s="30">
        <f>IF(AL70="No",10,0)</f>
        <v/>
      </c>
      <c r="AN70" s="30" t="inlineStr">
        <is>
          <t>Yes</t>
        </is>
      </c>
      <c r="AO70" s="30">
        <f>IF(AN70="Yes",10,0)</f>
        <v/>
      </c>
      <c r="AP70" s="30" t="inlineStr">
        <is>
          <t>No</t>
        </is>
      </c>
      <c r="AQ70" s="30">
        <f>IF(AP70="Yes",10,0)</f>
        <v/>
      </c>
      <c r="AR70" s="30" t="inlineStr">
        <is>
          <t>Yes</t>
        </is>
      </c>
      <c r="AS70" s="30">
        <f>IF(AR70="Yes",5,0)</f>
        <v/>
      </c>
      <c r="AT70" s="30" t="inlineStr">
        <is>
          <t>No</t>
        </is>
      </c>
      <c r="AU70" s="30">
        <f>IF(AT70="No",10,IF(AT70="Yes",-10,0))</f>
        <v/>
      </c>
      <c r="AV70" s="30" t="inlineStr">
        <is>
          <t>No</t>
        </is>
      </c>
      <c r="AW70" s="30">
        <f>IF(AV70="No",10,0)</f>
        <v/>
      </c>
      <c r="AX70" s="30" t="inlineStr">
        <is>
          <t>No</t>
        </is>
      </c>
      <c r="AY70" s="30">
        <f>IF(AX70="No",10,IF(AX70= "Yes CEO Resignation",-5,0))</f>
        <v/>
      </c>
      <c r="AZ70" s="30" t="inlineStr">
        <is>
          <t>No</t>
        </is>
      </c>
      <c r="BA70" s="30">
        <f>IF(AZ70="No",10,IF(AZ70="Yes",-5,0))</f>
        <v/>
      </c>
      <c r="BB70" s="30" t="inlineStr">
        <is>
          <t>No</t>
        </is>
      </c>
      <c r="BC70" s="30">
        <f>IF(BB70="No",5,IF(BB70="Yes",-5,0))</f>
        <v/>
      </c>
      <c r="BD70" s="30" t="inlineStr">
        <is>
          <t>Yes</t>
        </is>
      </c>
      <c r="BE70" s="30">
        <f>IF(BD70="Yes",10,0)</f>
        <v/>
      </c>
      <c r="BF70" s="30" t="inlineStr">
        <is>
          <t>Yes</t>
        </is>
      </c>
      <c r="BG70" s="30">
        <f>IF(BF70="Yes",10,0)</f>
        <v/>
      </c>
      <c r="BH70" s="30" t="inlineStr">
        <is>
          <t>Yes</t>
        </is>
      </c>
      <c r="BI70" s="30">
        <f>IF(BH70="Yes",10,0)</f>
        <v/>
      </c>
      <c r="BJ70" s="30" t="inlineStr">
        <is>
          <t>P/BV above 5x</t>
        </is>
      </c>
      <c r="BK70" s="30">
        <f>IF(BJ70="P/BV less than 2.5x and Growth more than 20%",20,IF(BJ70 = "P/BV less than 2.5x and Growth less than 20%",5,IF(BJ70="P/BV between 2.5x to 5x and Growth more than 20%",10,IF(BJ70= "P/BV between 2.5x to 5x and Growth less than 20%",-5,IF(BJ70= "P/BV above 5x",-5,0)))))</f>
        <v/>
      </c>
      <c r="BL70" s="30" t="inlineStr">
        <is>
          <t>0 to 20</t>
        </is>
      </c>
      <c r="BM70" s="30">
        <f>IF(BL70="Above 40",20,IF(BL70="20 to 40",10,IF(BL70="0 to 20",-5,0)))</f>
        <v/>
      </c>
      <c r="BN70" s="30" t="inlineStr">
        <is>
          <t>Between 50 to 75</t>
        </is>
      </c>
      <c r="BO70" s="30">
        <f>IF(BN70="Between 50 to 75",10,IF(BN70="Above 75",0,0))</f>
        <v/>
      </c>
      <c r="BP70" s="30" t="inlineStr">
        <is>
          <t>Stage 1</t>
        </is>
      </c>
      <c r="BQ70" s="30">
        <f>IF(BP70="Stage 2",20,IF(BP70="Stage 1",0,IF(BP70="Stage 3",5,IF(BP70="Stage 4",-5,0))))</f>
        <v/>
      </c>
      <c r="BR70" s="30" t="inlineStr">
        <is>
          <t>Negative Trend</t>
        </is>
      </c>
      <c r="BS70" s="30">
        <f>IF(BR70="Positive Trend",20,IF(BR70="Negative Trend",-10,0))</f>
        <v/>
      </c>
      <c r="BT70" s="30" t="inlineStr">
        <is>
          <t>Uptrend</t>
        </is>
      </c>
      <c r="BU70" s="30">
        <f>IF(BT70="Uptrend",10,IF(BT70="Sideways",5,0))</f>
        <v/>
      </c>
      <c r="BV70" s="30" t="inlineStr">
        <is>
          <t>Uptrend</t>
        </is>
      </c>
      <c r="BW70" s="30">
        <f>IF(BV70="Uptrend",10,IF(BV70="Sideways",5,0))</f>
        <v/>
      </c>
      <c r="BX70" s="30" t="inlineStr">
        <is>
          <t>Close to 52 week high or retracement</t>
        </is>
      </c>
      <c r="BY70" s="30">
        <f>IF(BX70="Overhead supply in last 2 years in last 2 years",-5,IF(BX70="Close to 52 week high or retracement",5,IF(BX70="Blue sky scenario",10,IF(BX70="Long term Downtrend",-10,0))))</f>
        <v/>
      </c>
      <c r="BZ70" s="30" t="inlineStr">
        <is>
          <t>Yes</t>
        </is>
      </c>
      <c r="CA70" s="30">
        <f>IF(BZ70="Yes",10,0)</f>
        <v/>
      </c>
    </row>
    <row r="71">
      <c r="A71" s="30">
        <f>IF(B71=0,"",RANK(B71,$B$2:$B$77,0))</f>
        <v/>
      </c>
      <c r="B71" s="31">
        <f>SUM(N71,Y71,AA71,AC71,AE71,AG71,AI71,AK71,AM71,AO71,AQ71,AS71,AU71,AW71,AY71,BA71,BC71,BE71,BG71,BI71,BK71,BM71,BO71,BQ71,BS71,BU71,BW71,BY71,CA71)</f>
        <v/>
      </c>
      <c r="C71" s="30" t="inlineStr">
        <is>
          <t>VHL</t>
        </is>
      </c>
      <c r="D71" s="30" t="inlineStr">
        <is>
          <t>Vardhman Holdings Limited</t>
        </is>
      </c>
      <c r="E71" s="30" t="inlineStr">
        <is>
          <t>financials</t>
        </is>
      </c>
      <c r="F71" s="30" t="inlineStr">
        <is>
          <t>finance &amp; investments</t>
        </is>
      </c>
      <c r="G71" s="30" t="inlineStr">
        <is>
          <t>smallcap</t>
        </is>
      </c>
      <c r="H71" s="31" t="n">
        <v>1150.42</v>
      </c>
      <c r="I71" s="31" t="n">
        <v>3674.3</v>
      </c>
      <c r="J71" s="31" t="n">
        <v>1.93</v>
      </c>
      <c r="K71" s="31" t="n">
        <v>1266</v>
      </c>
      <c r="L71" s="30" t="inlineStr"/>
      <c r="M71" s="30" t="inlineStr"/>
      <c r="N71" s="31">
        <f>IF(M71="Underperforming",-5,IF(L71&gt;=95,15,IF(L71&gt;=90,10,IF(L71&gt;=80,5,0))))</f>
        <v/>
      </c>
      <c r="O71" s="31" t="inlineStr"/>
      <c r="P71" s="31" t="inlineStr"/>
      <c r="Q71" s="31" t="inlineStr"/>
      <c r="R71" s="30" t="inlineStr"/>
      <c r="S71" s="30" t="inlineStr"/>
      <c r="T71" s="31" t="inlineStr"/>
      <c r="U71" s="31" t="inlineStr"/>
      <c r="V71" s="31" t="inlineStr"/>
      <c r="W71" s="31" t="inlineStr"/>
      <c r="X71" s="30" t="n"/>
      <c r="Y71" s="30">
        <f>IF(X71="Growing Industry",10,IF(X71="Cyclical in an Upturn",5,0))</f>
        <v/>
      </c>
      <c r="Z71" s="30" t="n"/>
      <c r="AA71" s="30">
        <f>IF(Z71="Fragmented with Low ROE",-5,IF(Z71="Fragmented with High ROE",10,IF(Z71= "highly cyclical",5,0)))</f>
        <v/>
      </c>
      <c r="AB71" s="30" t="n"/>
      <c r="AC71" s="30">
        <f>IF(AB71="No",5,0)</f>
        <v/>
      </c>
      <c r="AD71" s="30" t="n"/>
      <c r="AE71" s="30">
        <f>IF(AD71="Tailwind",10,0)</f>
        <v/>
      </c>
      <c r="AF71" s="30" t="n"/>
      <c r="AG71" s="30">
        <f>IF(AF71="Structural (10 Years Consistency)",15,IF(AF71="Shallow Cyclical (2 to 3 years growth)",10,IF(AF71 = "Cyclical in an Uptick",5,IF(AF71 = "Cyclical in an Downtick",-10,0))))</f>
        <v/>
      </c>
      <c r="AH71" s="30" t="n"/>
      <c r="AI71" s="30">
        <f>IF(AH71="Yes",10,0)</f>
        <v/>
      </c>
      <c r="AJ71" s="30" t="n"/>
      <c r="AK71" s="30">
        <f>IF(AJ71="Yes",10,0)</f>
        <v/>
      </c>
      <c r="AL71" s="30" t="n"/>
      <c r="AM71" s="30">
        <f>IF(AL71="No",10,0)</f>
        <v/>
      </c>
      <c r="AN71" s="30" t="n"/>
      <c r="AO71" s="30">
        <f>IF(AN71="Yes",10,0)</f>
        <v/>
      </c>
      <c r="AP71" s="30" t="n"/>
      <c r="AQ71" s="30">
        <f>IF(AP71="Yes",10,0)</f>
        <v/>
      </c>
      <c r="AR71" s="30" t="n"/>
      <c r="AS71" s="30">
        <f>IF(AR71="Yes",5,0)</f>
        <v/>
      </c>
      <c r="AT71" s="30" t="n"/>
      <c r="AU71" s="30">
        <f>IF(AT71="No",10,IF(AT71="Yes",-10,0))</f>
        <v/>
      </c>
      <c r="AV71" s="30" t="n"/>
      <c r="AW71" s="30">
        <f>IF(AV71="No",10,0)</f>
        <v/>
      </c>
      <c r="AX71" s="30" t="n"/>
      <c r="AY71" s="30">
        <f>IF(AX71="No",10,IF(AX71= "Yes CEO Resignation",-5,0))</f>
        <v/>
      </c>
      <c r="AZ71" s="30" t="n"/>
      <c r="BA71" s="30">
        <f>IF(AZ71="No",10,IF(AZ71="Yes",-5,0))</f>
        <v/>
      </c>
      <c r="BB71" s="30" t="n"/>
      <c r="BC71" s="30">
        <f>IF(BB71="No",5,IF(BB71="Yes",-5,0))</f>
        <v/>
      </c>
      <c r="BD71" s="30" t="n"/>
      <c r="BE71" s="30">
        <f>IF(BD71="Yes",10,0)</f>
        <v/>
      </c>
      <c r="BF71" s="30" t="n"/>
      <c r="BG71" s="30">
        <f>IF(BF71="Yes",10,0)</f>
        <v/>
      </c>
      <c r="BH71" s="30" t="n"/>
      <c r="BI71" s="30">
        <f>IF(BH71="Yes",10,0)</f>
        <v/>
      </c>
      <c r="BJ71" s="30" t="n"/>
      <c r="BK71" s="30">
        <f>IF(BJ71="P/BV less than 2.5x and Growth more than 20%",20,IF(BJ71 = "P/BV less than 2.5x and Growth less than 20%",5,IF(BJ71="P/BV between 2.5x to 5x and Growth more than 20%",10,IF(BJ71= "P/BV between 2.5x to 5x and Growth less than 20%",-5,IF(BJ71= "P/BV above 5x",-5,0)))))</f>
        <v/>
      </c>
      <c r="BL71" s="30" t="n"/>
      <c r="BM71" s="30">
        <f>IF(BL71="Above 40",20,IF(BL71="20 to 40",10,IF(BL71="0 to 20",-5,0)))</f>
        <v/>
      </c>
      <c r="BN71" s="30" t="n"/>
      <c r="BO71" s="30">
        <f>IF(BN71="Between 50 to 75",10,IF(BN71="Above 75",0,0))</f>
        <v/>
      </c>
      <c r="BP71" s="30" t="n"/>
      <c r="BQ71" s="30">
        <f>IF(BP71="Stage 2",20,IF(BP71="Stage 1",0,IF(BP71="Stage 3",5,IF(BP71="Stage 4",-5,0))))</f>
        <v/>
      </c>
      <c r="BR71" s="30" t="n"/>
      <c r="BS71" s="30">
        <f>IF(BR71="Positive Trend",20,IF(BR71="Negative Trend",-10,0))</f>
        <v/>
      </c>
      <c r="BT71" s="30" t="n"/>
      <c r="BU71" s="30">
        <f>IF(BT71="Uptrend",10,IF(BT71="Sideways",5,0))</f>
        <v/>
      </c>
      <c r="BV71" s="30" t="n"/>
      <c r="BW71" s="30">
        <f>IF(BV71="Uptrend",10,IF(BV71="Sideways",5,0))</f>
        <v/>
      </c>
      <c r="BX71" s="30" t="n"/>
      <c r="BY71" s="30">
        <f>IF(BX71="Overhead supply in last 2 years in last 2 years",-5,IF(BX71="Close to 52 week high or retracement",5,IF(BX71="Blue sky scenario",10,IF(BX71="Long term Downtrend",-10,0))))</f>
        <v/>
      </c>
      <c r="BZ71" s="30" t="n"/>
      <c r="CA71" s="30">
        <f>IF(BZ71="Yes",10,0)</f>
        <v/>
      </c>
    </row>
    <row r="72">
      <c r="A72" s="30">
        <f>IF(B72=0,"",RANK(B72,$B$2:$B$77,0))</f>
        <v/>
      </c>
      <c r="B72" s="31">
        <f>SUM(N72,Y72,AA72,AC72,AE72,AG72,AI72,AK72,AM72,AO72,AQ72,AS72,AU72,AW72,AY72,BA72,BC72,BE72,BG72,BI72,BK72,BM72,BO72,BQ72,BS72,BU72,BW72,BY72,CA72)</f>
        <v/>
      </c>
      <c r="C72" s="30" t="inlineStr">
        <is>
          <t>NUVAMA</t>
        </is>
      </c>
      <c r="D72" s="30" t="inlineStr">
        <is>
          <t>Nuvama Wealth Management Ltd</t>
        </is>
      </c>
      <c r="E72" s="30" t="inlineStr">
        <is>
          <t>financials</t>
        </is>
      </c>
      <c r="F72" s="30" t="inlineStr">
        <is>
          <t>finance &amp; investments</t>
        </is>
      </c>
      <c r="G72" s="30" t="inlineStr">
        <is>
          <t>largecap</t>
        </is>
      </c>
      <c r="H72" s="31" t="n">
        <v>31318.42</v>
      </c>
      <c r="I72" s="31" t="n">
        <v>1739.6</v>
      </c>
      <c r="J72" s="31" t="n">
        <v>1.12</v>
      </c>
      <c r="K72" s="31" t="n">
        <v>393516</v>
      </c>
      <c r="L72" s="30" t="inlineStr"/>
      <c r="M72" s="30" t="inlineStr"/>
      <c r="N72" s="31">
        <f>IF(M72="Underperforming",-5,IF(L72&gt;=95,15,IF(L72&gt;=90,10,IF(L72&gt;=80,5,0))))</f>
        <v/>
      </c>
      <c r="O72" s="31" t="inlineStr"/>
      <c r="P72" s="31" t="inlineStr"/>
      <c r="Q72" s="31" t="inlineStr"/>
      <c r="R72" s="30" t="inlineStr"/>
      <c r="S72" s="30" t="inlineStr"/>
      <c r="T72" s="31" t="inlineStr"/>
      <c r="U72" s="31" t="inlineStr"/>
      <c r="V72" s="31" t="inlineStr"/>
      <c r="W72" s="31" t="inlineStr"/>
      <c r="X72" s="30" t="n"/>
      <c r="Y72" s="30">
        <f>IF(X72="Growing Industry",10,IF(X72="Cyclical in an Upturn",5,0))</f>
        <v/>
      </c>
      <c r="Z72" s="30" t="n"/>
      <c r="AA72" s="30">
        <f>IF(Z72="Fragmented with Low ROE",-5,IF(Z72="Fragmented with High ROE",10,IF(Z72= "highly cyclical",5,0)))</f>
        <v/>
      </c>
      <c r="AB72" s="30" t="n"/>
      <c r="AC72" s="30">
        <f>IF(AB72="No",5,0)</f>
        <v/>
      </c>
      <c r="AD72" s="30" t="n"/>
      <c r="AE72" s="30">
        <f>IF(AD72="Tailwind",10,0)</f>
        <v/>
      </c>
      <c r="AF72" s="30" t="n"/>
      <c r="AG72" s="30">
        <f>IF(AF72="Structural (10 Years Consistency)",15,IF(AF72="Shallow Cyclical (2 to 3 years growth)",10,IF(AF72 = "Cyclical in an Uptick",5,IF(AF72 = "Cyclical in an Downtick",-10,0))))</f>
        <v/>
      </c>
      <c r="AH72" s="30" t="n"/>
      <c r="AI72" s="30">
        <f>IF(AH72="Yes",10,0)</f>
        <v/>
      </c>
      <c r="AJ72" s="30" t="n"/>
      <c r="AK72" s="30">
        <f>IF(AJ72="Yes",10,0)</f>
        <v/>
      </c>
      <c r="AL72" s="30" t="n"/>
      <c r="AM72" s="30">
        <f>IF(AL72="No",10,0)</f>
        <v/>
      </c>
      <c r="AN72" s="30" t="n"/>
      <c r="AO72" s="30">
        <f>IF(AN72="Yes",10,0)</f>
        <v/>
      </c>
      <c r="AP72" s="30" t="n"/>
      <c r="AQ72" s="30">
        <f>IF(AP72="Yes",10,0)</f>
        <v/>
      </c>
      <c r="AR72" s="30" t="n"/>
      <c r="AS72" s="30">
        <f>IF(AR72="Yes",5,0)</f>
        <v/>
      </c>
      <c r="AT72" s="30" t="n"/>
      <c r="AU72" s="30">
        <f>IF(AT72="No",10,IF(AT72="Yes",-10,0))</f>
        <v/>
      </c>
      <c r="AV72" s="30" t="n"/>
      <c r="AW72" s="30">
        <f>IF(AV72="No",10,0)</f>
        <v/>
      </c>
      <c r="AX72" s="30" t="n"/>
      <c r="AY72" s="30">
        <f>IF(AX72="No",10,IF(AX72= "Yes CEO Resignation",-5,0))</f>
        <v/>
      </c>
      <c r="AZ72" s="30" t="n"/>
      <c r="BA72" s="30">
        <f>IF(AZ72="No",10,IF(AZ72="Yes",-5,0))</f>
        <v/>
      </c>
      <c r="BB72" s="30" t="n"/>
      <c r="BC72" s="30">
        <f>IF(BB72="No",5,IF(BB72="Yes",-5,0))</f>
        <v/>
      </c>
      <c r="BD72" s="30" t="n"/>
      <c r="BE72" s="30">
        <f>IF(BD72="Yes",10,0)</f>
        <v/>
      </c>
      <c r="BF72" s="30" t="n"/>
      <c r="BG72" s="30">
        <f>IF(BF72="Yes",10,0)</f>
        <v/>
      </c>
      <c r="BH72" s="30" t="n"/>
      <c r="BI72" s="30">
        <f>IF(BH72="Yes",10,0)</f>
        <v/>
      </c>
      <c r="BJ72" s="30" t="n"/>
      <c r="BK72" s="30">
        <f>IF(BJ72="P/BV less than 2.5x and Growth more than 20%",20,IF(BJ72 = "P/BV less than 2.5x and Growth less than 20%",5,IF(BJ72="P/BV between 2.5x to 5x and Growth more than 20%",10,IF(BJ72= "P/BV between 2.5x to 5x and Growth less than 20%",-5,IF(BJ72= "P/BV above 5x",-5,0)))))</f>
        <v/>
      </c>
      <c r="BL72" s="30" t="n"/>
      <c r="BM72" s="30">
        <f>IF(BL72="Above 40",20,IF(BL72="20 to 40",10,IF(BL72="0 to 20",-5,0)))</f>
        <v/>
      </c>
      <c r="BN72" s="30" t="n"/>
      <c r="BO72" s="30">
        <f>IF(BN72="Between 50 to 75",10,IF(BN72="Above 75",0,0))</f>
        <v/>
      </c>
      <c r="BP72" s="30" t="n"/>
      <c r="BQ72" s="30">
        <f>IF(BP72="Stage 2",20,IF(BP72="Stage 1",0,IF(BP72="Stage 3",5,IF(BP72="Stage 4",-5,0))))</f>
        <v/>
      </c>
      <c r="BR72" s="30" t="n"/>
      <c r="BS72" s="30">
        <f>IF(BR72="Positive Trend",20,IF(BR72="Negative Trend",-10,0))</f>
        <v/>
      </c>
      <c r="BT72" s="30" t="n"/>
      <c r="BU72" s="30">
        <f>IF(BT72="Uptrend",10,IF(BT72="Sideways",5,0))</f>
        <v/>
      </c>
      <c r="BV72" s="30" t="n"/>
      <c r="BW72" s="30">
        <f>IF(BV72="Uptrend",10,IF(BV72="Sideways",5,0))</f>
        <v/>
      </c>
      <c r="BX72" s="30" t="n"/>
      <c r="BY72" s="30">
        <f>IF(BX72="Overhead supply in last 2 years in last 2 years",-5,IF(BX72="Close to 52 week high or retracement",5,IF(BX72="Blue sky scenario",10,IF(BX72="Long term Downtrend",-10,0))))</f>
        <v/>
      </c>
      <c r="BZ72" s="30" t="n"/>
      <c r="CA72" s="30">
        <f>IF(BZ72="Yes",10,0)</f>
        <v/>
      </c>
    </row>
    <row r="73">
      <c r="A73" s="30">
        <f>IF(B73=0,"",RANK(B73,$B$2:$B$77,0))</f>
        <v/>
      </c>
      <c r="B73" s="31">
        <f>SUM(N73,Y73,AA73,AC73,AE73,AG73,AI73,AK73,AM73,AO73,AQ73,AS73,AU73,AW73,AY73,BA73,BC73,BE73,BG73,BI73,BK73,BM73,BO73,BQ73,BS73,BU73,BW73,BY73,CA73)</f>
        <v/>
      </c>
      <c r="C73" s="30" t="inlineStr">
        <is>
          <t>INDUSINDBK</t>
        </is>
      </c>
      <c r="D73" s="30" t="inlineStr">
        <is>
          <t>Indusind Bank Limited</t>
        </is>
      </c>
      <c r="E73" s="30" t="inlineStr">
        <is>
          <t>bank</t>
        </is>
      </c>
      <c r="F73" s="30" t="inlineStr">
        <is>
          <t>banks - private sector</t>
        </is>
      </c>
      <c r="G73" s="30" t="inlineStr">
        <is>
          <t>largecap</t>
        </is>
      </c>
      <c r="H73" s="31" t="n">
        <v>73138.58</v>
      </c>
      <c r="I73" s="31" t="n">
        <v>947.45</v>
      </c>
      <c r="J73" s="31" t="n">
        <v>0.93</v>
      </c>
      <c r="K73" s="31" t="n">
        <v>6521623</v>
      </c>
      <c r="L73" s="30" t="inlineStr"/>
      <c r="M73" s="30" t="inlineStr"/>
      <c r="N73" s="31">
        <f>IF(M73="Underperforming",-5,IF(L73&gt;=95,15,IF(L73&gt;=90,10,IF(L73&gt;=80,5,0))))</f>
        <v/>
      </c>
      <c r="O73" s="31" t="inlineStr"/>
      <c r="P73" s="31" t="inlineStr"/>
      <c r="Q73" s="31" t="inlineStr"/>
      <c r="R73" s="30" t="inlineStr"/>
      <c r="S73" s="30" t="inlineStr"/>
      <c r="T73" s="31" t="inlineStr"/>
      <c r="U73" s="31" t="inlineStr"/>
      <c r="V73" s="31" t="inlineStr"/>
      <c r="W73" s="31" t="inlineStr"/>
      <c r="X73" s="30" t="n"/>
      <c r="Y73" s="30">
        <f>IF(X73="Growing Industry",10,IF(X73="Cyclical in an Upturn",5,0))</f>
        <v/>
      </c>
      <c r="Z73" s="30" t="n"/>
      <c r="AA73" s="30">
        <f>IF(Z73="Fragmented with Low ROE",-5,IF(Z73="Fragmented with High ROE",10,IF(Z73= "highly cyclical",5,0)))</f>
        <v/>
      </c>
      <c r="AB73" s="30" t="n"/>
      <c r="AC73" s="30">
        <f>IF(AB73="No",5,0)</f>
        <v/>
      </c>
      <c r="AD73" s="30" t="n"/>
      <c r="AE73" s="30">
        <f>IF(AD73="Tailwind",10,0)</f>
        <v/>
      </c>
      <c r="AF73" s="30" t="n"/>
      <c r="AG73" s="30">
        <f>IF(AF73="Structural (10 Years Consistency)",15,IF(AF73="Shallow Cyclical (2 to 3 years growth)",10,IF(AF73 = "Cyclical in an Uptick",5,IF(AF73 = "Cyclical in an Downtick",-10,0))))</f>
        <v/>
      </c>
      <c r="AH73" s="30" t="n"/>
      <c r="AI73" s="30">
        <f>IF(AH73="Yes",10,0)</f>
        <v/>
      </c>
      <c r="AJ73" s="30" t="n"/>
      <c r="AK73" s="30">
        <f>IF(AJ73="Yes",10,0)</f>
        <v/>
      </c>
      <c r="AL73" s="30" t="n"/>
      <c r="AM73" s="30">
        <f>IF(AL73="No",10,0)</f>
        <v/>
      </c>
      <c r="AN73" s="30" t="n"/>
      <c r="AO73" s="30">
        <f>IF(AN73="Yes",10,0)</f>
        <v/>
      </c>
      <c r="AP73" s="30" t="n"/>
      <c r="AQ73" s="30">
        <f>IF(AP73="Yes",10,0)</f>
        <v/>
      </c>
      <c r="AR73" s="30" t="n"/>
      <c r="AS73" s="30">
        <f>IF(AR73="Yes",5,0)</f>
        <v/>
      </c>
      <c r="AT73" s="30" t="n"/>
      <c r="AU73" s="30">
        <f>IF(AT73="No",10,IF(AT73="Yes",-10,0))</f>
        <v/>
      </c>
      <c r="AV73" s="30" t="n"/>
      <c r="AW73" s="30">
        <f>IF(AV73="No",10,0)</f>
        <v/>
      </c>
      <c r="AX73" s="30" t="n"/>
      <c r="AY73" s="30">
        <f>IF(AX73="No",10,IF(AX73= "Yes CEO Resignation",-5,0))</f>
        <v/>
      </c>
      <c r="AZ73" s="30" t="n"/>
      <c r="BA73" s="30">
        <f>IF(AZ73="No",10,IF(AZ73="Yes",-5,0))</f>
        <v/>
      </c>
      <c r="BB73" s="30" t="n"/>
      <c r="BC73" s="30">
        <f>IF(BB73="No",5,IF(BB73="Yes",-5,0))</f>
        <v/>
      </c>
      <c r="BD73" s="30" t="n"/>
      <c r="BE73" s="30">
        <f>IF(BD73="Yes",10,0)</f>
        <v/>
      </c>
      <c r="BF73" s="30" t="n"/>
      <c r="BG73" s="30">
        <f>IF(BF73="Yes",10,0)</f>
        <v/>
      </c>
      <c r="BH73" s="30" t="n"/>
      <c r="BI73" s="30">
        <f>IF(BH73="Yes",10,0)</f>
        <v/>
      </c>
      <c r="BJ73" s="30" t="n"/>
      <c r="BK73" s="30">
        <f>IF(BJ73="P/BV less than 2.5x and Growth more than 20%",20,IF(BJ73 = "P/BV less than 2.5x and Growth less than 20%",5,IF(BJ73="P/BV between 2.5x to 5x and Growth more than 20%",10,IF(BJ73= "P/BV between 2.5x to 5x and Growth less than 20%",-5,IF(BJ73= "P/BV above 5x",-5,0)))))</f>
        <v/>
      </c>
      <c r="BL73" s="30" t="n"/>
      <c r="BM73" s="30">
        <f>IF(BL73="Above 40",20,IF(BL73="20 to 40",10,IF(BL73="0 to 20",-5,0)))</f>
        <v/>
      </c>
      <c r="BN73" s="30" t="n"/>
      <c r="BO73" s="30">
        <f>IF(BN73="Between 50 to 75",10,IF(BN73="Above 75",0,0))</f>
        <v/>
      </c>
      <c r="BP73" s="30" t="n"/>
      <c r="BQ73" s="30">
        <f>IF(BP73="Stage 2",20,IF(BP73="Stage 1",0,IF(BP73="Stage 3",5,IF(BP73="Stage 4",-5,0))))</f>
        <v/>
      </c>
      <c r="BR73" s="30" t="n"/>
      <c r="BS73" s="30">
        <f>IF(BR73="Positive Trend",20,IF(BR73="Negative Trend",-10,0))</f>
        <v/>
      </c>
      <c r="BT73" s="30" t="n"/>
      <c r="BU73" s="30">
        <f>IF(BT73="Uptrend",10,IF(BT73="Sideways",5,0))</f>
        <v/>
      </c>
      <c r="BV73" s="30" t="n"/>
      <c r="BW73" s="30">
        <f>IF(BV73="Uptrend",10,IF(BV73="Sideways",5,0))</f>
        <v/>
      </c>
      <c r="BX73" s="30" t="n"/>
      <c r="BY73" s="30">
        <f>IF(BX73="Overhead supply in last 2 years in last 2 years",-5,IF(BX73="Close to 52 week high or retracement",5,IF(BX73="Blue sky scenario",10,IF(BX73="Long term Downtrend",-10,0))))</f>
        <v/>
      </c>
      <c r="BZ73" s="30" t="n"/>
      <c r="CA73" s="30">
        <f>IF(BZ73="Yes",10,0)</f>
        <v/>
      </c>
    </row>
    <row r="74">
      <c r="A74" s="30">
        <f>IF(B74=0,"",RANK(B74,$B$2:$B$77,0))</f>
        <v/>
      </c>
      <c r="B74" s="31">
        <f>SUM(N74,Y74,AA74,AC74,AE74,AG74,AI74,AK74,AM74,AO74,AQ74,AS74,AU74,AW74,AY74,BA74,BC74,BE74,BG74,BI74,BK74,BM74,BO74,BQ74,BS74,BU74,BW74,BY74,CA74)</f>
        <v/>
      </c>
      <c r="C74" s="30" t="inlineStr">
        <is>
          <t>ANGELONE</t>
        </is>
      </c>
      <c r="D74" s="30" t="inlineStr">
        <is>
          <t>Angel One Ltd</t>
        </is>
      </c>
      <c r="E74" s="30" t="inlineStr">
        <is>
          <t>financials</t>
        </is>
      </c>
      <c r="F74" s="30" t="inlineStr">
        <is>
          <t>finance &amp; investments</t>
        </is>
      </c>
      <c r="G74" s="30" t="inlineStr">
        <is>
          <t>largecap</t>
        </is>
      </c>
      <c r="H74" s="31" t="n">
        <v>32135.11</v>
      </c>
      <c r="I74" s="31" t="n">
        <v>353.7</v>
      </c>
      <c r="J74" s="31" t="n">
        <v>0.26</v>
      </c>
      <c r="K74" s="31" t="n">
        <v>9378921</v>
      </c>
      <c r="L74" s="30" t="inlineStr"/>
      <c r="M74" s="30" t="inlineStr"/>
      <c r="N74" s="31">
        <f>IF(M74="Underperforming",-5,IF(L74&gt;=95,15,IF(L74&gt;=90,10,IF(L74&gt;=80,5,0))))</f>
        <v/>
      </c>
      <c r="O74" s="31" t="inlineStr"/>
      <c r="P74" s="31" t="inlineStr"/>
      <c r="Q74" s="31" t="inlineStr"/>
      <c r="R74" s="30" t="inlineStr"/>
      <c r="S74" s="30" t="inlineStr"/>
      <c r="T74" s="31" t="inlineStr"/>
      <c r="U74" s="31" t="inlineStr"/>
      <c r="V74" s="31" t="inlineStr"/>
      <c r="W74" s="31" t="inlineStr"/>
      <c r="X74" s="30" t="n"/>
      <c r="Y74" s="30">
        <f>IF(X74="Growing Industry",10,IF(X74="Cyclical in an Upturn",5,0))</f>
        <v/>
      </c>
      <c r="Z74" s="30" t="n"/>
      <c r="AA74" s="30">
        <f>IF(Z74="Fragmented with Low ROE",-5,IF(Z74="Fragmented with High ROE",10,IF(Z74= "highly cyclical",5,0)))</f>
        <v/>
      </c>
      <c r="AB74" s="30" t="n"/>
      <c r="AC74" s="30">
        <f>IF(AB74="No",5,0)</f>
        <v/>
      </c>
      <c r="AD74" s="30" t="n"/>
      <c r="AE74" s="30">
        <f>IF(AD74="Tailwind",10,0)</f>
        <v/>
      </c>
      <c r="AF74" s="30" t="n"/>
      <c r="AG74" s="30">
        <f>IF(AF74="Structural (10 Years Consistency)",15,IF(AF74="Shallow Cyclical (2 to 3 years growth)",10,IF(AF74 = "Cyclical in an Uptick",5,IF(AF74 = "Cyclical in an Downtick",-10,0))))</f>
        <v/>
      </c>
      <c r="AH74" s="30" t="n"/>
      <c r="AI74" s="30">
        <f>IF(AH74="Yes",10,0)</f>
        <v/>
      </c>
      <c r="AJ74" s="30" t="n"/>
      <c r="AK74" s="30">
        <f>IF(AJ74="Yes",10,0)</f>
        <v/>
      </c>
      <c r="AL74" s="30" t="n"/>
      <c r="AM74" s="30">
        <f>IF(AL74="No",10,0)</f>
        <v/>
      </c>
      <c r="AN74" s="30" t="n"/>
      <c r="AO74" s="30">
        <f>IF(AN74="Yes",10,0)</f>
        <v/>
      </c>
      <c r="AP74" s="30" t="n"/>
      <c r="AQ74" s="30">
        <f>IF(AP74="Yes",10,0)</f>
        <v/>
      </c>
      <c r="AR74" s="30" t="n"/>
      <c r="AS74" s="30">
        <f>IF(AR74="Yes",5,0)</f>
        <v/>
      </c>
      <c r="AT74" s="30" t="n"/>
      <c r="AU74" s="30">
        <f>IF(AT74="No",10,IF(AT74="Yes",-10,0))</f>
        <v/>
      </c>
      <c r="AV74" s="30" t="n"/>
      <c r="AW74" s="30">
        <f>IF(AV74="No",10,0)</f>
        <v/>
      </c>
      <c r="AX74" s="30" t="n"/>
      <c r="AY74" s="30">
        <f>IF(AX74="No",10,IF(AX74= "Yes CEO Resignation",-5,0))</f>
        <v/>
      </c>
      <c r="AZ74" s="30" t="n"/>
      <c r="BA74" s="30">
        <f>IF(AZ74="No",10,IF(AZ74="Yes",-5,0))</f>
        <v/>
      </c>
      <c r="BB74" s="30" t="n"/>
      <c r="BC74" s="30">
        <f>IF(BB74="No",5,IF(BB74="Yes",-5,0))</f>
        <v/>
      </c>
      <c r="BD74" s="30" t="n"/>
      <c r="BE74" s="30">
        <f>IF(BD74="Yes",10,0)</f>
        <v/>
      </c>
      <c r="BF74" s="30" t="n"/>
      <c r="BG74" s="30">
        <f>IF(BF74="Yes",10,0)</f>
        <v/>
      </c>
      <c r="BH74" s="30" t="n"/>
      <c r="BI74" s="30">
        <f>IF(BH74="Yes",10,0)</f>
        <v/>
      </c>
      <c r="BJ74" s="30" t="n"/>
      <c r="BK74" s="30">
        <f>IF(BJ74="P/BV less than 2.5x and Growth more than 20%",20,IF(BJ74 = "P/BV less than 2.5x and Growth less than 20%",5,IF(BJ74="P/BV between 2.5x to 5x and Growth more than 20%",10,IF(BJ74= "P/BV between 2.5x to 5x and Growth less than 20%",-5,IF(BJ74= "P/BV above 5x",-5,0)))))</f>
        <v/>
      </c>
      <c r="BL74" s="30" t="n"/>
      <c r="BM74" s="30">
        <f>IF(BL74="Above 40",20,IF(BL74="20 to 40",10,IF(BL74="0 to 20",-5,0)))</f>
        <v/>
      </c>
      <c r="BN74" s="30" t="n"/>
      <c r="BO74" s="30">
        <f>IF(BN74="Between 50 to 75",10,IF(BN74="Above 75",0,0))</f>
        <v/>
      </c>
      <c r="BP74" s="30" t="n"/>
      <c r="BQ74" s="30">
        <f>IF(BP74="Stage 2",20,IF(BP74="Stage 1",0,IF(BP74="Stage 3",5,IF(BP74="Stage 4",-5,0))))</f>
        <v/>
      </c>
      <c r="BR74" s="30" t="n"/>
      <c r="BS74" s="30">
        <f>IF(BR74="Positive Trend",20,IF(BR74="Negative Trend",-10,0))</f>
        <v/>
      </c>
      <c r="BT74" s="30" t="n"/>
      <c r="BU74" s="30">
        <f>IF(BT74="Uptrend",10,IF(BT74="Sideways",5,0))</f>
        <v/>
      </c>
      <c r="BV74" s="30" t="n"/>
      <c r="BW74" s="30">
        <f>IF(BV74="Uptrend",10,IF(BV74="Sideways",5,0))</f>
        <v/>
      </c>
      <c r="BX74" s="30" t="n"/>
      <c r="BY74" s="30">
        <f>IF(BX74="Overhead supply in last 2 years in last 2 years",-5,IF(BX74="Close to 52 week high or retracement",5,IF(BX74="Blue sky scenario",10,IF(BX74="Long term Downtrend",-10,0))))</f>
        <v/>
      </c>
      <c r="BZ74" s="30" t="n"/>
      <c r="CA74" s="30">
        <f>IF(BZ74="Yes",10,0)</f>
        <v/>
      </c>
    </row>
    <row r="75">
      <c r="A75" s="30">
        <f>IF(B75=0,"",RANK(B75,$B$2:$B$77,0))</f>
        <v/>
      </c>
      <c r="B75" s="31">
        <f>SUM(N75,Y75,AA75,AC75,AE75,AG75,AI75,AK75,AM75,AO75,AQ75,AS75,AU75,AW75,AY75,BA75,BC75,BE75,BG75,BI75,BK75,BM75,BO75,BQ75,BS75,BU75,BW75,BY75,CA75)</f>
        <v/>
      </c>
      <c r="C75" s="30" t="inlineStr">
        <is>
          <t>NORTHARC</t>
        </is>
      </c>
      <c r="D75" s="30" t="inlineStr">
        <is>
          <t>Northern ARC Capital Ltd</t>
        </is>
      </c>
      <c r="E75" s="30" t="inlineStr">
        <is>
          <t>financials</t>
        </is>
      </c>
      <c r="F75" s="30" t="inlineStr">
        <is>
          <t>finance &amp; investments</t>
        </is>
      </c>
      <c r="G75" s="30" t="inlineStr">
        <is>
          <t>smallcap</t>
        </is>
      </c>
      <c r="H75" s="31" t="n">
        <v>4767.18</v>
      </c>
      <c r="I75" s="31" t="n">
        <v>295.05</v>
      </c>
      <c r="J75" s="31" t="n">
        <v>0</v>
      </c>
      <c r="K75" s="31" t="n">
        <v>208893</v>
      </c>
      <c r="L75" s="30" t="inlineStr"/>
      <c r="M75" s="30" t="inlineStr"/>
      <c r="N75" s="31">
        <f>IF(M75="Underperforming",-5,IF(L75&gt;=95,15,IF(L75&gt;=90,10,IF(L75&gt;=80,5,0))))</f>
        <v/>
      </c>
      <c r="O75" s="31" t="inlineStr"/>
      <c r="P75" s="31" t="inlineStr"/>
      <c r="Q75" s="31" t="inlineStr"/>
      <c r="R75" s="30" t="inlineStr"/>
      <c r="S75" s="30" t="inlineStr"/>
      <c r="T75" s="31" t="inlineStr"/>
      <c r="U75" s="31" t="inlineStr"/>
      <c r="V75" s="31" t="inlineStr"/>
      <c r="W75" s="31" t="inlineStr"/>
      <c r="X75" s="30" t="n"/>
      <c r="Y75" s="30">
        <f>IF(X75="Growing Industry",10,IF(X75="Cyclical in an Upturn",5,0))</f>
        <v/>
      </c>
      <c r="Z75" s="30" t="n"/>
      <c r="AA75" s="30">
        <f>IF(Z75="Fragmented with Low ROE",-5,IF(Z75="Fragmented with High ROE",10,IF(Z75= "highly cyclical",5,0)))</f>
        <v/>
      </c>
      <c r="AB75" s="30" t="n"/>
      <c r="AC75" s="30">
        <f>IF(AB75="No",5,0)</f>
        <v/>
      </c>
      <c r="AD75" s="30" t="n"/>
      <c r="AE75" s="30">
        <f>IF(AD75="Tailwind",10,0)</f>
        <v/>
      </c>
      <c r="AF75" s="30" t="n"/>
      <c r="AG75" s="30">
        <f>IF(AF75="Structural (10 Years Consistency)",15,IF(AF75="Shallow Cyclical (2 to 3 years growth)",10,IF(AF75 = "Cyclical in an Uptick",5,IF(AF75 = "Cyclical in an Downtick",-10,0))))</f>
        <v/>
      </c>
      <c r="AH75" s="30" t="n"/>
      <c r="AI75" s="30">
        <f>IF(AH75="Yes",10,0)</f>
        <v/>
      </c>
      <c r="AJ75" s="30" t="n"/>
      <c r="AK75" s="30">
        <f>IF(AJ75="Yes",10,0)</f>
        <v/>
      </c>
      <c r="AL75" s="30" t="n"/>
      <c r="AM75" s="30">
        <f>IF(AL75="No",10,0)</f>
        <v/>
      </c>
      <c r="AN75" s="30" t="n"/>
      <c r="AO75" s="30">
        <f>IF(AN75="Yes",10,0)</f>
        <v/>
      </c>
      <c r="AP75" s="30" t="n"/>
      <c r="AQ75" s="30">
        <f>IF(AP75="Yes",10,0)</f>
        <v/>
      </c>
      <c r="AR75" s="30" t="n"/>
      <c r="AS75" s="30">
        <f>IF(AR75="Yes",5,0)</f>
        <v/>
      </c>
      <c r="AT75" s="30" t="n"/>
      <c r="AU75" s="30">
        <f>IF(AT75="No",10,IF(AT75="Yes",-10,0))</f>
        <v/>
      </c>
      <c r="AV75" s="30" t="n"/>
      <c r="AW75" s="30">
        <f>IF(AV75="No",10,0)</f>
        <v/>
      </c>
      <c r="AX75" s="30" t="n"/>
      <c r="AY75" s="30">
        <f>IF(AX75="No",10,IF(AX75= "Yes CEO Resignation",-5,0))</f>
        <v/>
      </c>
      <c r="AZ75" s="30" t="n"/>
      <c r="BA75" s="30">
        <f>IF(AZ75="No",10,IF(AZ75="Yes",-5,0))</f>
        <v/>
      </c>
      <c r="BB75" s="30" t="n"/>
      <c r="BC75" s="30">
        <f>IF(BB75="No",5,IF(BB75="Yes",-5,0))</f>
        <v/>
      </c>
      <c r="BD75" s="30" t="n"/>
      <c r="BE75" s="30">
        <f>IF(BD75="Yes",10,0)</f>
        <v/>
      </c>
      <c r="BF75" s="30" t="n"/>
      <c r="BG75" s="30">
        <f>IF(BF75="Yes",10,0)</f>
        <v/>
      </c>
      <c r="BH75" s="30" t="n"/>
      <c r="BI75" s="30">
        <f>IF(BH75="Yes",10,0)</f>
        <v/>
      </c>
      <c r="BJ75" s="30" t="n"/>
      <c r="BK75" s="30">
        <f>IF(BJ75="P/BV less than 2.5x and Growth more than 20%",20,IF(BJ75 = "P/BV less than 2.5x and Growth less than 20%",5,IF(BJ75="P/BV between 2.5x to 5x and Growth more than 20%",10,IF(BJ75= "P/BV between 2.5x to 5x and Growth less than 20%",-5,IF(BJ75= "P/BV above 5x",-5,0)))))</f>
        <v/>
      </c>
      <c r="BL75" s="30" t="n"/>
      <c r="BM75" s="30">
        <f>IF(BL75="Above 40",20,IF(BL75="20 to 40",10,IF(BL75="0 to 20",-5,0)))</f>
        <v/>
      </c>
      <c r="BN75" s="30" t="n"/>
      <c r="BO75" s="30">
        <f>IF(BN75="Between 50 to 75",10,IF(BN75="Above 75",0,0))</f>
        <v/>
      </c>
      <c r="BP75" s="30" t="n"/>
      <c r="BQ75" s="30">
        <f>IF(BP75="Stage 2",20,IF(BP75="Stage 1",0,IF(BP75="Stage 3",5,IF(BP75="Stage 4",-5,0))))</f>
        <v/>
      </c>
      <c r="BR75" s="30" t="n"/>
      <c r="BS75" s="30">
        <f>IF(BR75="Positive Trend",20,IF(BR75="Negative Trend",-10,0))</f>
        <v/>
      </c>
      <c r="BT75" s="30" t="n"/>
      <c r="BU75" s="30">
        <f>IF(BT75="Uptrend",10,IF(BT75="Sideways",5,0))</f>
        <v/>
      </c>
      <c r="BV75" s="30" t="n"/>
      <c r="BW75" s="30">
        <f>IF(BV75="Uptrend",10,IF(BV75="Sideways",5,0))</f>
        <v/>
      </c>
      <c r="BX75" s="30" t="n"/>
      <c r="BY75" s="30">
        <f>IF(BX75="Overhead supply in last 2 years in last 2 years",-5,IF(BX75="Close to 52 week high or retracement",5,IF(BX75="Blue sky scenario",10,IF(BX75="Long term Downtrend",-10,0))))</f>
        <v/>
      </c>
      <c r="BZ75" s="30" t="n"/>
      <c r="CA75" s="30">
        <f>IF(BZ75="Yes",10,0)</f>
        <v/>
      </c>
    </row>
    <row r="76">
      <c r="A76" s="30">
        <f>IF(B76=0,"",RANK(B76,$B$2:$B$77,0))</f>
        <v/>
      </c>
      <c r="B76" s="31">
        <f>SUM(N76,Y76,AA76,AC76,AE76,AG76,AI76,AK76,AM76,AO76,AQ76,AS76,AU76,AW76,AY76,BA76,BC76,BE76,BG76,BI76,BK76,BM76,BO76,BQ76,BS76,BU76,BW76,BY76,CA76)</f>
        <v/>
      </c>
      <c r="C76" s="30" t="inlineStr">
        <is>
          <t>HDFCAMC</t>
        </is>
      </c>
      <c r="D76" s="30" t="inlineStr">
        <is>
          <t>HDFC Asset Management Company Ltd</t>
        </is>
      </c>
      <c r="E76" s="30" t="inlineStr">
        <is>
          <t>financials</t>
        </is>
      </c>
      <c r="F76" s="30" t="inlineStr">
        <is>
          <t>finance &amp; investments</t>
        </is>
      </c>
      <c r="G76" s="30" t="inlineStr">
        <is>
          <t>largecap</t>
        </is>
      </c>
      <c r="H76" s="31" t="n">
        <v>116876.14</v>
      </c>
      <c r="I76" s="31" t="n">
        <v>2719</v>
      </c>
      <c r="J76" s="31" t="n">
        <v>-0.34</v>
      </c>
      <c r="K76" s="31" t="n">
        <v>430133</v>
      </c>
      <c r="L76" s="30" t="inlineStr"/>
      <c r="M76" s="30" t="inlineStr"/>
      <c r="N76" s="31">
        <f>IF(M76="Underperforming",-5,IF(L76&gt;=95,15,IF(L76&gt;=90,10,IF(L76&gt;=80,5,0))))</f>
        <v/>
      </c>
      <c r="O76" s="31" t="inlineStr"/>
      <c r="P76" s="31" t="inlineStr"/>
      <c r="Q76" s="31" t="inlineStr"/>
      <c r="R76" s="30" t="inlineStr"/>
      <c r="S76" s="30" t="inlineStr"/>
      <c r="T76" s="31" t="inlineStr"/>
      <c r="U76" s="31" t="inlineStr"/>
      <c r="V76" s="31" t="inlineStr"/>
      <c r="W76" s="31" t="inlineStr"/>
      <c r="X76" s="30" t="n"/>
      <c r="Y76" s="30">
        <f>IF(X76="Growing Industry",10,IF(X76="Cyclical in an Upturn",5,0))</f>
        <v/>
      </c>
      <c r="Z76" s="30" t="n"/>
      <c r="AA76" s="30">
        <f>IF(Z76="Fragmented with Low ROE",-5,IF(Z76="Fragmented with High ROE",10,IF(Z76= "highly cyclical",5,0)))</f>
        <v/>
      </c>
      <c r="AB76" s="30" t="n"/>
      <c r="AC76" s="30">
        <f>IF(AB76="No",5,0)</f>
        <v/>
      </c>
      <c r="AD76" s="30" t="n"/>
      <c r="AE76" s="30">
        <f>IF(AD76="Tailwind",10,0)</f>
        <v/>
      </c>
      <c r="AF76" s="30" t="n"/>
      <c r="AG76" s="30">
        <f>IF(AF76="Structural (10 Years Consistency)",15,IF(AF76="Shallow Cyclical (2 to 3 years growth)",10,IF(AF76 = "Cyclical in an Uptick",5,IF(AF76 = "Cyclical in an Downtick",-10,0))))</f>
        <v/>
      </c>
      <c r="AH76" s="30" t="n"/>
      <c r="AI76" s="30">
        <f>IF(AH76="Yes",10,0)</f>
        <v/>
      </c>
      <c r="AJ76" s="30" t="n"/>
      <c r="AK76" s="30">
        <f>IF(AJ76="Yes",10,0)</f>
        <v/>
      </c>
      <c r="AL76" s="30" t="n"/>
      <c r="AM76" s="30">
        <f>IF(AL76="No",10,0)</f>
        <v/>
      </c>
      <c r="AN76" s="30" t="n"/>
      <c r="AO76" s="30">
        <f>IF(AN76="Yes",10,0)</f>
        <v/>
      </c>
      <c r="AP76" s="30" t="n"/>
      <c r="AQ76" s="30">
        <f>IF(AP76="Yes",10,0)</f>
        <v/>
      </c>
      <c r="AR76" s="30" t="n"/>
      <c r="AS76" s="30">
        <f>IF(AR76="Yes",5,0)</f>
        <v/>
      </c>
      <c r="AT76" s="30" t="n"/>
      <c r="AU76" s="30">
        <f>IF(AT76="No",10,IF(AT76="Yes",-10,0))</f>
        <v/>
      </c>
      <c r="AV76" s="30" t="n"/>
      <c r="AW76" s="30">
        <f>IF(AV76="No",10,0)</f>
        <v/>
      </c>
      <c r="AX76" s="30" t="n"/>
      <c r="AY76" s="30">
        <f>IF(AX76="No",10,IF(AX76= "Yes CEO Resignation",-5,0))</f>
        <v/>
      </c>
      <c r="AZ76" s="30" t="n"/>
      <c r="BA76" s="30">
        <f>IF(AZ76="No",10,IF(AZ76="Yes",-5,0))</f>
        <v/>
      </c>
      <c r="BB76" s="30" t="n"/>
      <c r="BC76" s="30">
        <f>IF(BB76="No",5,IF(BB76="Yes",-5,0))</f>
        <v/>
      </c>
      <c r="BD76" s="30" t="n"/>
      <c r="BE76" s="30">
        <f>IF(BD76="Yes",10,0)</f>
        <v/>
      </c>
      <c r="BF76" s="30" t="n"/>
      <c r="BG76" s="30">
        <f>IF(BF76="Yes",10,0)</f>
        <v/>
      </c>
      <c r="BH76" s="30" t="n"/>
      <c r="BI76" s="30">
        <f>IF(BH76="Yes",10,0)</f>
        <v/>
      </c>
      <c r="BJ76" s="30" t="n"/>
      <c r="BK76" s="30">
        <f>IF(BJ76="P/BV less than 2.5x and Growth more than 20%",20,IF(BJ76 = "P/BV less than 2.5x and Growth less than 20%",5,IF(BJ76="P/BV between 2.5x to 5x and Growth more than 20%",10,IF(BJ76= "P/BV between 2.5x to 5x and Growth less than 20%",-5,IF(BJ76= "P/BV above 5x",-5,0)))))</f>
        <v/>
      </c>
      <c r="BL76" s="30" t="n"/>
      <c r="BM76" s="30">
        <f>IF(BL76="Above 40",20,IF(BL76="20 to 40",10,IF(BL76="0 to 20",-5,0)))</f>
        <v/>
      </c>
      <c r="BN76" s="30" t="n"/>
      <c r="BO76" s="30">
        <f>IF(BN76="Between 50 to 75",10,IF(BN76="Above 75",0,0))</f>
        <v/>
      </c>
      <c r="BP76" s="30" t="n"/>
      <c r="BQ76" s="30">
        <f>IF(BP76="Stage 2",20,IF(BP76="Stage 1",0,IF(BP76="Stage 3",5,IF(BP76="Stage 4",-5,0))))</f>
        <v/>
      </c>
      <c r="BR76" s="30" t="n"/>
      <c r="BS76" s="30">
        <f>IF(BR76="Positive Trend",20,IF(BR76="Negative Trend",-10,0))</f>
        <v/>
      </c>
      <c r="BT76" s="30" t="n"/>
      <c r="BU76" s="30">
        <f>IF(BT76="Uptrend",10,IF(BT76="Sideways",5,0))</f>
        <v/>
      </c>
      <c r="BV76" s="30" t="n"/>
      <c r="BW76" s="30">
        <f>IF(BV76="Uptrend",10,IF(BV76="Sideways",5,0))</f>
        <v/>
      </c>
      <c r="BX76" s="30" t="n"/>
      <c r="BY76" s="30">
        <f>IF(BX76="Overhead supply in last 2 years in last 2 years",-5,IF(BX76="Close to 52 week high or retracement",5,IF(BX76="Blue sky scenario",10,IF(BX76="Long term Downtrend",-10,0))))</f>
        <v/>
      </c>
      <c r="BZ76" s="30" t="n"/>
      <c r="CA76" s="30">
        <f>IF(BZ76="Yes",10,0)</f>
        <v/>
      </c>
    </row>
    <row r="77">
      <c r="A77" s="30">
        <f>IF(B77=0,"",RANK(B77,$B$2:$B$77,0))</f>
        <v/>
      </c>
      <c r="B77" s="31">
        <f>SUM(N77,Y77,AA77,AC77,AE77,AG77,AI77,AK77,AM77,AO77,AQ77,AS77,AU77,AW77,AY77,BA77,BC77,BE77,BG77,BI77,BK77,BM77,BO77,BQ77,BS77,BU77,BW77,BY77,CA77)</f>
        <v/>
      </c>
      <c r="C77" s="30" t="inlineStr">
        <is>
          <t>BANKBARODA</t>
        </is>
      </c>
      <c r="D77" s="30" t="inlineStr">
        <is>
          <t>Bank Of Baroda Ltd</t>
        </is>
      </c>
      <c r="E77" s="30" t="inlineStr">
        <is>
          <t>bank</t>
        </is>
      </c>
      <c r="F77" s="30" t="inlineStr">
        <is>
          <t>banks - public sector</t>
        </is>
      </c>
      <c r="G77" s="30" t="inlineStr">
        <is>
          <t>largecap</t>
        </is>
      </c>
      <c r="H77" s="31" t="n">
        <v>146349.55</v>
      </c>
      <c r="I77" s="31" t="n">
        <v>281.05</v>
      </c>
      <c r="J77" s="31" t="n">
        <v>-0.6899999999999999</v>
      </c>
      <c r="K77" s="31" t="n">
        <v>4914684</v>
      </c>
      <c r="L77" s="30" t="inlineStr"/>
      <c r="M77" s="30" t="inlineStr"/>
      <c r="N77" s="31">
        <f>IF(M77="Underperforming",-5,IF(L77&gt;=95,15,IF(L77&gt;=90,10,IF(L77&gt;=80,5,0))))</f>
        <v/>
      </c>
      <c r="O77" s="31" t="inlineStr"/>
      <c r="P77" s="31" t="inlineStr"/>
      <c r="Q77" s="31" t="inlineStr"/>
      <c r="R77" s="30" t="inlineStr"/>
      <c r="S77" s="30" t="inlineStr"/>
      <c r="T77" s="31" t="inlineStr"/>
      <c r="U77" s="31" t="inlineStr"/>
      <c r="V77" s="31" t="inlineStr"/>
      <c r="W77" s="31" t="inlineStr"/>
      <c r="X77" s="30" t="n"/>
      <c r="Y77" s="30">
        <f>IF(X77="Growing Industry",10,IF(X77="Cyclical in an Upturn",5,0))</f>
        <v/>
      </c>
      <c r="Z77" s="30" t="n"/>
      <c r="AA77" s="30">
        <f>IF(Z77="Fragmented with Low ROE",-5,IF(Z77="Fragmented with High ROE",10,IF(Z77= "highly cyclical",5,0)))</f>
        <v/>
      </c>
      <c r="AB77" s="30" t="n"/>
      <c r="AC77" s="30">
        <f>IF(AB77="No",5,0)</f>
        <v/>
      </c>
      <c r="AD77" s="30" t="n"/>
      <c r="AE77" s="30">
        <f>IF(AD77="Tailwind",10,0)</f>
        <v/>
      </c>
      <c r="AF77" s="30" t="n"/>
      <c r="AG77" s="30">
        <f>IF(AF77="Structural (10 Years Consistency)",15,IF(AF77="Shallow Cyclical (2 to 3 years growth)",10,IF(AF77 = "Cyclical in an Uptick",5,IF(AF77 = "Cyclical in an Downtick",-10,0))))</f>
        <v/>
      </c>
      <c r="AH77" s="30" t="n"/>
      <c r="AI77" s="30">
        <f>IF(AH77="Yes",10,0)</f>
        <v/>
      </c>
      <c r="AJ77" s="30" t="n"/>
      <c r="AK77" s="30">
        <f>IF(AJ77="Yes",10,0)</f>
        <v/>
      </c>
      <c r="AL77" s="30" t="n"/>
      <c r="AM77" s="30">
        <f>IF(AL77="No",10,0)</f>
        <v/>
      </c>
      <c r="AN77" s="30" t="n"/>
      <c r="AO77" s="30">
        <f>IF(AN77="Yes",10,0)</f>
        <v/>
      </c>
      <c r="AP77" s="30" t="n"/>
      <c r="AQ77" s="30">
        <f>IF(AP77="Yes",10,0)</f>
        <v/>
      </c>
      <c r="AR77" s="30" t="n"/>
      <c r="AS77" s="30">
        <f>IF(AR77="Yes",5,0)</f>
        <v/>
      </c>
      <c r="AT77" s="30" t="n"/>
      <c r="AU77" s="30">
        <f>IF(AT77="No",10,IF(AT77="Yes",-10,0))</f>
        <v/>
      </c>
      <c r="AV77" s="30" t="n"/>
      <c r="AW77" s="30">
        <f>IF(AV77="No",10,0)</f>
        <v/>
      </c>
      <c r="AX77" s="30" t="n"/>
      <c r="AY77" s="30">
        <f>IF(AX77="No",10,IF(AX77= "Yes CEO Resignation",-5,0))</f>
        <v/>
      </c>
      <c r="AZ77" s="30" t="n"/>
      <c r="BA77" s="30">
        <f>IF(AZ77="No",10,IF(AZ77="Yes",-5,0))</f>
        <v/>
      </c>
      <c r="BB77" s="30" t="n"/>
      <c r="BC77" s="30">
        <f>IF(BB77="No",5,IF(BB77="Yes",-5,0))</f>
        <v/>
      </c>
      <c r="BD77" s="30" t="n"/>
      <c r="BE77" s="30">
        <f>IF(BD77="Yes",10,0)</f>
        <v/>
      </c>
      <c r="BF77" s="30" t="n"/>
      <c r="BG77" s="30">
        <f>IF(BF77="Yes",10,0)</f>
        <v/>
      </c>
      <c r="BH77" s="30" t="n"/>
      <c r="BI77" s="30">
        <f>IF(BH77="Yes",10,0)</f>
        <v/>
      </c>
      <c r="BJ77" s="30" t="n"/>
      <c r="BK77" s="30">
        <f>IF(BJ77="P/BV less than 2.5x and Growth more than 20%",20,IF(BJ77 = "P/BV less than 2.5x and Growth less than 20%",5,IF(BJ77="P/BV between 2.5x to 5x and Growth more than 20%",10,IF(BJ77= "P/BV between 2.5x to 5x and Growth less than 20%",-5,IF(BJ77= "P/BV above 5x",-5,0)))))</f>
        <v/>
      </c>
      <c r="BL77" s="30" t="n"/>
      <c r="BM77" s="30">
        <f>IF(BL77="Above 40",20,IF(BL77="20 to 40",10,IF(BL77="0 to 20",-5,0)))</f>
        <v/>
      </c>
      <c r="BN77" s="30" t="n"/>
      <c r="BO77" s="30">
        <f>IF(BN77="Between 50 to 75",10,IF(BN77="Above 75",0,0))</f>
        <v/>
      </c>
      <c r="BP77" s="30" t="n"/>
      <c r="BQ77" s="30">
        <f>IF(BP77="Stage 2",20,IF(BP77="Stage 1",0,IF(BP77="Stage 3",5,IF(BP77="Stage 4",-5,0))))</f>
        <v/>
      </c>
      <c r="BR77" s="30" t="n"/>
      <c r="BS77" s="30">
        <f>IF(BR77="Positive Trend",20,IF(BR77="Negative Trend",-10,0))</f>
        <v/>
      </c>
      <c r="BT77" s="30" t="n"/>
      <c r="BU77" s="30">
        <f>IF(BT77="Uptrend",10,IF(BT77="Sideways",5,0))</f>
        <v/>
      </c>
      <c r="BV77" s="30" t="n"/>
      <c r="BW77" s="30">
        <f>IF(BV77="Uptrend",10,IF(BV77="Sideways",5,0))</f>
        <v/>
      </c>
      <c r="BX77" s="30" t="n"/>
      <c r="BY77" s="30">
        <f>IF(BX77="Overhead supply in last 2 years in last 2 years",-5,IF(BX77="Close to 52 week high or retracement",5,IF(BX77="Blue sky scenario",10,IF(BX77="Long term Downtrend",-10,0))))</f>
        <v/>
      </c>
      <c r="BZ77" s="30" t="n"/>
      <c r="CA77" s="30">
        <f>IF(BZ77="Yes",10,0)</f>
        <v/>
      </c>
    </row>
  </sheetData>
  <autoFilter ref="A1:CA77"/>
  <conditionalFormatting sqref="B2:B7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7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77">
    <cfRule type="cellIs" priority="34" operator="equal" dxfId="3" stopIfTrue="1">
      <formula>"Underperforming"</formula>
    </cfRule>
  </conditionalFormatting>
  <conditionalFormatting sqref="N2:N77">
    <cfRule type="cellIs" priority="35" operator="equal" dxfId="3" stopIfTrue="1">
      <formula>-5</formula>
    </cfRule>
  </conditionalFormatting>
  <conditionalFormatting sqref="Q2:Q77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77" showDropDown="0" showInputMessage="0" showErrorMessage="0" allowBlank="1" type="list">
      <formula1>"Growing Industry,Stagnant Industry,Cyclical in an Upturn"</formula1>
    </dataValidation>
    <dataValidation sqref="Z2:Z77" showDropDown="0" showInputMessage="0" showErrorMessage="0" allowBlank="1" type="list">
      <formula1>"Fragmented with Low ROE,Fragmented with High ROE,Highly Cyclical"</formula1>
    </dataValidation>
    <dataValidation sqref="AB2:AB77" showDropDown="0" showInputMessage="0" showErrorMessage="0" allowBlank="1" type="list">
      <formula1>"Yes,No"</formula1>
    </dataValidation>
    <dataValidation sqref="AD2:AD77" showDropDown="0" showInputMessage="0" showErrorMessage="0" allowBlank="1" type="list">
      <formula1>"Tailwind,Headwind"</formula1>
    </dataValidation>
    <dataValidation sqref="AF2:AF7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7" showDropDown="0" showInputMessage="0" showErrorMessage="0" allowBlank="1" type="list">
      <formula1>"Yes,No"</formula1>
    </dataValidation>
    <dataValidation sqref="AJ2:AJ77" showDropDown="0" showInputMessage="0" showErrorMessage="0" allowBlank="1" type="list">
      <formula1>"Yes,No,Not Applicable"</formula1>
    </dataValidation>
    <dataValidation sqref="AL2:AL77" showDropDown="0" showInputMessage="0" showErrorMessage="0" allowBlank="1" type="list">
      <formula1>"Yes,No"</formula1>
    </dataValidation>
    <dataValidation sqref="AN2:AN77" showDropDown="0" showInputMessage="0" showErrorMessage="0" allowBlank="1" type="list">
      <formula1>"Yes,No"</formula1>
    </dataValidation>
    <dataValidation sqref="AP2:AP77" showDropDown="0" showInputMessage="0" showErrorMessage="0" allowBlank="1" type="list">
      <formula1>"Yes,No"</formula1>
    </dataValidation>
    <dataValidation sqref="AR2:AR77" showDropDown="0" showInputMessage="0" showErrorMessage="0" allowBlank="1" type="list">
      <formula1>"Yes,No"</formula1>
    </dataValidation>
    <dataValidation sqref="AT2:AT77" showDropDown="0" showInputMessage="0" showErrorMessage="0" allowBlank="1" type="list">
      <formula1>"No,Yes"</formula1>
    </dataValidation>
    <dataValidation sqref="AV2:AV77" showDropDown="0" showInputMessage="0" showErrorMessage="0" allowBlank="1" type="list">
      <formula1>"No,Yes"</formula1>
    </dataValidation>
    <dataValidation sqref="AX2:AX77" showDropDown="0" showInputMessage="0" showErrorMessage="0" allowBlank="1" type="list">
      <formula1>"No,Yes CEO Resignation,Yes CEO Retirement"</formula1>
    </dataValidation>
    <dataValidation sqref="AZ2:AZ77" showDropDown="0" showInputMessage="0" showErrorMessage="0" allowBlank="1" type="list">
      <formula1>"No,Yes"</formula1>
    </dataValidation>
    <dataValidation sqref="BB2:BB77" showDropDown="0" showInputMessage="0" showErrorMessage="0" allowBlank="1" type="list">
      <formula1>"No,Yes"</formula1>
    </dataValidation>
    <dataValidation sqref="BD2:BD77" showDropDown="0" showInputMessage="0" showErrorMessage="0" allowBlank="1" type="list">
      <formula1>"Yes,No"</formula1>
    </dataValidation>
    <dataValidation sqref="BF2:BF77" showDropDown="0" showInputMessage="0" showErrorMessage="0" allowBlank="1" type="list">
      <formula1>"Yes,No"</formula1>
    </dataValidation>
    <dataValidation sqref="BH2:BH77" showDropDown="0" showInputMessage="0" showErrorMessage="0" allowBlank="1" type="list">
      <formula1>"Yes,No"</formula1>
    </dataValidation>
    <dataValidation sqref="BJ2:BJ7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7" showDropDown="0" showInputMessage="0" showErrorMessage="0" allowBlank="1" type="list">
      <formula1>"Above 40,20 to 40,0 to 20"</formula1>
    </dataValidation>
    <dataValidation sqref="BN2:BN77" showDropDown="0" showInputMessage="0" showErrorMessage="0" allowBlank="1" type="list">
      <formula1>"Between 50 to 75,Above 75,Below 45"</formula1>
    </dataValidation>
    <dataValidation sqref="BP2:BP77" showDropDown="0" showInputMessage="0" showErrorMessage="0" allowBlank="1" type="list">
      <formula1>"Stage 1,Stage 2,Stage 3,Stage 4"</formula1>
    </dataValidation>
    <dataValidation sqref="BR2:BR77" showDropDown="0" showInputMessage="0" showErrorMessage="0" allowBlank="1" type="list">
      <formula1>"Positive Trend,Negative Trend"</formula1>
    </dataValidation>
    <dataValidation sqref="BT2:BT77" showDropDown="0" showInputMessage="0" showErrorMessage="0" allowBlank="1" type="list">
      <formula1>"Uptrend,Sideways,Downtrend"</formula1>
    </dataValidation>
    <dataValidation sqref="BV2:BV77" showDropDown="0" showInputMessage="0" showErrorMessage="0" allowBlank="1" type="list">
      <formula1>"Uptrend,Sideways,Downtrend"</formula1>
    </dataValidation>
    <dataValidation sqref="BX2:BX7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7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IF(B2=0,"",RANK(B2,$B$2:$B$17,0))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139.1</v>
      </c>
      <c r="E2" s="31" t="inlineStr">
        <is>
          <t>5%</t>
        </is>
      </c>
      <c r="F2" s="31" t="n">
        <v>50000</v>
      </c>
      <c r="G2" s="31" t="n">
        <v>15</v>
      </c>
      <c r="H2" s="30" t="inlineStr">
        <is>
          <t>STYLAMIND</t>
        </is>
      </c>
      <c r="I2" s="30" t="inlineStr">
        <is>
          <t>Stylam Industries Ltd</t>
        </is>
      </c>
      <c r="J2" s="30" t="inlineStr">
        <is>
          <t>building materials</t>
        </is>
      </c>
      <c r="K2" s="30" t="inlineStr">
        <is>
          <t>miscellaneous</t>
        </is>
      </c>
      <c r="L2" s="30" t="inlineStr">
        <is>
          <t>midcap</t>
        </is>
      </c>
      <c r="M2" s="31" t="n">
        <v>5614.72</v>
      </c>
      <c r="N2" s="31" t="n">
        <v>3327.8</v>
      </c>
      <c r="O2" s="31" t="n">
        <v>0.45</v>
      </c>
      <c r="P2" s="31" t="n">
        <v>25216</v>
      </c>
      <c r="Q2" s="30" t="n">
        <v>83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91.55</v>
      </c>
      <c r="U2" s="31" t="n">
        <v>59.62</v>
      </c>
      <c r="V2" s="31" t="n">
        <v>2846.23</v>
      </c>
      <c r="W2" s="30" t="inlineStr">
        <is>
          <t>Near 52W High Breakout</t>
        </is>
      </c>
      <c r="X2" s="30" t="inlineStr">
        <is>
          <t>Nifty Infra</t>
        </is>
      </c>
      <c r="Y2" s="31" t="n">
        <v>4.18</v>
      </c>
      <c r="Z2" s="31" t="n">
        <v>102.16</v>
      </c>
      <c r="AA2" s="31" t="n">
        <v>94.06</v>
      </c>
      <c r="AB2" s="31" t="n">
        <v>26.84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One Time, Lower Annuity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Above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No</t>
        </is>
      </c>
      <c r="BX2" s="30">
        <f>IF(BW2="NO",5,0)</f>
        <v/>
      </c>
      <c r="BY2" s="30" t="inlineStr">
        <is>
          <t>Less than 1.5</t>
        </is>
      </c>
      <c r="BZ2" s="30">
        <f>IF(BY2="Above 2",0,IF(BY2="Between 1.5 to 2",5,IF(BY2="Less than 1.5",10,0)))</f>
        <v/>
      </c>
      <c r="CA2" s="30" t="inlineStr">
        <is>
          <t>Above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IF(B3=0,"",RANK(B3,$B$2:$B$17,0))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139.8</v>
      </c>
      <c r="E3" s="31" t="inlineStr">
        <is>
          <t>5%</t>
        </is>
      </c>
      <c r="F3" s="31" t="n">
        <v>50000</v>
      </c>
      <c r="G3" s="31" t="n">
        <v>13</v>
      </c>
      <c r="H3" s="30" t="inlineStr">
        <is>
          <t>RADICO</t>
        </is>
      </c>
      <c r="I3" s="30" t="inlineStr">
        <is>
          <t>Radico Khaitan Limited</t>
        </is>
      </c>
      <c r="J3" s="30" t="inlineStr">
        <is>
          <t>fmcg</t>
        </is>
      </c>
      <c r="K3" s="30" t="inlineStr">
        <is>
          <t>breweries &amp; distilleries</t>
        </is>
      </c>
      <c r="L3" s="30" t="inlineStr">
        <is>
          <t>largecap</t>
        </is>
      </c>
      <c r="M3" s="31" t="n">
        <v>49408.34</v>
      </c>
      <c r="N3" s="31" t="n">
        <v>3769.2</v>
      </c>
      <c r="O3" s="31" t="n">
        <v>2.15</v>
      </c>
      <c r="P3" s="31" t="n">
        <v>746962</v>
      </c>
      <c r="Q3" s="30" t="n">
        <v>64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73.90000000000001</v>
      </c>
      <c r="U3" s="31" t="n">
        <v>36.19</v>
      </c>
      <c r="V3" s="31" t="n">
        <v>3105.49</v>
      </c>
      <c r="W3" s="30" t="inlineStr">
        <is>
          <t>Near 52W High Breakout</t>
        </is>
      </c>
      <c r="X3" s="30" t="inlineStr">
        <is>
          <t>Nifty FMCG</t>
        </is>
      </c>
      <c r="Y3" s="31" t="n">
        <v>-9.279999999999999</v>
      </c>
      <c r="Z3" s="31" t="n">
        <v>43.37</v>
      </c>
      <c r="AA3" s="31" t="n">
        <v>58.04</v>
      </c>
      <c r="AB3" s="31" t="n">
        <v>17.48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No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B2C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Annuity, Lower One Time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20 to 40</t>
        </is>
      </c>
      <c r="BD3" s="30">
        <f>IF(BC3="Above 40",20,IF(BC3="20 to 40",10,IF(BC3="0 to 20",-5,0)))</f>
        <v/>
      </c>
      <c r="BE3" s="30" t="inlineStr">
        <is>
          <t>Between 50 to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Yes</t>
        </is>
      </c>
      <c r="BX3" s="30">
        <f>IF(BW3="NO",5,0)</f>
        <v/>
      </c>
      <c r="BY3" s="30" t="inlineStr">
        <is>
          <t>Less than 1.5</t>
        </is>
      </c>
      <c r="BZ3" s="30">
        <f>IF(BY3="Above 2",0,IF(BY3="Between 1.5 to 2",5,IF(BY3="Less than 1.5",10,0)))</f>
        <v/>
      </c>
      <c r="CA3" s="30" t="inlineStr">
        <is>
          <t>Above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IF(B4=0,"",RANK(B4,$B$2:$B$17,0))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140</v>
      </c>
      <c r="E4" s="31" t="inlineStr">
        <is>
          <t>5%</t>
        </is>
      </c>
      <c r="F4" s="31" t="n">
        <v>50000</v>
      </c>
      <c r="G4" s="31" t="n">
        <v>1886</v>
      </c>
      <c r="H4" s="30" t="inlineStr">
        <is>
          <t>IBULLSLTD</t>
        </is>
      </c>
      <c r="I4" s="30" t="inlineStr">
        <is>
          <t>Indiabulls Limited</t>
        </is>
      </c>
      <c r="J4" s="30" t="inlineStr">
        <is>
          <t>miscellaneous</t>
        </is>
      </c>
      <c r="K4" s="30" t="inlineStr">
        <is>
          <t>diversified - medium / small</t>
        </is>
      </c>
      <c r="L4" s="30" t="inlineStr">
        <is>
          <t>midcap</t>
        </is>
      </c>
      <c r="M4" s="31" t="n">
        <v>5869.06</v>
      </c>
      <c r="N4" s="31" t="n">
        <v>26.51</v>
      </c>
      <c r="O4" s="31" t="n">
        <v>4.99</v>
      </c>
      <c r="P4" s="31" t="n">
        <v>7814526</v>
      </c>
      <c r="Q4" s="30" t="n">
        <v>96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76.61</v>
      </c>
      <c r="U4" s="31" t="n">
        <v>36.42</v>
      </c>
      <c r="V4" s="31" t="n">
        <v>19.06</v>
      </c>
      <c r="W4" s="30" t="inlineStr">
        <is>
          <t>Near 52W High Breakout</t>
        </is>
      </c>
      <c r="X4" s="30" t="inlineStr">
        <is>
          <t>Nifty 50</t>
        </is>
      </c>
      <c r="Y4" s="31" t="n">
        <v>-4.38</v>
      </c>
      <c r="Z4" s="31" t="n">
        <v>51.05</v>
      </c>
      <c r="AA4" s="31" t="n">
        <v>57.97</v>
      </c>
      <c r="AB4" s="31" t="n">
        <v>57.75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No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One Time, Lower Annuity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20 to 40</t>
        </is>
      </c>
      <c r="BD4" s="30">
        <f>IF(BC4="Above 40",20,IF(BC4="20 to 40",10,IF(BC4="0 to 20",-5,0)))</f>
        <v/>
      </c>
      <c r="BE4" s="30" t="inlineStr">
        <is>
          <t>Above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No</t>
        </is>
      </c>
      <c r="BX4" s="30">
        <f>IF(BW4="NO",5,0)</f>
        <v/>
      </c>
      <c r="BY4" s="30" t="inlineStr">
        <is>
          <t>Less than 1.5</t>
        </is>
      </c>
      <c r="BZ4" s="30">
        <f>IF(BY4="Above 2",0,IF(BY4="Between 1.5 to 2",5,IF(BY4="Less than 1.5",10,0)))</f>
        <v/>
      </c>
      <c r="CA4" s="30" t="inlineStr">
        <is>
          <t>Between 50% to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IF(B5=0,"",RANK(B5,$B$2:$B$17,0))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140</v>
      </c>
      <c r="E5" s="31" t="inlineStr">
        <is>
          <t>5%</t>
        </is>
      </c>
      <c r="F5" s="31" t="n">
        <v>50000</v>
      </c>
      <c r="G5" s="31" t="n">
        <v>282</v>
      </c>
      <c r="H5" s="30" t="inlineStr">
        <is>
          <t>CUPID</t>
        </is>
      </c>
      <c r="I5" s="30" t="inlineStr">
        <is>
          <t>Cupid Limited</t>
        </is>
      </c>
      <c r="J5" s="30" t="inlineStr">
        <is>
          <t>fmcg</t>
        </is>
      </c>
      <c r="K5" s="30" t="inlineStr">
        <is>
          <t>personal care - indian</t>
        </is>
      </c>
      <c r="L5" s="30" t="inlineStr">
        <is>
          <t>largecap</t>
        </is>
      </c>
      <c r="M5" s="31" t="n">
        <v>22750.31</v>
      </c>
      <c r="N5" s="31" t="n">
        <v>176.92</v>
      </c>
      <c r="O5" s="31" t="n">
        <v>4.57</v>
      </c>
      <c r="P5" s="31" t="n">
        <v>32137212</v>
      </c>
      <c r="Q5" s="30" t="n">
        <v>99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84.37</v>
      </c>
      <c r="U5" s="31" t="n">
        <v>48.69</v>
      </c>
      <c r="V5" s="31" t="n">
        <v>138.09</v>
      </c>
      <c r="W5" s="30" t="inlineStr">
        <is>
          <t>Volume Spike &amp; Near 52W High Breakout</t>
        </is>
      </c>
      <c r="X5" s="30" t="inlineStr">
        <is>
          <t>Nifty FMCG</t>
        </is>
      </c>
      <c r="Y5" s="31" t="n">
        <v>-9.279999999999999</v>
      </c>
      <c r="Z5" s="31" t="n">
        <v>852</v>
      </c>
      <c r="AA5" s="31" t="n">
        <v>949.4400000000001</v>
      </c>
      <c r="AB5" s="31" t="n">
        <v>94.59999999999999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B2C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Annuity, Lower One Time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Yes</t>
        </is>
      </c>
      <c r="BX5" s="30">
        <f>IF(BW5="NO",5,0)</f>
        <v/>
      </c>
      <c r="BY5" s="30" t="inlineStr">
        <is>
          <t>Above 2</t>
        </is>
      </c>
      <c r="BZ5" s="30">
        <f>IF(BY5="Above 2",0,IF(BY5="Between 1.5 to 2",5,IF(BY5="Less than 1.5",10,0)))</f>
        <v/>
      </c>
      <c r="CA5" s="30" t="inlineStr">
        <is>
          <t>Less than 50%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IF(B6=0,"",RANK(B6,$B$2:$B$17,0))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139.1</v>
      </c>
      <c r="E6" s="31" t="inlineStr">
        <is>
          <t>5%</t>
        </is>
      </c>
      <c r="F6" s="31" t="n">
        <v>50000</v>
      </c>
      <c r="G6" s="31" t="n">
        <v>87</v>
      </c>
      <c r="H6" s="30" t="inlineStr">
        <is>
          <t>NITINSPIN</t>
        </is>
      </c>
      <c r="I6" s="30" t="inlineStr">
        <is>
          <t>Nitin Spinners Limited</t>
        </is>
      </c>
      <c r="J6" s="30" t="inlineStr">
        <is>
          <t>textiles</t>
        </is>
      </c>
      <c r="K6" s="30" t="inlineStr">
        <is>
          <t>textiles - cotton/blended</t>
        </is>
      </c>
      <c r="L6" s="30" t="inlineStr">
        <is>
          <t>smallcap</t>
        </is>
      </c>
      <c r="M6" s="31" t="n">
        <v>3153.94</v>
      </c>
      <c r="N6" s="31" t="n">
        <v>568.7</v>
      </c>
      <c r="O6" s="31" t="n">
        <v>1.37</v>
      </c>
      <c r="P6" s="31" t="n">
        <v>113794</v>
      </c>
      <c r="Q6" s="30" t="n">
        <v>75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81.87</v>
      </c>
      <c r="U6" s="31" t="n">
        <v>57.18</v>
      </c>
      <c r="V6" s="31" t="n">
        <v>446.52</v>
      </c>
      <c r="W6" s="30" t="inlineStr">
        <is>
          <t>Near 52W High Breakout</t>
        </is>
      </c>
      <c r="X6" s="30" t="inlineStr">
        <is>
          <t>Nifty 50</t>
        </is>
      </c>
      <c r="Y6" s="31" t="n">
        <v>-4.38</v>
      </c>
      <c r="Z6" s="31" t="n">
        <v>54.93</v>
      </c>
      <c r="AA6" s="31" t="n">
        <v>62.02</v>
      </c>
      <c r="AB6" s="31" t="n">
        <v>22.1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One Time, Lower Annuity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Above 40</t>
        </is>
      </c>
      <c r="BD6" s="30">
        <f>IF(BC6="Above 40",20,IF(BC6="20 to 40",10,IF(BC6="0 to 20",-5,0)))</f>
        <v/>
      </c>
      <c r="BE6" s="30" t="inlineStr">
        <is>
          <t>Above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No</t>
        </is>
      </c>
      <c r="BX6" s="30">
        <f>IF(BW6="NO",5,0)</f>
        <v/>
      </c>
      <c r="BY6" s="30" t="inlineStr">
        <is>
          <t>Less than 1.5</t>
        </is>
      </c>
      <c r="BZ6" s="30">
        <f>IF(BY6="Above 2",0,IF(BY6="Between 1.5 to 2",5,IF(BY6="Less than 1.5",10,0)))</f>
        <v/>
      </c>
      <c r="CA6" s="30" t="inlineStr">
        <is>
          <t>Above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Between 0.7 to 1.2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IF(B7=0,"",RANK(B7,$B$2:$B$17,0))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140</v>
      </c>
      <c r="E7" s="31" t="inlineStr">
        <is>
          <t>5%</t>
        </is>
      </c>
      <c r="F7" s="31" t="n">
        <v>50000</v>
      </c>
      <c r="G7" s="31" t="n">
        <v>95</v>
      </c>
      <c r="H7" s="30" t="inlineStr">
        <is>
          <t>SIGMAADV</t>
        </is>
      </c>
      <c r="I7" s="30" t="inlineStr">
        <is>
          <t>Sigma Advanced System Ltd</t>
        </is>
      </c>
      <c r="J7" s="30" t="inlineStr">
        <is>
          <t>aerospace &amp; defence</t>
        </is>
      </c>
      <c r="K7" s="30" t="inlineStr">
        <is>
          <t>electronics - components</t>
        </is>
      </c>
      <c r="L7" s="30" t="inlineStr">
        <is>
          <t>midcap</t>
        </is>
      </c>
      <c r="M7" s="31" t="n">
        <v>8812.870000000001</v>
      </c>
      <c r="N7" s="31" t="n">
        <v>525.05</v>
      </c>
      <c r="O7" s="31" t="n">
        <v>5</v>
      </c>
      <c r="P7" s="31" t="n">
        <v>144015</v>
      </c>
      <c r="Q7" s="30" t="n">
        <v>99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87.90000000000001</v>
      </c>
      <c r="U7" s="31" t="n">
        <v>43.56</v>
      </c>
      <c r="V7" s="31" t="n">
        <v>397.01</v>
      </c>
      <c r="W7" s="30" t="inlineStr">
        <is>
          <t>Near 52W High Breakout</t>
        </is>
      </c>
      <c r="X7" s="30" t="inlineStr">
        <is>
          <t>Nifty 50</t>
        </is>
      </c>
      <c r="Y7" s="31" t="n">
        <v>-4.38</v>
      </c>
      <c r="Z7" s="31" t="n">
        <v>514.6</v>
      </c>
      <c r="AA7" s="31" t="n">
        <v>542.73</v>
      </c>
      <c r="AB7" s="31" t="n">
        <v>100.48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One Time, Lower Annuity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Above 40</t>
        </is>
      </c>
      <c r="BD7" s="30">
        <f>IF(BC7="Above 40",20,IF(BC7="20 to 40",10,IF(BC7="0 to 20",-5,0)))</f>
        <v/>
      </c>
      <c r="BE7" s="30" t="inlineStr">
        <is>
          <t>Above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No</t>
        </is>
      </c>
      <c r="BX7" s="30">
        <f>IF(BW7="NO",5,0)</f>
        <v/>
      </c>
      <c r="BY7" s="30" t="inlineStr">
        <is>
          <t>Less than 1.5</t>
        </is>
      </c>
      <c r="BZ7" s="30">
        <f>IF(BY7="Above 2",0,IF(BY7="Between 1.5 to 2",5,IF(BY7="Less than 1.5",10,0)))</f>
        <v/>
      </c>
      <c r="CA7" s="30" t="inlineStr">
        <is>
          <t>Negative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Between 0.7 to 1.2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IF(B8=0,"",RANK(B8,$B$2:$B$17,0))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139.8</v>
      </c>
      <c r="E8" s="31" t="inlineStr">
        <is>
          <t>5%</t>
        </is>
      </c>
      <c r="F8" s="31" t="n">
        <v>50000</v>
      </c>
      <c r="G8" s="31" t="n">
        <v>39</v>
      </c>
      <c r="H8" s="30" t="inlineStr">
        <is>
          <t>CEMPRO</t>
        </is>
      </c>
      <c r="I8" s="30" t="inlineStr">
        <is>
          <t>Cemindia Projects Ltd</t>
        </is>
      </c>
      <c r="J8" s="30" t="inlineStr">
        <is>
          <t>realty</t>
        </is>
      </c>
      <c r="K8" s="30" t="inlineStr">
        <is>
          <t>construction</t>
        </is>
      </c>
      <c r="L8" s="30" t="inlineStr">
        <is>
          <t>largecap</t>
        </is>
      </c>
      <c r="M8" s="31" t="n">
        <v>20483.95</v>
      </c>
      <c r="N8" s="31" t="n">
        <v>1252</v>
      </c>
      <c r="O8" s="31" t="n">
        <v>5</v>
      </c>
      <c r="P8" s="31" t="n">
        <v>366853</v>
      </c>
      <c r="Q8" s="30" t="n">
        <v>95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79.34999999999999</v>
      </c>
      <c r="U8" s="31" t="n">
        <v>39.36</v>
      </c>
      <c r="V8" s="31" t="n">
        <v>953.67</v>
      </c>
      <c r="W8" s="30" t="inlineStr">
        <is>
          <t>Near 52W High Breakout</t>
        </is>
      </c>
      <c r="X8" s="30" t="inlineStr">
        <is>
          <t>Nifty Realty</t>
        </is>
      </c>
      <c r="Y8" s="31" t="n">
        <v>-19.9</v>
      </c>
      <c r="Z8" s="31" t="n">
        <v>56.14</v>
      </c>
      <c r="AA8" s="31" t="n">
        <v>94.94</v>
      </c>
      <c r="AB8" s="31" t="n">
        <v>46.47</v>
      </c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20 to 40</t>
        </is>
      </c>
      <c r="BD8" s="30">
        <f>IF(BC8="Above 40",20,IF(BC8="20 to 40",10,IF(BC8="0 to 20",-5,0)))</f>
        <v/>
      </c>
      <c r="BE8" s="30" t="inlineStr">
        <is>
          <t>Above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No</t>
        </is>
      </c>
      <c r="BX8" s="30">
        <f>IF(BW8="NO",5,0)</f>
        <v/>
      </c>
      <c r="BY8" s="30" t="inlineStr">
        <is>
          <t>Above 2</t>
        </is>
      </c>
      <c r="BZ8" s="30">
        <f>IF(BY8="Above 2",0,IF(BY8="Between 1.5 to 2",5,IF(BY8="Less than 1.5",10,0)))</f>
        <v/>
      </c>
      <c r="CA8" s="30" t="inlineStr">
        <is>
          <t>Less than 50%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IF(B9=0,"",RANK(B9,$B$2:$B$17,0))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139.5</v>
      </c>
      <c r="E9" s="31" t="inlineStr">
        <is>
          <t>5%</t>
        </is>
      </c>
      <c r="F9" s="31" t="n">
        <v>50000</v>
      </c>
      <c r="G9" s="31" t="n">
        <v>96</v>
      </c>
      <c r="H9" s="30" t="inlineStr">
        <is>
          <t>ARVIND</t>
        </is>
      </c>
      <c r="I9" s="30" t="inlineStr">
        <is>
          <t>Arvind Limited</t>
        </is>
      </c>
      <c r="J9" s="30" t="inlineStr">
        <is>
          <t>textiles</t>
        </is>
      </c>
      <c r="K9" s="30" t="inlineStr">
        <is>
          <t>textiles - cotton/blended</t>
        </is>
      </c>
      <c r="L9" s="30" t="inlineStr">
        <is>
          <t>midcap</t>
        </is>
      </c>
      <c r="M9" s="31" t="n">
        <v>13384.88</v>
      </c>
      <c r="N9" s="31" t="n">
        <v>516.6</v>
      </c>
      <c r="O9" s="31" t="n">
        <v>1.17</v>
      </c>
      <c r="P9" s="31" t="n">
        <v>527238</v>
      </c>
      <c r="Q9" s="30" t="n">
        <v>66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78.92</v>
      </c>
      <c r="U9" s="31" t="n">
        <v>41.89</v>
      </c>
      <c r="V9" s="31" t="n">
        <v>416.55</v>
      </c>
      <c r="W9" s="30" t="inlineStr">
        <is>
          <t>Near 52W High Breakout</t>
        </is>
      </c>
      <c r="X9" s="30" t="inlineStr">
        <is>
          <t>Nifty 50</t>
        </is>
      </c>
      <c r="Y9" s="31" t="n">
        <v>-4.38</v>
      </c>
      <c r="Z9" s="31" t="n">
        <v>49.37</v>
      </c>
      <c r="AA9" s="31" t="n">
        <v>56.21</v>
      </c>
      <c r="AB9" s="31" t="n">
        <v>18.48</v>
      </c>
      <c r="AC9" s="30" t="inlineStr">
        <is>
          <t>Growing Industry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No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One Time, Lower Annuity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Above 40</t>
        </is>
      </c>
      <c r="BD9" s="30">
        <f>IF(BC9="Above 40",20,IF(BC9="20 to 40",10,IF(BC9="0 to 20",-5,0)))</f>
        <v/>
      </c>
      <c r="BE9" s="30" t="inlineStr">
        <is>
          <t>Above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Less than 12%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No</t>
        </is>
      </c>
      <c r="BX9" s="30">
        <f>IF(BW9="NO",5,0)</f>
        <v/>
      </c>
      <c r="BY9" s="30" t="inlineStr">
        <is>
          <t>Above 2</t>
        </is>
      </c>
      <c r="BZ9" s="30">
        <f>IF(BY9="Above 2",0,IF(BY9="Between 1.5 to 2",5,IF(BY9="Less than 1.5",10,0)))</f>
        <v/>
      </c>
      <c r="CA9" s="30" t="inlineStr">
        <is>
          <t>Above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IF(B10=0,"",RANK(B10,$B$2:$B$17,0))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139.3</v>
      </c>
      <c r="E10" s="31" t="inlineStr">
        <is>
          <t>5%</t>
        </is>
      </c>
      <c r="F10" s="31" t="n">
        <v>50000</v>
      </c>
      <c r="G10" s="31" t="n">
        <v>7</v>
      </c>
      <c r="H10" s="30" t="inlineStr">
        <is>
          <t>GRWRHITECH</t>
        </is>
      </c>
      <c r="I10" s="30" t="inlineStr">
        <is>
          <t>Garware Hi Tech Films Ltd</t>
        </is>
      </c>
      <c r="J10" s="30" t="inlineStr">
        <is>
          <t>industrials</t>
        </is>
      </c>
      <c r="K10" s="30" t="inlineStr">
        <is>
          <t>packaging</t>
        </is>
      </c>
      <c r="L10" s="30" t="inlineStr">
        <is>
          <t>midcap</t>
        </is>
      </c>
      <c r="M10" s="31" t="n">
        <v>15275.3</v>
      </c>
      <c r="N10" s="31" t="n">
        <v>6785.5</v>
      </c>
      <c r="O10" s="31" t="n">
        <v>3.2</v>
      </c>
      <c r="P10" s="31" t="n">
        <v>105921</v>
      </c>
      <c r="Q10" s="30" t="n">
        <v>89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77.98</v>
      </c>
      <c r="U10" s="31" t="n">
        <v>30.96</v>
      </c>
      <c r="V10" s="31" t="n">
        <v>5109.51</v>
      </c>
      <c r="W10" s="30" t="inlineStr">
        <is>
          <t>Near 52W High Breakout</t>
        </is>
      </c>
      <c r="X10" s="30" t="inlineStr">
        <is>
          <t>Nifty 50</t>
        </is>
      </c>
      <c r="Y10" s="31" t="n">
        <v>-4.38</v>
      </c>
      <c r="Z10" s="31" t="n">
        <v>69.03</v>
      </c>
      <c r="AA10" s="31" t="n">
        <v>76.77</v>
      </c>
      <c r="AB10" s="31" t="n">
        <v>32.81</v>
      </c>
      <c r="AC10" s="30" t="inlineStr">
        <is>
          <t>Cyclical in an Upturn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No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One Time, Lower Annuity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20 to 40</t>
        </is>
      </c>
      <c r="BD10" s="30">
        <f>IF(BC10="Above 40",20,IF(BC10="20 to 40",10,IF(BC10="0 to 20",-5,0)))</f>
        <v/>
      </c>
      <c r="BE10" s="30" t="inlineStr">
        <is>
          <t>Above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Yes</t>
        </is>
      </c>
      <c r="BX10" s="30">
        <f>IF(BW10="NO",5,0)</f>
        <v/>
      </c>
      <c r="BY10" s="30" t="inlineStr">
        <is>
          <t>Less than 1.5</t>
        </is>
      </c>
      <c r="BZ10" s="30">
        <f>IF(BY10="Above 2",0,IF(BY10="Between 1.5 to 2",5,IF(BY10="Less than 1.5",10,0)))</f>
        <v/>
      </c>
      <c r="CA10" s="30" t="inlineStr">
        <is>
          <t>Between 50% to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IF(B11=0,"",RANK(B11,$B$2:$B$17,0))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140</v>
      </c>
      <c r="E11" s="31" t="inlineStr">
        <is>
          <t>5%</t>
        </is>
      </c>
      <c r="F11" s="31" t="n">
        <v>50000</v>
      </c>
      <c r="G11" s="31" t="n">
        <v>238</v>
      </c>
      <c r="H11" s="30" t="inlineStr">
        <is>
          <t>HFCL</t>
        </is>
      </c>
      <c r="I11" s="30" t="inlineStr">
        <is>
          <t>HFCL Ltd</t>
        </is>
      </c>
      <c r="J11" s="30" t="inlineStr">
        <is>
          <t>telecom</t>
        </is>
      </c>
      <c r="K11" s="30" t="inlineStr">
        <is>
          <t>cables - telephone</t>
        </is>
      </c>
      <c r="L11" s="30" t="inlineStr">
        <is>
          <t>largecap</t>
        </is>
      </c>
      <c r="M11" s="31" t="n">
        <v>30555.42</v>
      </c>
      <c r="N11" s="31" t="n">
        <v>209.61</v>
      </c>
      <c r="O11" s="31" t="n">
        <v>5</v>
      </c>
      <c r="P11" s="31" t="n">
        <v>26062936</v>
      </c>
      <c r="Q11" s="30" t="n">
        <v>98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84.73999999999999</v>
      </c>
      <c r="U11" s="31" t="n">
        <v>51.88</v>
      </c>
      <c r="V11" s="31" t="n">
        <v>158.47</v>
      </c>
      <c r="W11" s="30" t="inlineStr">
        <is>
          <t>Near 52W High Breakout</t>
        </is>
      </c>
      <c r="X11" s="30" t="inlineStr">
        <is>
          <t>Nifty Infra</t>
        </is>
      </c>
      <c r="Y11" s="31" t="n">
        <v>4.18</v>
      </c>
      <c r="Z11" s="31" t="n">
        <v>156.87</v>
      </c>
      <c r="AA11" s="31" t="n">
        <v>146.57</v>
      </c>
      <c r="AB11" s="31" t="n">
        <v>75.53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Oligopoly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Yes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Above 40</t>
        </is>
      </c>
      <c r="BD11" s="30">
        <f>IF(BC11="Above 40",20,IF(BC11="20 to 40",10,IF(BC11="0 to 20",-5,0)))</f>
        <v/>
      </c>
      <c r="BE11" s="30" t="inlineStr">
        <is>
          <t>Above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Blue sky scenario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Above 2</t>
        </is>
      </c>
      <c r="BZ11" s="30">
        <f>IF(BY11="Above 2",0,IF(BY11="Between 1.5 to 2",5,IF(BY11="Less than 1.5",10,0)))</f>
        <v/>
      </c>
      <c r="CA11" s="30" t="inlineStr">
        <is>
          <t>Negative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IF(B12=0,"",RANK(B12,$B$2:$B$17,0))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139.6</v>
      </c>
      <c r="E12" s="31" t="inlineStr">
        <is>
          <t>5%</t>
        </is>
      </c>
      <c r="F12" s="31" t="n">
        <v>50000</v>
      </c>
      <c r="G12" s="31" t="n">
        <v>4</v>
      </c>
      <c r="H12" s="30" t="inlineStr">
        <is>
          <t>POLYCAB</t>
        </is>
      </c>
      <c r="I12" s="30" t="inlineStr">
        <is>
          <t>Polycab India Ltd</t>
        </is>
      </c>
      <c r="J12" s="30" t="inlineStr">
        <is>
          <t>industrials</t>
        </is>
      </c>
      <c r="K12" s="30" t="inlineStr">
        <is>
          <t>cables - power</t>
        </is>
      </c>
      <c r="L12" s="30" t="inlineStr">
        <is>
          <t>largecap</t>
        </is>
      </c>
      <c r="M12" s="31" t="n">
        <v>149835.39</v>
      </c>
      <c r="N12" s="31" t="n">
        <v>10083</v>
      </c>
      <c r="O12" s="31" t="n">
        <v>1.31</v>
      </c>
      <c r="P12" s="31" t="n">
        <v>470348</v>
      </c>
      <c r="Q12" s="30" t="n">
        <v>72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72.18000000000001</v>
      </c>
      <c r="U12" s="31" t="n">
        <v>26.65</v>
      </c>
      <c r="V12" s="31" t="n">
        <v>8473.200000000001</v>
      </c>
      <c r="W12" s="30" t="inlineStr">
        <is>
          <t>Near 52W High Breakout</t>
        </is>
      </c>
      <c r="X12" s="30" t="inlineStr">
        <is>
          <t>Nifty Energy</t>
        </is>
      </c>
      <c r="Y12" s="31" t="n">
        <v>13.9</v>
      </c>
      <c r="Z12" s="31" t="n">
        <v>69.78</v>
      </c>
      <c r="AA12" s="31" t="n">
        <v>49.06</v>
      </c>
      <c r="AB12" s="31" t="n">
        <v>20.8</v>
      </c>
      <c r="AC12" s="30" t="inlineStr">
        <is>
          <t>Cyclical in an Upturn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No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One Time, Lower Annuity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20 to 40</t>
        </is>
      </c>
      <c r="BD12" s="30">
        <f>IF(BC12="Above 40",20,IF(BC12="20 to 40",10,IF(BC12="0 to 20",-5,0)))</f>
        <v/>
      </c>
      <c r="BE12" s="30" t="inlineStr">
        <is>
          <t>Between 50 to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Less than 12%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Yes</t>
        </is>
      </c>
      <c r="BX12" s="30">
        <f>IF(BW12="NO",5,0)</f>
        <v/>
      </c>
      <c r="BY12" s="30" t="inlineStr">
        <is>
          <t>Above 2</t>
        </is>
      </c>
      <c r="BZ12" s="30">
        <f>IF(BY12="Above 2",0,IF(BY12="Between 1.5 to 2",5,IF(BY12="Less than 1.5",10,0)))</f>
        <v/>
      </c>
      <c r="CA12" s="30" t="inlineStr">
        <is>
          <t>Above 70%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Less than 0.7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IF(B13=0,"",RANK(B13,$B$2:$B$17,0))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138.9</v>
      </c>
      <c r="E13" s="31" t="inlineStr">
        <is>
          <t>5%</t>
        </is>
      </c>
      <c r="F13" s="31" t="n">
        <v>50000</v>
      </c>
      <c r="G13" s="31" t="n">
        <v>79</v>
      </c>
      <c r="H13" s="30" t="inlineStr">
        <is>
          <t>AVL</t>
        </is>
      </c>
      <c r="I13" s="30" t="inlineStr">
        <is>
          <t>Aditya Vision Ltd</t>
        </is>
      </c>
      <c r="J13" s="30" t="inlineStr">
        <is>
          <t>consumer discretionary</t>
        </is>
      </c>
      <c r="K13" s="30" t="inlineStr">
        <is>
          <t>trading</t>
        </is>
      </c>
      <c r="L13" s="30" t="inlineStr">
        <is>
          <t>midcap</t>
        </is>
      </c>
      <c r="M13" s="31" t="n">
        <v>7973.63</v>
      </c>
      <c r="N13" s="31" t="n">
        <v>629.9</v>
      </c>
      <c r="O13" s="31" t="n">
        <v>2.02</v>
      </c>
      <c r="P13" s="31" t="n">
        <v>788668</v>
      </c>
      <c r="Q13" s="30" t="n">
        <v>77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68.68000000000001</v>
      </c>
      <c r="U13" s="31" t="n">
        <v>23.9</v>
      </c>
      <c r="V13" s="31" t="n">
        <v>495.04</v>
      </c>
      <c r="W13" s="30" t="inlineStr">
        <is>
          <t>Volume Spike &amp; Near 52W High Breakout</t>
        </is>
      </c>
      <c r="X13" s="30" t="inlineStr">
        <is>
          <t>Nifty 50</t>
        </is>
      </c>
      <c r="Y13" s="31" t="n">
        <v>-4.38</v>
      </c>
      <c r="Z13" s="31" t="n">
        <v>77.68000000000001</v>
      </c>
      <c r="AA13" s="31" t="n">
        <v>85.81999999999999</v>
      </c>
      <c r="AB13" s="31" t="n">
        <v>23.18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No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One Time, Lower Annuity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20 to 40</t>
        </is>
      </c>
      <c r="BD13" s="30">
        <f>IF(BC13="Above 40",20,IF(BC13="20 to 40",10,IF(BC13="0 to 20",-5,0)))</f>
        <v/>
      </c>
      <c r="BE13" s="30" t="inlineStr">
        <is>
          <t>Between 50 to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More than 20%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Yes</t>
        </is>
      </c>
      <c r="BX13" s="30">
        <f>IF(BW13="NO",5,0)</f>
        <v/>
      </c>
      <c r="BY13" s="30" t="inlineStr">
        <is>
          <t>Between 1.5 to 2</t>
        </is>
      </c>
      <c r="BZ13" s="30">
        <f>IF(BY13="Above 2",0,IF(BY13="Between 1.5 to 2",5,IF(BY13="Less than 1.5",10,0)))</f>
        <v/>
      </c>
      <c r="CA13" s="30" t="inlineStr">
        <is>
          <t>Less than 50%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Between 0.7 to 1.2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IF(B14=0,"",RANK(B14,$B$2:$B$17,0))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139.5</v>
      </c>
      <c r="E14" s="31" t="inlineStr">
        <is>
          <t>5%</t>
        </is>
      </c>
      <c r="F14" s="31" t="n">
        <v>50000</v>
      </c>
      <c r="G14" s="31" t="n">
        <v>165</v>
      </c>
      <c r="H14" s="30" t="inlineStr">
        <is>
          <t>NYKAA</t>
        </is>
      </c>
      <c r="I14" s="30" t="inlineStr">
        <is>
          <t>FSN E-Commerce Ventures Ltd</t>
        </is>
      </c>
      <c r="J14" s="30" t="inlineStr">
        <is>
          <t>i.t</t>
        </is>
      </c>
      <c r="K14" s="30" t="inlineStr">
        <is>
          <t>trading</t>
        </is>
      </c>
      <c r="L14" s="30" t="inlineStr">
        <is>
          <t>largecap</t>
        </is>
      </c>
      <c r="M14" s="31" t="n">
        <v>85352.81</v>
      </c>
      <c r="N14" s="31" t="n">
        <v>302.3</v>
      </c>
      <c r="O14" s="31" t="n">
        <v>1.41</v>
      </c>
      <c r="P14" s="31" t="n">
        <v>13610176</v>
      </c>
      <c r="Q14" s="30" t="n">
        <v>57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67.42</v>
      </c>
      <c r="U14" s="31" t="n">
        <v>19.32</v>
      </c>
      <c r="V14" s="31" t="n">
        <v>249.32</v>
      </c>
      <c r="W14" s="30" t="inlineStr">
        <is>
          <t>Volume Spike &amp; Near 52W High Breakout</t>
        </is>
      </c>
      <c r="X14" s="30" t="inlineStr">
        <is>
          <t>Nifty IT</t>
        </is>
      </c>
      <c r="Y14" s="31" t="n">
        <v>-29.66</v>
      </c>
      <c r="Z14" s="31" t="n">
        <v>53.4</v>
      </c>
      <c r="AA14" s="31" t="n">
        <v>118.08</v>
      </c>
      <c r="AB14" s="31" t="n">
        <v>14.75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No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One Time, Lower Annuity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0 to 20</t>
        </is>
      </c>
      <c r="BD14" s="30">
        <f>IF(BC14="Above 40",20,IF(BC14="20 to 40",10,IF(BC14="0 to 20",-5,0)))</f>
        <v/>
      </c>
      <c r="BE14" s="30" t="inlineStr">
        <is>
          <t>Between 50 to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More than 20%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Above 2</t>
        </is>
      </c>
      <c r="BZ14" s="30">
        <f>IF(BY14="Above 2",0,IF(BY14="Between 1.5 to 2",5,IF(BY14="Less than 1.5",10,0)))</f>
        <v/>
      </c>
      <c r="CA14" s="30" t="inlineStr">
        <is>
          <t>Above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Between 0.7 to 1.2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IF(B15=0,"",RANK(B15,$B$2:$B$17,0))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139.1</v>
      </c>
      <c r="E15" s="31" t="inlineStr">
        <is>
          <t>5%</t>
        </is>
      </c>
      <c r="F15" s="31" t="n">
        <v>50000</v>
      </c>
      <c r="G15" s="31" t="n">
        <v>24</v>
      </c>
      <c r="H15" s="30" t="inlineStr">
        <is>
          <t>BHARATFORG</t>
        </is>
      </c>
      <c r="I15" s="30" t="inlineStr">
        <is>
          <t>Bharat Forge Limited</t>
        </is>
      </c>
      <c r="J15" s="30" t="inlineStr">
        <is>
          <t>industrials</t>
        </is>
      </c>
      <c r="K15" s="30" t="inlineStr">
        <is>
          <t>castings &amp; forgings</t>
        </is>
      </c>
      <c r="L15" s="30" t="inlineStr">
        <is>
          <t>largecap</t>
        </is>
      </c>
      <c r="M15" s="31" t="n">
        <v>96569.12</v>
      </c>
      <c r="N15" s="31" t="n">
        <v>2041.4</v>
      </c>
      <c r="O15" s="31" t="n">
        <v>1.06</v>
      </c>
      <c r="P15" s="31" t="n">
        <v>1726725</v>
      </c>
      <c r="Q15" s="30" t="n">
        <v>54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68.53</v>
      </c>
      <c r="U15" s="31" t="n">
        <v>34.62</v>
      </c>
      <c r="V15" s="31" t="n">
        <v>1687.08</v>
      </c>
      <c r="W15" s="30" t="inlineStr">
        <is>
          <t>Near 52W High Breakout</t>
        </is>
      </c>
      <c r="X15" s="30" t="inlineStr">
        <is>
          <t>Nifty 50</t>
        </is>
      </c>
      <c r="Y15" s="31" t="n">
        <v>-4.38</v>
      </c>
      <c r="Z15" s="31" t="n">
        <v>60.62</v>
      </c>
      <c r="AA15" s="31" t="n">
        <v>67.97</v>
      </c>
      <c r="AB15" s="31" t="n">
        <v>14.14</v>
      </c>
      <c r="AC15" s="30" t="inlineStr">
        <is>
          <t>Cyclical in an Upturn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No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One Time, Lower Annuity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20 to 40</t>
        </is>
      </c>
      <c r="BD15" s="30">
        <f>IF(BC15="Above 40",20,IF(BC15="20 to 40",10,IF(BC15="0 to 20",-5,0)))</f>
        <v/>
      </c>
      <c r="BE15" s="30" t="inlineStr">
        <is>
          <t>Between 50 to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Less than 12%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Yes</t>
        </is>
      </c>
      <c r="BX15" s="30">
        <f>IF(BW15="NO",5,0)</f>
        <v/>
      </c>
      <c r="BY15" s="30" t="inlineStr">
        <is>
          <t>Above 2</t>
        </is>
      </c>
      <c r="BZ15" s="30">
        <f>IF(BY15="Above 2",0,IF(BY15="Between 1.5 to 2",5,IF(BY15="Less than 1.5",10,0)))</f>
        <v/>
      </c>
      <c r="CA15" s="30" t="inlineStr">
        <is>
          <t>Between 50% to 70%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Between 0.7 to 1.2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IF(B16=0,"",RANK(B16,$B$2:$B$17,0))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139</v>
      </c>
      <c r="E16" s="31" t="inlineStr">
        <is>
          <t>5%</t>
        </is>
      </c>
      <c r="F16" s="31" t="n">
        <v>50000</v>
      </c>
      <c r="G16" s="31" t="n">
        <v>6</v>
      </c>
      <c r="H16" s="30" t="inlineStr">
        <is>
          <t>NAVINFLUOR</t>
        </is>
      </c>
      <c r="I16" s="30" t="inlineStr">
        <is>
          <t>Navin Fluorine International Limited</t>
        </is>
      </c>
      <c r="J16" s="30" t="inlineStr">
        <is>
          <t>chemicals</t>
        </is>
      </c>
      <c r="K16" s="30" t="inlineStr">
        <is>
          <t>chemicals</t>
        </is>
      </c>
      <c r="L16" s="30" t="inlineStr">
        <is>
          <t>largecap</t>
        </is>
      </c>
      <c r="M16" s="31" t="n">
        <v>37429.4</v>
      </c>
      <c r="N16" s="31" t="n">
        <v>7493.5</v>
      </c>
      <c r="O16" s="31" t="n">
        <v>2.6</v>
      </c>
      <c r="P16" s="31" t="n">
        <v>219971</v>
      </c>
      <c r="Q16" s="30" t="n">
        <v>57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71.8</v>
      </c>
      <c r="U16" s="31" t="n">
        <v>37.44</v>
      </c>
      <c r="V16" s="31" t="n">
        <v>6126.76</v>
      </c>
      <c r="W16" s="30" t="inlineStr">
        <is>
          <t>Near 52W High Breakout</t>
        </is>
      </c>
      <c r="X16" s="30" t="inlineStr">
        <is>
          <t>Nifty 50</t>
        </is>
      </c>
      <c r="Y16" s="31" t="n">
        <v>-4.38</v>
      </c>
      <c r="Z16" s="31" t="n">
        <v>60.54</v>
      </c>
      <c r="AA16" s="31" t="n">
        <v>67.89</v>
      </c>
      <c r="AB16" s="31" t="n">
        <v>14.86</v>
      </c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Oligopoly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No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Shallow Cyclical (2 to 3 Years Growth)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One Time, Lower Annuity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20 to 40</t>
        </is>
      </c>
      <c r="BD16" s="30">
        <f>IF(BC16="Above 40",20,IF(BC16="20 to 40",10,IF(BC16="0 to 20",-5,0)))</f>
        <v/>
      </c>
      <c r="BE16" s="30" t="inlineStr">
        <is>
          <t>Between 50 to 75</t>
        </is>
      </c>
      <c r="BF16" s="30">
        <f>IF(BE16="Between 50 to 75",10,IF(BE16="Above 75",0,0))</f>
        <v/>
      </c>
      <c r="BG16" s="30" t="inlineStr">
        <is>
          <t>Stage 3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Close to 52 week high or retracement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More than 20%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Between 50% to 70%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Less than 0.7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IF(B17=0,"",RANK(B17,$B$2:$B$17,0))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EMA Crossover</t>
        </is>
      </c>
      <c r="D17" s="31" t="n">
        <v>147.9</v>
      </c>
      <c r="E17" s="31" t="inlineStr">
        <is>
          <t>7%</t>
        </is>
      </c>
      <c r="F17" s="31" t="n">
        <v>70000</v>
      </c>
      <c r="G17" s="31" t="n">
        <v>36</v>
      </c>
      <c r="H17" s="30" t="inlineStr">
        <is>
          <t>BHARTIARTL</t>
        </is>
      </c>
      <c r="I17" s="30" t="inlineStr">
        <is>
          <t>Bharti Airtel Limited</t>
        </is>
      </c>
      <c r="J17" s="30" t="inlineStr">
        <is>
          <t>telecom-service</t>
        </is>
      </c>
      <c r="K17" s="30" t="inlineStr">
        <is>
          <t>telecommunications - service provider</t>
        </is>
      </c>
      <c r="L17" s="30" t="inlineStr">
        <is>
          <t>largecap</t>
        </is>
      </c>
      <c r="M17" s="31" t="n">
        <v>1142576.8</v>
      </c>
      <c r="N17" s="31" t="n">
        <v>1910.8</v>
      </c>
      <c r="O17" s="31" t="n">
        <v>1.92</v>
      </c>
      <c r="P17" s="31" t="n">
        <v>15918432</v>
      </c>
      <c r="Q17" s="30" t="n">
        <v>1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51.65</v>
      </c>
      <c r="U17" s="31" t="n">
        <v>27.93</v>
      </c>
      <c r="V17" s="31" t="n">
        <v>1644.73</v>
      </c>
      <c r="W17" s="30" t="inlineStr">
        <is>
          <t>Earnings / Momentum Support</t>
        </is>
      </c>
      <c r="X17" s="30" t="inlineStr">
        <is>
          <t>Nifty 50</t>
        </is>
      </c>
      <c r="Y17" s="31" t="n">
        <v>-4.38</v>
      </c>
      <c r="Z17" s="31" t="n">
        <v>-0.51</v>
      </c>
      <c r="AA17" s="31" t="n">
        <v>4.04</v>
      </c>
      <c r="AB17" s="31" t="n">
        <v>0.82</v>
      </c>
      <c r="AC17" s="30" t="inlineStr">
        <is>
          <t>Growing Industry</t>
        </is>
      </c>
      <c r="AD17" s="30">
        <f>IF(AC17="Growing Industry",10,IF(AC17="Cyclical in an Upturn",5,0))</f>
        <v/>
      </c>
      <c r="AE17" s="30" t="inlineStr">
        <is>
          <t>Oligopoly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Yes</t>
        </is>
      </c>
      <c r="AH17" s="30">
        <f>IF(AG17="No",5,0)</f>
        <v/>
      </c>
      <c r="AI17" s="30" t="inlineStr">
        <is>
          <t>Headwind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No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20 to 40</t>
        </is>
      </c>
      <c r="BD17" s="30">
        <f>IF(BC17="Above 40",20,IF(BC17="20 to 40",10,IF(BC17="0 to 20",-5,0)))</f>
        <v/>
      </c>
      <c r="BE17" s="30" t="inlineStr">
        <is>
          <t>Between 50 to 75</t>
        </is>
      </c>
      <c r="BF17" s="30">
        <f>IF(BE17="Between 50 to 75",10,IF(BE17="Above 75",0,0))</f>
        <v/>
      </c>
      <c r="BG17" s="30" t="inlineStr">
        <is>
          <t>Stage 1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Close to 52 week high or retracement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Less than 12%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Yes</t>
        </is>
      </c>
      <c r="BX17" s="30">
        <f>IF(BW17="NO",5,0)</f>
        <v/>
      </c>
      <c r="BY17" s="30" t="inlineStr">
        <is>
          <t>Above 2</t>
        </is>
      </c>
      <c r="BZ17" s="30">
        <f>IF(BY17="Above 2",0,IF(BY17="Between 1.5 to 2",5,IF(BY17="Less than 1.5",10,0)))</f>
        <v/>
      </c>
      <c r="CA17" s="30" t="inlineStr">
        <is>
          <t>Above 70%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Between 0.7 to 1.2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</sheetData>
  <autoFilter ref="A1:CJ17"/>
  <conditionalFormatting sqref="B2:B1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7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7">
    <cfRule type="cellIs" priority="36" operator="equal" dxfId="3" stopIfTrue="1">
      <formula>"Underperforming"</formula>
    </cfRule>
  </conditionalFormatting>
  <conditionalFormatting sqref="S2:S17">
    <cfRule type="cellIs" priority="37" operator="equal" dxfId="3" stopIfTrue="1">
      <formula>-5</formula>
    </cfRule>
  </conditionalFormatting>
  <conditionalFormatting sqref="V2:V17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7" showDropDown="0" showInputMessage="0" showErrorMessage="0" allowBlank="1" type="list">
      <formula1>"Growing Industry,Stagnant Industry,Cyclical in an Upturn"</formula1>
    </dataValidation>
    <dataValidation sqref="AE2:AE1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7" showDropDown="0" showInputMessage="0" showErrorMessage="0" allowBlank="1" type="list">
      <formula1>"Yes,No"</formula1>
    </dataValidation>
    <dataValidation sqref="AI2:AI17" showDropDown="0" showInputMessage="0" showErrorMessage="0" allowBlank="1" type="list">
      <formula1>"Tailwind,Headwind"</formula1>
    </dataValidation>
    <dataValidation sqref="AK2:AK17" showDropDown="0" showInputMessage="0" showErrorMessage="0" allowBlank="1" type="list">
      <formula1>"Structural (10 Years Consistency),Shallow Cyclical (2 to 3 Years Growth),Cyclical"</formula1>
    </dataValidation>
    <dataValidation sqref="AM2:AM17" showDropDown="0" showInputMessage="0" showErrorMessage="0" allowBlank="1" type="list">
      <formula1>"Yes due to Product Mix change or Operating Leverage,Yes, these are peak margins,No"</formula1>
    </dataValidation>
    <dataValidation sqref="AO2:AO17" showDropDown="0" showInputMessage="0" showErrorMessage="0" allowBlank="1" type="list">
      <formula1>"Stable,Volatile"</formula1>
    </dataValidation>
    <dataValidation sqref="AQ2:AQ17" showDropDown="0" showInputMessage="0" showErrorMessage="0" allowBlank="1" type="list">
      <formula1>"Yes,No"</formula1>
    </dataValidation>
    <dataValidation sqref="AS2:AS17" showDropDown="0" showInputMessage="0" showErrorMessage="0" allowBlank="1" type="list">
      <formula1>"B2C,B2B,B2G"</formula1>
    </dataValidation>
    <dataValidation sqref="AU2:AU17" showDropDown="0" showInputMessage="0" showErrorMessage="0" allowBlank="1" type="list">
      <formula1>"Yes,No"</formula1>
    </dataValidation>
    <dataValidation sqref="AW2:AW17" showDropDown="0" showInputMessage="0" showErrorMessage="0" allowBlank="1" type="list">
      <formula1>"Fully Annuity,Higher Annuity, Lower One time,Higher One Time, Lower Annuity,Fully One Time"</formula1>
    </dataValidation>
    <dataValidation sqref="AY2:AY17" showDropDown="0" showInputMessage="0" showErrorMessage="0" allowBlank="1" type="list">
      <formula1>"Good,Allocated capital in Non-core Areas"</formula1>
    </dataValidation>
    <dataValidation sqref="BA2:BA17" showDropDown="0" showInputMessage="0" showErrorMessage="0" allowBlank="1" type="list">
      <formula1>"Yes for more than 2 years,Yes only for next 1 to 2 years,No"</formula1>
    </dataValidation>
    <dataValidation sqref="BC2:BC17" showDropDown="0" showInputMessage="0" showErrorMessage="0" allowBlank="1" type="list">
      <formula1>"Above 40,20 to 40,0 to 20"</formula1>
    </dataValidation>
    <dataValidation sqref="BE2:BE17" showDropDown="0" showInputMessage="0" showErrorMessage="0" allowBlank="1" type="list">
      <formula1>"Between 50 to 75,Above 75,Below 45"</formula1>
    </dataValidation>
    <dataValidation sqref="BG2:BG17" showDropDown="0" showInputMessage="0" showErrorMessage="0" allowBlank="1" type="list">
      <formula1>"Stage 1,Stage 2,Stage 3,Stage 4"</formula1>
    </dataValidation>
    <dataValidation sqref="BI2:BI17" showDropDown="0" showInputMessage="0" showErrorMessage="0" allowBlank="1" type="list">
      <formula1>"Positive Trend,Negative Trend"</formula1>
    </dataValidation>
    <dataValidation sqref="BK2:BK17" showDropDown="0" showInputMessage="0" showErrorMessage="0" allowBlank="1" type="list">
      <formula1>"Uptrend,Sideways,Downtrend"</formula1>
    </dataValidation>
    <dataValidation sqref="BM2:BM17" showDropDown="0" showInputMessage="0" showErrorMessage="0" allowBlank="1" type="list">
      <formula1>"Uptrend,Sideways,Downtrend"</formula1>
    </dataValidation>
    <dataValidation sqref="BO2:BO1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7" showDropDown="0" showInputMessage="0" showErrorMessage="0" allowBlank="1" type="list">
      <formula1>"Yes,No"</formula1>
    </dataValidation>
    <dataValidation sqref="BS2:BS17" showDropDown="0" showInputMessage="0" showErrorMessage="0" allowBlank="1" type="list">
      <formula1>"More than 20%,Between 12 to 20%,Less than 12%"</formula1>
    </dataValidation>
    <dataValidation sqref="BU2:BU17" showDropDown="0" showInputMessage="0" showErrorMessage="0" allowBlank="1" type="list">
      <formula1>"Yes,No"</formula1>
    </dataValidation>
    <dataValidation sqref="BW2:BW17" showDropDown="0" showInputMessage="0" showErrorMessage="0" allowBlank="1" type="list">
      <formula1>"Yes,No"</formula1>
    </dataValidation>
    <dataValidation sqref="BY2:BY17" showDropDown="0" showInputMessage="0" showErrorMessage="0" allowBlank="1" type="list">
      <formula1>"Above 2,Between 1.5 to 2,Less than 1.5"</formula1>
    </dataValidation>
    <dataValidation sqref="CA2:CA17" showDropDown="0" showInputMessage="0" showErrorMessage="0" allowBlank="1" type="list">
      <formula1>"Above 70%,Between 50% to 70%,Less than 50%,Less than 50% and Borrowings are increasing,Negative"</formula1>
    </dataValidation>
    <dataValidation sqref="CC2:CC17" showDropDown="0" showInputMessage="0" showErrorMessage="0" allowBlank="1" type="list">
      <formula1>"More than 1.2,Between 0.7 to 1.2,Less than 0.7"</formula1>
    </dataValidation>
    <dataValidation sqref="CE2:CE17" showDropDown="0" showInputMessage="0" showErrorMessage="0" allowBlank="1" type="list">
      <formula1>"Yes,No"</formula1>
    </dataValidation>
    <dataValidation sqref="CG2:CG17" showDropDown="0" showInputMessage="0" showErrorMessage="0" allowBlank="1" type="list">
      <formula1>"More than 15%,Less than 15%"</formula1>
    </dataValidation>
    <dataValidation sqref="CI2:CI1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7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IF(B2=0,"",RANK(B2,$B$2:$B$7,0))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139.7</v>
      </c>
      <c r="E2" s="31" t="inlineStr">
        <is>
          <t>5%</t>
        </is>
      </c>
      <c r="F2" s="31" t="n">
        <v>50000</v>
      </c>
      <c r="G2" s="31" t="n">
        <v>131</v>
      </c>
      <c r="H2" s="30" t="inlineStr">
        <is>
          <t>RBLBANK</t>
        </is>
      </c>
      <c r="I2" s="30" t="inlineStr">
        <is>
          <t>Rbl Bank Limited</t>
        </is>
      </c>
      <c r="J2" s="30" t="inlineStr">
        <is>
          <t>bank</t>
        </is>
      </c>
      <c r="K2" s="30" t="inlineStr">
        <is>
          <t>banks - private sector</t>
        </is>
      </c>
      <c r="L2" s="30" t="inlineStr">
        <is>
          <t>largecap</t>
        </is>
      </c>
      <c r="M2" s="31" t="n">
        <v>22823.76</v>
      </c>
      <c r="N2" s="31" t="n">
        <v>378.85</v>
      </c>
      <c r="O2" s="31" t="n">
        <v>2.6</v>
      </c>
      <c r="P2" s="31" t="n">
        <v>9737378</v>
      </c>
      <c r="Q2" s="30" t="n">
        <v>62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72.23999999999999</v>
      </c>
      <c r="U2" s="31" t="n">
        <v>31.68</v>
      </c>
      <c r="V2" s="31" t="n">
        <v>317.41</v>
      </c>
      <c r="W2" s="30" t="inlineStr">
        <is>
          <t>Near 52W High Breakout</t>
        </is>
      </c>
      <c r="X2" s="30" t="inlineStr">
        <is>
          <t>Nifty Bank</t>
        </is>
      </c>
      <c r="Y2" s="31" t="n">
        <v>2.55</v>
      </c>
      <c r="Z2" s="31" t="n">
        <v>66.73999999999999</v>
      </c>
      <c r="AA2" s="31" t="n">
        <v>62.6</v>
      </c>
      <c r="AB2" s="31" t="n">
        <v>16.79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less than 2.5x and Growth more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20 to 40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  <row r="3">
      <c r="A3" s="30">
        <f>IF(B3=0,"",RANK(B3,$B$2:$B$7,0))</f>
        <v/>
      </c>
      <c r="B3" s="31">
        <f>SUM(S3,AD3,AF3,AH3,AJ3,AL3,AN3,AP3,AR3,AT3,AV3,AX3,AZ3,BB3,BD3,BF3,BH3,BJ3,BL3,BN3,BP3,BR3,BT3,BV3,BX3,BZ3,CB3,CD3,CF3)</f>
        <v/>
      </c>
      <c r="C3" s="30" t="inlineStr">
        <is>
          <t>52W Breakout</t>
        </is>
      </c>
      <c r="D3" s="31" t="n">
        <v>139.7</v>
      </c>
      <c r="E3" s="31" t="inlineStr">
        <is>
          <t>5%</t>
        </is>
      </c>
      <c r="F3" s="31" t="n">
        <v>50000</v>
      </c>
      <c r="G3" s="31" t="n">
        <v>154</v>
      </c>
      <c r="H3" s="30" t="inlineStr">
        <is>
          <t>FEDERALBNK</t>
        </is>
      </c>
      <c r="I3" s="30" t="inlineStr">
        <is>
          <t>The Federal Bank  Limited</t>
        </is>
      </c>
      <c r="J3" s="30" t="inlineStr">
        <is>
          <t>bank</t>
        </is>
      </c>
      <c r="K3" s="30" t="inlineStr">
        <is>
          <t>banks - private sector</t>
        </is>
      </c>
      <c r="L3" s="30" t="inlineStr">
        <is>
          <t>largecap</t>
        </is>
      </c>
      <c r="M3" s="31" t="n">
        <v>78967.92999999999</v>
      </c>
      <c r="N3" s="31" t="n">
        <v>323.95</v>
      </c>
      <c r="O3" s="31" t="n">
        <v>1.09</v>
      </c>
      <c r="P3" s="31" t="n">
        <v>7763307</v>
      </c>
      <c r="Q3" s="30" t="n">
        <v>57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70.09</v>
      </c>
      <c r="U3" s="31" t="n">
        <v>18.99</v>
      </c>
      <c r="V3" s="31" t="n">
        <v>277.52</v>
      </c>
      <c r="W3" s="30" t="inlineStr">
        <is>
          <t>Near 52W High Breakout</t>
        </is>
      </c>
      <c r="X3" s="30" t="inlineStr">
        <is>
          <t>Nifty Bank</t>
        </is>
      </c>
      <c r="Y3" s="31" t="n">
        <v>2.55</v>
      </c>
      <c r="Z3" s="31" t="n">
        <v>57.06</v>
      </c>
      <c r="AA3" s="31" t="n">
        <v>53.16</v>
      </c>
      <c r="AB3" s="31" t="n">
        <v>14.72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Fragmented with High ROE</t>
        </is>
      </c>
      <c r="AF3" s="30">
        <f>IF(AE3="Fragmented with Low ROE",-5,IF(AE3="Fragmented with High ROE",10,IF(AE3= "highly cyclical",5,0)))</f>
        <v/>
      </c>
      <c r="AG3" s="30" t="inlineStr">
        <is>
          <t>Yes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Consistency)",15,IF(AK3="Shallow Cyclical (2 to 3 years growth)",10,IF(AK3 = "Cyclical in an Uptick",5,IF(AK3 = "Cyclical in an Downtick",-10,0))))</f>
        <v/>
      </c>
      <c r="AM3" s="30" t="inlineStr">
        <is>
          <t>Yes</t>
        </is>
      </c>
      <c r="AN3" s="30">
        <f>IF(AM3="Yes",10,0)</f>
        <v/>
      </c>
      <c r="AO3" s="30" t="inlineStr">
        <is>
          <t>Yes</t>
        </is>
      </c>
      <c r="AP3" s="30">
        <f>IF(AO3="Yes",10,0)</f>
        <v/>
      </c>
      <c r="AQ3" s="30" t="n"/>
      <c r="AR3" s="30">
        <f>IF(AQ3="No",10,0)</f>
        <v/>
      </c>
      <c r="AS3" s="30" t="inlineStr">
        <is>
          <t>Yes</t>
        </is>
      </c>
      <c r="AT3" s="30">
        <f>IF(AS3="Yes",10,0)</f>
        <v/>
      </c>
      <c r="AU3" s="30" t="inlineStr">
        <is>
          <t>Yes</t>
        </is>
      </c>
      <c r="AV3" s="30">
        <f>IF(AU3="Yes",10,0)</f>
        <v/>
      </c>
      <c r="AW3" s="30" t="inlineStr">
        <is>
          <t>Yes</t>
        </is>
      </c>
      <c r="AX3" s="30">
        <f>IF(AW3="Yes",5,0)</f>
        <v/>
      </c>
      <c r="AY3" s="30" t="inlineStr">
        <is>
          <t>No</t>
        </is>
      </c>
      <c r="AZ3" s="30">
        <f>IF(AY3="No",10,IF(AY3="Yes",-10,0))</f>
        <v/>
      </c>
      <c r="BA3" s="30" t="inlineStr">
        <is>
          <t>No</t>
        </is>
      </c>
      <c r="BB3" s="30">
        <f>IF(BA3="No",10,0)</f>
        <v/>
      </c>
      <c r="BC3" s="30" t="inlineStr">
        <is>
          <t>No</t>
        </is>
      </c>
      <c r="BD3" s="30">
        <f>IF(BC3="No",10,IF(BC3= "Yes CEO Resignation",-5,0))</f>
        <v/>
      </c>
      <c r="BE3" s="30" t="inlineStr">
        <is>
          <t>No</t>
        </is>
      </c>
      <c r="BF3" s="30">
        <f>IF(BE3="No",10,IF(BE3="Yes",-5,0))</f>
        <v/>
      </c>
      <c r="BG3" s="30" t="inlineStr">
        <is>
          <t>No</t>
        </is>
      </c>
      <c r="BH3" s="30">
        <f>IF(BG3="No",5,IF(BG3="Yes",-5,0))</f>
        <v/>
      </c>
      <c r="BI3" s="30" t="inlineStr">
        <is>
          <t>Yes</t>
        </is>
      </c>
      <c r="BJ3" s="30">
        <f>IF(BI3="Yes",10,0)</f>
        <v/>
      </c>
      <c r="BK3" s="30" t="inlineStr">
        <is>
          <t>Yes</t>
        </is>
      </c>
      <c r="BL3" s="30">
        <f>IF(BK3="Yes",10,0)</f>
        <v/>
      </c>
      <c r="BM3" s="30" t="inlineStr">
        <is>
          <t>Yes</t>
        </is>
      </c>
      <c r="BN3" s="30">
        <f>IF(BM3="Yes",10,0)</f>
        <v/>
      </c>
      <c r="BO3" s="30" t="inlineStr">
        <is>
          <t>P/BV less than 2.5x and Growth more than 20%</t>
        </is>
      </c>
      <c r="BP3" s="30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0" t="inlineStr">
        <is>
          <t>0 to 20</t>
        </is>
      </c>
      <c r="BR3" s="30">
        <f>IF(BQ3="Above 40",20,IF(BQ3="20 to 40",10,IF(BQ3="0 to 20",-5,0)))</f>
        <v/>
      </c>
      <c r="BS3" s="30" t="inlineStr">
        <is>
          <t>Between 50 to 75</t>
        </is>
      </c>
      <c r="BT3" s="30">
        <f>IF(BS3="Between 50 to 75",10,IF(BS3="Above 75",0,0))</f>
        <v/>
      </c>
      <c r="BU3" s="30" t="inlineStr">
        <is>
          <t>Stage 2</t>
        </is>
      </c>
      <c r="BV3" s="30">
        <f>IF(BU3="Stage 2",20,IF(BU3="Stage 1",0,IF(BU3="Stage 3",5,IF(BU3="Stage 4",-5,0))))</f>
        <v/>
      </c>
      <c r="BW3" s="30" t="inlineStr">
        <is>
          <t>Positive Trend</t>
        </is>
      </c>
      <c r="BX3" s="30">
        <f>IF(BW3="Positive Trend",20,IF(BW3="Negative Trend",-10,0))</f>
        <v/>
      </c>
      <c r="BY3" s="30" t="inlineStr">
        <is>
          <t>Uptrend</t>
        </is>
      </c>
      <c r="BZ3" s="30">
        <f>IF(BY3="Uptrend",10,IF(BY3="Sideways",5,0))</f>
        <v/>
      </c>
      <c r="CA3" s="30" t="inlineStr">
        <is>
          <t>Uptrend</t>
        </is>
      </c>
      <c r="CB3" s="30">
        <f>IF(CA3="Uptrend",10,IF(CA3="Sideways",5,0))</f>
        <v/>
      </c>
      <c r="CC3" s="30" t="inlineStr">
        <is>
          <t>Blue sky scenario</t>
        </is>
      </c>
      <c r="CD3" s="30">
        <f>IF(CC3="Overhead supply in last 2 years in last 2 years",-5,IF(CC3="Close to 52 week high or retracement",5,IF(CC3="Blue sky scenario",10,IF(CC3="Long term Downtrend",-10,0))))</f>
        <v/>
      </c>
      <c r="CE3" s="30" t="inlineStr">
        <is>
          <t>Yes</t>
        </is>
      </c>
      <c r="CF3" s="30">
        <f>IF(CE3="Yes",10,0)</f>
        <v/>
      </c>
    </row>
    <row r="4">
      <c r="A4" s="30">
        <f>IF(B4=0,"",RANK(B4,$B$2:$B$7,0))</f>
        <v/>
      </c>
      <c r="B4" s="31">
        <f>SUM(S4,AD4,AF4,AH4,AJ4,AL4,AN4,AP4,AR4,AT4,AV4,AX4,AZ4,BB4,BD4,BF4,BH4,BJ4,BL4,BN4,BP4,BR4,BT4,BV4,BX4,BZ4,CB4,CD4,CF4)</f>
        <v/>
      </c>
      <c r="C4" s="30" t="inlineStr">
        <is>
          <t>52W Breakout</t>
        </is>
      </c>
      <c r="D4" s="31" t="n">
        <v>139.3</v>
      </c>
      <c r="E4" s="31" t="inlineStr">
        <is>
          <t>5%</t>
        </is>
      </c>
      <c r="F4" s="31" t="n">
        <v>50000</v>
      </c>
      <c r="G4" s="31" t="n">
        <v>42</v>
      </c>
      <c r="H4" s="30" t="inlineStr">
        <is>
          <t>ABSLAMC</t>
        </is>
      </c>
      <c r="I4" s="30" t="inlineStr">
        <is>
          <t>Aditya Birla Sun Life AMC Ltd</t>
        </is>
      </c>
      <c r="J4" s="30" t="inlineStr">
        <is>
          <t>financials</t>
        </is>
      </c>
      <c r="K4" s="30" t="inlineStr">
        <is>
          <t>finance &amp; investments</t>
        </is>
      </c>
      <c r="L4" s="30" t="inlineStr">
        <is>
          <t>largecap</t>
        </is>
      </c>
      <c r="M4" s="31" t="n">
        <v>33706.57</v>
      </c>
      <c r="N4" s="31" t="n">
        <v>1180.6</v>
      </c>
      <c r="O4" s="31" t="n">
        <v>1.16</v>
      </c>
      <c r="P4" s="31" t="n">
        <v>443139</v>
      </c>
      <c r="Q4" s="30" t="n">
        <v>59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71.23</v>
      </c>
      <c r="U4" s="31" t="n">
        <v>42.16</v>
      </c>
      <c r="V4" s="31" t="n">
        <v>945.7</v>
      </c>
      <c r="W4" s="30" t="inlineStr">
        <is>
          <t>Near 52W High Breakout</t>
        </is>
      </c>
      <c r="X4" s="30" t="inlineStr">
        <is>
          <t>Nifty Bank</t>
        </is>
      </c>
      <c r="Y4" s="31" t="n">
        <v>2.55</v>
      </c>
      <c r="Z4" s="31" t="n">
        <v>60.47</v>
      </c>
      <c r="AA4" s="31" t="n">
        <v>56.48</v>
      </c>
      <c r="AB4" s="31" t="n">
        <v>15.69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Fragmented with High ROE</t>
        </is>
      </c>
      <c r="AF4" s="30">
        <f>IF(AE4="Fragmented with Low ROE",-5,IF(AE4="Fragmented with High ROE",10,IF(AE4= "highly cyclical",5,0)))</f>
        <v/>
      </c>
      <c r="AG4" s="30" t="inlineStr">
        <is>
          <t>Yes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Consistency)",15,IF(AK4="Shallow Cyclical (2 to 3 years growth)",10,IF(AK4 = "Cyclical in an Uptick",5,IF(AK4 = "Cyclical in an Downtick",-10,0))))</f>
        <v/>
      </c>
      <c r="AM4" s="30" t="inlineStr">
        <is>
          <t>Yes</t>
        </is>
      </c>
      <c r="AN4" s="30">
        <f>IF(AM4="Yes",10,0)</f>
        <v/>
      </c>
      <c r="AO4" s="30" t="inlineStr">
        <is>
          <t>Yes</t>
        </is>
      </c>
      <c r="AP4" s="30">
        <f>IF(AO4="Yes",10,0)</f>
        <v/>
      </c>
      <c r="AQ4" s="30" t="n"/>
      <c r="AR4" s="30">
        <f>IF(AQ4="No",10,0)</f>
        <v/>
      </c>
      <c r="AS4" s="30" t="inlineStr">
        <is>
          <t>Yes</t>
        </is>
      </c>
      <c r="AT4" s="30">
        <f>IF(AS4="Yes",10,0)</f>
        <v/>
      </c>
      <c r="AU4" s="30" t="inlineStr">
        <is>
          <t>Yes</t>
        </is>
      </c>
      <c r="AV4" s="30">
        <f>IF(AU4="Yes",10,0)</f>
        <v/>
      </c>
      <c r="AW4" s="30" t="inlineStr">
        <is>
          <t>Yes</t>
        </is>
      </c>
      <c r="AX4" s="30">
        <f>IF(AW4="Yes",5,0)</f>
        <v/>
      </c>
      <c r="AY4" s="30" t="inlineStr">
        <is>
          <t>No</t>
        </is>
      </c>
      <c r="AZ4" s="30">
        <f>IF(AY4="No",10,IF(AY4="Yes",-10,0))</f>
        <v/>
      </c>
      <c r="BA4" s="30" t="inlineStr">
        <is>
          <t>No</t>
        </is>
      </c>
      <c r="BB4" s="30">
        <f>IF(BA4="No",10,0)</f>
        <v/>
      </c>
      <c r="BC4" s="30" t="inlineStr">
        <is>
          <t>No</t>
        </is>
      </c>
      <c r="BD4" s="30">
        <f>IF(BC4="No",10,IF(BC4= "Yes CEO Resignation",-5,0))</f>
        <v/>
      </c>
      <c r="BE4" s="30" t="inlineStr">
        <is>
          <t>No</t>
        </is>
      </c>
      <c r="BF4" s="30">
        <f>IF(BE4="No",10,IF(BE4="Yes",-5,0))</f>
        <v/>
      </c>
      <c r="BG4" s="30" t="inlineStr">
        <is>
          <t>No</t>
        </is>
      </c>
      <c r="BH4" s="30">
        <f>IF(BG4="No",5,IF(BG4="Yes",-5,0))</f>
        <v/>
      </c>
      <c r="BI4" s="30" t="inlineStr">
        <is>
          <t>Yes</t>
        </is>
      </c>
      <c r="BJ4" s="30">
        <f>IF(BI4="Yes",10,0)</f>
        <v/>
      </c>
      <c r="BK4" s="30" t="inlineStr">
        <is>
          <t>Yes</t>
        </is>
      </c>
      <c r="BL4" s="30">
        <f>IF(BK4="Yes",10,0)</f>
        <v/>
      </c>
      <c r="BM4" s="30" t="inlineStr">
        <is>
          <t>Yes</t>
        </is>
      </c>
      <c r="BN4" s="30">
        <f>IF(BM4="Yes",10,0)</f>
        <v/>
      </c>
      <c r="BO4" s="30" t="inlineStr">
        <is>
          <t>P/BV above 5x</t>
        </is>
      </c>
      <c r="BP4" s="30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0" t="inlineStr">
        <is>
          <t>Above 40</t>
        </is>
      </c>
      <c r="BR4" s="30">
        <f>IF(BQ4="Above 40",20,IF(BQ4="20 to 40",10,IF(BQ4="0 to 20",-5,0)))</f>
        <v/>
      </c>
      <c r="BS4" s="30" t="inlineStr">
        <is>
          <t>Between 50 to 75</t>
        </is>
      </c>
      <c r="BT4" s="30">
        <f>IF(BS4="Between 50 to 75",10,IF(BS4="Above 75",0,0))</f>
        <v/>
      </c>
      <c r="BU4" s="30" t="inlineStr">
        <is>
          <t>Stage 2</t>
        </is>
      </c>
      <c r="BV4" s="30">
        <f>IF(BU4="Stage 2",20,IF(BU4="Stage 1",0,IF(BU4="Stage 3",5,IF(BU4="Stage 4",-5,0))))</f>
        <v/>
      </c>
      <c r="BW4" s="30" t="inlineStr">
        <is>
          <t>Positive Trend</t>
        </is>
      </c>
      <c r="BX4" s="30">
        <f>IF(BW4="Positive Trend",20,IF(BW4="Negative Trend",-10,0))</f>
        <v/>
      </c>
      <c r="BY4" s="30" t="inlineStr">
        <is>
          <t>Uptrend</t>
        </is>
      </c>
      <c r="BZ4" s="30">
        <f>IF(BY4="Uptrend",10,IF(BY4="Sideways",5,0))</f>
        <v/>
      </c>
      <c r="CA4" s="30" t="inlineStr">
        <is>
          <t>Uptrend</t>
        </is>
      </c>
      <c r="CB4" s="30">
        <f>IF(CA4="Uptrend",10,IF(CA4="Sideways",5,0))</f>
        <v/>
      </c>
      <c r="CC4" s="30" t="inlineStr">
        <is>
          <t>Blue sky scenario</t>
        </is>
      </c>
      <c r="CD4" s="30">
        <f>IF(CC4="Overhead supply in last 2 years in last 2 years",-5,IF(CC4="Close to 52 week high or retracement",5,IF(CC4="Blue sky scenario",10,IF(CC4="Long term Downtrend",-10,0))))</f>
        <v/>
      </c>
      <c r="CE4" s="30" t="inlineStr">
        <is>
          <t>Yes</t>
        </is>
      </c>
      <c r="CF4" s="30">
        <f>IF(CE4="Yes",10,0)</f>
        <v/>
      </c>
    </row>
    <row r="5">
      <c r="A5" s="30">
        <f>IF(B5=0,"",RANK(B5,$B$2:$B$7,0))</f>
        <v/>
      </c>
      <c r="B5" s="31">
        <f>SUM(S5,AD5,AF5,AH5,AJ5,AL5,AN5,AP5,AR5,AT5,AV5,AX5,AZ5,BB5,BD5,BF5,BH5,BJ5,BL5,BN5,BP5,BR5,BT5,BV5,BX5,BZ5,CB5,CD5,CF5)</f>
        <v/>
      </c>
      <c r="C5" s="30" t="inlineStr">
        <is>
          <t>52W Breakout</t>
        </is>
      </c>
      <c r="D5" s="31" t="n">
        <v>139.6</v>
      </c>
      <c r="E5" s="31" t="inlineStr">
        <is>
          <t>5%</t>
        </is>
      </c>
      <c r="F5" s="31" t="n">
        <v>50000</v>
      </c>
      <c r="G5" s="31" t="n">
        <v>42</v>
      </c>
      <c r="H5" s="30" t="inlineStr">
        <is>
          <t>NAM-INDIA</t>
        </is>
      </c>
      <c r="I5" s="30" t="inlineStr">
        <is>
          <t>Nippon Life India Asset Management Ltd</t>
        </is>
      </c>
      <c r="J5" s="30" t="inlineStr">
        <is>
          <t>financials</t>
        </is>
      </c>
      <c r="K5" s="30" t="inlineStr">
        <is>
          <t>finance &amp; investments</t>
        </is>
      </c>
      <c r="L5" s="30" t="inlineStr">
        <is>
          <t>largecap</t>
        </is>
      </c>
      <c r="M5" s="31" t="n">
        <v>74493.66</v>
      </c>
      <c r="N5" s="31" t="n">
        <v>1186.9</v>
      </c>
      <c r="O5" s="31" t="n">
        <v>1.67</v>
      </c>
      <c r="P5" s="31" t="n">
        <v>1616527</v>
      </c>
      <c r="Q5" s="30" t="n">
        <v>69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71.22</v>
      </c>
      <c r="U5" s="31" t="n">
        <v>30.18</v>
      </c>
      <c r="V5" s="31" t="n">
        <v>941.05</v>
      </c>
      <c r="W5" s="30" t="inlineStr">
        <is>
          <t>Near 52W High Breakout</t>
        </is>
      </c>
      <c r="X5" s="30" t="inlineStr">
        <is>
          <t>Nifty Bank</t>
        </is>
      </c>
      <c r="Y5" s="31" t="n">
        <v>2.55</v>
      </c>
      <c r="Z5" s="31" t="n">
        <v>59.89</v>
      </c>
      <c r="AA5" s="31" t="n">
        <v>55.91</v>
      </c>
      <c r="AB5" s="31" t="n">
        <v>19.24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Fragmented with High ROE</t>
        </is>
      </c>
      <c r="AF5" s="30">
        <f>IF(AE5="Fragmented with Low ROE",-5,IF(AE5="Fragmented with High ROE",10,IF(AE5= "highly cyclical",5,0)))</f>
        <v/>
      </c>
      <c r="AG5" s="30" t="inlineStr">
        <is>
          <t>Yes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Consistency)",15,IF(AK5="Shallow Cyclical (2 to 3 years growth)",10,IF(AK5 = "Cyclical in an Uptick",5,IF(AK5 = "Cyclical in an Downtick",-10,0))))</f>
        <v/>
      </c>
      <c r="AM5" s="30" t="inlineStr">
        <is>
          <t>Yes</t>
        </is>
      </c>
      <c r="AN5" s="30">
        <f>IF(AM5="Yes",10,0)</f>
        <v/>
      </c>
      <c r="AO5" s="30" t="inlineStr">
        <is>
          <t>Yes</t>
        </is>
      </c>
      <c r="AP5" s="30">
        <f>IF(AO5="Yes",10,0)</f>
        <v/>
      </c>
      <c r="AQ5" s="30" t="n"/>
      <c r="AR5" s="30">
        <f>IF(AQ5="No",10,0)</f>
        <v/>
      </c>
      <c r="AS5" s="30" t="inlineStr">
        <is>
          <t>Yes</t>
        </is>
      </c>
      <c r="AT5" s="30">
        <f>IF(AS5="Yes",10,0)</f>
        <v/>
      </c>
      <c r="AU5" s="30" t="inlineStr">
        <is>
          <t>Yes</t>
        </is>
      </c>
      <c r="AV5" s="30">
        <f>IF(AU5="Yes",10,0)</f>
        <v/>
      </c>
      <c r="AW5" s="30" t="inlineStr">
        <is>
          <t>Yes</t>
        </is>
      </c>
      <c r="AX5" s="30">
        <f>IF(AW5="Yes",5,0)</f>
        <v/>
      </c>
      <c r="AY5" s="30" t="inlineStr">
        <is>
          <t>No</t>
        </is>
      </c>
      <c r="AZ5" s="30">
        <f>IF(AY5="No",10,IF(AY5="Yes",-10,0))</f>
        <v/>
      </c>
      <c r="BA5" s="30" t="inlineStr">
        <is>
          <t>No</t>
        </is>
      </c>
      <c r="BB5" s="30">
        <f>IF(BA5="No",10,0)</f>
        <v/>
      </c>
      <c r="BC5" s="30" t="inlineStr">
        <is>
          <t>No</t>
        </is>
      </c>
      <c r="BD5" s="30">
        <f>IF(BC5="No",10,IF(BC5= "Yes CEO Resignation",-5,0))</f>
        <v/>
      </c>
      <c r="BE5" s="30" t="inlineStr">
        <is>
          <t>No</t>
        </is>
      </c>
      <c r="BF5" s="30">
        <f>IF(BE5="No",10,IF(BE5="Yes",-5,0))</f>
        <v/>
      </c>
      <c r="BG5" s="30" t="inlineStr">
        <is>
          <t>No</t>
        </is>
      </c>
      <c r="BH5" s="30">
        <f>IF(BG5="No",5,IF(BG5="Yes",-5,0))</f>
        <v/>
      </c>
      <c r="BI5" s="30" t="inlineStr">
        <is>
          <t>Yes</t>
        </is>
      </c>
      <c r="BJ5" s="30">
        <f>IF(BI5="Yes",10,0)</f>
        <v/>
      </c>
      <c r="BK5" s="30" t="inlineStr">
        <is>
          <t>Yes</t>
        </is>
      </c>
      <c r="BL5" s="30">
        <f>IF(BK5="Yes",10,0)</f>
        <v/>
      </c>
      <c r="BM5" s="30" t="inlineStr">
        <is>
          <t>Yes</t>
        </is>
      </c>
      <c r="BN5" s="30">
        <f>IF(BM5="Yes",10,0)</f>
        <v/>
      </c>
      <c r="BO5" s="30" t="inlineStr">
        <is>
          <t>P/BV above 5x</t>
        </is>
      </c>
      <c r="BP5" s="30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0" t="inlineStr">
        <is>
          <t>20 to 40</t>
        </is>
      </c>
      <c r="BR5" s="30">
        <f>IF(BQ5="Above 40",20,IF(BQ5="20 to 40",10,IF(BQ5="0 to 20",-5,0)))</f>
        <v/>
      </c>
      <c r="BS5" s="30" t="inlineStr">
        <is>
          <t>Between 50 to 75</t>
        </is>
      </c>
      <c r="BT5" s="30">
        <f>IF(BS5="Between 50 to 75",10,IF(BS5="Above 75",0,0))</f>
        <v/>
      </c>
      <c r="BU5" s="30" t="inlineStr">
        <is>
          <t>Stage 2</t>
        </is>
      </c>
      <c r="BV5" s="30">
        <f>IF(BU5="Stage 2",20,IF(BU5="Stage 1",0,IF(BU5="Stage 3",5,IF(BU5="Stage 4",-5,0))))</f>
        <v/>
      </c>
      <c r="BW5" s="30" t="inlineStr">
        <is>
          <t>Positive Trend</t>
        </is>
      </c>
      <c r="BX5" s="30">
        <f>IF(BW5="Positive Trend",20,IF(BW5="Negative Trend",-10,0))</f>
        <v/>
      </c>
      <c r="BY5" s="30" t="inlineStr">
        <is>
          <t>Uptrend</t>
        </is>
      </c>
      <c r="BZ5" s="30">
        <f>IF(BY5="Uptrend",10,IF(BY5="Sideways",5,0))</f>
        <v/>
      </c>
      <c r="CA5" s="30" t="inlineStr">
        <is>
          <t>Uptrend</t>
        </is>
      </c>
      <c r="CB5" s="30">
        <f>IF(CA5="Uptrend",10,IF(CA5="Sideways",5,0))</f>
        <v/>
      </c>
      <c r="CC5" s="30" t="inlineStr">
        <is>
          <t>Blue sky scenario</t>
        </is>
      </c>
      <c r="CD5" s="30">
        <f>IF(CC5="Overhead supply in last 2 years in last 2 years",-5,IF(CC5="Close to 52 week high or retracement",5,IF(CC5="Blue sky scenario",10,IF(CC5="Long term Downtrend",-10,0))))</f>
        <v/>
      </c>
      <c r="CE5" s="30" t="inlineStr">
        <is>
          <t>Yes</t>
        </is>
      </c>
      <c r="CF5" s="30">
        <f>IF(CE5="Yes",10,0)</f>
        <v/>
      </c>
    </row>
    <row r="6">
      <c r="A6" s="30">
        <f>IF(B6=0,"",RANK(B6,$B$2:$B$7,0))</f>
        <v/>
      </c>
      <c r="B6" s="31">
        <f>SUM(S6,AD6,AF6,AH6,AJ6,AL6,AN6,AP6,AR6,AT6,AV6,AX6,AZ6,BB6,BD6,BF6,BH6,BJ6,BL6,BN6,BP6,BR6,BT6,BV6,BX6,BZ6,CB6,CD6,CF6)</f>
        <v/>
      </c>
      <c r="C6" s="30" t="inlineStr">
        <is>
          <t>52W Breakout</t>
        </is>
      </c>
      <c r="D6" s="31" t="n">
        <v>139.6</v>
      </c>
      <c r="E6" s="31" t="inlineStr">
        <is>
          <t>5%</t>
        </is>
      </c>
      <c r="F6" s="31" t="n">
        <v>50000</v>
      </c>
      <c r="G6" s="31" t="n">
        <v>133</v>
      </c>
      <c r="H6" s="30" t="inlineStr">
        <is>
          <t>ABCAPITAL</t>
        </is>
      </c>
      <c r="I6" s="30" t="inlineStr">
        <is>
          <t>Aditya Birla Capital Ltd</t>
        </is>
      </c>
      <c r="J6" s="30" t="inlineStr">
        <is>
          <t>financials</t>
        </is>
      </c>
      <c r="K6" s="30" t="inlineStr">
        <is>
          <t>finance &amp; investments</t>
        </is>
      </c>
      <c r="L6" s="30" t="inlineStr">
        <is>
          <t>largecap</t>
        </is>
      </c>
      <c r="M6" s="31" t="n">
        <v>97082.60000000001</v>
      </c>
      <c r="N6" s="31" t="n">
        <v>375.9</v>
      </c>
      <c r="O6" s="31" t="n">
        <v>1.43</v>
      </c>
      <c r="P6" s="31" t="n">
        <v>11199442</v>
      </c>
      <c r="Q6" s="30" t="n">
        <v>48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64.87</v>
      </c>
      <c r="U6" s="31" t="n">
        <v>17.95</v>
      </c>
      <c r="V6" s="31" t="n">
        <v>306.98</v>
      </c>
      <c r="W6" s="30" t="inlineStr">
        <is>
          <t>Near 52W High Breakout</t>
        </is>
      </c>
      <c r="X6" s="30" t="inlineStr">
        <is>
          <t>Nifty Bank</t>
        </is>
      </c>
      <c r="Y6" s="31" t="n">
        <v>2.55</v>
      </c>
      <c r="Z6" s="31" t="n">
        <v>44.42</v>
      </c>
      <c r="AA6" s="31" t="n">
        <v>40.83</v>
      </c>
      <c r="AB6" s="31" t="n">
        <v>12.5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Fragmented with High ROE</t>
        </is>
      </c>
      <c r="AF6" s="30">
        <f>IF(AE6="Fragmented with Low ROE",-5,IF(AE6="Fragmented with High ROE",10,IF(AE6= "highly cyclical",5,0)))</f>
        <v/>
      </c>
      <c r="AG6" s="30" t="inlineStr">
        <is>
          <t>Yes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Consistency)",15,IF(AK6="Shallow Cyclical (2 to 3 years growth)",10,IF(AK6 = "Cyclical in an Uptick",5,IF(AK6 = "Cyclical in an Downtick",-10,0))))</f>
        <v/>
      </c>
      <c r="AM6" s="30" t="inlineStr">
        <is>
          <t>Yes</t>
        </is>
      </c>
      <c r="AN6" s="30">
        <f>IF(AM6="Yes",10,0)</f>
        <v/>
      </c>
      <c r="AO6" s="30" t="inlineStr">
        <is>
          <t>Yes</t>
        </is>
      </c>
      <c r="AP6" s="30">
        <f>IF(AO6="Yes",10,0)</f>
        <v/>
      </c>
      <c r="AQ6" s="30" t="n"/>
      <c r="AR6" s="30">
        <f>IF(AQ6="No",10,0)</f>
        <v/>
      </c>
      <c r="AS6" s="30" t="inlineStr">
        <is>
          <t>Yes</t>
        </is>
      </c>
      <c r="AT6" s="30">
        <f>IF(AS6="Yes",10,0)</f>
        <v/>
      </c>
      <c r="AU6" s="30" t="inlineStr">
        <is>
          <t>Yes</t>
        </is>
      </c>
      <c r="AV6" s="30">
        <f>IF(AU6="Yes",10,0)</f>
        <v/>
      </c>
      <c r="AW6" s="30" t="inlineStr">
        <is>
          <t>Yes</t>
        </is>
      </c>
      <c r="AX6" s="30">
        <f>IF(AW6="Yes",5,0)</f>
        <v/>
      </c>
      <c r="AY6" s="30" t="inlineStr">
        <is>
          <t>No</t>
        </is>
      </c>
      <c r="AZ6" s="30">
        <f>IF(AY6="No",10,IF(AY6="Yes",-10,0))</f>
        <v/>
      </c>
      <c r="BA6" s="30" t="inlineStr">
        <is>
          <t>No</t>
        </is>
      </c>
      <c r="BB6" s="30">
        <f>IF(BA6="No",10,0)</f>
        <v/>
      </c>
      <c r="BC6" s="30" t="inlineStr">
        <is>
          <t>No</t>
        </is>
      </c>
      <c r="BD6" s="30">
        <f>IF(BC6="No",10,IF(BC6= "Yes CEO Resignation",-5,0))</f>
        <v/>
      </c>
      <c r="BE6" s="30" t="inlineStr">
        <is>
          <t>No</t>
        </is>
      </c>
      <c r="BF6" s="30">
        <f>IF(BE6="No",10,IF(BE6="Yes",-5,0))</f>
        <v/>
      </c>
      <c r="BG6" s="30" t="inlineStr">
        <is>
          <t>No</t>
        </is>
      </c>
      <c r="BH6" s="30">
        <f>IF(BG6="No",5,IF(BG6="Yes",-5,0))</f>
        <v/>
      </c>
      <c r="BI6" s="30" t="inlineStr">
        <is>
          <t>Yes</t>
        </is>
      </c>
      <c r="BJ6" s="30">
        <f>IF(BI6="Yes",10,0)</f>
        <v/>
      </c>
      <c r="BK6" s="30" t="inlineStr">
        <is>
          <t>Yes</t>
        </is>
      </c>
      <c r="BL6" s="30">
        <f>IF(BK6="Yes",10,0)</f>
        <v/>
      </c>
      <c r="BM6" s="30" t="inlineStr">
        <is>
          <t>Yes</t>
        </is>
      </c>
      <c r="BN6" s="30">
        <f>IF(BM6="Yes",10,0)</f>
        <v/>
      </c>
      <c r="BO6" s="30" t="inlineStr">
        <is>
          <t>P/BV between 2.5x to 5x and Growth more than 20%</t>
        </is>
      </c>
      <c r="BP6" s="30">
        <f>IF(BO6="P/BV less than 2.5x and Growth more than 20%",20,IF(BO6 = "P/BV less than 2.5x and Growth less than 20%",5,IF(BO6="P/BV between 2.5x to 5x and Growth more than 20%",10,IF(BO6= "P/BV between 2.5x to 5x and Growth less than 20%",-5,IF(BO6= "P/BV above 5x",-5,0)))))</f>
        <v/>
      </c>
      <c r="BQ6" s="30" t="inlineStr">
        <is>
          <t>0 to 20</t>
        </is>
      </c>
      <c r="BR6" s="30">
        <f>IF(BQ6="Above 40",20,IF(BQ6="20 to 40",10,IF(BQ6="0 to 20",-5,0)))</f>
        <v/>
      </c>
      <c r="BS6" s="30" t="inlineStr">
        <is>
          <t>Between 50 to 75</t>
        </is>
      </c>
      <c r="BT6" s="30">
        <f>IF(BS6="Between 50 to 75",10,IF(BS6="Above 75",0,0))</f>
        <v/>
      </c>
      <c r="BU6" s="30" t="inlineStr">
        <is>
          <t>Stage 2</t>
        </is>
      </c>
      <c r="BV6" s="30">
        <f>IF(BU6="Stage 2",20,IF(BU6="Stage 1",0,IF(BU6="Stage 3",5,IF(BU6="Stage 4",-5,0))))</f>
        <v/>
      </c>
      <c r="BW6" s="30" t="inlineStr">
        <is>
          <t>Positive Trend</t>
        </is>
      </c>
      <c r="BX6" s="30">
        <f>IF(BW6="Positive Trend",20,IF(BW6="Negative Trend",-10,0))</f>
        <v/>
      </c>
      <c r="BY6" s="30" t="inlineStr">
        <is>
          <t>Uptrend</t>
        </is>
      </c>
      <c r="BZ6" s="30">
        <f>IF(BY6="Uptrend",10,IF(BY6="Sideways",5,0))</f>
        <v/>
      </c>
      <c r="CA6" s="30" t="inlineStr">
        <is>
          <t>Uptrend</t>
        </is>
      </c>
      <c r="CB6" s="30">
        <f>IF(CA6="Uptrend",10,IF(CA6="Sideways",5,0))</f>
        <v/>
      </c>
      <c r="CC6" s="30" t="inlineStr">
        <is>
          <t>Blue sky scenario</t>
        </is>
      </c>
      <c r="CD6" s="30">
        <f>IF(CC6="Overhead supply in last 2 years in last 2 years",-5,IF(CC6="Close to 52 week high or retracement",5,IF(CC6="Blue sky scenario",10,IF(CC6="Long term Downtrend",-10,0))))</f>
        <v/>
      </c>
      <c r="CE6" s="30" t="inlineStr">
        <is>
          <t>Yes</t>
        </is>
      </c>
      <c r="CF6" s="30">
        <f>IF(CE6="Yes",10,0)</f>
        <v/>
      </c>
    </row>
    <row r="7">
      <c r="A7" s="30">
        <f>IF(B7=0,"",RANK(B7,$B$2:$B$7,0))</f>
        <v/>
      </c>
      <c r="B7" s="31">
        <f>SUM(S7,AD7,AF7,AH7,AJ7,AL7,AN7,AP7,AR7,AT7,AV7,AX7,AZ7,BB7,BD7,BF7,BH7,BJ7,BL7,BN7,BP7,BR7,BT7,BV7,BX7,BZ7,CB7,CD7,CF7)</f>
        <v/>
      </c>
      <c r="C7" s="30" t="inlineStr">
        <is>
          <t>EMA Crossover</t>
        </is>
      </c>
      <c r="D7" s="31" t="n">
        <v>142.4</v>
      </c>
      <c r="E7" s="31" t="inlineStr">
        <is>
          <t>7%</t>
        </is>
      </c>
      <c r="F7" s="31" t="n">
        <v>70000</v>
      </c>
      <c r="G7" s="31" t="n">
        <v>37</v>
      </c>
      <c r="H7" s="32" t="inlineStr">
        <is>
          <t>ICICIGI</t>
        </is>
      </c>
      <c r="I7" s="32" t="inlineStr">
        <is>
          <t>ICICI Lombard General Insurance Company Ltd</t>
        </is>
      </c>
      <c r="J7" s="30" t="inlineStr">
        <is>
          <t>financials</t>
        </is>
      </c>
      <c r="K7" s="30" t="inlineStr">
        <is>
          <t>finance &amp; investments</t>
        </is>
      </c>
      <c r="L7" s="30" t="inlineStr">
        <is>
          <t>largecap</t>
        </is>
      </c>
      <c r="M7" s="31" t="n">
        <v>91673.23</v>
      </c>
      <c r="N7" s="31" t="n">
        <v>1870.1</v>
      </c>
      <c r="O7" s="31" t="n">
        <v>1.69</v>
      </c>
      <c r="P7" s="31" t="n">
        <v>1503031</v>
      </c>
      <c r="Q7" s="30" t="n">
        <v>1</v>
      </c>
      <c r="R7" s="30" t="inlineStr">
        <is>
          <t>Underperforming</t>
        </is>
      </c>
      <c r="S7" s="31">
        <f>IF(R7="Underperforming",-5,IF(Q7&gt;=95,15,IF(Q7&gt;=90,10,IF(Q7&gt;=80,5,0))))</f>
        <v/>
      </c>
      <c r="T7" s="31" t="n">
        <v>53.28</v>
      </c>
      <c r="U7" s="31" t="n">
        <v>12.9</v>
      </c>
      <c r="V7" s="31" t="n">
        <v>1564.3</v>
      </c>
      <c r="W7" s="30" t="inlineStr">
        <is>
          <t>Earnings / Momentum Support</t>
        </is>
      </c>
      <c r="X7" s="30" t="inlineStr">
        <is>
          <t>Nifty Bank</t>
        </is>
      </c>
      <c r="Y7" s="31" t="n">
        <v>2.55</v>
      </c>
      <c r="Z7" s="31" t="n">
        <v>-4.45</v>
      </c>
      <c r="AA7" s="31" t="n">
        <v>-6.82</v>
      </c>
      <c r="AB7" s="31" t="n">
        <v>0.39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Fragmented with High ROE</t>
        </is>
      </c>
      <c r="AF7" s="30">
        <f>IF(AE7="Fragmented with Low ROE",-5,IF(AE7="Fragmented with High ROE",10,IF(AE7= "highly cyclical",5,0)))</f>
        <v/>
      </c>
      <c r="AG7" s="30" t="inlineStr">
        <is>
          <t>Yes</t>
        </is>
      </c>
      <c r="AH7" s="30">
        <f>IF(AG7="No",5,0)</f>
        <v/>
      </c>
      <c r="AI7" s="30" t="inlineStr">
        <is>
          <t>Headwind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Consistency)",15,IF(AK7="Shallow Cyclical (2 to 3 years growth)",10,IF(AK7 = "Cyclical in an Uptick",5,IF(AK7 = "Cyclical in an Downtick",-10,0))))</f>
        <v/>
      </c>
      <c r="AM7" s="30" t="inlineStr">
        <is>
          <t>Yes</t>
        </is>
      </c>
      <c r="AN7" s="30">
        <f>IF(AM7="Yes",10,0)</f>
        <v/>
      </c>
      <c r="AO7" s="30" t="inlineStr">
        <is>
          <t>Yes</t>
        </is>
      </c>
      <c r="AP7" s="30">
        <f>IF(AO7="Yes",10,0)</f>
        <v/>
      </c>
      <c r="AQ7" s="30" t="n"/>
      <c r="AR7" s="30">
        <f>IF(AQ7="No",10,0)</f>
        <v/>
      </c>
      <c r="AS7" s="30" t="inlineStr">
        <is>
          <t>Yes</t>
        </is>
      </c>
      <c r="AT7" s="30">
        <f>IF(AS7="Yes",10,0)</f>
        <v/>
      </c>
      <c r="AU7" s="30" t="inlineStr">
        <is>
          <t>No</t>
        </is>
      </c>
      <c r="AV7" s="30">
        <f>IF(AU7="Yes",10,0)</f>
        <v/>
      </c>
      <c r="AW7" s="30" t="inlineStr">
        <is>
          <t>Yes</t>
        </is>
      </c>
      <c r="AX7" s="30">
        <f>IF(AW7="Yes",5,0)</f>
        <v/>
      </c>
      <c r="AY7" s="30" t="inlineStr">
        <is>
          <t>No</t>
        </is>
      </c>
      <c r="AZ7" s="30">
        <f>IF(AY7="No",10,IF(AY7="Yes",-10,0))</f>
        <v/>
      </c>
      <c r="BA7" s="30" t="inlineStr">
        <is>
          <t>No</t>
        </is>
      </c>
      <c r="BB7" s="30">
        <f>IF(BA7="No",10,0)</f>
        <v/>
      </c>
      <c r="BC7" s="30" t="inlineStr">
        <is>
          <t>No</t>
        </is>
      </c>
      <c r="BD7" s="30">
        <f>IF(BC7="No",10,IF(BC7= "Yes CEO Resignation",-5,0))</f>
        <v/>
      </c>
      <c r="BE7" s="30" t="inlineStr">
        <is>
          <t>No</t>
        </is>
      </c>
      <c r="BF7" s="30">
        <f>IF(BE7="No",10,IF(BE7="Yes",-5,0))</f>
        <v/>
      </c>
      <c r="BG7" s="30" t="inlineStr">
        <is>
          <t>No</t>
        </is>
      </c>
      <c r="BH7" s="30">
        <f>IF(BG7="No",5,IF(BG7="Yes",-5,0))</f>
        <v/>
      </c>
      <c r="BI7" s="30" t="inlineStr">
        <is>
          <t>Yes</t>
        </is>
      </c>
      <c r="BJ7" s="30">
        <f>IF(BI7="Yes",10,0)</f>
        <v/>
      </c>
      <c r="BK7" s="30" t="inlineStr">
        <is>
          <t>Yes</t>
        </is>
      </c>
      <c r="BL7" s="30">
        <f>IF(BK7="Yes",10,0)</f>
        <v/>
      </c>
      <c r="BM7" s="30" t="inlineStr">
        <is>
          <t>Yes</t>
        </is>
      </c>
      <c r="BN7" s="30">
        <f>IF(BM7="Yes",10,0)</f>
        <v/>
      </c>
      <c r="BO7" s="30" t="inlineStr">
        <is>
          <t>P/BV above 5x</t>
        </is>
      </c>
      <c r="BP7" s="30">
        <f>IF(BO7="P/BV less than 2.5x and Growth more than 20%",20,IF(BO7 = "P/BV less than 2.5x and Growth less than 20%",5,IF(BO7="P/BV between 2.5x to 5x and Growth more than 20%",10,IF(BO7= "P/BV between 2.5x to 5x and Growth less than 20%",-5,IF(BO7= "P/BV above 5x",-5,0)))))</f>
        <v/>
      </c>
      <c r="BQ7" s="30" t="inlineStr">
        <is>
          <t>0 to 20</t>
        </is>
      </c>
      <c r="BR7" s="30">
        <f>IF(BQ7="Above 40",20,IF(BQ7="20 to 40",10,IF(BQ7="0 to 20",-5,0)))</f>
        <v/>
      </c>
      <c r="BS7" s="30" t="inlineStr">
        <is>
          <t>Between 50 to 75</t>
        </is>
      </c>
      <c r="BT7" s="30">
        <f>IF(BS7="Between 50 to 75",10,IF(BS7="Above 75",0,0))</f>
        <v/>
      </c>
      <c r="BU7" s="30" t="inlineStr">
        <is>
          <t>Stage 1</t>
        </is>
      </c>
      <c r="BV7" s="30">
        <f>IF(BU7="Stage 2",20,IF(BU7="Stage 1",0,IF(BU7="Stage 3",5,IF(BU7="Stage 4",-5,0))))</f>
        <v/>
      </c>
      <c r="BW7" s="30" t="inlineStr">
        <is>
          <t>Positive Trend</t>
        </is>
      </c>
      <c r="BX7" s="30">
        <f>IF(BW7="Positive Trend",20,IF(BW7="Negative Trend",-10,0))</f>
        <v/>
      </c>
      <c r="BY7" s="30" t="inlineStr">
        <is>
          <t>Uptrend</t>
        </is>
      </c>
      <c r="BZ7" s="30">
        <f>IF(BY7="Uptrend",10,IF(BY7="Sideways",5,0))</f>
        <v/>
      </c>
      <c r="CA7" s="30" t="inlineStr">
        <is>
          <t>Uptrend</t>
        </is>
      </c>
      <c r="CB7" s="30">
        <f>IF(CA7="Uptrend",10,IF(CA7="Sideways",5,0))</f>
        <v/>
      </c>
      <c r="CC7" s="30" t="inlineStr">
        <is>
          <t>Close to 52 week high or retracement</t>
        </is>
      </c>
      <c r="CD7" s="30">
        <f>IF(CC7="Overhead supply in last 2 years in last 2 years",-5,IF(CC7="Close to 52 week high or retracement",5,IF(CC7="Blue sky scenario",10,IF(CC7="Long term Downtrend",-10,0))))</f>
        <v/>
      </c>
      <c r="CE7" s="30" t="inlineStr">
        <is>
          <t>Yes</t>
        </is>
      </c>
      <c r="CF7" s="30">
        <f>IF(CE7="Yes",10,0)</f>
        <v/>
      </c>
    </row>
  </sheetData>
  <autoFilter ref="A1:CF7"/>
  <conditionalFormatting sqref="B2:B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7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7">
    <cfRule type="cellIs" priority="34" operator="equal" dxfId="3" stopIfTrue="1">
      <formula>"Underperforming"</formula>
    </cfRule>
  </conditionalFormatting>
  <conditionalFormatting sqref="S2:S7">
    <cfRule type="cellIs" priority="35" operator="equal" dxfId="3" stopIfTrue="1">
      <formula>-5</formula>
    </cfRule>
  </conditionalFormatting>
  <conditionalFormatting sqref="V2:V7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7" showDropDown="0" showInputMessage="0" showErrorMessage="0" allowBlank="1" type="list">
      <formula1>"Growing Industry,Stagnant Industry,Cyclical in an Upturn"</formula1>
    </dataValidation>
    <dataValidation sqref="AE2:AE7" showDropDown="0" showInputMessage="0" showErrorMessage="0" allowBlank="1" type="list">
      <formula1>"Fragmented with Low ROE,Fragmented with High ROE,Highly Cyclical"</formula1>
    </dataValidation>
    <dataValidation sqref="AG2:AG7" showDropDown="0" showInputMessage="0" showErrorMessage="0" allowBlank="1" type="list">
      <formula1>"Yes,No"</formula1>
    </dataValidation>
    <dataValidation sqref="AI2:AI7" showDropDown="0" showInputMessage="0" showErrorMessage="0" allowBlank="1" type="list">
      <formula1>"Tailwind,Headwind"</formula1>
    </dataValidation>
    <dataValidation sqref="AK2:AK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7" showDropDown="0" showInputMessage="0" showErrorMessage="0" allowBlank="1" type="list">
      <formula1>"Yes,No"</formula1>
    </dataValidation>
    <dataValidation sqref="AO2:AO7" showDropDown="0" showInputMessage="0" showErrorMessage="0" allowBlank="1" type="list">
      <formula1>"Yes,No,Not Applicable"</formula1>
    </dataValidation>
    <dataValidation sqref="AQ2:AQ7" showDropDown="0" showInputMessage="0" showErrorMessage="0" allowBlank="1" type="list">
      <formula1>"Yes,No"</formula1>
    </dataValidation>
    <dataValidation sqref="AS2:AS7" showDropDown="0" showInputMessage="0" showErrorMessage="0" allowBlank="1" type="list">
      <formula1>"Yes,No"</formula1>
    </dataValidation>
    <dataValidation sqref="AU2:AU7" showDropDown="0" showInputMessage="0" showErrorMessage="0" allowBlank="1" type="list">
      <formula1>"Yes,No"</formula1>
    </dataValidation>
    <dataValidation sqref="AW2:AW7" showDropDown="0" showInputMessage="0" showErrorMessage="0" allowBlank="1" type="list">
      <formula1>"Yes,No"</formula1>
    </dataValidation>
    <dataValidation sqref="AY2:AY7" showDropDown="0" showInputMessage="0" showErrorMessage="0" allowBlank="1" type="list">
      <formula1>"No,Yes"</formula1>
    </dataValidation>
    <dataValidation sqref="BA2:BA7" showDropDown="0" showInputMessage="0" showErrorMessage="0" allowBlank="1" type="list">
      <formula1>"No,Yes"</formula1>
    </dataValidation>
    <dataValidation sqref="BC2:BC7" showDropDown="0" showInputMessage="0" showErrorMessage="0" allowBlank="1" type="list">
      <formula1>"No,Yes CEO Resignation,Yes CEO Retirement"</formula1>
    </dataValidation>
    <dataValidation sqref="BE2:BE7" showDropDown="0" showInputMessage="0" showErrorMessage="0" allowBlank="1" type="list">
      <formula1>"No,Yes"</formula1>
    </dataValidation>
    <dataValidation sqref="BG2:BG7" showDropDown="0" showInputMessage="0" showErrorMessage="0" allowBlank="1" type="list">
      <formula1>"No,Yes"</formula1>
    </dataValidation>
    <dataValidation sqref="BI2:BI7" showDropDown="0" showInputMessage="0" showErrorMessage="0" allowBlank="1" type="list">
      <formula1>"Yes,No"</formula1>
    </dataValidation>
    <dataValidation sqref="BK2:BK7" showDropDown="0" showInputMessage="0" showErrorMessage="0" allowBlank="1" type="list">
      <formula1>"Yes,No"</formula1>
    </dataValidation>
    <dataValidation sqref="BM2:BM7" showDropDown="0" showInputMessage="0" showErrorMessage="0" allowBlank="1" type="list">
      <formula1>"Yes,No"</formula1>
    </dataValidation>
    <dataValidation sqref="BO2:BO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7" showDropDown="0" showInputMessage="0" showErrorMessage="0" allowBlank="1" type="list">
      <formula1>"Above 40,20 to 40,0 to 20"</formula1>
    </dataValidation>
    <dataValidation sqref="BS2:BS7" showDropDown="0" showInputMessage="0" showErrorMessage="0" allowBlank="1" type="list">
      <formula1>"Between 50 to 75,Above 75,Below 45"</formula1>
    </dataValidation>
    <dataValidation sqref="BU2:BU7" showDropDown="0" showInputMessage="0" showErrorMessage="0" allowBlank="1" type="list">
      <formula1>"Stage 1,Stage 2,Stage 3,Stage 4"</formula1>
    </dataValidation>
    <dataValidation sqref="BW2:BW7" showDropDown="0" showInputMessage="0" showErrorMessage="0" allowBlank="1" type="list">
      <formula1>"Positive Trend,Negative Trend"</formula1>
    </dataValidation>
    <dataValidation sqref="BY2:BY7" showDropDown="0" showInputMessage="0" showErrorMessage="0" allowBlank="1" type="list">
      <formula1>"Uptrend,Sideways,Downtrend"</formula1>
    </dataValidation>
    <dataValidation sqref="CA2:CA7" showDropDown="0" showInputMessage="0" showErrorMessage="0" allowBlank="1" type="list">
      <formula1>"Uptrend,Sideways,Downtrend"</formula1>
    </dataValidation>
    <dataValidation sqref="CC2:CC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4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IF(B2=0,"",RANK(B2,$B$2:$B$96,0))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VMARCIND</t>
        </is>
      </c>
      <c r="D2" s="30" t="inlineStr">
        <is>
          <t>V-Marc India Ltd</t>
        </is>
      </c>
      <c r="E2" s="30" t="inlineStr">
        <is>
          <t>unknown</t>
        </is>
      </c>
      <c r="F2" s="30" t="inlineStr">
        <is>
          <t>Cables - Power</t>
        </is>
      </c>
      <c r="G2" s="30" t="inlineStr">
        <is>
          <t>smallcap</t>
        </is>
      </c>
      <c r="H2" s="31" t="n">
        <v>3906.7</v>
      </c>
      <c r="I2" s="31" t="n">
        <v>1599.75</v>
      </c>
      <c r="J2" s="31" t="n">
        <v>0.06</v>
      </c>
      <c r="K2" s="31" t="n">
        <v>0</v>
      </c>
      <c r="L2" s="30" t="n">
        <v>98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81.61</v>
      </c>
      <c r="P2" s="31" t="n">
        <v>45.1</v>
      </c>
      <c r="Q2" s="31" t="n">
        <v>1169.89</v>
      </c>
      <c r="R2" s="30" t="inlineStr">
        <is>
          <t>Near 52W High Breakout</t>
        </is>
      </c>
      <c r="S2" s="30" t="inlineStr">
        <is>
          <t>Nifty 50</t>
        </is>
      </c>
      <c r="T2" s="31" t="n">
        <v>-4.38</v>
      </c>
      <c r="U2" s="31" t="n">
        <v>444.35</v>
      </c>
      <c r="V2" s="31" t="n">
        <v>469.27</v>
      </c>
      <c r="W2" s="31" t="n">
        <v>78.52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Above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20</t>
        </is>
      </c>
      <c r="CG2" s="30">
        <f>IF(CF2&gt;20,10,IF(CF2&gt;=10,5,2))</f>
        <v/>
      </c>
    </row>
    <row r="3">
      <c r="A3" s="30">
        <f>IF(B3=0,"",RANK(B3,$B$2:$B$96,0))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BAJAJCON</t>
        </is>
      </c>
      <c r="D3" s="30" t="inlineStr">
        <is>
          <t>Bajaj Consumer Care Ltd</t>
        </is>
      </c>
      <c r="E3" s="30" t="inlineStr">
        <is>
          <t>fmcg</t>
        </is>
      </c>
      <c r="F3" s="30" t="inlineStr">
        <is>
          <t>FMCG - Personal Care</t>
        </is>
      </c>
      <c r="G3" s="30" t="inlineStr">
        <is>
          <t>midcap</t>
        </is>
      </c>
      <c r="H3" s="31" t="n">
        <v>8166.91</v>
      </c>
      <c r="I3" s="31" t="n">
        <v>625.25</v>
      </c>
      <c r="J3" s="31" t="n">
        <v>0.77</v>
      </c>
      <c r="K3" s="31" t="n">
        <v>0</v>
      </c>
      <c r="L3" s="30" t="n">
        <v>95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79.55</v>
      </c>
      <c r="P3" s="31" t="n">
        <v>56.1</v>
      </c>
      <c r="Q3" s="31" t="n">
        <v>492.9</v>
      </c>
      <c r="R3" s="30" t="inlineStr">
        <is>
          <t>Near 52W High Breakout</t>
        </is>
      </c>
      <c r="S3" s="30" t="inlineStr">
        <is>
          <t>Nifty FMCG</t>
        </is>
      </c>
      <c r="T3" s="31" t="n">
        <v>-9.279999999999999</v>
      </c>
      <c r="U3" s="31" t="n">
        <v>269.42</v>
      </c>
      <c r="V3" s="31" t="n">
        <v>307.23</v>
      </c>
      <c r="W3" s="31" t="n">
        <v>47.22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B2C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Annuity, Lower One Time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Above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Yes</t>
        </is>
      </c>
      <c r="BS3" s="30">
        <f>IF(BR3="NO",5,0)</f>
        <v/>
      </c>
      <c r="BT3" s="30" t="inlineStr">
        <is>
          <t>Above 2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25</t>
        </is>
      </c>
      <c r="CG3" s="30">
        <f>IF(CF3&gt;20,10,IF(CF3&gt;=10,5,2))</f>
        <v/>
      </c>
    </row>
    <row r="4">
      <c r="A4" s="30">
        <f>IF(B4=0,"",RANK(B4,$B$2:$B$96,0))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RPTECH</t>
        </is>
      </c>
      <c r="D4" s="30" t="inlineStr">
        <is>
          <t>Rashi Peripherals Ltd</t>
        </is>
      </c>
      <c r="E4" s="30" t="inlineStr">
        <is>
          <t>services</t>
        </is>
      </c>
      <c r="F4" s="30" t="inlineStr">
        <is>
          <t>Trading</t>
        </is>
      </c>
      <c r="G4" s="30" t="inlineStr">
        <is>
          <t>smallcap</t>
        </is>
      </c>
      <c r="H4" s="31" t="n">
        <v>4946.76</v>
      </c>
      <c r="I4" s="31" t="n">
        <v>750.65</v>
      </c>
      <c r="J4" s="31" t="n">
        <v>2.83</v>
      </c>
      <c r="K4" s="31" t="n">
        <v>0</v>
      </c>
      <c r="L4" s="30" t="n">
        <v>96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88.43000000000001</v>
      </c>
      <c r="P4" s="31" t="n">
        <v>53.89</v>
      </c>
      <c r="Q4" s="31" t="n">
        <v>587.2</v>
      </c>
      <c r="R4" s="30" t="inlineStr">
        <is>
          <t>Volume Spike &amp; Near 52W High Breakout</t>
        </is>
      </c>
      <c r="S4" s="30" t="inlineStr">
        <is>
          <t>Nifty 50</t>
        </is>
      </c>
      <c r="T4" s="31" t="n">
        <v>-4.38</v>
      </c>
      <c r="U4" s="31" t="n">
        <v>155.29</v>
      </c>
      <c r="V4" s="31" t="n">
        <v>166.98</v>
      </c>
      <c r="W4" s="31" t="n">
        <v>50.88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Less than 50%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28</t>
        </is>
      </c>
      <c r="CG4" s="30">
        <f>IF(CF4&gt;20,10,IF(CF4&gt;=10,5,2))</f>
        <v/>
      </c>
    </row>
    <row r="5">
      <c r="A5" s="30">
        <f>IF(B5=0,"",RANK(B5,$B$2:$B$96,0))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ACCENTMIC</t>
        </is>
      </c>
      <c r="D5" s="30" t="inlineStr">
        <is>
          <t>Accent Microcell Ltd</t>
        </is>
      </c>
      <c r="E5" s="30" t="inlineStr">
        <is>
          <t>unknown</t>
        </is>
      </c>
      <c r="F5" s="30" t="inlineStr">
        <is>
          <t>Pharma - Formulators</t>
        </is>
      </c>
      <c r="G5" s="30" t="inlineStr">
        <is>
          <t>smallcap</t>
        </is>
      </c>
      <c r="H5" s="31" t="n">
        <v>1084.3</v>
      </c>
      <c r="I5" s="31" t="n">
        <v>452</v>
      </c>
      <c r="J5" s="31" t="n">
        <v>-0.58</v>
      </c>
      <c r="K5" s="31" t="n">
        <v>0</v>
      </c>
      <c r="L5" s="30" t="n">
        <v>74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65.47</v>
      </c>
      <c r="P5" s="31" t="n">
        <v>55.37</v>
      </c>
      <c r="Q5" s="31" t="n">
        <v>368.75</v>
      </c>
      <c r="R5" s="30" t="inlineStr">
        <is>
          <t>Near 52W High Breakout</t>
        </is>
      </c>
      <c r="S5" s="30" t="inlineStr">
        <is>
          <t>Nifty 50</t>
        </is>
      </c>
      <c r="T5" s="31" t="n">
        <v>-4.38</v>
      </c>
      <c r="U5" s="31" t="n">
        <v>108.93</v>
      </c>
      <c r="V5" s="31" t="n">
        <v>118.5</v>
      </c>
      <c r="W5" s="31" t="n">
        <v>21.76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20</t>
        </is>
      </c>
      <c r="CG5" s="30">
        <f>IF(CF5&gt;20,10,IF(CF5&gt;=10,5,2))</f>
        <v/>
      </c>
    </row>
    <row r="6">
      <c r="A6" s="30">
        <f>IF(B6=0,"",RANK(B6,$B$2:$B$96,0))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VENUSREM</t>
        </is>
      </c>
      <c r="D6" s="30" t="inlineStr">
        <is>
          <t>Venus Remedies Ltd</t>
        </is>
      </c>
      <c r="E6" s="30" t="inlineStr">
        <is>
          <t>healthcare</t>
        </is>
      </c>
      <c r="F6" s="30" t="inlineStr">
        <is>
          <t>Pharmaceuticals - I V Fluids</t>
        </is>
      </c>
      <c r="G6" s="30" t="inlineStr">
        <is>
          <t>smallcap</t>
        </is>
      </c>
      <c r="H6" s="31" t="n">
        <v>2324.65</v>
      </c>
      <c r="I6" s="31" t="n">
        <v>1739.1</v>
      </c>
      <c r="J6" s="31" t="n">
        <v>0</v>
      </c>
      <c r="K6" s="31" t="n">
        <v>0</v>
      </c>
      <c r="L6" s="30" t="n">
        <v>96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79.03</v>
      </c>
      <c r="P6" s="31" t="n">
        <v>52.86</v>
      </c>
      <c r="Q6" s="31" t="n">
        <v>1352.57</v>
      </c>
      <c r="R6" s="30" t="inlineStr">
        <is>
          <t>Near 52W High Breakout</t>
        </is>
      </c>
      <c r="S6" s="30" t="inlineStr">
        <is>
          <t>Nifty Pharma</t>
        </is>
      </c>
      <c r="T6" s="31" t="n">
        <v>13.17</v>
      </c>
      <c r="U6" s="31" t="n">
        <v>301.32</v>
      </c>
      <c r="V6" s="31" t="n">
        <v>254.6</v>
      </c>
      <c r="W6" s="31" t="n">
        <v>58.23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Annuity, Lower One Time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Above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Above 2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21</t>
        </is>
      </c>
      <c r="CG6" s="30">
        <f>IF(CF6&gt;20,10,IF(CF6&gt;=10,5,2))</f>
        <v/>
      </c>
    </row>
    <row r="7">
      <c r="A7" s="30">
        <f>IF(B7=0,"",RANK(B7,$B$2:$B$96,0))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THANGAMAYL</t>
        </is>
      </c>
      <c r="D7" s="30" t="inlineStr">
        <is>
          <t>Thangamayil Jewellery Ltd</t>
        </is>
      </c>
      <c r="E7" s="30" t="inlineStr">
        <is>
          <t>consumer discretionary</t>
        </is>
      </c>
      <c r="F7" s="30" t="inlineStr">
        <is>
          <t>Diamond, Gems &amp; Jewellery</t>
        </is>
      </c>
      <c r="G7" s="30" t="inlineStr">
        <is>
          <t>midcap</t>
        </is>
      </c>
      <c r="H7" s="31" t="n">
        <v>16954</v>
      </c>
      <c r="I7" s="31" t="n">
        <v>5454.6</v>
      </c>
      <c r="J7" s="31" t="n">
        <v>0.35</v>
      </c>
      <c r="K7" s="31" t="n">
        <v>0</v>
      </c>
      <c r="L7" s="30" t="n">
        <v>93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70.75</v>
      </c>
      <c r="P7" s="31" t="n">
        <v>40.06</v>
      </c>
      <c r="Q7" s="31" t="n">
        <v>3980.52</v>
      </c>
      <c r="R7" s="30" t="inlineStr">
        <is>
          <t>Near 52W High Breakout</t>
        </is>
      </c>
      <c r="S7" s="30" t="inlineStr">
        <is>
          <t>Nifty 50</t>
        </is>
      </c>
      <c r="T7" s="31" t="n">
        <v>-4.38</v>
      </c>
      <c r="U7" s="31" t="n">
        <v>191.88</v>
      </c>
      <c r="V7" s="31" t="n">
        <v>205.25</v>
      </c>
      <c r="W7" s="31" t="n">
        <v>39.54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Yes</t>
        </is>
      </c>
      <c r="BS7" s="30">
        <f>IF(BR7="NO",5,0)</f>
        <v/>
      </c>
      <c r="BT7" s="30" t="inlineStr">
        <is>
          <t>Above 2</t>
        </is>
      </c>
      <c r="BU7" s="30">
        <f>IF(BT7="Above 2",0,IF(BT7="Between 1.5 to 2",5,IF(BT7="Less than 1.5",10,0)))</f>
        <v/>
      </c>
      <c r="BV7" s="30" t="inlineStr">
        <is>
          <t>Between 50% to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27</t>
        </is>
      </c>
      <c r="CG7" s="30">
        <f>IF(CF7&gt;20,10,IF(CF7&gt;=10,5,2))</f>
        <v/>
      </c>
    </row>
    <row r="8">
      <c r="A8" s="30">
        <f>IF(B8=0,"",RANK(B8,$B$2:$B$96,0))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MTARTECH</t>
        </is>
      </c>
      <c r="D8" s="30" t="inlineStr">
        <is>
          <t>MTAR Technologies Ltd</t>
        </is>
      </c>
      <c r="E8" s="30" t="inlineStr">
        <is>
          <t>aerospace &amp; defence</t>
        </is>
      </c>
      <c r="F8" s="30" t="inlineStr">
        <is>
          <t>Aerospace &amp; Defence - Equipments</t>
        </is>
      </c>
      <c r="G8" s="30" t="inlineStr">
        <is>
          <t>largecap</t>
        </is>
      </c>
      <c r="H8" s="31" t="n">
        <v>25759.62</v>
      </c>
      <c r="I8" s="31" t="n">
        <v>8374.5</v>
      </c>
      <c r="J8" s="31" t="n">
        <v>0.83</v>
      </c>
      <c r="K8" s="31" t="n">
        <v>0</v>
      </c>
      <c r="L8" s="30" t="n">
        <v>98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80.7</v>
      </c>
      <c r="P8" s="31" t="n">
        <v>63.69</v>
      </c>
      <c r="Q8" s="31" t="n">
        <v>5890.13</v>
      </c>
      <c r="R8" s="30" t="inlineStr">
        <is>
          <t>Volume Spike &amp; Near 52W High Breakout</t>
        </is>
      </c>
      <c r="S8" s="30" t="inlineStr">
        <is>
          <t>Nifty 50</t>
        </is>
      </c>
      <c r="T8" s="31" t="n">
        <v>-4.38</v>
      </c>
      <c r="U8" s="31" t="n">
        <v>387.83</v>
      </c>
      <c r="V8" s="31" t="n">
        <v>410.16</v>
      </c>
      <c r="W8" s="31" t="n">
        <v>72.13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Above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Yes</t>
        </is>
      </c>
      <c r="BS8" s="30">
        <f>IF(BR8="NO",5,0)</f>
        <v/>
      </c>
      <c r="BT8" s="30" t="inlineStr">
        <is>
          <t>Above 2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26</t>
        </is>
      </c>
      <c r="CG8" s="30">
        <f>IF(CF8&gt;20,10,IF(CF8&gt;=10,5,2))</f>
        <v/>
      </c>
    </row>
    <row r="9">
      <c r="A9" s="30">
        <f>IF(B9=0,"",RANK(B9,$B$2:$B$96,0))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GAYAPROJ</t>
        </is>
      </c>
      <c r="D9" s="30" t="inlineStr">
        <is>
          <t>Gayatri Projects Ltd</t>
        </is>
      </c>
      <c r="E9" s="30" t="inlineStr">
        <is>
          <t>realty</t>
        </is>
      </c>
      <c r="F9" s="30" t="inlineStr">
        <is>
          <t>Construction - Civil/Turnkey</t>
        </is>
      </c>
      <c r="G9" s="30" t="inlineStr">
        <is>
          <t>smallcap</t>
        </is>
      </c>
      <c r="H9" s="31" t="n">
        <v>1092.03</v>
      </c>
      <c r="I9" s="31" t="n">
        <v>23.52</v>
      </c>
      <c r="J9" s="31" t="n">
        <v>-4.89</v>
      </c>
      <c r="K9" s="31" t="n">
        <v>0</v>
      </c>
      <c r="L9" s="30" t="n">
        <v>93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78.56999999999999</v>
      </c>
      <c r="P9" s="31" t="n">
        <v>60.47</v>
      </c>
      <c r="Q9" s="31" t="n">
        <v>18.53</v>
      </c>
      <c r="R9" s="30" t="inlineStr">
        <is>
          <t>Volume Spike &amp; Near 52W High Breakout</t>
        </is>
      </c>
      <c r="S9" s="30" t="inlineStr">
        <is>
          <t>Nifty Realty</t>
        </is>
      </c>
      <c r="T9" s="31" t="n">
        <v>-19.9</v>
      </c>
      <c r="U9" s="31" t="n">
        <v>175.09</v>
      </c>
      <c r="V9" s="31" t="n">
        <v>243.44</v>
      </c>
      <c r="W9" s="31" t="n">
        <v>40.22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Above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Above 2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21</t>
        </is>
      </c>
      <c r="CG9" s="30">
        <f>IF(CF9&gt;20,10,IF(CF9&gt;=10,5,2))</f>
        <v/>
      </c>
    </row>
    <row r="10">
      <c r="A10" s="30">
        <f>IF(B10=0,"",RANK(B10,$B$2:$B$96,0))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IBULLSLTD</t>
        </is>
      </c>
      <c r="D10" s="30" t="inlineStr">
        <is>
          <t>Indiabulls Limited</t>
        </is>
      </c>
      <c r="E10" s="30" t="inlineStr">
        <is>
          <t>miscellaneous</t>
        </is>
      </c>
      <c r="F10" s="30" t="inlineStr">
        <is>
          <t>Diversified</t>
        </is>
      </c>
      <c r="G10" s="30" t="inlineStr">
        <is>
          <t>midcap</t>
        </is>
      </c>
      <c r="H10" s="31" t="n">
        <v>6175.62</v>
      </c>
      <c r="I10" s="31" t="n">
        <v>26.51</v>
      </c>
      <c r="J10" s="31" t="n">
        <v>4.99</v>
      </c>
      <c r="K10" s="31" t="n">
        <v>0</v>
      </c>
      <c r="L10" s="30" t="n">
        <v>96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76.61</v>
      </c>
      <c r="P10" s="31" t="n">
        <v>36.42</v>
      </c>
      <c r="Q10" s="31" t="n">
        <v>19.06</v>
      </c>
      <c r="R10" s="30" t="inlineStr">
        <is>
          <t>Near 52W High Breakout</t>
        </is>
      </c>
      <c r="S10" s="30" t="inlineStr">
        <is>
          <t>Nifty 50</t>
        </is>
      </c>
      <c r="T10" s="31" t="n">
        <v>-4.38</v>
      </c>
      <c r="U10" s="31" t="n">
        <v>51.05</v>
      </c>
      <c r="V10" s="31" t="n">
        <v>57.97</v>
      </c>
      <c r="W10" s="31" t="n">
        <v>57.75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20 to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Between 50% to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21</t>
        </is>
      </c>
      <c r="CG10" s="30">
        <f>IF(CF10&gt;20,10,IF(CF10&gt;=10,5,2))</f>
        <v/>
      </c>
    </row>
    <row r="11">
      <c r="A11" s="30">
        <f>IF(B11=0,"",RANK(B11,$B$2:$B$96,0))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KPL</t>
        </is>
      </c>
      <c r="D11" s="30" t="inlineStr">
        <is>
          <t>Kwality Pharmaceuticals Ltd</t>
        </is>
      </c>
      <c r="E11" s="30" t="inlineStr">
        <is>
          <t>Healthcare</t>
        </is>
      </c>
      <c r="F11" s="30" t="inlineStr">
        <is>
          <t>Pharma - Formulators</t>
        </is>
      </c>
      <c r="G11" s="30" t="inlineStr">
        <is>
          <t>smallcap</t>
        </is>
      </c>
      <c r="H11" s="31" t="n">
        <v>2582.64</v>
      </c>
      <c r="I11" s="31" t="n">
        <v>2489</v>
      </c>
      <c r="J11" s="31" t="n">
        <v>6.07</v>
      </c>
      <c r="K11" s="31" t="n">
        <v>0</v>
      </c>
      <c r="L11" s="30" t="n">
        <v>90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79.29000000000001</v>
      </c>
      <c r="P11" s="31" t="n">
        <v>52.94</v>
      </c>
      <c r="Q11" s="31" t="n">
        <v>1806.81</v>
      </c>
      <c r="R11" s="30" t="inlineStr">
        <is>
          <t>Near 52W High Breakout</t>
        </is>
      </c>
      <c r="S11" s="30" t="inlineStr">
        <is>
          <t>Nifty Pharma</t>
        </is>
      </c>
      <c r="T11" s="31" t="n">
        <v>13.17</v>
      </c>
      <c r="U11" s="31" t="n">
        <v>140.57</v>
      </c>
      <c r="V11" s="31" t="n">
        <v>112.57</v>
      </c>
      <c r="W11" s="31" t="n">
        <v>35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Annuity, Lower One Time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Above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Less than 50%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27</t>
        </is>
      </c>
      <c r="CG11" s="30">
        <f>IF(CF11&gt;20,10,IF(CF11&gt;=10,5,2))</f>
        <v/>
      </c>
    </row>
    <row r="12">
      <c r="A12" s="30">
        <f>IF(B12=0,"",RANK(B12,$B$2:$B$96,0))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CUPID</t>
        </is>
      </c>
      <c r="D12" s="30" t="inlineStr">
        <is>
          <t>Cupid Ltd</t>
        </is>
      </c>
      <c r="E12" s="30" t="inlineStr">
        <is>
          <t>fmcg</t>
        </is>
      </c>
      <c r="F12" s="30" t="inlineStr">
        <is>
          <t>Contraceptives/Protectives</t>
        </is>
      </c>
      <c r="G12" s="30" t="inlineStr">
        <is>
          <t>largecap</t>
        </is>
      </c>
      <c r="H12" s="31" t="n">
        <v>23789.74</v>
      </c>
      <c r="I12" s="31" t="n">
        <v>176.92</v>
      </c>
      <c r="J12" s="31" t="n">
        <v>4.57</v>
      </c>
      <c r="K12" s="31" t="n">
        <v>0</v>
      </c>
      <c r="L12" s="30" t="n">
        <v>99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84.37</v>
      </c>
      <c r="P12" s="31" t="n">
        <v>48.69</v>
      </c>
      <c r="Q12" s="31" t="n">
        <v>138.09</v>
      </c>
      <c r="R12" s="30" t="inlineStr">
        <is>
          <t>Volume Spike &amp; Near 52W High Breakout</t>
        </is>
      </c>
      <c r="S12" s="30" t="inlineStr">
        <is>
          <t>Nifty FMCG</t>
        </is>
      </c>
      <c r="T12" s="31" t="n">
        <v>-9.279999999999999</v>
      </c>
      <c r="U12" s="31" t="n">
        <v>852</v>
      </c>
      <c r="V12" s="31" t="n">
        <v>949.4400000000001</v>
      </c>
      <c r="W12" s="31" t="n">
        <v>94.59999999999999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B2C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Annuity, Lower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Above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Yes</t>
        </is>
      </c>
      <c r="BS12" s="30">
        <f>IF(BR12="NO",5,0)</f>
        <v/>
      </c>
      <c r="BT12" s="30" t="inlineStr">
        <is>
          <t>Above 2</t>
        </is>
      </c>
      <c r="BU12" s="30">
        <f>IF(BT12="Above 2",0,IF(BT12="Between 1.5 to 2",5,IF(BT12="Less than 1.5",10,0)))</f>
        <v/>
      </c>
      <c r="BV12" s="30" t="inlineStr">
        <is>
          <t>Less than 50%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27</t>
        </is>
      </c>
      <c r="CG12" s="30">
        <f>IF(CF12&gt;20,10,IF(CF12&gt;=10,5,2))</f>
        <v/>
      </c>
    </row>
    <row r="13">
      <c r="A13" s="30">
        <f>IF(B13=0,"",RANK(B13,$B$2:$B$96,0))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MODINSU</t>
        </is>
      </c>
      <c r="D13" s="30" t="inlineStr">
        <is>
          <t>Modern Insulators Ltd</t>
        </is>
      </c>
      <c r="E13" s="30" t="inlineStr">
        <is>
          <t>Technology</t>
        </is>
      </c>
      <c r="F13" s="30" t="inlineStr">
        <is>
          <t>Capital Goods - Electric General</t>
        </is>
      </c>
      <c r="G13" s="30" t="inlineStr">
        <is>
          <t>smallcap</t>
        </is>
      </c>
      <c r="H13" s="31" t="n">
        <v>2446.77</v>
      </c>
      <c r="I13" s="31" t="n">
        <v>519</v>
      </c>
      <c r="J13" s="31" t="n">
        <v>3.91</v>
      </c>
      <c r="K13" s="31" t="n">
        <v>0</v>
      </c>
      <c r="L13" s="30" t="n">
        <v>97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76.5</v>
      </c>
      <c r="P13" s="31" t="n">
        <v>44.06</v>
      </c>
      <c r="Q13" s="31" t="n">
        <v>373.59</v>
      </c>
      <c r="R13" s="30" t="inlineStr">
        <is>
          <t>Near 52W High Breakout</t>
        </is>
      </c>
      <c r="S13" s="30" t="inlineStr">
        <is>
          <t>Nifty 50</t>
        </is>
      </c>
      <c r="T13" s="31" t="n">
        <v>-4.38</v>
      </c>
      <c r="U13" s="31" t="n">
        <v>411.58</v>
      </c>
      <c r="V13" s="31" t="n">
        <v>435</v>
      </c>
      <c r="W13" s="31" t="n">
        <v>71.3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Above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Above 2</t>
        </is>
      </c>
      <c r="BU13" s="30">
        <f>IF(BT13="Above 2",0,IF(BT13="Between 1.5 to 2",5,IF(BT13="Less than 1.5",10,0)))</f>
        <v/>
      </c>
      <c r="BV13" s="30" t="inlineStr">
        <is>
          <t>Less than 50%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24</t>
        </is>
      </c>
      <c r="CG13" s="30">
        <f>IF(CF13&gt;20,10,IF(CF13&gt;=10,5,2))</f>
        <v/>
      </c>
    </row>
    <row r="14">
      <c r="A14" s="30">
        <f>IF(B14=0,"",RANK(B14,$B$2:$B$96,0))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BLISSGVS</t>
        </is>
      </c>
      <c r="D14" s="30" t="inlineStr">
        <is>
          <t>Bliss GVS Pharma Ltd</t>
        </is>
      </c>
      <c r="E14" s="30" t="inlineStr">
        <is>
          <t>healthcare</t>
        </is>
      </c>
      <c r="F14" s="30" t="inlineStr">
        <is>
          <t>Pharma - Formulators</t>
        </is>
      </c>
      <c r="G14" s="30" t="inlineStr">
        <is>
          <t>midcap</t>
        </is>
      </c>
      <c r="H14" s="31" t="n">
        <v>5157.51</v>
      </c>
      <c r="I14" s="31" t="n">
        <v>486.3</v>
      </c>
      <c r="J14" s="31" t="n">
        <v>0.6899999999999999</v>
      </c>
      <c r="K14" s="31" t="n">
        <v>0</v>
      </c>
      <c r="L14" s="30" t="n">
        <v>97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90.31999999999999</v>
      </c>
      <c r="P14" s="31" t="n">
        <v>63.52</v>
      </c>
      <c r="Q14" s="31" t="n">
        <v>373.9</v>
      </c>
      <c r="R14" s="30" t="inlineStr">
        <is>
          <t>Near 52W High Breakout</t>
        </is>
      </c>
      <c r="S14" s="30" t="inlineStr">
        <is>
          <t>Nifty Pharma</t>
        </is>
      </c>
      <c r="T14" s="31" t="n">
        <v>13.17</v>
      </c>
      <c r="U14" s="31" t="n">
        <v>253.16</v>
      </c>
      <c r="V14" s="31" t="n">
        <v>212.05</v>
      </c>
      <c r="W14" s="31" t="n">
        <v>61.69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Annuity, Lower One Time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Above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Yes</t>
        </is>
      </c>
      <c r="BS14" s="30">
        <f>IF(BR14="NO",5,0)</f>
        <v/>
      </c>
      <c r="BT14" s="30" t="inlineStr">
        <is>
          <t>Above 2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21</t>
        </is>
      </c>
      <c r="CG14" s="30">
        <f>IF(CF14&gt;20,10,IF(CF14&gt;=10,5,2))</f>
        <v/>
      </c>
    </row>
    <row r="15">
      <c r="A15" s="30">
        <f>IF(B15=0,"",RANK(B15,$B$2:$B$96,0))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0" t="inlineStr">
        <is>
          <t>SEKURITIND</t>
        </is>
      </c>
      <c r="D15" s="30" t="inlineStr">
        <is>
          <t>Saint-Gobain Sekurit India Ltd</t>
        </is>
      </c>
      <c r="E15" s="30" t="inlineStr">
        <is>
          <t>Consumer Cyclical</t>
        </is>
      </c>
      <c r="F15" s="30" t="inlineStr">
        <is>
          <t>Glass &amp; Glass Products</t>
        </is>
      </c>
      <c r="G15" s="30" t="inlineStr">
        <is>
          <t>smallcap</t>
        </is>
      </c>
      <c r="H15" s="31" t="n">
        <v>1218.08</v>
      </c>
      <c r="I15" s="31" t="n">
        <v>133.7</v>
      </c>
      <c r="J15" s="31" t="n">
        <v>8.880000000000001</v>
      </c>
      <c r="K15" s="31" t="n">
        <v>0</v>
      </c>
      <c r="L15" s="30" t="n">
        <v>58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71.05</v>
      </c>
      <c r="P15" s="31" t="n">
        <v>31.6</v>
      </c>
      <c r="Q15" s="31" t="n">
        <v>105.19</v>
      </c>
      <c r="R15" s="30" t="inlineStr">
        <is>
          <t>Volume Spike &amp; Near 52W High Breakout</t>
        </is>
      </c>
      <c r="S15" s="30" t="inlineStr">
        <is>
          <t>Nifty Auto</t>
        </is>
      </c>
      <c r="T15" s="31" t="n">
        <v>12.26</v>
      </c>
      <c r="U15" s="31" t="n">
        <v>26.59</v>
      </c>
      <c r="V15" s="31" t="n">
        <v>12.76</v>
      </c>
      <c r="W15" s="31" t="n">
        <v>15.31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B2C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20 to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Close to 52 week high or retracement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Between 50% to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22</t>
        </is>
      </c>
      <c r="CG15" s="30">
        <f>IF(CF15&gt;20,10,IF(CF15&gt;=10,5,2))</f>
        <v/>
      </c>
    </row>
    <row r="16">
      <c r="A16" s="30">
        <f>IF(B16=0,"",RANK(B16,$B$2:$B$96,0))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0" t="inlineStr">
        <is>
          <t>GVT&amp;D</t>
        </is>
      </c>
      <c r="D16" s="30" t="inlineStr">
        <is>
          <t>GE Vernova T&amp;D India Ltd</t>
        </is>
      </c>
      <c r="E16" s="30" t="inlineStr">
        <is>
          <t>industrials</t>
        </is>
      </c>
      <c r="F16" s="30" t="inlineStr">
        <is>
          <t>Electrical Equipments/HVDC</t>
        </is>
      </c>
      <c r="G16" s="30" t="inlineStr">
        <is>
          <t>largecap</t>
        </is>
      </c>
      <c r="H16" s="31" t="n">
        <v>141683.35</v>
      </c>
      <c r="I16" s="31" t="n">
        <v>5533.5</v>
      </c>
      <c r="J16" s="31" t="n">
        <v>5.4</v>
      </c>
      <c r="K16" s="31" t="n">
        <v>0</v>
      </c>
      <c r="L16" s="30" t="n">
        <v>87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75.39</v>
      </c>
      <c r="P16" s="31" t="n">
        <v>51.03</v>
      </c>
      <c r="Q16" s="31" t="n">
        <v>4192.72</v>
      </c>
      <c r="R16" s="30" t="inlineStr">
        <is>
          <t>Near 52W High Breakout</t>
        </is>
      </c>
      <c r="S16" s="30" t="inlineStr">
        <is>
          <t>Nifty 50</t>
        </is>
      </c>
      <c r="T16" s="31" t="n">
        <v>-4.38</v>
      </c>
      <c r="U16" s="31" t="n">
        <v>135.27</v>
      </c>
      <c r="V16" s="31" t="n">
        <v>146.04</v>
      </c>
      <c r="W16" s="31" t="n">
        <v>30.47</v>
      </c>
      <c r="X16" s="30" t="inlineStr">
        <is>
          <t>Cyclical in an Upturn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20</t>
        </is>
      </c>
      <c r="CG16" s="30">
        <f>IF(CF16&gt;20,10,IF(CF16&gt;=10,5,2))</f>
        <v/>
      </c>
    </row>
    <row r="17">
      <c r="A17" s="30">
        <f>IF(B17=0,"",RANK(B17,$B$2:$B$96,0))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3" t="inlineStr">
        <is>
          <t>KPIL</t>
        </is>
      </c>
      <c r="D17" s="33" t="inlineStr">
        <is>
          <t>Kalpataru Projects International Ltd</t>
        </is>
      </c>
      <c r="E17" s="30" t="inlineStr">
        <is>
          <t>realty</t>
        </is>
      </c>
      <c r="F17" s="30" t="inlineStr">
        <is>
          <t>Infra - Power - Generation/Distribution</t>
        </is>
      </c>
      <c r="G17" s="30" t="inlineStr">
        <is>
          <t>largecap</t>
        </is>
      </c>
      <c r="H17" s="31" t="n">
        <v>23885.96</v>
      </c>
      <c r="I17" s="31" t="n">
        <v>1398.7</v>
      </c>
      <c r="J17" s="31" t="n">
        <v>2.25</v>
      </c>
      <c r="K17" s="31" t="n">
        <v>0</v>
      </c>
      <c r="L17" s="30" t="n">
        <v>43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68.66</v>
      </c>
      <c r="P17" s="31" t="n">
        <v>22.46</v>
      </c>
      <c r="Q17" s="31" t="n">
        <v>1141.92</v>
      </c>
      <c r="R17" s="30" t="inlineStr">
        <is>
          <t>Volume Spike &amp; Near 52W High Breakout</t>
        </is>
      </c>
      <c r="S17" s="30" t="inlineStr">
        <is>
          <t>Nifty Realty</t>
        </is>
      </c>
      <c r="T17" s="31" t="n">
        <v>-19.9</v>
      </c>
      <c r="U17" s="31" t="n">
        <v>21.5</v>
      </c>
      <c r="V17" s="31" t="n">
        <v>51.69</v>
      </c>
      <c r="W17" s="31" t="n">
        <v>11.04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20 to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Between 50% to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20</t>
        </is>
      </c>
      <c r="CG17" s="30">
        <f>IF(CF17&gt;20,10,IF(CF17&gt;=10,5,2))</f>
        <v/>
      </c>
    </row>
    <row r="18">
      <c r="A18" s="30">
        <f>IF(B18=0,"",RANK(B18,$B$2:$B$96,0))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ACUTAAS</t>
        </is>
      </c>
      <c r="D18" s="30" t="inlineStr">
        <is>
          <t>Acutaas Chemicals Ltd</t>
        </is>
      </c>
      <c r="E18" s="30" t="inlineStr">
        <is>
          <t>healthcare</t>
        </is>
      </c>
      <c r="F18" s="30" t="inlineStr">
        <is>
          <t>Pharma - API &amp; CRAMS</t>
        </is>
      </c>
      <c r="G18" s="30" t="inlineStr">
        <is>
          <t>largecap</t>
        </is>
      </c>
      <c r="H18" s="31" t="n">
        <v>26577</v>
      </c>
      <c r="I18" s="31" t="n">
        <v>3246.2</v>
      </c>
      <c r="J18" s="31" t="n">
        <v>3.5</v>
      </c>
      <c r="K18" s="31" t="n">
        <v>0</v>
      </c>
      <c r="L18" s="30" t="n">
        <v>88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73.26000000000001</v>
      </c>
      <c r="P18" s="31" t="n">
        <v>65.34999999999999</v>
      </c>
      <c r="Q18" s="31" t="n">
        <v>2564.43</v>
      </c>
      <c r="R18" s="30" t="inlineStr">
        <is>
          <t>Near 52W High Breakout</t>
        </is>
      </c>
      <c r="S18" s="30" t="inlineStr">
        <is>
          <t>Nifty Pharma</t>
        </is>
      </c>
      <c r="T18" s="31" t="n">
        <v>13.17</v>
      </c>
      <c r="U18" s="31" t="n">
        <v>187.01</v>
      </c>
      <c r="V18" s="31" t="n">
        <v>153.6</v>
      </c>
      <c r="W18" s="31" t="n">
        <v>31.61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Annuity, Lower One Time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Yes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Between 50% to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25</t>
        </is>
      </c>
      <c r="CG18" s="30">
        <f>IF(CF18&gt;20,10,IF(CF18&gt;=10,5,2))</f>
        <v/>
      </c>
    </row>
    <row r="19">
      <c r="A19" s="30">
        <f>IF(B19=0,"",RANK(B19,$B$2:$B$96,0))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SKMEGGPROD</t>
        </is>
      </c>
      <c r="D19" s="30" t="inlineStr">
        <is>
          <t>SKM Egg Products Export (India) Ltd</t>
        </is>
      </c>
      <c r="E19" s="30" t="inlineStr">
        <is>
          <t>fmcg</t>
        </is>
      </c>
      <c r="F19" s="30" t="inlineStr">
        <is>
          <t>FMCG - Animal/Polutry</t>
        </is>
      </c>
      <c r="G19" s="30" t="inlineStr">
        <is>
          <t>smallcap</t>
        </is>
      </c>
      <c r="H19" s="31" t="n">
        <v>1249.41</v>
      </c>
      <c r="I19" s="31" t="n">
        <v>237.26</v>
      </c>
      <c r="J19" s="31" t="n">
        <v>-0.71</v>
      </c>
      <c r="K19" s="31" t="n">
        <v>0</v>
      </c>
      <c r="L19" s="30" t="n">
        <v>83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67.48999999999999</v>
      </c>
      <c r="P19" s="31" t="n">
        <v>22.1</v>
      </c>
      <c r="Q19" s="31" t="n">
        <v>170.69</v>
      </c>
      <c r="R19" s="30" t="inlineStr">
        <is>
          <t>Near 52W High Breakout</t>
        </is>
      </c>
      <c r="S19" s="30" t="inlineStr">
        <is>
          <t>Nifty FMCG</t>
        </is>
      </c>
      <c r="T19" s="31" t="n">
        <v>-9.279999999999999</v>
      </c>
      <c r="U19" s="31" t="n">
        <v>88.34</v>
      </c>
      <c r="V19" s="31" t="n">
        <v>107.61</v>
      </c>
      <c r="W19" s="31" t="n">
        <v>27.66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B2C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Annuity, Lower One Time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20 to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Less than 50%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23</t>
        </is>
      </c>
      <c r="CG19" s="30">
        <f>IF(CF19&gt;20,10,IF(CF19&gt;=10,5,2))</f>
        <v/>
      </c>
    </row>
    <row r="20">
      <c r="A20" s="30">
        <f>IF(B20=0,"",RANK(B20,$B$2:$B$96,0))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GVPIL</t>
        </is>
      </c>
      <c r="D20" s="30" t="inlineStr">
        <is>
          <t>GE Power India Ltd</t>
        </is>
      </c>
      <c r="E20" s="30" t="inlineStr">
        <is>
          <t>realty</t>
        </is>
      </c>
      <c r="F20" s="30" t="inlineStr">
        <is>
          <t>Infra - General</t>
        </is>
      </c>
      <c r="G20" s="30" t="inlineStr">
        <is>
          <t>midcap</t>
        </is>
      </c>
      <c r="H20" s="31" t="n">
        <v>7076.03</v>
      </c>
      <c r="I20" s="31" t="n">
        <v>1052.55</v>
      </c>
      <c r="J20" s="31" t="n">
        <v>5</v>
      </c>
      <c r="K20" s="31" t="n">
        <v>0</v>
      </c>
      <c r="L20" s="30" t="n">
        <v>97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90.56</v>
      </c>
      <c r="P20" s="31" t="n">
        <v>58.79</v>
      </c>
      <c r="Q20" s="31" t="n">
        <v>819.1799999999999</v>
      </c>
      <c r="R20" s="30" t="inlineStr">
        <is>
          <t>Near 52W High Breakout</t>
        </is>
      </c>
      <c r="S20" s="30" t="inlineStr">
        <is>
          <t>Nifty Realty</t>
        </is>
      </c>
      <c r="T20" s="31" t="n">
        <v>-19.9</v>
      </c>
      <c r="U20" s="31" t="n">
        <v>246.4</v>
      </c>
      <c r="V20" s="31" t="n">
        <v>332.48</v>
      </c>
      <c r="W20" s="31" t="n">
        <v>67.06999999999999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Duopoly That Cooperate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Shallow Cyclical (2 to 3 Years Growth)</t>
        </is>
      </c>
      <c r="AG20" s="30">
        <f>IF(AF20="Structural (10 Years Consistency)",10,IF(AF20="Shallow Cyclical (2 to 3 years growth)",5,0))</f>
        <v/>
      </c>
      <c r="AH20" s="30" t="inlineStr">
        <is>
          <t>Yes due to Product Mix change or Operating Leverage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B2C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Fully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only for next 1 to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Close to 52 week high or retracement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Yes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Between 50% to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Between 0.7 to 1.2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21</t>
        </is>
      </c>
      <c r="CG20" s="30">
        <f>IF(CF20&gt;20,10,IF(CF20&gt;=10,5,2))</f>
        <v/>
      </c>
    </row>
    <row r="21">
      <c r="A21" s="30">
        <f>IF(B21=0,"",RANK(B21,$B$2:$B$96,0))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AEGISLOG</t>
        </is>
      </c>
      <c r="D21" s="30" t="inlineStr">
        <is>
          <t>Aegis Logistics Ltd</t>
        </is>
      </c>
      <c r="E21" s="30" t="inlineStr">
        <is>
          <t>services</t>
        </is>
      </c>
      <c r="F21" s="30" t="inlineStr">
        <is>
          <t>Logistics</t>
        </is>
      </c>
      <c r="G21" s="30" t="inlineStr">
        <is>
          <t>largecap</t>
        </is>
      </c>
      <c r="H21" s="31" t="n">
        <v>35373.78</v>
      </c>
      <c r="I21" s="31" t="n">
        <v>1007.8</v>
      </c>
      <c r="J21" s="31" t="n">
        <v>0.09</v>
      </c>
      <c r="K21" s="31" t="n">
        <v>0</v>
      </c>
      <c r="L21" s="30" t="n">
        <v>73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75.52</v>
      </c>
      <c r="P21" s="31" t="n">
        <v>23.33</v>
      </c>
      <c r="Q21" s="31" t="n">
        <v>783.34</v>
      </c>
      <c r="R21" s="30" t="inlineStr">
        <is>
          <t>Near 52W High Breakout</t>
        </is>
      </c>
      <c r="S21" s="30" t="inlineStr">
        <is>
          <t>Nifty 50</t>
        </is>
      </c>
      <c r="T21" s="31" t="n">
        <v>-4.38</v>
      </c>
      <c r="U21" s="31" t="n">
        <v>29.34</v>
      </c>
      <c r="V21" s="31" t="n">
        <v>35.26</v>
      </c>
      <c r="W21" s="31" t="n">
        <v>21.44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20 to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28</t>
        </is>
      </c>
      <c r="CG21" s="30">
        <f>IF(CF21&gt;20,10,IF(CF21&gt;=10,5,2))</f>
        <v/>
      </c>
    </row>
    <row r="22">
      <c r="A22" s="30">
        <f>IF(B22=0,"",RANK(B22,$B$2:$B$96,0))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3" t="inlineStr">
        <is>
          <t>NIBE</t>
        </is>
      </c>
      <c r="D22" s="33" t="inlineStr">
        <is>
          <t>NIBE Ltd</t>
        </is>
      </c>
      <c r="E22" s="30" t="inlineStr">
        <is>
          <t>aerospace &amp; defence</t>
        </is>
      </c>
      <c r="F22" s="30" t="inlineStr">
        <is>
          <t>Aerospace &amp; Defence - Equipments</t>
        </is>
      </c>
      <c r="G22" s="30" t="inlineStr">
        <is>
          <t>smallcap</t>
        </is>
      </c>
      <c r="H22" s="31" t="n">
        <v>2771.6</v>
      </c>
      <c r="I22" s="31" t="n">
        <v>1816.1</v>
      </c>
      <c r="J22" s="31" t="n">
        <v>3.92</v>
      </c>
      <c r="K22" s="31" t="n">
        <v>0</v>
      </c>
      <c r="L22" s="30" t="n">
        <v>81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74.66</v>
      </c>
      <c r="P22" s="31" t="n">
        <v>22.15</v>
      </c>
      <c r="Q22" s="31" t="n">
        <v>1317.28</v>
      </c>
      <c r="R22" s="30" t="inlineStr">
        <is>
          <t>Near 52W High Breakout</t>
        </is>
      </c>
      <c r="S22" s="30" t="inlineStr">
        <is>
          <t>Nifty 50</t>
        </is>
      </c>
      <c r="T22" s="31" t="n">
        <v>-4.38</v>
      </c>
      <c r="U22" s="31" t="n">
        <v>6.7</v>
      </c>
      <c r="V22" s="31" t="n">
        <v>11.58</v>
      </c>
      <c r="W22" s="31" t="n">
        <v>25.47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20 to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Above 2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25</t>
        </is>
      </c>
      <c r="CG22" s="30">
        <f>IF(CF22&gt;20,10,IF(CF22&gt;=10,5,2))</f>
        <v/>
      </c>
    </row>
    <row r="23">
      <c r="A23" s="30">
        <f>IF(B23=0,"",RANK(B23,$B$2:$B$96,0))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BHAGYANGR</t>
        </is>
      </c>
      <c r="D23" s="30" t="inlineStr">
        <is>
          <t>Bhagyanagar India Ltd</t>
        </is>
      </c>
      <c r="E23" s="30" t="inlineStr">
        <is>
          <t>power &amp; utilities</t>
        </is>
      </c>
      <c r="F23" s="30" t="inlineStr">
        <is>
          <t>Recycling</t>
        </is>
      </c>
      <c r="G23" s="30" t="inlineStr">
        <is>
          <t>smallcap</t>
        </is>
      </c>
      <c r="H23" s="31" t="n">
        <v>1241.57</v>
      </c>
      <c r="I23" s="31" t="n">
        <v>388.05</v>
      </c>
      <c r="J23" s="31" t="n">
        <v>2.81</v>
      </c>
      <c r="K23" s="31" t="n">
        <v>0</v>
      </c>
      <c r="L23" s="30" t="n">
        <v>98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82.28</v>
      </c>
      <c r="P23" s="31" t="n">
        <v>60.3</v>
      </c>
      <c r="Q23" s="31" t="n">
        <v>278.68</v>
      </c>
      <c r="R23" s="30" t="inlineStr">
        <is>
          <t>Near 52W High Breakout</t>
        </is>
      </c>
      <c r="S23" s="30" t="inlineStr">
        <is>
          <t>Nifty IT</t>
        </is>
      </c>
      <c r="T23" s="31" t="n">
        <v>-29.66</v>
      </c>
      <c r="U23" s="31" t="n">
        <v>394.52</v>
      </c>
      <c r="V23" s="31" t="n">
        <v>603.04</v>
      </c>
      <c r="W23" s="31" t="n">
        <v>80.73999999999999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Above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Between 50% to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Between 0.7 to 1.2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23</t>
        </is>
      </c>
      <c r="CG23" s="30">
        <f>IF(CF23&gt;20,10,IF(CF23&gt;=10,5,2))</f>
        <v/>
      </c>
    </row>
    <row r="24">
      <c r="A24" s="30">
        <f>IF(B24=0,"",RANK(B24,$B$2:$B$96,0))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TIMEX</t>
        </is>
      </c>
      <c r="D24" s="30" t="inlineStr">
        <is>
          <t>Timex Group India Ltd</t>
        </is>
      </c>
      <c r="E24" s="30" t="inlineStr">
        <is>
          <t>Consumer Cyclical</t>
        </is>
      </c>
      <c r="F24" s="30" t="inlineStr">
        <is>
          <t>Watches</t>
        </is>
      </c>
      <c r="G24" s="30" t="inlineStr">
        <is>
          <t>midcap</t>
        </is>
      </c>
      <c r="H24" s="31" t="n">
        <v>5233.25</v>
      </c>
      <c r="I24" s="31" t="n">
        <v>518.4</v>
      </c>
      <c r="J24" s="31" t="n">
        <v>8.74</v>
      </c>
      <c r="K24" s="31" t="n">
        <v>0</v>
      </c>
      <c r="L24" s="30" t="n">
        <v>92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76.52</v>
      </c>
      <c r="P24" s="31" t="n">
        <v>30.19</v>
      </c>
      <c r="Q24" s="31" t="n">
        <v>393.52</v>
      </c>
      <c r="R24" s="30" t="inlineStr">
        <is>
          <t>Near 52W High Breakout</t>
        </is>
      </c>
      <c r="S24" s="30" t="inlineStr">
        <is>
          <t>Nifty 50</t>
        </is>
      </c>
      <c r="T24" s="31" t="n">
        <v>-4.38</v>
      </c>
      <c r="U24" s="31" t="n">
        <v>99.73</v>
      </c>
      <c r="V24" s="31" t="n">
        <v>108.87</v>
      </c>
      <c r="W24" s="31" t="n">
        <v>37.09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B2C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20 to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Yes</t>
        </is>
      </c>
      <c r="BS24" s="30">
        <f>IF(BR24="NO",5,0)</f>
        <v/>
      </c>
      <c r="BT24" s="30" t="inlineStr">
        <is>
          <t>Above 2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22</t>
        </is>
      </c>
      <c r="CG24" s="30">
        <f>IF(CF24&gt;20,10,IF(CF24&gt;=10,5,2))</f>
        <v/>
      </c>
    </row>
    <row r="25">
      <c r="A25" s="30">
        <f>IF(B25=0,"",RANK(B25,$B$2:$B$96,0))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3" t="inlineStr">
        <is>
          <t>KRISHNADEF</t>
        </is>
      </c>
      <c r="D25" s="33" t="inlineStr">
        <is>
          <t>Krishna Defence &amp; Allied Industries Ltd</t>
        </is>
      </c>
      <c r="E25" s="30" t="inlineStr">
        <is>
          <t>Industrials</t>
        </is>
      </c>
      <c r="F25" s="30" t="inlineStr">
        <is>
          <t>Shipping - Proxy</t>
        </is>
      </c>
      <c r="G25" s="30" t="inlineStr">
        <is>
          <t>smallcap</t>
        </is>
      </c>
      <c r="H25" s="31" t="n">
        <v>2016.9</v>
      </c>
      <c r="I25" s="31" t="n">
        <v>1350.6</v>
      </c>
      <c r="J25" s="31" t="n">
        <v>2.32</v>
      </c>
      <c r="K25" s="31" t="n">
        <v>0</v>
      </c>
      <c r="L25" s="30" t="n">
        <v>72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70.23</v>
      </c>
      <c r="P25" s="31" t="n">
        <v>39.96</v>
      </c>
      <c r="Q25" s="31" t="n">
        <v>905.12</v>
      </c>
      <c r="R25" s="30" t="inlineStr">
        <is>
          <t>Near 52W High Breakout</t>
        </is>
      </c>
      <c r="S25" s="30" t="inlineStr">
        <is>
          <t>Nifty 50</t>
        </is>
      </c>
      <c r="T25" s="31" t="n">
        <v>-4.38</v>
      </c>
      <c r="U25" s="31" t="n">
        <v>49.39</v>
      </c>
      <c r="V25" s="31" t="n">
        <v>56.23</v>
      </c>
      <c r="W25" s="31" t="n">
        <v>20.72</v>
      </c>
      <c r="X25" s="30" t="inlineStr">
        <is>
          <t>Cyclical in an Upturn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Yes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21</t>
        </is>
      </c>
      <c r="CG25" s="30">
        <f>IF(CF25&gt;20,10,IF(CF25&gt;=10,5,2))</f>
        <v/>
      </c>
    </row>
    <row r="26">
      <c r="A26" s="30">
        <f>IF(B26=0,"",RANK(B26,$B$2:$B$96,0))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3" t="inlineStr">
        <is>
          <t>MARKSANS</t>
        </is>
      </c>
      <c r="D26" s="33" t="inlineStr">
        <is>
          <t>Marksans Pharma Ltd</t>
        </is>
      </c>
      <c r="E26" s="30" t="inlineStr">
        <is>
          <t>healthcare</t>
        </is>
      </c>
      <c r="F26" s="30" t="inlineStr">
        <is>
          <t>Pharma - Formulators</t>
        </is>
      </c>
      <c r="G26" s="30" t="inlineStr">
        <is>
          <t>midcap</t>
        </is>
      </c>
      <c r="H26" s="31" t="n">
        <v>11767.3</v>
      </c>
      <c r="I26" s="31" t="n">
        <v>259.67</v>
      </c>
      <c r="J26" s="31" t="n">
        <v>-0.68</v>
      </c>
      <c r="K26" s="31" t="n">
        <v>0</v>
      </c>
      <c r="L26" s="30" t="n">
        <v>58</v>
      </c>
      <c r="M26" s="30" t="inlineStr">
        <is>
          <t>Underperforming</t>
        </is>
      </c>
      <c r="N26" s="31">
        <f>IF(M26="Underperforming",-5,IF(L26&gt;=95,15,IF(L26&gt;=90,10,IF(L26&gt;=80,5,0))))</f>
        <v/>
      </c>
      <c r="O26" s="31" t="n">
        <v>73.41</v>
      </c>
      <c r="P26" s="31" t="n">
        <v>32.42</v>
      </c>
      <c r="Q26" s="31" t="n">
        <v>200.71</v>
      </c>
      <c r="R26" s="30" t="inlineStr">
        <is>
          <t>Near 52W High Breakout</t>
        </is>
      </c>
      <c r="S26" s="30" t="inlineStr">
        <is>
          <t>Nifty Pharma</t>
        </is>
      </c>
      <c r="T26" s="31" t="n">
        <v>13.17</v>
      </c>
      <c r="U26" s="31" t="n">
        <v>8.58</v>
      </c>
      <c r="V26" s="31" t="n">
        <v>-4.06</v>
      </c>
      <c r="W26" s="31" t="n">
        <v>15.08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Annuity, Lower One Time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22</t>
        </is>
      </c>
      <c r="CG26" s="30">
        <f>IF(CF26&gt;20,10,IF(CF26&gt;=10,5,2))</f>
        <v/>
      </c>
    </row>
    <row r="27">
      <c r="A27" s="30">
        <f>IF(B27=0,"",RANK(B27,$B$2:$B$96,0))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SIGMAADV</t>
        </is>
      </c>
      <c r="D27" s="30" t="inlineStr">
        <is>
          <t>Sigma Advanced System Ltd</t>
        </is>
      </c>
      <c r="E27" s="30" t="inlineStr">
        <is>
          <t>aerospace &amp; defence</t>
        </is>
      </c>
      <c r="F27" s="30" t="inlineStr">
        <is>
          <t>Aerospace &amp; Defence - Equipments</t>
        </is>
      </c>
      <c r="G27" s="30" t="inlineStr">
        <is>
          <t>midcap</t>
        </is>
      </c>
      <c r="H27" s="31" t="n">
        <v>9253.469999999999</v>
      </c>
      <c r="I27" s="31" t="n">
        <v>525.05</v>
      </c>
      <c r="J27" s="31" t="n">
        <v>5</v>
      </c>
      <c r="K27" s="31" t="n">
        <v>0</v>
      </c>
      <c r="L27" s="30" t="n">
        <v>99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87.90000000000001</v>
      </c>
      <c r="P27" s="31" t="n">
        <v>43.56</v>
      </c>
      <c r="Q27" s="31" t="n">
        <v>397.01</v>
      </c>
      <c r="R27" s="30" t="inlineStr">
        <is>
          <t>Near 52W High Breakout</t>
        </is>
      </c>
      <c r="S27" s="30" t="inlineStr">
        <is>
          <t>Nifty 50</t>
        </is>
      </c>
      <c r="T27" s="31" t="n">
        <v>-4.38</v>
      </c>
      <c r="U27" s="31" t="n">
        <v>514.6</v>
      </c>
      <c r="V27" s="31" t="n">
        <v>542.73</v>
      </c>
      <c r="W27" s="31" t="n">
        <v>100.48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Negative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Between 0.7 to 1.2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26</t>
        </is>
      </c>
      <c r="CG27" s="30">
        <f>IF(CF27&gt;20,10,IF(CF27&gt;=10,5,2))</f>
        <v/>
      </c>
    </row>
    <row r="28">
      <c r="A28" s="30">
        <f>IF(B28=0,"",RANK(B28,$B$2:$B$96,0))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PARAS</t>
        </is>
      </c>
      <c r="D28" s="30" t="inlineStr">
        <is>
          <t>Paras Defence and Space Technologies Ltd</t>
        </is>
      </c>
      <c r="E28" s="30" t="inlineStr">
        <is>
          <t>aerospace &amp; defence</t>
        </is>
      </c>
      <c r="F28" s="30" t="inlineStr">
        <is>
          <t>Aerospace &amp; Defence - Equipments</t>
        </is>
      </c>
      <c r="G28" s="30" t="inlineStr">
        <is>
          <t>midcap</t>
        </is>
      </c>
      <c r="H28" s="31" t="n">
        <v>11351.93</v>
      </c>
      <c r="I28" s="31" t="n">
        <v>1408.65</v>
      </c>
      <c r="J28" s="31" t="n">
        <v>7.51</v>
      </c>
      <c r="K28" s="31" t="n">
        <v>0</v>
      </c>
      <c r="L28" s="30" t="n">
        <v>94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81.19</v>
      </c>
      <c r="P28" s="31" t="n">
        <v>41.47</v>
      </c>
      <c r="Q28" s="31" t="n">
        <v>1060.26</v>
      </c>
      <c r="R28" s="30" t="inlineStr">
        <is>
          <t>Volume Spike &amp; Near 52W High Breakout</t>
        </is>
      </c>
      <c r="S28" s="30" t="inlineStr">
        <is>
          <t>Nifty 50</t>
        </is>
      </c>
      <c r="T28" s="31" t="n">
        <v>-4.38</v>
      </c>
      <c r="U28" s="31" t="n">
        <v>70.44</v>
      </c>
      <c r="V28" s="31" t="n">
        <v>78.25</v>
      </c>
      <c r="W28" s="31" t="n">
        <v>44.65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Above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Close to 52 week high or retracement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Yes</t>
        </is>
      </c>
      <c r="BS28" s="30">
        <f>IF(BR28="NO",5,0)</f>
        <v/>
      </c>
      <c r="BT28" s="30" t="inlineStr">
        <is>
          <t>Between 1.5 to 2</t>
        </is>
      </c>
      <c r="BU28" s="30">
        <f>IF(BT28="Above 2",0,IF(BT28="Between 1.5 to 2",5,IF(BT28="Less than 1.5",10,0)))</f>
        <v/>
      </c>
      <c r="BV28" s="30" t="inlineStr">
        <is>
          <t>Less than 50%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25</t>
        </is>
      </c>
      <c r="CG28" s="30">
        <f>IF(CF28&gt;20,10,IF(CF28&gt;=10,5,2))</f>
        <v/>
      </c>
    </row>
    <row r="29">
      <c r="A29" s="30">
        <f>IF(B29=0,"",RANK(B29,$B$2:$B$96,0))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0" t="inlineStr">
        <is>
          <t>AVALON</t>
        </is>
      </c>
      <c r="D29" s="30" t="inlineStr">
        <is>
          <t>Avalon Technologies Ltd</t>
        </is>
      </c>
      <c r="E29" s="30" t="inlineStr">
        <is>
          <t>consumer discretionary</t>
        </is>
      </c>
      <c r="F29" s="30" t="inlineStr">
        <is>
          <t>Consumer Electronics - EMS</t>
        </is>
      </c>
      <c r="G29" s="30" t="inlineStr">
        <is>
          <t>midcap</t>
        </is>
      </c>
      <c r="H29" s="31" t="n">
        <v>11651.78</v>
      </c>
      <c r="I29" s="31" t="n">
        <v>1744.6</v>
      </c>
      <c r="J29" s="31" t="n">
        <v>-0.61</v>
      </c>
      <c r="K29" s="31" t="n">
        <v>0</v>
      </c>
      <c r="L29" s="30" t="n">
        <v>91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77.64</v>
      </c>
      <c r="P29" s="31" t="n">
        <v>37.56</v>
      </c>
      <c r="Q29" s="31" t="n">
        <v>1293.36</v>
      </c>
      <c r="R29" s="30" t="inlineStr">
        <is>
          <t>Near 52W High Breakout</t>
        </is>
      </c>
      <c r="S29" s="30" t="inlineStr">
        <is>
          <t>Nifty 50</t>
        </is>
      </c>
      <c r="T29" s="31" t="n">
        <v>-4.38</v>
      </c>
      <c r="U29" s="31" t="n">
        <v>108.8</v>
      </c>
      <c r="V29" s="31" t="n">
        <v>118.36</v>
      </c>
      <c r="W29" s="31" t="n">
        <v>36.35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Above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Less than 50%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22</t>
        </is>
      </c>
      <c r="CG29" s="30">
        <f>IF(CF29&gt;20,10,IF(CF29&gt;=10,5,2))</f>
        <v/>
      </c>
    </row>
    <row r="30">
      <c r="A30" s="30">
        <f>IF(B30=0,"",RANK(B30,$B$2:$B$96,0))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0" t="inlineStr">
        <is>
          <t>SYRMA</t>
        </is>
      </c>
      <c r="D30" s="30" t="inlineStr">
        <is>
          <t>Syrma SGS Technology Ltd</t>
        </is>
      </c>
      <c r="E30" s="30" t="inlineStr">
        <is>
          <t>consumer discretionary</t>
        </is>
      </c>
      <c r="F30" s="30" t="inlineStr">
        <is>
          <t>Consumer Electronics - EMS</t>
        </is>
      </c>
      <c r="G30" s="30" t="inlineStr">
        <is>
          <t>largecap</t>
        </is>
      </c>
      <c r="H30" s="31" t="n">
        <v>25723.59</v>
      </c>
      <c r="I30" s="31" t="n">
        <v>1334</v>
      </c>
      <c r="J30" s="31" t="n">
        <v>-0.95</v>
      </c>
      <c r="K30" s="31" t="n">
        <v>0</v>
      </c>
      <c r="L30" s="30" t="n">
        <v>93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76.70999999999999</v>
      </c>
      <c r="P30" s="31" t="n">
        <v>37.66</v>
      </c>
      <c r="Q30" s="31" t="n">
        <v>1047.92</v>
      </c>
      <c r="R30" s="30" t="inlineStr">
        <is>
          <t>Near 52W High Breakout</t>
        </is>
      </c>
      <c r="S30" s="30" t="inlineStr">
        <is>
          <t>Nifty 50</t>
        </is>
      </c>
      <c r="T30" s="31" t="n">
        <v>-4.38</v>
      </c>
      <c r="U30" s="31" t="n">
        <v>163.79</v>
      </c>
      <c r="V30" s="31" t="n">
        <v>175.86</v>
      </c>
      <c r="W30" s="31" t="n">
        <v>39.89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Yes</t>
        </is>
      </c>
      <c r="BS30" s="30">
        <f>IF(BR30="NO",5,0)</f>
        <v/>
      </c>
      <c r="BT30" s="30" t="inlineStr">
        <is>
          <t>Between 1.5 to 2</t>
        </is>
      </c>
      <c r="BU30" s="30">
        <f>IF(BT30="Above 2",0,IF(BT30="Between 1.5 to 2",5,IF(BT30="Less than 1.5",10,0)))</f>
        <v/>
      </c>
      <c r="BV30" s="30" t="inlineStr">
        <is>
          <t>Between 50% to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21</t>
        </is>
      </c>
      <c r="CG30" s="30">
        <f>IF(CF30&gt;20,10,IF(CF30&gt;=10,5,2))</f>
        <v/>
      </c>
    </row>
    <row r="31">
      <c r="A31" s="30">
        <f>IF(B31=0,"",RANK(B31,$B$2:$B$96,0))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0" t="inlineStr">
        <is>
          <t>GOLDIAM</t>
        </is>
      </c>
      <c r="D31" s="30" t="inlineStr">
        <is>
          <t>Goldiam International Ltd</t>
        </is>
      </c>
      <c r="E31" s="30" t="inlineStr">
        <is>
          <t>consumer discretionary</t>
        </is>
      </c>
      <c r="F31" s="30" t="inlineStr">
        <is>
          <t>Lab Grown Diamonds</t>
        </is>
      </c>
      <c r="G31" s="30" t="inlineStr">
        <is>
          <t>midcap</t>
        </is>
      </c>
      <c r="H31" s="31" t="n">
        <v>5359.08</v>
      </c>
      <c r="I31" s="31" t="n">
        <v>474.6</v>
      </c>
      <c r="J31" s="31" t="n">
        <v>-1.06</v>
      </c>
      <c r="K31" s="31" t="n">
        <v>0</v>
      </c>
      <c r="L31" s="30" t="n">
        <v>75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64.2</v>
      </c>
      <c r="P31" s="31" t="n">
        <v>28.74</v>
      </c>
      <c r="Q31" s="31" t="n">
        <v>342.47</v>
      </c>
      <c r="R31" s="30" t="inlineStr">
        <is>
          <t>Near 52W High Breakout</t>
        </is>
      </c>
      <c r="S31" s="30" t="inlineStr">
        <is>
          <t>Nifty 50</t>
        </is>
      </c>
      <c r="T31" s="31" t="n">
        <v>-4.38</v>
      </c>
      <c r="U31" s="31" t="n">
        <v>38.16</v>
      </c>
      <c r="V31" s="31" t="n">
        <v>44.49</v>
      </c>
      <c r="W31" s="31" t="n">
        <v>21.83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20 to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Close to 52 week high or retracement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Less than 50%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21</t>
        </is>
      </c>
      <c r="CG31" s="30">
        <f>IF(CF31&gt;20,10,IF(CF31&gt;=10,5,2))</f>
        <v/>
      </c>
    </row>
    <row r="32">
      <c r="A32" s="30">
        <f>IF(B32=0,"",RANK(B32,$B$2:$B$96,0))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3" t="inlineStr">
        <is>
          <t>MODISONLTD</t>
        </is>
      </c>
      <c r="D32" s="33" t="inlineStr">
        <is>
          <t>Modison Ltd</t>
        </is>
      </c>
      <c r="E32" s="30" t="inlineStr">
        <is>
          <t>industrials</t>
        </is>
      </c>
      <c r="F32" s="30" t="inlineStr">
        <is>
          <t>Capital Goods - Electric General</t>
        </is>
      </c>
      <c r="G32" s="30" t="inlineStr">
        <is>
          <t>smallcap</t>
        </is>
      </c>
      <c r="H32" s="31" t="n">
        <v>1045.38</v>
      </c>
      <c r="I32" s="31" t="n">
        <v>322.15</v>
      </c>
      <c r="J32" s="31" t="n">
        <v>4.93</v>
      </c>
      <c r="K32" s="31" t="n">
        <v>0</v>
      </c>
      <c r="L32" s="30" t="n">
        <v>96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72.83</v>
      </c>
      <c r="P32" s="31" t="n">
        <v>38.28</v>
      </c>
      <c r="Q32" s="31" t="n">
        <v>269.44</v>
      </c>
      <c r="R32" s="30" t="inlineStr">
        <is>
          <t>Earnings / Momentum Support</t>
        </is>
      </c>
      <c r="S32" s="30" t="inlineStr">
        <is>
          <t>Nifty 50</t>
        </is>
      </c>
      <c r="T32" s="31" t="n">
        <v>-4.38</v>
      </c>
      <c r="U32" s="31" t="n">
        <v>108.73</v>
      </c>
      <c r="V32" s="31" t="n">
        <v>118.28</v>
      </c>
      <c r="W32" s="31" t="n">
        <v>58.53</v>
      </c>
      <c r="X32" s="30" t="inlineStr">
        <is>
          <t>Cyclical in an Upturn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No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Close to 52 week high or retracement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21</t>
        </is>
      </c>
      <c r="CG32" s="30">
        <f>IF(CF32&gt;20,10,IF(CF32&gt;=10,5,2))</f>
        <v/>
      </c>
    </row>
    <row r="33">
      <c r="A33" s="30">
        <f>IF(B33=0,"",RANK(B33,$B$2:$B$96,0))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CEIGALL</t>
        </is>
      </c>
      <c r="D33" s="30" t="inlineStr">
        <is>
          <t>Ceigall India Ltd</t>
        </is>
      </c>
      <c r="E33" s="30" t="inlineStr">
        <is>
          <t>realty</t>
        </is>
      </c>
      <c r="F33" s="30" t="inlineStr">
        <is>
          <t>Construction - Civil/Turnkey</t>
        </is>
      </c>
      <c r="G33" s="30" t="inlineStr">
        <is>
          <t>midcap</t>
        </is>
      </c>
      <c r="H33" s="31" t="n">
        <v>6525.71</v>
      </c>
      <c r="I33" s="31" t="n">
        <v>374.6</v>
      </c>
      <c r="J33" s="31" t="n">
        <v>-1.37</v>
      </c>
      <c r="K33" s="31" t="n">
        <v>0</v>
      </c>
      <c r="L33" s="30" t="n">
        <v>65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71.81</v>
      </c>
      <c r="P33" s="31" t="n">
        <v>45.93</v>
      </c>
      <c r="Q33" s="31" t="n">
        <v>296.6</v>
      </c>
      <c r="R33" s="30" t="inlineStr">
        <is>
          <t>Near 52W High Breakout</t>
        </is>
      </c>
      <c r="S33" s="30" t="inlineStr">
        <is>
          <t>Nifty Realty</t>
        </is>
      </c>
      <c r="T33" s="31" t="n">
        <v>-19.9</v>
      </c>
      <c r="U33" s="31" t="n">
        <v>53.61</v>
      </c>
      <c r="V33" s="31" t="n">
        <v>91.78</v>
      </c>
      <c r="W33" s="31" t="n">
        <v>17.89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Close to 52 week high or retracement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Negative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20</t>
        </is>
      </c>
      <c r="CG33" s="30">
        <f>IF(CF33&gt;20,10,IF(CF33&gt;=10,5,2))</f>
        <v/>
      </c>
    </row>
    <row r="34">
      <c r="A34" s="30">
        <f>IF(B34=0,"",RANK(B34,$B$2:$B$96,0))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0" t="inlineStr">
        <is>
          <t>PSPPROJECT</t>
        </is>
      </c>
      <c r="D34" s="30" t="inlineStr">
        <is>
          <t>PSP Projects Ltd</t>
        </is>
      </c>
      <c r="E34" s="30" t="inlineStr">
        <is>
          <t>realty</t>
        </is>
      </c>
      <c r="F34" s="30" t="inlineStr">
        <is>
          <t>Construction &amp; Contracting</t>
        </is>
      </c>
      <c r="G34" s="30" t="inlineStr">
        <is>
          <t>smallcap</t>
        </is>
      </c>
      <c r="H34" s="31" t="n">
        <v>3841.69</v>
      </c>
      <c r="I34" s="31" t="n">
        <v>969.1</v>
      </c>
      <c r="J34" s="31" t="n">
        <v>6.36</v>
      </c>
      <c r="K34" s="31" t="n">
        <v>0</v>
      </c>
      <c r="L34" s="30" t="n">
        <v>66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66.95</v>
      </c>
      <c r="P34" s="31" t="n">
        <v>23.94</v>
      </c>
      <c r="Q34" s="31" t="n">
        <v>720.64</v>
      </c>
      <c r="R34" s="30" t="inlineStr">
        <is>
          <t>Near 52W High Breakout</t>
        </is>
      </c>
      <c r="S34" s="30" t="inlineStr">
        <is>
          <t>Nifty Realty</t>
        </is>
      </c>
      <c r="T34" s="31" t="n">
        <v>-19.9</v>
      </c>
      <c r="U34" s="31" t="n">
        <v>31.99</v>
      </c>
      <c r="V34" s="31" t="n">
        <v>64.79000000000001</v>
      </c>
      <c r="W34" s="31" t="n">
        <v>17.98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Above 2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19</t>
        </is>
      </c>
      <c r="CG34" s="30">
        <f>IF(CF34&gt;20,10,IF(CF34&gt;=10,5,2))</f>
        <v/>
      </c>
    </row>
    <row r="35">
      <c r="A35" s="30">
        <f>IF(B35=0,"",RANK(B35,$B$2:$B$96,0))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CEMPRO</t>
        </is>
      </c>
      <c r="D35" s="30" t="inlineStr">
        <is>
          <t>Cemindia Projects Ltd</t>
        </is>
      </c>
      <c r="E35" s="30" t="inlineStr">
        <is>
          <t>realty</t>
        </is>
      </c>
      <c r="F35" s="30" t="inlineStr">
        <is>
          <t>Infra - Construction &amp; Contracting</t>
        </is>
      </c>
      <c r="G35" s="30" t="inlineStr">
        <is>
          <t>largecap</t>
        </is>
      </c>
      <c r="H35" s="31" t="n">
        <v>21507.81</v>
      </c>
      <c r="I35" s="31" t="n">
        <v>1252</v>
      </c>
      <c r="J35" s="31" t="n">
        <v>5</v>
      </c>
      <c r="K35" s="31" t="n">
        <v>0</v>
      </c>
      <c r="L35" s="30" t="n">
        <v>95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79.34999999999999</v>
      </c>
      <c r="P35" s="31" t="n">
        <v>39.36</v>
      </c>
      <c r="Q35" s="31" t="n">
        <v>953.67</v>
      </c>
      <c r="R35" s="30" t="inlineStr">
        <is>
          <t>Near 52W High Breakout</t>
        </is>
      </c>
      <c r="S35" s="30" t="inlineStr">
        <is>
          <t>Nifty Realty</t>
        </is>
      </c>
      <c r="T35" s="31" t="n">
        <v>-19.9</v>
      </c>
      <c r="U35" s="31" t="n">
        <v>56.14</v>
      </c>
      <c r="V35" s="31" t="n">
        <v>94.94</v>
      </c>
      <c r="W35" s="31" t="n">
        <v>46.47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20 to 40</t>
        </is>
      </c>
      <c r="AY35" s="30">
        <f>IF(AX35="Above 40",20,IF(AX35="20 to 40",10,IF(AX35="0 to 20",-5,0)))</f>
        <v/>
      </c>
      <c r="AZ35" s="30" t="inlineStr">
        <is>
          <t>Above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Less than 50%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19</t>
        </is>
      </c>
      <c r="CG35" s="30">
        <f>IF(CF35&gt;20,10,IF(CF35&gt;=10,5,2))</f>
        <v/>
      </c>
    </row>
    <row r="36">
      <c r="A36" s="30">
        <f>IF(B36=0,"",RANK(B36,$B$2:$B$96,0))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0" t="inlineStr">
        <is>
          <t>SIS</t>
        </is>
      </c>
      <c r="D36" s="30" t="inlineStr">
        <is>
          <t>SIS Ltd</t>
        </is>
      </c>
      <c r="E36" s="30" t="inlineStr">
        <is>
          <t>miscellaneous</t>
        </is>
      </c>
      <c r="F36" s="30" t="inlineStr">
        <is>
          <t>Facility Management</t>
        </is>
      </c>
      <c r="G36" s="30" t="inlineStr">
        <is>
          <t>midcap</t>
        </is>
      </c>
      <c r="H36" s="31" t="n">
        <v>6072.4</v>
      </c>
      <c r="I36" s="31" t="n">
        <v>429.75</v>
      </c>
      <c r="J36" s="31" t="n">
        <v>1.31</v>
      </c>
      <c r="K36" s="31" t="n">
        <v>0</v>
      </c>
      <c r="L36" s="30" t="n">
        <v>64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77.47</v>
      </c>
      <c r="P36" s="31" t="n">
        <v>41.22</v>
      </c>
      <c r="Q36" s="31" t="n">
        <v>343.58</v>
      </c>
      <c r="R36" s="30" t="inlineStr">
        <is>
          <t>Near 52W High Breakout</t>
        </is>
      </c>
      <c r="S36" s="30" t="inlineStr">
        <is>
          <t>Nifty 50</t>
        </is>
      </c>
      <c r="T36" s="31" t="n">
        <v>-4.38</v>
      </c>
      <c r="U36" s="31" t="n">
        <v>19.27</v>
      </c>
      <c r="V36" s="31" t="n">
        <v>24.73</v>
      </c>
      <c r="W36" s="31" t="n">
        <v>17.66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Between 0.7 to 1.2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18</t>
        </is>
      </c>
      <c r="CG36" s="30">
        <f>IF(CF36&gt;20,10,IF(CF36&gt;=10,5,2))</f>
        <v/>
      </c>
    </row>
    <row r="37">
      <c r="A37" s="30">
        <f>IF(B37=0,"",RANK(B37,$B$2:$B$96,0))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0" t="inlineStr">
        <is>
          <t>SENORES</t>
        </is>
      </c>
      <c r="D37" s="30" t="inlineStr">
        <is>
          <t>Senores Pharmaceuticals Ltd</t>
        </is>
      </c>
      <c r="E37" s="30" t="inlineStr">
        <is>
          <t>healthcare</t>
        </is>
      </c>
      <c r="F37" s="30" t="inlineStr">
        <is>
          <t>Pharma - API</t>
        </is>
      </c>
      <c r="G37" s="30" t="inlineStr">
        <is>
          <t>midcap</t>
        </is>
      </c>
      <c r="H37" s="31" t="n">
        <v>6056.05</v>
      </c>
      <c r="I37" s="31" t="n">
        <v>1315</v>
      </c>
      <c r="J37" s="31" t="n">
        <v>-0.03</v>
      </c>
      <c r="K37" s="31" t="n">
        <v>0</v>
      </c>
      <c r="L37" s="30" t="n">
        <v>92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78.22</v>
      </c>
      <c r="P37" s="31" t="n">
        <v>44.88</v>
      </c>
      <c r="Q37" s="31" t="n">
        <v>1014.72</v>
      </c>
      <c r="R37" s="30" t="inlineStr">
        <is>
          <t>Near 52W High Breakout</t>
        </is>
      </c>
      <c r="S37" s="30" t="inlineStr">
        <is>
          <t>Nifty Pharma</t>
        </is>
      </c>
      <c r="T37" s="31" t="n">
        <v>13.17</v>
      </c>
      <c r="U37" s="31" t="n">
        <v>152.81</v>
      </c>
      <c r="V37" s="31" t="n">
        <v>123.38</v>
      </c>
      <c r="W37" s="31" t="n">
        <v>38.66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Annuity, Lower One Time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Above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Less than 50%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25</t>
        </is>
      </c>
      <c r="CG37" s="30">
        <f>IF(CF37&gt;20,10,IF(CF37&gt;=10,5,2))</f>
        <v/>
      </c>
    </row>
    <row r="38">
      <c r="A38" s="30">
        <f>IF(B38=0,"",RANK(B38,$B$2:$B$96,0))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0" t="inlineStr">
        <is>
          <t>KMCSHIL</t>
        </is>
      </c>
      <c r="D38" s="30" t="inlineStr">
        <is>
          <t>KMC Speciality Hospitals (India) Ltd</t>
        </is>
      </c>
      <c r="E38" s="30" t="inlineStr">
        <is>
          <t>Healthcare</t>
        </is>
      </c>
      <c r="F38" s="30" t="inlineStr">
        <is>
          <t>Hospitals</t>
        </is>
      </c>
      <c r="G38" s="30" t="inlineStr">
        <is>
          <t>smallcap</t>
        </is>
      </c>
      <c r="H38" s="31" t="n">
        <v>1877.11</v>
      </c>
      <c r="I38" s="31" t="n">
        <v>115.1</v>
      </c>
      <c r="J38" s="31" t="n">
        <v>-2</v>
      </c>
      <c r="K38" s="31" t="n">
        <v>0</v>
      </c>
      <c r="L38" s="30" t="n">
        <v>73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77.54000000000001</v>
      </c>
      <c r="P38" s="31" t="n">
        <v>54.88</v>
      </c>
      <c r="Q38" s="31" t="n">
        <v>93.89</v>
      </c>
      <c r="R38" s="30" t="inlineStr">
        <is>
          <t>Near 52W High Breakout</t>
        </is>
      </c>
      <c r="S38" s="30" t="inlineStr">
        <is>
          <t>Nifty Pharma</t>
        </is>
      </c>
      <c r="T38" s="31" t="n">
        <v>13.17</v>
      </c>
      <c r="U38" s="31" t="n">
        <v>75</v>
      </c>
      <c r="V38" s="31" t="n">
        <v>54.63</v>
      </c>
      <c r="W38" s="31" t="n">
        <v>21.19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Annuity, Lower One Time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Above 2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24</t>
        </is>
      </c>
      <c r="CG38" s="30">
        <f>IF(CF38&gt;20,10,IF(CF38&gt;=10,5,2))</f>
        <v/>
      </c>
    </row>
    <row r="39">
      <c r="A39" s="30">
        <f>IF(B39=0,"",RANK(B39,$B$2:$B$96,0))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0" t="inlineStr">
        <is>
          <t>SPARC</t>
        </is>
      </c>
      <c r="D39" s="30" t="inlineStr">
        <is>
          <t>Sun Pharma Advanced Research Company Ltd</t>
        </is>
      </c>
      <c r="E39" s="30" t="inlineStr">
        <is>
          <t>healthcare</t>
        </is>
      </c>
      <c r="F39" s="30" t="inlineStr">
        <is>
          <t>Pharma - Others</t>
        </is>
      </c>
      <c r="G39" s="30" t="inlineStr">
        <is>
          <t>midcap</t>
        </is>
      </c>
      <c r="H39" s="31" t="n">
        <v>7726.53</v>
      </c>
      <c r="I39" s="31" t="n">
        <v>238.09</v>
      </c>
      <c r="J39" s="31" t="n">
        <v>-1.81</v>
      </c>
      <c r="K39" s="31" t="n">
        <v>0</v>
      </c>
      <c r="L39" s="30" t="n">
        <v>92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78.79000000000001</v>
      </c>
      <c r="P39" s="31" t="n">
        <v>50.15</v>
      </c>
      <c r="Q39" s="31" t="n">
        <v>168.22</v>
      </c>
      <c r="R39" s="30" t="inlineStr">
        <is>
          <t>Near 52W High Breakout</t>
        </is>
      </c>
      <c r="S39" s="30" t="inlineStr">
        <is>
          <t>Nifty Pharma</t>
        </is>
      </c>
      <c r="T39" s="31" t="n">
        <v>13.17</v>
      </c>
      <c r="U39" s="31" t="n">
        <v>51.97</v>
      </c>
      <c r="V39" s="31" t="n">
        <v>34.28</v>
      </c>
      <c r="W39" s="31" t="n">
        <v>36.93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Above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Close to 52 week high or retracement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Negative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20</t>
        </is>
      </c>
      <c r="CG39" s="30">
        <f>IF(CF39&gt;20,10,IF(CF39&gt;=10,5,2))</f>
        <v/>
      </c>
    </row>
    <row r="40">
      <c r="A40" s="30">
        <f>IF(B40=0,"",RANK(B40,$B$2:$B$96,0))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2" t="inlineStr">
        <is>
          <t>INNOVACAP</t>
        </is>
      </c>
      <c r="D40" s="32" t="inlineStr">
        <is>
          <t>Innova Captab Ltd</t>
        </is>
      </c>
      <c r="E40" s="30" t="inlineStr">
        <is>
          <t>healthcare</t>
        </is>
      </c>
      <c r="F40" s="30" t="inlineStr">
        <is>
          <t>Pharma - API</t>
        </is>
      </c>
      <c r="G40" s="30" t="inlineStr">
        <is>
          <t>midcap</t>
        </is>
      </c>
      <c r="H40" s="31" t="n">
        <v>5433.79</v>
      </c>
      <c r="I40" s="31" t="n">
        <v>949.55</v>
      </c>
      <c r="J40" s="31" t="n">
        <v>1.78</v>
      </c>
      <c r="K40" s="31" t="n">
        <v>0</v>
      </c>
      <c r="L40" s="30" t="n">
        <v>47</v>
      </c>
      <c r="M40" s="30" t="inlineStr">
        <is>
          <t>Underperforming</t>
        </is>
      </c>
      <c r="N40" s="31">
        <f>IF(M40="Underperforming",-5,IF(L40&gt;=95,15,IF(L40&gt;=90,10,IF(L40&gt;=80,5,0))))</f>
        <v/>
      </c>
      <c r="O40" s="31" t="n">
        <v>71.98999999999999</v>
      </c>
      <c r="P40" s="31" t="n">
        <v>31.94</v>
      </c>
      <c r="Q40" s="31" t="n">
        <v>744.46</v>
      </c>
      <c r="R40" s="30" t="inlineStr">
        <is>
          <t>Near 52W High Breakout</t>
        </is>
      </c>
      <c r="S40" s="30" t="inlineStr">
        <is>
          <t>Nifty Pharma</t>
        </is>
      </c>
      <c r="T40" s="31" t="n">
        <v>13.17</v>
      </c>
      <c r="U40" s="31" t="n">
        <v>12.36</v>
      </c>
      <c r="V40" s="31" t="n">
        <v>-0.72</v>
      </c>
      <c r="W40" s="31" t="n">
        <v>11.99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Annuity, Lower One Time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Close to 52 week high or retracement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Between 50% to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18</t>
        </is>
      </c>
      <c r="CG40" s="30">
        <f>IF(CF40&gt;20,10,IF(CF40&gt;=10,5,2))</f>
        <v/>
      </c>
    </row>
    <row r="41">
      <c r="A41" s="30">
        <f>IF(B41=0,"",RANK(B41,$B$2:$B$96,0))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0" t="inlineStr">
        <is>
          <t>MMTC</t>
        </is>
      </c>
      <c r="D41" s="30" t="inlineStr">
        <is>
          <t>MMTC Ltd</t>
        </is>
      </c>
      <c r="E41" s="30" t="inlineStr">
        <is>
          <t>services</t>
        </is>
      </c>
      <c r="F41" s="30" t="inlineStr">
        <is>
          <t>Trading</t>
        </is>
      </c>
      <c r="G41" s="30" t="inlineStr">
        <is>
          <t>midcap</t>
        </is>
      </c>
      <c r="H41" s="31" t="n">
        <v>11182.5</v>
      </c>
      <c r="I41" s="31" t="n">
        <v>74.55</v>
      </c>
      <c r="J41" s="31" t="n">
        <v>-0.53</v>
      </c>
      <c r="K41" s="31" t="n">
        <v>0</v>
      </c>
      <c r="L41" s="30" t="n">
        <v>28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62.71</v>
      </c>
      <c r="P41" s="31" t="n">
        <v>15.8</v>
      </c>
      <c r="Q41" s="31" t="n">
        <v>54.21</v>
      </c>
      <c r="R41" s="30" t="inlineStr">
        <is>
          <t>Volume Spike &amp; Near 52W High Breakout</t>
        </is>
      </c>
      <c r="S41" s="30" t="inlineStr">
        <is>
          <t>Nifty 50</t>
        </is>
      </c>
      <c r="T41" s="31" t="n">
        <v>-4.38</v>
      </c>
      <c r="U41" s="31" t="n">
        <v>10.64</v>
      </c>
      <c r="V41" s="31" t="n">
        <v>15.71</v>
      </c>
      <c r="W41" s="31" t="n">
        <v>7.8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0 to 20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Close to 52 week high or retracement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23</t>
        </is>
      </c>
      <c r="CG41" s="30">
        <f>IF(CF41&gt;20,10,IF(CF41&gt;=10,5,2))</f>
        <v/>
      </c>
    </row>
    <row r="42">
      <c r="A42" s="30">
        <f>IF(B42=0,"",RANK(B42,$B$2:$B$96,0))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0" t="inlineStr">
        <is>
          <t>UNIPARTS</t>
        </is>
      </c>
      <c r="D42" s="30" t="inlineStr">
        <is>
          <t>Uniparts India Ltd</t>
        </is>
      </c>
      <c r="E42" s="30" t="inlineStr">
        <is>
          <t>industrials</t>
        </is>
      </c>
      <c r="F42" s="30" t="inlineStr">
        <is>
          <t>Castings, Forgings &amp; Fastners</t>
        </is>
      </c>
      <c r="G42" s="30" t="inlineStr">
        <is>
          <t>smallcap</t>
        </is>
      </c>
      <c r="H42" s="31" t="n">
        <v>3045.81</v>
      </c>
      <c r="I42" s="31" t="n">
        <v>674.7</v>
      </c>
      <c r="J42" s="31" t="n">
        <v>3.34</v>
      </c>
      <c r="K42" s="31" t="n">
        <v>0</v>
      </c>
      <c r="L42" s="30" t="n">
        <v>81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75.08</v>
      </c>
      <c r="P42" s="31" t="n">
        <v>38.18</v>
      </c>
      <c r="Q42" s="31" t="n">
        <v>524.1900000000001</v>
      </c>
      <c r="R42" s="30" t="inlineStr">
        <is>
          <t>Near 52W High Breakout</t>
        </is>
      </c>
      <c r="S42" s="30" t="inlineStr">
        <is>
          <t>Nifty 50</t>
        </is>
      </c>
      <c r="T42" s="31" t="n">
        <v>-4.38</v>
      </c>
      <c r="U42" s="31" t="n">
        <v>95.94</v>
      </c>
      <c r="V42" s="31" t="n">
        <v>104.91</v>
      </c>
      <c r="W42" s="31" t="n">
        <v>25.43</v>
      </c>
      <c r="X42" s="30" t="inlineStr">
        <is>
          <t>Cyclical in an Upturn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Above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23</t>
        </is>
      </c>
      <c r="CG42" s="30">
        <f>IF(CF42&gt;20,10,IF(CF42&gt;=10,5,2))</f>
        <v/>
      </c>
    </row>
    <row r="43">
      <c r="A43" s="30">
        <f>IF(B43=0,"",RANK(B43,$B$2:$B$96,0))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3" t="inlineStr">
        <is>
          <t>STLTECH</t>
        </is>
      </c>
      <c r="D43" s="33" t="inlineStr">
        <is>
          <t>Sterlite Technologies Ltd</t>
        </is>
      </c>
      <c r="E43" s="30" t="inlineStr">
        <is>
          <t>industrials</t>
        </is>
      </c>
      <c r="F43" s="30" t="inlineStr">
        <is>
          <t>Cables - Telecom</t>
        </is>
      </c>
      <c r="G43" s="30" t="inlineStr">
        <is>
          <t>largecap</t>
        </is>
      </c>
      <c r="H43" s="31" t="n">
        <v>31943.25</v>
      </c>
      <c r="I43" s="31" t="n">
        <v>654.35</v>
      </c>
      <c r="J43" s="31" t="n">
        <v>1.1</v>
      </c>
      <c r="K43" s="31" t="n">
        <v>0</v>
      </c>
      <c r="L43" s="30" t="n">
        <v>99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89.72</v>
      </c>
      <c r="P43" s="31" t="n">
        <v>81.75</v>
      </c>
      <c r="Q43" s="31" t="n">
        <v>499.93</v>
      </c>
      <c r="R43" s="30" t="inlineStr">
        <is>
          <t>Near 52W High Breakout</t>
        </is>
      </c>
      <c r="S43" s="30" t="inlineStr">
        <is>
          <t>Nifty Infra</t>
        </is>
      </c>
      <c r="T43" s="31" t="n">
        <v>4.18</v>
      </c>
      <c r="U43" s="31" t="n">
        <v>517.6</v>
      </c>
      <c r="V43" s="31" t="n">
        <v>492.84</v>
      </c>
      <c r="W43" s="31" t="n">
        <v>116.11</v>
      </c>
      <c r="X43" s="30" t="inlineStr">
        <is>
          <t>Cyclical in an Upturn</t>
        </is>
      </c>
      <c r="Y43" s="30">
        <f>IF(X43="Growing Industry",10,IF(X43="Cyclical in an Upturn",5,0))</f>
        <v/>
      </c>
      <c r="Z43" s="30" t="inlineStr">
        <is>
          <t>Oligopoly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Above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Between 0.7 to 1.2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20</t>
        </is>
      </c>
      <c r="CG43" s="30">
        <f>IF(CF43&gt;20,10,IF(CF43&gt;=10,5,2))</f>
        <v/>
      </c>
    </row>
    <row r="44">
      <c r="A44" s="30">
        <f>IF(B44=0,"",RANK(B44,$B$2:$B$96,0))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0" t="inlineStr">
        <is>
          <t>KERNEX</t>
        </is>
      </c>
      <c r="D44" s="30" t="inlineStr">
        <is>
          <t>Kernex Microsystems (India) Ltd</t>
        </is>
      </c>
      <c r="E44" s="30" t="inlineStr">
        <is>
          <t>consumer discretionary</t>
        </is>
      </c>
      <c r="F44" s="30" t="inlineStr">
        <is>
          <t>Railways - Kavach/Springs</t>
        </is>
      </c>
      <c r="G44" s="30" t="inlineStr">
        <is>
          <t>smallcap</t>
        </is>
      </c>
      <c r="H44" s="31" t="n">
        <v>3359.88</v>
      </c>
      <c r="I44" s="31" t="n">
        <v>1999.5</v>
      </c>
      <c r="J44" s="31" t="n">
        <v>-3.76</v>
      </c>
      <c r="K44" s="31" t="n">
        <v>0</v>
      </c>
      <c r="L44" s="30" t="n">
        <v>92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73.39</v>
      </c>
      <c r="P44" s="31" t="n">
        <v>34.44</v>
      </c>
      <c r="Q44" s="31" t="n">
        <v>1471.51</v>
      </c>
      <c r="R44" s="30" t="inlineStr">
        <is>
          <t>Near 52W High Breakout</t>
        </is>
      </c>
      <c r="S44" s="30" t="inlineStr">
        <is>
          <t>Nifty 50</t>
        </is>
      </c>
      <c r="T44" s="31" t="n">
        <v>-4.38</v>
      </c>
      <c r="U44" s="31" t="n">
        <v>66.88</v>
      </c>
      <c r="V44" s="31" t="n">
        <v>74.51000000000001</v>
      </c>
      <c r="W44" s="31" t="n">
        <v>39.09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Negative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20</t>
        </is>
      </c>
      <c r="CG44" s="30">
        <f>IF(CF44&gt;20,10,IF(CF44&gt;=10,5,2))</f>
        <v/>
      </c>
    </row>
    <row r="45">
      <c r="A45" s="30">
        <f>IF(B45=0,"",RANK(B45,$B$2:$B$96,0))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3" t="inlineStr">
        <is>
          <t>WALCHANNAG</t>
        </is>
      </c>
      <c r="D45" s="33" t="inlineStr">
        <is>
          <t>Walchandnagar Industries Ltd</t>
        </is>
      </c>
      <c r="E45" s="30" t="inlineStr">
        <is>
          <t>industrials</t>
        </is>
      </c>
      <c r="F45" s="30" t="inlineStr">
        <is>
          <t>Capital Goods - Engineering Heavy</t>
        </is>
      </c>
      <c r="G45" s="30" t="inlineStr">
        <is>
          <t>smallcap</t>
        </is>
      </c>
      <c r="H45" s="31" t="n">
        <v>2117.01</v>
      </c>
      <c r="I45" s="31" t="n">
        <v>312.05</v>
      </c>
      <c r="J45" s="31" t="n">
        <v>3.55</v>
      </c>
      <c r="K45" s="31" t="n">
        <v>0</v>
      </c>
      <c r="L45" s="30" t="n">
        <v>91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73.04000000000001</v>
      </c>
      <c r="P45" s="31" t="n">
        <v>29.41</v>
      </c>
      <c r="Q45" s="31" t="n">
        <v>221.73</v>
      </c>
      <c r="R45" s="30" t="inlineStr">
        <is>
          <t>Volume Spike &amp; Near 52W High Breakout</t>
        </is>
      </c>
      <c r="S45" s="30" t="inlineStr">
        <is>
          <t>Nifty 50</t>
        </is>
      </c>
      <c r="T45" s="31" t="n">
        <v>-4.38</v>
      </c>
      <c r="U45" s="31" t="n">
        <v>38.39</v>
      </c>
      <c r="V45" s="31" t="n">
        <v>44.72</v>
      </c>
      <c r="W45" s="31" t="n">
        <v>36.67</v>
      </c>
      <c r="X45" s="30" t="inlineStr">
        <is>
          <t>Cyclical in an Upturn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Close to 52 week high or retracement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Negative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18</t>
        </is>
      </c>
      <c r="CG45" s="30">
        <f>IF(CF45&gt;20,10,IF(CF45&gt;=10,5,2))</f>
        <v/>
      </c>
    </row>
    <row r="46">
      <c r="A46" s="30">
        <f>IF(B46=0,"",RANK(B46,$B$2:$B$96,0))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NRBBEARING</t>
        </is>
      </c>
      <c r="D46" s="30" t="inlineStr">
        <is>
          <t>NRB Bearings Ltd</t>
        </is>
      </c>
      <c r="E46" s="30" t="inlineStr">
        <is>
          <t>industrials</t>
        </is>
      </c>
      <c r="F46" s="30" t="inlineStr">
        <is>
          <t>Bearings</t>
        </is>
      </c>
      <c r="G46" s="30" t="inlineStr">
        <is>
          <t>smallcap</t>
        </is>
      </c>
      <c r="H46" s="31" t="n">
        <v>4150.71</v>
      </c>
      <c r="I46" s="31" t="n">
        <v>428.25</v>
      </c>
      <c r="J46" s="31" t="n">
        <v>2.01</v>
      </c>
      <c r="K46" s="31" t="n">
        <v>0</v>
      </c>
      <c r="L46" s="30" t="n">
        <v>84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79.23</v>
      </c>
      <c r="P46" s="31" t="n">
        <v>33.01</v>
      </c>
      <c r="Q46" s="31" t="n">
        <v>333.35</v>
      </c>
      <c r="R46" s="30" t="inlineStr">
        <is>
          <t>Near 52W High Breakout</t>
        </is>
      </c>
      <c r="S46" s="30" t="inlineStr">
        <is>
          <t>Nifty 50</t>
        </is>
      </c>
      <c r="T46" s="31" t="n">
        <v>-4.38</v>
      </c>
      <c r="U46" s="31" t="n">
        <v>53.89</v>
      </c>
      <c r="V46" s="31" t="n">
        <v>60.94</v>
      </c>
      <c r="W46" s="31" t="n">
        <v>28.38</v>
      </c>
      <c r="X46" s="30" t="inlineStr">
        <is>
          <t>Cyclical in an Upturn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Above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18</t>
        </is>
      </c>
      <c r="CG46" s="30">
        <f>IF(CF46&gt;20,10,IF(CF46&gt;=10,5,2))</f>
        <v/>
      </c>
    </row>
    <row r="47">
      <c r="A47" s="30">
        <f>IF(B47=0,"",RANK(B47,$B$2:$B$96,0))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0" t="inlineStr">
        <is>
          <t>RRKABEL</t>
        </is>
      </c>
      <c r="D47" s="30" t="inlineStr">
        <is>
          <t>R R Kabel Ltd</t>
        </is>
      </c>
      <c r="E47" s="30" t="inlineStr">
        <is>
          <t>industrials</t>
        </is>
      </c>
      <c r="F47" s="30" t="inlineStr">
        <is>
          <t>Cables - Power</t>
        </is>
      </c>
      <c r="G47" s="30" t="inlineStr">
        <is>
          <t>largecap</t>
        </is>
      </c>
      <c r="H47" s="31" t="n">
        <v>26252.92</v>
      </c>
      <c r="I47" s="31" t="n">
        <v>2321.1</v>
      </c>
      <c r="J47" s="31" t="n">
        <v>1.08</v>
      </c>
      <c r="K47" s="31" t="n">
        <v>0</v>
      </c>
      <c r="L47" s="30" t="n">
        <v>85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78.06</v>
      </c>
      <c r="P47" s="31" t="n">
        <v>40.35</v>
      </c>
      <c r="Q47" s="31" t="n">
        <v>1846.25</v>
      </c>
      <c r="R47" s="30" t="inlineStr">
        <is>
          <t>Near 52W High Breakout</t>
        </is>
      </c>
      <c r="S47" s="30" t="inlineStr">
        <is>
          <t>Nifty Energy</t>
        </is>
      </c>
      <c r="T47" s="31" t="n">
        <v>13.9</v>
      </c>
      <c r="U47" s="31" t="n">
        <v>77.58</v>
      </c>
      <c r="V47" s="31" t="n">
        <v>55.91</v>
      </c>
      <c r="W47" s="31" t="n">
        <v>28.47</v>
      </c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Above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Between 1.5 to 2</t>
        </is>
      </c>
      <c r="BU47" s="30">
        <f>IF(BT47="Above 2",0,IF(BT47="Between 1.5 to 2",5,IF(BT47="Less than 1.5",10,0)))</f>
        <v/>
      </c>
      <c r="BV47" s="30" t="inlineStr">
        <is>
          <t>Less than 50%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18</t>
        </is>
      </c>
      <c r="CG47" s="30">
        <f>IF(CF47&gt;20,10,IF(CF47&gt;=10,5,2))</f>
        <v/>
      </c>
    </row>
    <row r="48">
      <c r="A48" s="30">
        <f>IF(B48=0,"",RANK(B48,$B$2:$B$96,0))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0" t="inlineStr">
        <is>
          <t>SKIPPER</t>
        </is>
      </c>
      <c r="D48" s="30" t="inlineStr">
        <is>
          <t>Skipper Ltd</t>
        </is>
      </c>
      <c r="E48" s="30" t="inlineStr">
        <is>
          <t>industrials</t>
        </is>
      </c>
      <c r="F48" s="30" t="inlineStr">
        <is>
          <t>Electrical Equipments/HVDC</t>
        </is>
      </c>
      <c r="G48" s="30" t="inlineStr">
        <is>
          <t>midcap</t>
        </is>
      </c>
      <c r="H48" s="31" t="n">
        <v>6135.88</v>
      </c>
      <c r="I48" s="31" t="n">
        <v>543.3</v>
      </c>
      <c r="J48" s="31" t="n">
        <v>-0.6899999999999999</v>
      </c>
      <c r="K48" s="31" t="n">
        <v>0</v>
      </c>
      <c r="L48" s="30" t="n">
        <v>61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67.58</v>
      </c>
      <c r="P48" s="31" t="n">
        <v>33.2</v>
      </c>
      <c r="Q48" s="31" t="n">
        <v>418.79</v>
      </c>
      <c r="R48" s="30" t="inlineStr">
        <is>
          <t>Near 52W High Breakout</t>
        </is>
      </c>
      <c r="S48" s="30" t="inlineStr">
        <is>
          <t>Nifty 50</t>
        </is>
      </c>
      <c r="T48" s="31" t="n">
        <v>-4.38</v>
      </c>
      <c r="U48" s="31" t="n">
        <v>12.63</v>
      </c>
      <c r="V48" s="31" t="n">
        <v>17.79</v>
      </c>
      <c r="W48" s="31" t="n">
        <v>16.62</v>
      </c>
      <c r="X48" s="30" t="inlineStr">
        <is>
          <t>Cyclical in an Upturn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Close to 52 week high or retracement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Less than 50%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18</t>
        </is>
      </c>
      <c r="CG48" s="30">
        <f>IF(CF48&gt;20,10,IF(CF48&gt;=10,5,2))</f>
        <v/>
      </c>
    </row>
    <row r="49">
      <c r="A49" s="30">
        <f>IF(B49=0,"",RANK(B49,$B$2:$B$96,0))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0" t="inlineStr">
        <is>
          <t>JAYBARMARU</t>
        </is>
      </c>
      <c r="D49" s="30" t="inlineStr">
        <is>
          <t>Jay Bharat Maruti Ltd</t>
        </is>
      </c>
      <c r="E49" s="30" t="inlineStr">
        <is>
          <t>auto</t>
        </is>
      </c>
      <c r="F49" s="30" t="inlineStr">
        <is>
          <t>Auto Ancillaries - Diversified</t>
        </is>
      </c>
      <c r="G49" s="30" t="inlineStr">
        <is>
          <t>smallcap</t>
        </is>
      </c>
      <c r="H49" s="31" t="n">
        <v>1835.38</v>
      </c>
      <c r="I49" s="31" t="n">
        <v>169.55</v>
      </c>
      <c r="J49" s="31" t="n">
        <v>-1.88</v>
      </c>
      <c r="K49" s="31" t="n">
        <v>0</v>
      </c>
      <c r="L49" s="30" t="n">
        <v>94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75.77</v>
      </c>
      <c r="P49" s="31" t="n">
        <v>20.92</v>
      </c>
      <c r="Q49" s="31" t="n">
        <v>124.95</v>
      </c>
      <c r="R49" s="30" t="inlineStr">
        <is>
          <t>Volume Spike &amp; Near 52W High Breakout</t>
        </is>
      </c>
      <c r="S49" s="30" t="inlineStr">
        <is>
          <t>Nifty Auto</t>
        </is>
      </c>
      <c r="T49" s="31" t="n">
        <v>12.26</v>
      </c>
      <c r="U49" s="31" t="n">
        <v>122.04</v>
      </c>
      <c r="V49" s="31" t="n">
        <v>97.78</v>
      </c>
      <c r="W49" s="31" t="n">
        <v>42.27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Above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Between 50% to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Between 0.7 to 1.2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24</t>
        </is>
      </c>
      <c r="CG49" s="30">
        <f>IF(CF49&gt;20,10,IF(CF49&gt;=10,5,2))</f>
        <v/>
      </c>
    </row>
    <row r="50">
      <c r="A50" s="30">
        <f>IF(B50=0,"",RANK(B50,$B$2:$B$96,0))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0" t="inlineStr">
        <is>
          <t>HFCL</t>
        </is>
      </c>
      <c r="D50" s="30" t="inlineStr">
        <is>
          <t>HFCL Ltd</t>
        </is>
      </c>
      <c r="E50" s="30" t="inlineStr">
        <is>
          <t>telecom</t>
        </is>
      </c>
      <c r="F50" s="30" t="inlineStr">
        <is>
          <t>Telecom Services</t>
        </is>
      </c>
      <c r="G50" s="30" t="inlineStr">
        <is>
          <t>largecap</t>
        </is>
      </c>
      <c r="H50" s="31" t="n">
        <v>32082.96</v>
      </c>
      <c r="I50" s="31" t="n">
        <v>209.61</v>
      </c>
      <c r="J50" s="31" t="n">
        <v>5</v>
      </c>
      <c r="K50" s="31" t="n">
        <v>0</v>
      </c>
      <c r="L50" s="30" t="n">
        <v>98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84.73999999999999</v>
      </c>
      <c r="P50" s="31" t="n">
        <v>51.88</v>
      </c>
      <c r="Q50" s="31" t="n">
        <v>158.47</v>
      </c>
      <c r="R50" s="30" t="inlineStr">
        <is>
          <t>Near 52W High Breakout</t>
        </is>
      </c>
      <c r="S50" s="30" t="inlineStr">
        <is>
          <t>Nifty Infra</t>
        </is>
      </c>
      <c r="T50" s="31" t="n">
        <v>4.18</v>
      </c>
      <c r="U50" s="31" t="n">
        <v>156.87</v>
      </c>
      <c r="V50" s="31" t="n">
        <v>146.57</v>
      </c>
      <c r="W50" s="31" t="n">
        <v>75.53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Oligopoly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Yes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Negative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23</t>
        </is>
      </c>
      <c r="CG50" s="30">
        <f>IF(CF50&gt;20,10,IF(CF50&gt;=10,5,2))</f>
        <v/>
      </c>
    </row>
    <row r="51">
      <c r="A51" s="30">
        <f>IF(B51=0,"",RANK(B51,$B$2:$B$96,0))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0" t="inlineStr">
        <is>
          <t>RPEL</t>
        </is>
      </c>
      <c r="D51" s="30" t="inlineStr">
        <is>
          <t>Raghav Productivity Enhancers Ltd</t>
        </is>
      </c>
      <c r="E51" s="30" t="inlineStr">
        <is>
          <t>building materials</t>
        </is>
      </c>
      <c r="F51" s="30" t="inlineStr">
        <is>
          <t>Steel Products</t>
        </is>
      </c>
      <c r="G51" s="30" t="inlineStr">
        <is>
          <t>midcap</t>
        </is>
      </c>
      <c r="H51" s="31" t="n">
        <v>5515.23</v>
      </c>
      <c r="I51" s="31" t="n">
        <v>1201</v>
      </c>
      <c r="J51" s="31" t="n">
        <v>1.74</v>
      </c>
      <c r="K51" s="31" t="n">
        <v>0</v>
      </c>
      <c r="L51" s="30" t="n">
        <v>90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77.40000000000001</v>
      </c>
      <c r="P51" s="31" t="n">
        <v>32.13</v>
      </c>
      <c r="Q51" s="31" t="n">
        <v>921.61</v>
      </c>
      <c r="R51" s="30" t="inlineStr">
        <is>
          <t>Near 52W High Breakout</t>
        </is>
      </c>
      <c r="S51" s="30" t="inlineStr">
        <is>
          <t>Nifty Infra</t>
        </is>
      </c>
      <c r="T51" s="31" t="n">
        <v>4.18</v>
      </c>
      <c r="U51" s="31" t="n">
        <v>70.8</v>
      </c>
      <c r="V51" s="31" t="n">
        <v>63.95</v>
      </c>
      <c r="W51" s="31" t="n">
        <v>35.06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Above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Less than 50%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23</t>
        </is>
      </c>
      <c r="CG51" s="30">
        <f>IF(CF51&gt;20,10,IF(CF51&gt;=10,5,2))</f>
        <v/>
      </c>
    </row>
    <row r="52">
      <c r="A52" s="30">
        <f>IF(B52=0,"",RANK(B52,$B$2:$B$96,0))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3" t="inlineStr">
        <is>
          <t>HCC</t>
        </is>
      </c>
      <c r="D52" s="33" t="inlineStr">
        <is>
          <t>Hindustan Construction Company Ltd</t>
        </is>
      </c>
      <c r="E52" s="30" t="inlineStr">
        <is>
          <t>realty</t>
        </is>
      </c>
      <c r="F52" s="30" t="inlineStr">
        <is>
          <t>Infra - Construction &amp; Contracting</t>
        </is>
      </c>
      <c r="G52" s="30" t="inlineStr">
        <is>
          <t>midcap</t>
        </is>
      </c>
      <c r="H52" s="31" t="n">
        <v>7077.8</v>
      </c>
      <c r="I52" s="31" t="n">
        <v>27.02</v>
      </c>
      <c r="J52" s="31" t="n">
        <v>-1.21</v>
      </c>
      <c r="K52" s="31" t="n">
        <v>0</v>
      </c>
      <c r="L52" s="30" t="n">
        <v>66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65.16</v>
      </c>
      <c r="P52" s="31" t="n">
        <v>25.82</v>
      </c>
      <c r="Q52" s="31" t="n">
        <v>19.37</v>
      </c>
      <c r="R52" s="30" t="inlineStr">
        <is>
          <t>Volume Spike / Accumulation</t>
        </is>
      </c>
      <c r="S52" s="30" t="inlineStr">
        <is>
          <t>Nifty Realty</t>
        </is>
      </c>
      <c r="T52" s="31" t="n">
        <v>-19.9</v>
      </c>
      <c r="U52" s="31" t="n">
        <v>-10.77</v>
      </c>
      <c r="V52" s="31" t="n">
        <v>11.41</v>
      </c>
      <c r="W52" s="31" t="n">
        <v>18.57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Less than 12%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21</t>
        </is>
      </c>
      <c r="CG52" s="30">
        <f>IF(CF52&gt;20,10,IF(CF52&gt;=10,5,2))</f>
        <v/>
      </c>
    </row>
    <row r="53">
      <c r="A53" s="30">
        <f>IF(B53=0,"",RANK(B53,$B$2:$B$96,0))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2" t="inlineStr">
        <is>
          <t>SFL</t>
        </is>
      </c>
      <c r="D53" s="32" t="inlineStr">
        <is>
          <t>Sheela Foam Ltd</t>
        </is>
      </c>
      <c r="E53" s="30" t="inlineStr">
        <is>
          <t>consumer discretionary</t>
        </is>
      </c>
      <c r="F53" s="30" t="inlineStr">
        <is>
          <t>Mattress</t>
        </is>
      </c>
      <c r="G53" s="30" t="inlineStr">
        <is>
          <t>midcap</t>
        </is>
      </c>
      <c r="H53" s="31" t="n">
        <v>7651.33</v>
      </c>
      <c r="I53" s="31" t="n">
        <v>700.65</v>
      </c>
      <c r="J53" s="31" t="n">
        <v>-0.26</v>
      </c>
      <c r="K53" s="31" t="n">
        <v>0</v>
      </c>
      <c r="L53" s="30" t="n">
        <v>26</v>
      </c>
      <c r="M53" s="30" t="inlineStr">
        <is>
          <t>Underperforming</t>
        </is>
      </c>
      <c r="N53" s="31">
        <f>IF(M53="Underperforming",-5,IF(L53&gt;=95,15,IF(L53&gt;=90,10,IF(L53&gt;=80,5,0))))</f>
        <v/>
      </c>
      <c r="O53" s="31" t="n">
        <v>65.48</v>
      </c>
      <c r="P53" s="31" t="n">
        <v>21.06</v>
      </c>
      <c r="Q53" s="31" t="n">
        <v>540.77</v>
      </c>
      <c r="R53" s="30" t="inlineStr">
        <is>
          <t>Near 52W High Breakout</t>
        </is>
      </c>
      <c r="S53" s="30" t="inlineStr">
        <is>
          <t>Nifty 50</t>
        </is>
      </c>
      <c r="T53" s="31" t="n">
        <v>-4.38</v>
      </c>
      <c r="U53" s="31" t="n">
        <v>-5.57</v>
      </c>
      <c r="V53" s="31" t="n">
        <v>-1.25</v>
      </c>
      <c r="W53" s="31" t="n">
        <v>7.5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Close to 52 week high or retracement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21</t>
        </is>
      </c>
      <c r="CG53" s="30">
        <f>IF(CF53&gt;20,10,IF(CF53&gt;=10,5,2))</f>
        <v/>
      </c>
    </row>
    <row r="54">
      <c r="A54" s="30">
        <f>IF(B54=0,"",RANK(B54,$B$2:$B$96,0))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0" t="inlineStr">
        <is>
          <t>PRECWIRE</t>
        </is>
      </c>
      <c r="D54" s="30" t="inlineStr">
        <is>
          <t>Precision Wires India Ltd</t>
        </is>
      </c>
      <c r="E54" s="30" t="inlineStr">
        <is>
          <t>Industrials</t>
        </is>
      </c>
      <c r="F54" s="30" t="inlineStr">
        <is>
          <t>Copper Wires</t>
        </is>
      </c>
      <c r="G54" s="30" t="inlineStr">
        <is>
          <t>midcap</t>
        </is>
      </c>
      <c r="H54" s="31" t="n">
        <v>7463.14</v>
      </c>
      <c r="I54" s="31" t="n">
        <v>408.25</v>
      </c>
      <c r="J54" s="31" t="n">
        <v>-3.66</v>
      </c>
      <c r="K54" s="31" t="n">
        <v>0</v>
      </c>
      <c r="L54" s="30" t="n">
        <v>82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65</v>
      </c>
      <c r="P54" s="31" t="n">
        <v>67.04000000000001</v>
      </c>
      <c r="Q54" s="31" t="n">
        <v>302.68</v>
      </c>
      <c r="R54" s="30" t="inlineStr">
        <is>
          <t>Near 52W High Breakout</t>
        </is>
      </c>
      <c r="S54" s="30" t="inlineStr">
        <is>
          <t>Nifty 50</t>
        </is>
      </c>
      <c r="T54" s="31" t="n">
        <v>-4.38</v>
      </c>
      <c r="U54" s="31" t="n">
        <v>132.09</v>
      </c>
      <c r="V54" s="31" t="n">
        <v>142.71</v>
      </c>
      <c r="W54" s="31" t="n">
        <v>26.26</v>
      </c>
      <c r="X54" s="30" t="inlineStr">
        <is>
          <t>Cyclical in an Upturn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Negative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20</t>
        </is>
      </c>
      <c r="CG54" s="30">
        <f>IF(CF54&gt;20,10,IF(CF54&gt;=10,5,2))</f>
        <v/>
      </c>
    </row>
    <row r="55">
      <c r="A55" s="30">
        <f>IF(B55=0,"",RANK(B55,$B$2:$B$96,0))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3" t="inlineStr">
        <is>
          <t>AFCOM</t>
        </is>
      </c>
      <c r="D55" s="33" t="inlineStr">
        <is>
          <t>Afcom Holdings Ltd</t>
        </is>
      </c>
      <c r="E55" s="30" t="inlineStr">
        <is>
          <t>Industrials</t>
        </is>
      </c>
      <c r="F55" s="30" t="inlineStr">
        <is>
          <t>Air Transport Service</t>
        </is>
      </c>
      <c r="G55" s="30" t="inlineStr">
        <is>
          <t>smallcap</t>
        </is>
      </c>
      <c r="H55" s="31" t="n">
        <v>3374.96</v>
      </c>
      <c r="I55" s="31" t="n">
        <v>1176</v>
      </c>
      <c r="J55" s="31" t="n">
        <v>-1.02</v>
      </c>
      <c r="K55" s="31" t="n">
        <v>0</v>
      </c>
      <c r="L55" s="30" t="n">
        <v>75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68.47</v>
      </c>
      <c r="P55" s="31" t="n">
        <v>20.23</v>
      </c>
      <c r="Q55" s="31" t="n">
        <v>849.27</v>
      </c>
      <c r="R55" s="30" t="inlineStr">
        <is>
          <t>Volume Spike &amp; Near 52W High Breakout</t>
        </is>
      </c>
      <c r="S55" s="30" t="inlineStr">
        <is>
          <t>Nifty 50</t>
        </is>
      </c>
      <c r="T55" s="31" t="n">
        <v>-4.38</v>
      </c>
      <c r="U55" s="31" t="n">
        <v>40.93</v>
      </c>
      <c r="V55" s="31" t="n">
        <v>47.38</v>
      </c>
      <c r="W55" s="31" t="n">
        <v>21.89</v>
      </c>
      <c r="X55" s="30" t="inlineStr">
        <is>
          <t>Cyclical in an Upturn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Less than 50%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Between 0.7 to 1.2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20</t>
        </is>
      </c>
      <c r="CG55" s="30">
        <f>IF(CF55&gt;20,10,IF(CF55&gt;=10,5,2))</f>
        <v/>
      </c>
    </row>
    <row r="56">
      <c r="A56" s="30">
        <f>IF(B56=0,"",RANK(B56,$B$2:$B$96,0))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3" t="inlineStr">
        <is>
          <t>AURUM</t>
        </is>
      </c>
      <c r="D56" s="33" t="inlineStr">
        <is>
          <t>Aurum Proptech Ltd</t>
        </is>
      </c>
      <c r="E56" s="30" t="inlineStr">
        <is>
          <t>i.t</t>
        </is>
      </c>
      <c r="F56" s="30" t="inlineStr">
        <is>
          <t>IT Enabled Services</t>
        </is>
      </c>
      <c r="G56" s="30" t="inlineStr">
        <is>
          <t>smallcap</t>
        </is>
      </c>
      <c r="H56" s="31" t="n">
        <v>1469.05</v>
      </c>
      <c r="I56" s="31" t="n">
        <v>203.91</v>
      </c>
      <c r="J56" s="31" t="n">
        <v>1.82</v>
      </c>
      <c r="K56" s="31" t="n">
        <v>0</v>
      </c>
      <c r="L56" s="30" t="n">
        <v>19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64.14</v>
      </c>
      <c r="P56" s="31" t="n">
        <v>20.26</v>
      </c>
      <c r="Q56" s="31" t="n">
        <v>158.7</v>
      </c>
      <c r="R56" s="30" t="inlineStr">
        <is>
          <t>Volume Spike &amp; Near 52W High Breakout</t>
        </is>
      </c>
      <c r="S56" s="30" t="inlineStr">
        <is>
          <t>Nifty IT</t>
        </is>
      </c>
      <c r="T56" s="31" t="n">
        <v>-29.66</v>
      </c>
      <c r="U56" s="31" t="n">
        <v>5.15</v>
      </c>
      <c r="V56" s="31" t="n">
        <v>49.49</v>
      </c>
      <c r="W56" s="31" t="n">
        <v>5.5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20 to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Between 50% to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19</t>
        </is>
      </c>
      <c r="CG56" s="30">
        <f>IF(CF56&gt;20,10,IF(CF56&gt;=10,5,2))</f>
        <v/>
      </c>
    </row>
    <row r="57">
      <c r="A57" s="30">
        <f>IF(B57=0,"",RANK(B57,$B$2:$B$96,0))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3" t="inlineStr">
        <is>
          <t>PREMEXPLN</t>
        </is>
      </c>
      <c r="D57" s="33" t="inlineStr">
        <is>
          <t>Premier Explosives Ltd</t>
        </is>
      </c>
      <c r="E57" s="30" t="inlineStr">
        <is>
          <t>aerospace &amp; defence</t>
        </is>
      </c>
      <c r="F57" s="30" t="inlineStr">
        <is>
          <t>Industrial Explosives</t>
        </is>
      </c>
      <c r="G57" s="30" t="inlineStr">
        <is>
          <t>smallcap</t>
        </is>
      </c>
      <c r="H57" s="31" t="n">
        <v>4168.11</v>
      </c>
      <c r="I57" s="31" t="n">
        <v>775.3</v>
      </c>
      <c r="J57" s="31" t="n">
        <v>4.61</v>
      </c>
      <c r="K57" s="31" t="n">
        <v>0</v>
      </c>
      <c r="L57" s="30" t="n">
        <v>81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73.2</v>
      </c>
      <c r="P57" s="31" t="n">
        <v>21.88</v>
      </c>
      <c r="Q57" s="31" t="n">
        <v>552.49</v>
      </c>
      <c r="R57" s="30" t="inlineStr">
        <is>
          <t>Volume Spike &amp; Near 52W High Breakout</t>
        </is>
      </c>
      <c r="S57" s="30" t="inlineStr">
        <is>
          <t>Nifty IT</t>
        </is>
      </c>
      <c r="T57" s="31" t="n">
        <v>-29.66</v>
      </c>
      <c r="U57" s="31" t="n">
        <v>30.9</v>
      </c>
      <c r="V57" s="31" t="n">
        <v>86.09</v>
      </c>
      <c r="W57" s="31" t="n">
        <v>25.43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Less than 1.5</t>
        </is>
      </c>
      <c r="BU57" s="30">
        <f>IF(BT57="Above 2",0,IF(BT57="Between 1.5 to 2",5,IF(BT57="Less than 1.5",10,0)))</f>
        <v/>
      </c>
      <c r="BV57" s="30" t="inlineStr">
        <is>
          <t>Negative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19</t>
        </is>
      </c>
      <c r="CG57" s="30">
        <f>IF(CF57&gt;20,10,IF(CF57&gt;=10,5,2))</f>
        <v/>
      </c>
    </row>
    <row r="58">
      <c r="A58" s="30">
        <f>IF(B58=0,"",RANK(B58,$B$2:$B$96,0))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0" t="inlineStr">
        <is>
          <t>VADILALIND</t>
        </is>
      </c>
      <c r="D58" s="30" t="inlineStr">
        <is>
          <t>Vadilal Industries Ltd</t>
        </is>
      </c>
      <c r="E58" s="30" t="inlineStr">
        <is>
          <t>fmcg</t>
        </is>
      </c>
      <c r="F58" s="30" t="inlineStr">
        <is>
          <t>FMCG - Dairy Products</t>
        </is>
      </c>
      <c r="G58" s="30" t="inlineStr">
        <is>
          <t>smallcap</t>
        </is>
      </c>
      <c r="H58" s="31" t="n">
        <v>4390.33</v>
      </c>
      <c r="I58" s="31" t="n">
        <v>6108</v>
      </c>
      <c r="J58" s="31" t="n">
        <v>-1.68</v>
      </c>
      <c r="K58" s="31" t="n">
        <v>0</v>
      </c>
      <c r="L58" s="30" t="n">
        <v>40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67.23</v>
      </c>
      <c r="P58" s="31" t="n">
        <v>15.37</v>
      </c>
      <c r="Q58" s="31" t="n">
        <v>4698.41</v>
      </c>
      <c r="R58" s="30" t="inlineStr">
        <is>
          <t>Near 52W High Breakout</t>
        </is>
      </c>
      <c r="S58" s="30" t="inlineStr">
        <is>
          <t>Nifty FMCG</t>
        </is>
      </c>
      <c r="T58" s="31" t="n">
        <v>-9.279999999999999</v>
      </c>
      <c r="U58" s="31" t="n">
        <v>10.75</v>
      </c>
      <c r="V58" s="31" t="n">
        <v>22.08</v>
      </c>
      <c r="W58" s="31" t="n">
        <v>10.21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B2C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Annuity, Lower One Time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0 to 20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Between 50% to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28</t>
        </is>
      </c>
      <c r="CG58" s="30">
        <f>IF(CF58&gt;20,10,IF(CF58&gt;=10,5,2))</f>
        <v/>
      </c>
    </row>
    <row r="59">
      <c r="A59" s="30">
        <f>IF(B59=0,"",RANK(B59,$B$2:$B$96,0))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3" t="inlineStr">
        <is>
          <t>EBGNG</t>
        </is>
      </c>
      <c r="D59" s="33" t="inlineStr">
        <is>
          <t>GNG Electronics Ltd</t>
        </is>
      </c>
      <c r="E59" s="30" t="inlineStr">
        <is>
          <t>Technology</t>
        </is>
      </c>
      <c r="F59" s="30" t="inlineStr">
        <is>
          <t>New age - Platform - E-Retail</t>
        </is>
      </c>
      <c r="G59" s="30" t="inlineStr">
        <is>
          <t>midcap</t>
        </is>
      </c>
      <c r="H59" s="31" t="n">
        <v>5722.81</v>
      </c>
      <c r="I59" s="31" t="n">
        <v>501.95</v>
      </c>
      <c r="J59" s="31" t="n">
        <v>9.99</v>
      </c>
      <c r="K59" s="31" t="n">
        <v>0</v>
      </c>
      <c r="L59" s="30" t="n">
        <v>63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69.56999999999999</v>
      </c>
      <c r="P59" s="31" t="n">
        <v>22.92</v>
      </c>
      <c r="Q59" s="31" t="n">
        <v>363.54</v>
      </c>
      <c r="R59" s="30" t="inlineStr">
        <is>
          <t>Volume Spike &amp; Near 52W High Breakout</t>
        </is>
      </c>
      <c r="S59" s="30" t="inlineStr">
        <is>
          <t>Nifty 50</t>
        </is>
      </c>
      <c r="T59" s="31" t="n">
        <v>-2.25</v>
      </c>
      <c r="U59" s="31" t="n">
        <v>60.62</v>
      </c>
      <c r="V59" s="31" t="n">
        <v>64.31999999999999</v>
      </c>
      <c r="W59" s="31" t="n">
        <v>17.18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B2C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Annuity, Lower One Time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Negative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22</t>
        </is>
      </c>
      <c r="CG59" s="30">
        <f>IF(CF59&gt;20,10,IF(CF59&gt;=10,5,2))</f>
        <v/>
      </c>
    </row>
    <row r="60">
      <c r="A60" s="30">
        <f>IF(B60=0,"",RANK(B60,$B$2:$B$96,0))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3" t="inlineStr">
        <is>
          <t>SASKEN</t>
        </is>
      </c>
      <c r="D60" s="33" t="inlineStr">
        <is>
          <t>Sasken Technologies Ltd</t>
        </is>
      </c>
      <c r="E60" s="30" t="inlineStr">
        <is>
          <t>i.t</t>
        </is>
      </c>
      <c r="F60" s="30" t="inlineStr">
        <is>
          <t>IT - Software</t>
        </is>
      </c>
      <c r="G60" s="30" t="inlineStr">
        <is>
          <t>smallcap</t>
        </is>
      </c>
      <c r="H60" s="31" t="n">
        <v>3927.37</v>
      </c>
      <c r="I60" s="31" t="n">
        <v>2586.1</v>
      </c>
      <c r="J60" s="31" t="n">
        <v>-2.33</v>
      </c>
      <c r="K60" s="31" t="n">
        <v>0</v>
      </c>
      <c r="L60" s="30" t="n">
        <v>95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78.73</v>
      </c>
      <c r="P60" s="31" t="n">
        <v>34.69</v>
      </c>
      <c r="Q60" s="31" t="n">
        <v>1872.43</v>
      </c>
      <c r="R60" s="30" t="inlineStr">
        <is>
          <t>Near 52W High Breakout</t>
        </is>
      </c>
      <c r="S60" s="30" t="inlineStr">
        <is>
          <t>Nifty IT</t>
        </is>
      </c>
      <c r="T60" s="31" t="n">
        <v>-29.66</v>
      </c>
      <c r="U60" s="31" t="n">
        <v>88.55</v>
      </c>
      <c r="V60" s="31" t="n">
        <v>168.05</v>
      </c>
      <c r="W60" s="31" t="n">
        <v>45.54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Annuity, Lower One Time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Above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Negative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18</t>
        </is>
      </c>
      <c r="CG60" s="30">
        <f>IF(CF60&gt;20,10,IF(CF60&gt;=10,5,2))</f>
        <v/>
      </c>
    </row>
    <row r="61">
      <c r="A61" s="30">
        <f>IF(B61=0,"",RANK(B61,$B$2:$B$96,0))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0" t="inlineStr">
        <is>
          <t>JNKINDIA</t>
        </is>
      </c>
      <c r="D61" s="30" t="inlineStr">
        <is>
          <t>JNK India Ltd</t>
        </is>
      </c>
      <c r="E61" s="30" t="inlineStr">
        <is>
          <t>realty</t>
        </is>
      </c>
      <c r="F61" s="30" t="inlineStr">
        <is>
          <t>Capital Goods - Engineering Heavy</t>
        </is>
      </c>
      <c r="G61" s="30" t="inlineStr">
        <is>
          <t>smallcap</t>
        </is>
      </c>
      <c r="H61" s="31" t="n">
        <v>2724.68</v>
      </c>
      <c r="I61" s="31" t="n">
        <v>486.95</v>
      </c>
      <c r="J61" s="31" t="n">
        <v>4.27</v>
      </c>
      <c r="K61" s="31" t="n">
        <v>0</v>
      </c>
      <c r="L61" s="30" t="n">
        <v>90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73.63</v>
      </c>
      <c r="P61" s="31" t="n">
        <v>32.47</v>
      </c>
      <c r="Q61" s="31" t="n">
        <v>355.04</v>
      </c>
      <c r="R61" s="30" t="inlineStr">
        <is>
          <t>Near 52W High Breakout</t>
        </is>
      </c>
      <c r="S61" s="30" t="inlineStr">
        <is>
          <t>Nifty Realty</t>
        </is>
      </c>
      <c r="T61" s="31" t="n">
        <v>-19.9</v>
      </c>
      <c r="U61" s="31" t="n">
        <v>35.3</v>
      </c>
      <c r="V61" s="31" t="n">
        <v>68.92</v>
      </c>
      <c r="W61" s="31" t="n">
        <v>34.92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Negative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31</t>
        </is>
      </c>
      <c r="CG61" s="30">
        <f>IF(CF61&gt;20,10,IF(CF61&gt;=10,5,2))</f>
        <v/>
      </c>
    </row>
    <row r="62">
      <c r="A62" s="30">
        <f>IF(B62=0,"",RANK(B62,$B$2:$B$96,0))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0" t="inlineStr">
        <is>
          <t>ADVAIT</t>
        </is>
      </c>
      <c r="D62" s="30" t="inlineStr">
        <is>
          <t>Advait Energy Transitions Limited</t>
        </is>
      </c>
      <c r="E62" s="30" t="inlineStr">
        <is>
          <t>Industrials</t>
        </is>
      </c>
      <c r="F62" s="30" t="inlineStr">
        <is>
          <t>EPC</t>
        </is>
      </c>
      <c r="G62" s="30" t="inlineStr">
        <is>
          <t>smallcap</t>
        </is>
      </c>
      <c r="H62" s="31" t="n">
        <v>2635.08</v>
      </c>
      <c r="I62" s="31" t="n">
        <v>2408</v>
      </c>
      <c r="J62" s="31" t="n">
        <v>-1.04</v>
      </c>
      <c r="K62" s="31" t="n">
        <v>0</v>
      </c>
      <c r="L62" s="30" t="n">
        <v>60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72</v>
      </c>
      <c r="P62" s="31" t="n">
        <v>30.76</v>
      </c>
      <c r="Q62" s="31" t="n">
        <v>1734.51</v>
      </c>
      <c r="R62" s="30" t="inlineStr">
        <is>
          <t>Near 52W High Breakout</t>
        </is>
      </c>
      <c r="S62" s="30" t="inlineStr">
        <is>
          <t>Nifty 50</t>
        </is>
      </c>
      <c r="T62" s="31" t="n">
        <v>-4.38</v>
      </c>
      <c r="U62" s="31" t="n">
        <v>27.05</v>
      </c>
      <c r="V62" s="31" t="n">
        <v>32.87</v>
      </c>
      <c r="W62" s="31" t="n">
        <v>16.03</v>
      </c>
      <c r="X62" s="30" t="inlineStr">
        <is>
          <t>Cyclical in an Upturn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Less than 1.5</t>
        </is>
      </c>
      <c r="BU62" s="30">
        <f>IF(BT62="Above 2",0,IF(BT62="Between 1.5 to 2",5,IF(BT62="Less than 1.5",10,0)))</f>
        <v/>
      </c>
      <c r="BV62" s="30" t="inlineStr">
        <is>
          <t>Negative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21</t>
        </is>
      </c>
      <c r="CG62" s="30">
        <f>IF(CF62&gt;20,10,IF(CF62&gt;=10,5,2))</f>
        <v/>
      </c>
    </row>
    <row r="63">
      <c r="A63" s="30">
        <f>IF(B63=0,"",RANK(B63,$B$2:$B$96,0))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CRAFTSMAN</t>
        </is>
      </c>
      <c r="D63" s="30" t="inlineStr">
        <is>
          <t>Craftsman Automation Ltd</t>
        </is>
      </c>
      <c r="E63" s="30" t="inlineStr">
        <is>
          <t>auto</t>
        </is>
      </c>
      <c r="F63" s="30" t="inlineStr">
        <is>
          <t>Auto &amp; Auto Ancl - CV</t>
        </is>
      </c>
      <c r="G63" s="30" t="inlineStr">
        <is>
          <t>largecap</t>
        </is>
      </c>
      <c r="H63" s="31" t="n">
        <v>23393.98</v>
      </c>
      <c r="I63" s="31" t="n">
        <v>9806.5</v>
      </c>
      <c r="J63" s="31" t="n">
        <v>3.23</v>
      </c>
      <c r="K63" s="31" t="n">
        <v>0</v>
      </c>
      <c r="L63" s="30" t="n">
        <v>77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70.81999999999999</v>
      </c>
      <c r="P63" s="31" t="n">
        <v>37.14</v>
      </c>
      <c r="Q63" s="31" t="n">
        <v>7714.99</v>
      </c>
      <c r="R63" s="30" t="inlineStr">
        <is>
          <t>Near 52W High Breakout</t>
        </is>
      </c>
      <c r="S63" s="30" t="inlineStr">
        <is>
          <t>Nifty Auto</t>
        </is>
      </c>
      <c r="T63" s="31" t="n">
        <v>12.26</v>
      </c>
      <c r="U63" s="31" t="n">
        <v>90.20999999999999</v>
      </c>
      <c r="V63" s="31" t="n">
        <v>69.43000000000001</v>
      </c>
      <c r="W63" s="31" t="n">
        <v>23.45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Less than 1.5</t>
        </is>
      </c>
      <c r="BU63" s="30">
        <f>IF(BT63="Above 2",0,IF(BT63="Between 1.5 to 2",5,IF(BT63="Less than 1.5",10,0)))</f>
        <v/>
      </c>
      <c r="BV63" s="30" t="inlineStr">
        <is>
          <t>Less than 50% and Borrowings are increasing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Between 0.7 to 1.2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21</t>
        </is>
      </c>
      <c r="CG63" s="30">
        <f>IF(CF63&gt;20,10,IF(CF63&gt;=10,5,2))</f>
        <v/>
      </c>
    </row>
    <row r="64">
      <c r="A64" s="30">
        <f>IF(B64=0,"",RANK(B64,$B$2:$B$96,0))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3" t="inlineStr">
        <is>
          <t>KMEW</t>
        </is>
      </c>
      <c r="D64" s="33" t="inlineStr">
        <is>
          <t>Knowledge Marine &amp; Engineering Works Ltd</t>
        </is>
      </c>
      <c r="E64" s="30" t="inlineStr">
        <is>
          <t>transportation</t>
        </is>
      </c>
      <c r="F64" s="30" t="inlineStr">
        <is>
          <t>Shipping</t>
        </is>
      </c>
      <c r="G64" s="30" t="inlineStr">
        <is>
          <t>midcap</t>
        </is>
      </c>
      <c r="H64" s="31" t="n">
        <v>5078.63</v>
      </c>
      <c r="I64" s="31" t="n">
        <v>2077.65</v>
      </c>
      <c r="J64" s="31" t="n">
        <v>1.06</v>
      </c>
      <c r="K64" s="31" t="n">
        <v>0</v>
      </c>
      <c r="L64" s="30" t="n">
        <v>85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62.73</v>
      </c>
      <c r="P64" s="31" t="n">
        <v>33.04</v>
      </c>
      <c r="Q64" s="31" t="n">
        <v>1456.01</v>
      </c>
      <c r="R64" s="30" t="inlineStr">
        <is>
          <t>Near 52W High Breakout</t>
        </is>
      </c>
      <c r="S64" s="30" t="inlineStr">
        <is>
          <t>Nifty 50</t>
        </is>
      </c>
      <c r="T64" s="31" t="n">
        <v>-4.38</v>
      </c>
      <c r="U64" s="31" t="n">
        <v>146.42</v>
      </c>
      <c r="V64" s="31" t="n">
        <v>157.7</v>
      </c>
      <c r="W64" s="31" t="n">
        <v>28.45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Blue sky scenario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Negative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21</t>
        </is>
      </c>
      <c r="CG64" s="30">
        <f>IF(CF64&gt;20,10,IF(CF64&gt;=10,5,2))</f>
        <v/>
      </c>
    </row>
    <row r="65">
      <c r="A65" s="30">
        <f>IF(B65=0,"",RANK(B65,$B$2:$B$96,0))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0" t="inlineStr">
        <is>
          <t>FCL</t>
        </is>
      </c>
      <c r="D65" s="30" t="inlineStr">
        <is>
          <t>Fineotex Chemical Ltd</t>
        </is>
      </c>
      <c r="E65" s="30" t="inlineStr">
        <is>
          <t>chemicals</t>
        </is>
      </c>
      <c r="F65" s="30" t="inlineStr">
        <is>
          <t>Speciality Chemicals</t>
        </is>
      </c>
      <c r="G65" s="30" t="inlineStr">
        <is>
          <t>midcap</t>
        </is>
      </c>
      <c r="H65" s="31" t="n">
        <v>5067.91</v>
      </c>
      <c r="I65" s="31" t="n">
        <v>43.52</v>
      </c>
      <c r="J65" s="31" t="n">
        <v>0.16</v>
      </c>
      <c r="K65" s="31" t="n">
        <v>0</v>
      </c>
      <c r="L65" s="30" t="n">
        <v>90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76.34999999999999</v>
      </c>
      <c r="P65" s="31" t="n">
        <v>34.11</v>
      </c>
      <c r="Q65" s="31" t="n">
        <v>31.93</v>
      </c>
      <c r="R65" s="30" t="inlineStr">
        <is>
          <t>Near 52W High Breakout</t>
        </is>
      </c>
      <c r="S65" s="30" t="inlineStr">
        <is>
          <t>Nifty 50</t>
        </is>
      </c>
      <c r="T65" s="31" t="n">
        <v>-4.38</v>
      </c>
      <c r="U65" s="31" t="n">
        <v>57.48</v>
      </c>
      <c r="V65" s="31" t="n">
        <v>64.68000000000001</v>
      </c>
      <c r="W65" s="31" t="n">
        <v>35.54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20 to 40</t>
        </is>
      </c>
      <c r="AY65" s="30">
        <f>IF(AX65="Above 40",20,IF(AX65="20 to 40",10,IF(AX65="0 to 20",-5,0)))</f>
        <v/>
      </c>
      <c r="AZ65" s="30" t="inlineStr">
        <is>
          <t>Above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Negative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20</t>
        </is>
      </c>
      <c r="CG65" s="30">
        <f>IF(CF65&gt;20,10,IF(CF65&gt;=10,5,2))</f>
        <v/>
      </c>
    </row>
    <row r="66">
      <c r="A66" s="30">
        <f>IF(B66=0,"",RANK(B66,$B$2:$B$96,0))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0" t="inlineStr">
        <is>
          <t>MINDACORP</t>
        </is>
      </c>
      <c r="D66" s="30" t="inlineStr">
        <is>
          <t>Minda Corporation Ltd</t>
        </is>
      </c>
      <c r="E66" s="30" t="inlineStr">
        <is>
          <t>auto</t>
        </is>
      </c>
      <c r="F66" s="30" t="inlineStr">
        <is>
          <t>Auto Ancillaries - Diversified</t>
        </is>
      </c>
      <c r="G66" s="30" t="inlineStr">
        <is>
          <t>midcap</t>
        </is>
      </c>
      <c r="H66" s="31" t="n">
        <v>15610.69</v>
      </c>
      <c r="I66" s="31" t="n">
        <v>652.95</v>
      </c>
      <c r="J66" s="31" t="n">
        <v>0.31</v>
      </c>
      <c r="K66" s="31" t="n">
        <v>0</v>
      </c>
      <c r="L66" s="30" t="n">
        <v>48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66.16</v>
      </c>
      <c r="P66" s="31" t="n">
        <v>19.66</v>
      </c>
      <c r="Q66" s="31" t="n">
        <v>523.0700000000001</v>
      </c>
      <c r="R66" s="30" t="inlineStr">
        <is>
          <t>Near 52W High Breakout</t>
        </is>
      </c>
      <c r="S66" s="30" t="inlineStr">
        <is>
          <t>Nifty Auto</t>
        </is>
      </c>
      <c r="T66" s="31" t="n">
        <v>12.26</v>
      </c>
      <c r="U66" s="31" t="n">
        <v>29.64</v>
      </c>
      <c r="V66" s="31" t="n">
        <v>15.48</v>
      </c>
      <c r="W66" s="31" t="n">
        <v>12.35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0 to 20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20</t>
        </is>
      </c>
      <c r="CG66" s="30">
        <f>IF(CF66&gt;20,10,IF(CF66&gt;=10,5,2))</f>
        <v/>
      </c>
    </row>
    <row r="67">
      <c r="A67" s="30">
        <f>IF(B67=0,"",RANK(B67,$B$2:$B$96,0))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AEROFLEX</t>
        </is>
      </c>
      <c r="D67" s="30" t="inlineStr">
        <is>
          <t>Aeroflex Industries Ltd</t>
        </is>
      </c>
      <c r="E67" s="30" t="inlineStr">
        <is>
          <t>metals &amp; mining</t>
        </is>
      </c>
      <c r="F67" s="30" t="inlineStr">
        <is>
          <t>Stainless Steel</t>
        </is>
      </c>
      <c r="G67" s="30" t="inlineStr">
        <is>
          <t>midcap</t>
        </is>
      </c>
      <c r="H67" s="31" t="n">
        <v>6712.48</v>
      </c>
      <c r="I67" s="31" t="n">
        <v>507.25</v>
      </c>
      <c r="J67" s="31" t="n">
        <v>3.73</v>
      </c>
      <c r="K67" s="31" t="n">
        <v>0</v>
      </c>
      <c r="L67" s="30" t="n">
        <v>95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77.39</v>
      </c>
      <c r="P67" s="31" t="n">
        <v>61.09</v>
      </c>
      <c r="Q67" s="31" t="n">
        <v>364.71</v>
      </c>
      <c r="R67" s="30" t="inlineStr">
        <is>
          <t>Near 52W High Breakout</t>
        </is>
      </c>
      <c r="S67" s="30" t="inlineStr">
        <is>
          <t>Nifty Metal</t>
        </is>
      </c>
      <c r="T67" s="31" t="n">
        <v>42.48</v>
      </c>
      <c r="U67" s="31" t="n">
        <v>148.44</v>
      </c>
      <c r="V67" s="31" t="n">
        <v>74.37</v>
      </c>
      <c r="W67" s="31" t="n">
        <v>49.95</v>
      </c>
      <c r="X67" s="30" t="inlineStr">
        <is>
          <t>Cyclical in an Upturn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Cyclical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Volatile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Between 50% to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19</t>
        </is>
      </c>
      <c r="CG67" s="30">
        <f>IF(CF67&gt;20,10,IF(CF67&gt;=10,5,2))</f>
        <v/>
      </c>
    </row>
    <row r="68">
      <c r="A68" s="30">
        <f>IF(B68=0,"",RANK(B68,$B$2:$B$96,0))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3" t="inlineStr">
        <is>
          <t>LLOYDSENT</t>
        </is>
      </c>
      <c r="D68" s="33" t="inlineStr">
        <is>
          <t>Lloyds Enterprises Ltd</t>
        </is>
      </c>
      <c r="E68" s="30" t="inlineStr">
        <is>
          <t>services</t>
        </is>
      </c>
      <c r="F68" s="30" t="inlineStr">
        <is>
          <t>Trading</t>
        </is>
      </c>
      <c r="G68" s="30" t="inlineStr">
        <is>
          <t>midcap</t>
        </is>
      </c>
      <c r="H68" s="31" t="n">
        <v>11603.51</v>
      </c>
      <c r="I68" s="31" t="n">
        <v>77.2</v>
      </c>
      <c r="J68" s="31" t="n">
        <v>0.32</v>
      </c>
      <c r="K68" s="31" t="n">
        <v>0</v>
      </c>
      <c r="L68" s="30" t="n">
        <v>72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63.56</v>
      </c>
      <c r="P68" s="31" t="n">
        <v>26.51</v>
      </c>
      <c r="Q68" s="31" t="n">
        <v>55.92</v>
      </c>
      <c r="R68" s="30" t="inlineStr">
        <is>
          <t>Volume Spike / Accumulation</t>
        </is>
      </c>
      <c r="S68" s="30" t="inlineStr">
        <is>
          <t>Nifty 50</t>
        </is>
      </c>
      <c r="T68" s="31" t="n">
        <v>-4.38</v>
      </c>
      <c r="U68" s="31" t="n">
        <v>10.13</v>
      </c>
      <c r="V68" s="31" t="n">
        <v>15.17</v>
      </c>
      <c r="W68" s="31" t="n">
        <v>21.12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Negative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20</t>
        </is>
      </c>
      <c r="CG68" s="30">
        <f>IF(CF68&gt;20,10,IF(CF68&gt;=10,5,2))</f>
        <v/>
      </c>
    </row>
    <row r="69">
      <c r="A69" s="30">
        <f>IF(B69=0,"",RANK(B69,$B$2:$B$96,0))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3" t="inlineStr">
        <is>
          <t>NYKAA</t>
        </is>
      </c>
      <c r="D69" s="33" t="inlineStr">
        <is>
          <t>FSN E-Commerce Ventures Ltd</t>
        </is>
      </c>
      <c r="E69" s="30" t="inlineStr">
        <is>
          <t>i.t</t>
        </is>
      </c>
      <c r="F69" s="30" t="inlineStr">
        <is>
          <t>New age - Platform - E-Retail</t>
        </is>
      </c>
      <c r="G69" s="30" t="inlineStr">
        <is>
          <t>largecap</t>
        </is>
      </c>
      <c r="H69" s="31" t="n">
        <v>86573.39999999999</v>
      </c>
      <c r="I69" s="31" t="n">
        <v>302.3</v>
      </c>
      <c r="J69" s="31" t="n">
        <v>1.41</v>
      </c>
      <c r="K69" s="31" t="n">
        <v>0</v>
      </c>
      <c r="L69" s="30" t="n">
        <v>57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67.42</v>
      </c>
      <c r="P69" s="31" t="n">
        <v>19.32</v>
      </c>
      <c r="Q69" s="31" t="n">
        <v>249.32</v>
      </c>
      <c r="R69" s="30" t="inlineStr">
        <is>
          <t>Volume Spike &amp; Near 52W High Breakout</t>
        </is>
      </c>
      <c r="S69" s="30" t="inlineStr">
        <is>
          <t>Nifty IT</t>
        </is>
      </c>
      <c r="T69" s="31" t="n">
        <v>-29.66</v>
      </c>
      <c r="U69" s="31" t="n">
        <v>53.4</v>
      </c>
      <c r="V69" s="31" t="n">
        <v>118.08</v>
      </c>
      <c r="W69" s="31" t="n">
        <v>14.75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B2C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0 to 20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Between 0.7 to 1.2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20</t>
        </is>
      </c>
      <c r="CG69" s="30">
        <f>IF(CF69&gt;20,10,IF(CF69&gt;=10,5,2))</f>
        <v/>
      </c>
    </row>
    <row r="70">
      <c r="A70" s="30">
        <f>IF(B70=0,"",RANK(B70,$B$2:$B$96,0))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3" t="inlineStr">
        <is>
          <t>WABAG</t>
        </is>
      </c>
      <c r="D70" s="33" t="inlineStr">
        <is>
          <t>Va Tech Wabag Ltd</t>
        </is>
      </c>
      <c r="E70" s="30" t="inlineStr">
        <is>
          <t>realty</t>
        </is>
      </c>
      <c r="F70" s="30" t="inlineStr">
        <is>
          <t>Water Treatment</t>
        </is>
      </c>
      <c r="G70" s="30" t="inlineStr">
        <is>
          <t>midcap</t>
        </is>
      </c>
      <c r="H70" s="31" t="n">
        <v>12360.93</v>
      </c>
      <c r="I70" s="31" t="n">
        <v>1983.6</v>
      </c>
      <c r="J70" s="31" t="n">
        <v>8.880000000000001</v>
      </c>
      <c r="K70" s="31" t="n">
        <v>0</v>
      </c>
      <c r="L70" s="30" t="n">
        <v>72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77.48</v>
      </c>
      <c r="P70" s="31" t="n">
        <v>16.32</v>
      </c>
      <c r="Q70" s="31" t="n">
        <v>1575.51</v>
      </c>
      <c r="R70" s="30" t="inlineStr">
        <is>
          <t>Volume Spike &amp; Near 52W High Breakout</t>
        </is>
      </c>
      <c r="S70" s="30" t="inlineStr">
        <is>
          <t>Nifty Realty</t>
        </is>
      </c>
      <c r="T70" s="31" t="n">
        <v>-19.9</v>
      </c>
      <c r="U70" s="31" t="n">
        <v>34.91</v>
      </c>
      <c r="V70" s="31" t="n">
        <v>68.43000000000001</v>
      </c>
      <c r="W70" s="31" t="n">
        <v>21.09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0 to 20</t>
        </is>
      </c>
      <c r="AY70" s="30">
        <f>IF(AX70="Above 40",20,IF(AX70="20 to 40",10,IF(AX70="0 to 20",-5,0)))</f>
        <v/>
      </c>
      <c r="AZ70" s="30" t="inlineStr">
        <is>
          <t>Above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Less than 50%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20</t>
        </is>
      </c>
      <c r="CG70" s="30">
        <f>IF(CF70&gt;20,10,IF(CF70&gt;=10,5,2))</f>
        <v/>
      </c>
    </row>
    <row r="71">
      <c r="A71" s="30">
        <f>IF(B71=0,"",RANK(B71,$B$2:$B$96,0))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3" t="inlineStr">
        <is>
          <t>DATAPATTNS</t>
        </is>
      </c>
      <c r="D71" s="33" t="inlineStr">
        <is>
          <t>Data Patterns (India) Ltd</t>
        </is>
      </c>
      <c r="E71" s="30" t="inlineStr">
        <is>
          <t>aerospace &amp; defence</t>
        </is>
      </c>
      <c r="F71" s="30" t="inlineStr">
        <is>
          <t>Aerospace &amp; Defence - Equipments</t>
        </is>
      </c>
      <c r="G71" s="30" t="inlineStr">
        <is>
          <t>largecap</t>
        </is>
      </c>
      <c r="H71" s="31" t="n">
        <v>26996.03</v>
      </c>
      <c r="I71" s="31" t="n">
        <v>4822.1</v>
      </c>
      <c r="J71" s="31" t="n">
        <v>0.42</v>
      </c>
      <c r="K71" s="31" t="n">
        <v>0</v>
      </c>
      <c r="L71" s="30" t="n">
        <v>76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76.94</v>
      </c>
      <c r="P71" s="31" t="n">
        <v>30.16</v>
      </c>
      <c r="Q71" s="31" t="n">
        <v>3536.67</v>
      </c>
      <c r="R71" s="30" t="inlineStr">
        <is>
          <t>Near 52W High Breakout</t>
        </is>
      </c>
      <c r="S71" s="30" t="inlineStr">
        <is>
          <t>Nifty 50</t>
        </is>
      </c>
      <c r="T71" s="31" t="n">
        <v>-4.38</v>
      </c>
      <c r="U71" s="31" t="n">
        <v>63.52</v>
      </c>
      <c r="V71" s="31" t="n">
        <v>71</v>
      </c>
      <c r="W71" s="31" t="n">
        <v>22.25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20 to 40</t>
        </is>
      </c>
      <c r="AY71" s="30">
        <f>IF(AX71="Above 40",20,IF(AX71="20 to 40",10,IF(AX71="0 to 20",-5,0)))</f>
        <v/>
      </c>
      <c r="AZ71" s="30" t="inlineStr">
        <is>
          <t>Above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Less than 50%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18</t>
        </is>
      </c>
      <c r="CG71" s="30">
        <f>IF(CF71&gt;20,10,IF(CF71&gt;=10,5,2))</f>
        <v/>
      </c>
    </row>
    <row r="72">
      <c r="A72" s="30">
        <f>IF(B72=0,"",RANK(B72,$B$2:$B$96,0))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3" t="inlineStr">
        <is>
          <t>RML</t>
        </is>
      </c>
      <c r="D72" s="33" t="inlineStr">
        <is>
          <t>Rane (Madras) Ltd</t>
        </is>
      </c>
      <c r="E72" s="30" t="inlineStr">
        <is>
          <t>auto</t>
        </is>
      </c>
      <c r="F72" s="30" t="inlineStr">
        <is>
          <t>Auto Ancillaries - Gears</t>
        </is>
      </c>
      <c r="G72" s="30" t="inlineStr">
        <is>
          <t>smallcap</t>
        </is>
      </c>
      <c r="H72" s="31" t="n">
        <v>3098.54</v>
      </c>
      <c r="I72" s="31" t="n">
        <v>1121.15</v>
      </c>
      <c r="J72" s="31" t="n">
        <v>13.62</v>
      </c>
      <c r="K72" s="31" t="n">
        <v>0</v>
      </c>
      <c r="L72" s="30" t="n">
        <v>64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73.61</v>
      </c>
      <c r="P72" s="31" t="n">
        <v>23.16</v>
      </c>
      <c r="Q72" s="31" t="n">
        <v>890.5599999999999</v>
      </c>
      <c r="R72" s="30" t="inlineStr">
        <is>
          <t>Volume Spike &amp; Near 52W High Breakout</t>
        </is>
      </c>
      <c r="S72" s="30" t="inlineStr">
        <is>
          <t>Nifty Auto</t>
        </is>
      </c>
      <c r="T72" s="31" t="n">
        <v>12.26</v>
      </c>
      <c r="U72" s="31" t="n">
        <v>22.88</v>
      </c>
      <c r="V72" s="31" t="n">
        <v>9.460000000000001</v>
      </c>
      <c r="W72" s="31" t="n">
        <v>17.57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Less than 12%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Between 50% to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Between 0.7 to 1.2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24</t>
        </is>
      </c>
      <c r="CG72" s="30">
        <f>IF(CF72&gt;20,10,IF(CF72&gt;=10,5,2))</f>
        <v/>
      </c>
    </row>
    <row r="73">
      <c r="A73" s="30">
        <f>IF(B73=0,"",RANK(B73,$B$2:$B$96,0))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0" t="inlineStr">
        <is>
          <t>APOLLO</t>
        </is>
      </c>
      <c r="D73" s="30" t="inlineStr">
        <is>
          <t>Apollo Micro Systems Ltd</t>
        </is>
      </c>
      <c r="E73" s="30" t="inlineStr">
        <is>
          <t>aerospace &amp; defence</t>
        </is>
      </c>
      <c r="F73" s="30" t="inlineStr">
        <is>
          <t>Aerospace &amp; Defence - Equipments</t>
        </is>
      </c>
      <c r="G73" s="30" t="inlineStr">
        <is>
          <t>midcap</t>
        </is>
      </c>
      <c r="H73" s="31" t="n">
        <v>15623.32</v>
      </c>
      <c r="I73" s="31" t="n">
        <v>433.15</v>
      </c>
      <c r="J73" s="31" t="n">
        <v>1.54</v>
      </c>
      <c r="K73" s="31" t="n">
        <v>0</v>
      </c>
      <c r="L73" s="30" t="inlineStr"/>
      <c r="M73" s="30" t="inlineStr"/>
      <c r="N73" s="31">
        <f>IF(M73="Underperforming",-5,IF(L73&gt;=95,15,IF(L73&gt;=90,10,IF(L73&gt;=80,5,0))))</f>
        <v/>
      </c>
      <c r="O73" s="31" t="inlineStr"/>
      <c r="P73" s="31" t="inlineStr"/>
      <c r="Q73" s="31" t="inlineStr"/>
      <c r="R73" s="30" t="inlineStr"/>
      <c r="S73" s="30" t="inlineStr"/>
      <c r="T73" s="31" t="inlineStr"/>
      <c r="U73" s="31" t="inlineStr"/>
      <c r="V73" s="31" t="inlineStr"/>
      <c r="W73" s="31" t="inlineStr"/>
      <c r="X73" s="30" t="inlineStr">
        <is>
          <t>Cyclical in an Upturn</t>
        </is>
      </c>
      <c r="Y73" s="30">
        <f>IF(X73="Growing Industry",10,IF(X73="Cyclical in an Upturn",5,0))</f>
        <v/>
      </c>
      <c r="Z73" s="30" t="inlineStr">
        <is>
          <t>Oligopoly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Cyclical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B2C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Fully One Time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Above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Yes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Between 1.5 to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n"/>
      <c r="CG73" s="30">
        <f>IF(CF73&gt;20,10,IF(CF73&gt;=10,5,2))</f>
        <v/>
      </c>
    </row>
    <row r="74">
      <c r="A74" s="30">
        <f>IF(B74=0,"",RANK(B74,$B$2:$B$96,0))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0" t="inlineStr">
        <is>
          <t>SOTL</t>
        </is>
      </c>
      <c r="D74" s="30" t="inlineStr">
        <is>
          <t>Savita Oil Technologies Ltd</t>
        </is>
      </c>
      <c r="E74" s="30" t="inlineStr">
        <is>
          <t>energy</t>
        </is>
      </c>
      <c r="F74" s="30" t="inlineStr">
        <is>
          <t>Petrochem - Others</t>
        </is>
      </c>
      <c r="G74" s="30" t="inlineStr">
        <is>
          <t>smallcap</t>
        </is>
      </c>
      <c r="H74" s="31" t="n">
        <v>4146.53</v>
      </c>
      <c r="I74" s="31" t="n">
        <v>604.8</v>
      </c>
      <c r="J74" s="31" t="n">
        <v>2.61</v>
      </c>
      <c r="K74" s="31" t="n">
        <v>0</v>
      </c>
      <c r="L74" s="30" t="n">
        <v>83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77.66</v>
      </c>
      <c r="P74" s="31" t="n">
        <v>31.46</v>
      </c>
      <c r="Q74" s="31" t="n">
        <v>463.29</v>
      </c>
      <c r="R74" s="30" t="inlineStr">
        <is>
          <t>Near 52W High Breakout</t>
        </is>
      </c>
      <c r="S74" s="30" t="inlineStr">
        <is>
          <t>Nifty Energy</t>
        </is>
      </c>
      <c r="T74" s="31" t="n">
        <v>13.9</v>
      </c>
      <c r="U74" s="31" t="n">
        <v>47.4</v>
      </c>
      <c r="V74" s="31" t="n">
        <v>29.41</v>
      </c>
      <c r="W74" s="31" t="n">
        <v>27.15</v>
      </c>
      <c r="X74" s="30" t="inlineStr">
        <is>
          <t>Cyclical in an Upturn</t>
        </is>
      </c>
      <c r="Y74" s="30">
        <f>IF(X74="Growing Industry",10,IF(X74="Cyclical in an Upturn",5,0))</f>
        <v/>
      </c>
      <c r="Z74" s="30" t="inlineStr">
        <is>
          <t>Oligopoly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Yes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Cyclical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Volatile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Above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Between 50% to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21</t>
        </is>
      </c>
      <c r="CG74" s="30">
        <f>IF(CF74&gt;20,10,IF(CF74&gt;=10,5,2))</f>
        <v/>
      </c>
    </row>
    <row r="75">
      <c r="A75" s="30">
        <f>IF(B75=0,"",RANK(B75,$B$2:$B$96,0))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0" t="inlineStr">
        <is>
          <t>GALAPREC</t>
        </is>
      </c>
      <c r="D75" s="30" t="inlineStr">
        <is>
          <t>Gala Precision Engineering Ltd</t>
        </is>
      </c>
      <c r="E75" s="30" t="inlineStr">
        <is>
          <t>industrials</t>
        </is>
      </c>
      <c r="F75" s="30" t="inlineStr">
        <is>
          <t>Castings, Forgings &amp; Fastners</t>
        </is>
      </c>
      <c r="G75" s="30" t="inlineStr">
        <is>
          <t>smallcap</t>
        </is>
      </c>
      <c r="H75" s="31" t="n">
        <v>1358.97</v>
      </c>
      <c r="I75" s="31" t="n">
        <v>1060.35</v>
      </c>
      <c r="J75" s="31" t="n">
        <v>3.85</v>
      </c>
      <c r="K75" s="31" t="n">
        <v>0</v>
      </c>
      <c r="L75" s="30" t="n">
        <v>52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74.33</v>
      </c>
      <c r="P75" s="31" t="n">
        <v>23.71</v>
      </c>
      <c r="Q75" s="31" t="n">
        <v>817.03</v>
      </c>
      <c r="R75" s="30" t="inlineStr">
        <is>
          <t>Volume Spike &amp; Near 52W High Breakout</t>
        </is>
      </c>
      <c r="S75" s="30" t="inlineStr">
        <is>
          <t>Nifty 50</t>
        </is>
      </c>
      <c r="T75" s="31" t="n">
        <v>-4.38</v>
      </c>
      <c r="U75" s="31" t="n">
        <v>21.93</v>
      </c>
      <c r="V75" s="31" t="n">
        <v>27.51</v>
      </c>
      <c r="W75" s="31" t="n">
        <v>13.68</v>
      </c>
      <c r="X75" s="30" t="inlineStr">
        <is>
          <t>Cyclical in an Upturn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Less than 12%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Less than 50%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21</t>
        </is>
      </c>
      <c r="CG75" s="30">
        <f>IF(CF75&gt;20,10,IF(CF75&gt;=10,5,2))</f>
        <v/>
      </c>
    </row>
    <row r="76">
      <c r="A76" s="30">
        <f>IF(B76=0,"",RANK(B76,$B$2:$B$96,0))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3" t="inlineStr">
        <is>
          <t>SETL</t>
        </is>
      </c>
      <c r="D76" s="33" t="inlineStr">
        <is>
          <t>Standard Engineering Technology Ltd</t>
        </is>
      </c>
      <c r="E76" s="30" t="inlineStr">
        <is>
          <t>industrials</t>
        </is>
      </c>
      <c r="F76" s="30" t="inlineStr">
        <is>
          <t>Engineering - Heavy - Glass - lined Equipment</t>
        </is>
      </c>
      <c r="G76" s="30" t="inlineStr">
        <is>
          <t>smallcap</t>
        </is>
      </c>
      <c r="H76" s="31" t="n">
        <v>3712.74</v>
      </c>
      <c r="I76" s="31" t="n">
        <v>186.11</v>
      </c>
      <c r="J76" s="31" t="n">
        <v>3.3</v>
      </c>
      <c r="K76" s="31" t="n">
        <v>0</v>
      </c>
      <c r="L76" s="30" t="n">
        <v>65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71.31999999999999</v>
      </c>
      <c r="P76" s="31" t="n">
        <v>15.24</v>
      </c>
      <c r="Q76" s="31" t="n">
        <v>141.27</v>
      </c>
      <c r="R76" s="30" t="inlineStr">
        <is>
          <t>Volume Spike &amp; Near 52W High Breakout</t>
        </is>
      </c>
      <c r="S76" s="30" t="inlineStr">
        <is>
          <t>Nifty Infra</t>
        </is>
      </c>
      <c r="T76" s="31" t="n">
        <v>4.18</v>
      </c>
      <c r="U76" s="31" t="n">
        <v>9.77</v>
      </c>
      <c r="V76" s="31" t="n">
        <v>5.37</v>
      </c>
      <c r="W76" s="31" t="n">
        <v>17.67</v>
      </c>
      <c r="X76" s="30" t="inlineStr">
        <is>
          <t>Cyclical in an Upturn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0 to 20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Between 1.5 to 2</t>
        </is>
      </c>
      <c r="BU76" s="30">
        <f>IF(BT76="Above 2",0,IF(BT76="Between 1.5 to 2",5,IF(BT76="Less than 1.5",10,0)))</f>
        <v/>
      </c>
      <c r="BV76" s="30" t="inlineStr">
        <is>
          <t>Less than 50%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19</t>
        </is>
      </c>
      <c r="CG76" s="30">
        <f>IF(CF76&gt;20,10,IF(CF76&gt;=10,5,2))</f>
        <v/>
      </c>
    </row>
    <row r="77">
      <c r="A77" s="30">
        <f>IF(B77=0,"",RANK(B77,$B$2:$B$96,0))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3" t="inlineStr">
        <is>
          <t>LLOYDSENGG</t>
        </is>
      </c>
      <c r="D77" s="33" t="inlineStr">
        <is>
          <t>Lloyds Engineering Works Ltd</t>
        </is>
      </c>
      <c r="E77" s="30" t="inlineStr">
        <is>
          <t>industrials</t>
        </is>
      </c>
      <c r="F77" s="30" t="inlineStr">
        <is>
          <t>Capital Goods - Electrical Equipment</t>
        </is>
      </c>
      <c r="G77" s="30" t="inlineStr">
        <is>
          <t>midcap</t>
        </is>
      </c>
      <c r="H77" s="31" t="n">
        <v>12688.47</v>
      </c>
      <c r="I77" s="31" t="n">
        <v>86.84</v>
      </c>
      <c r="J77" s="31" t="n">
        <v>2.45</v>
      </c>
      <c r="K77" s="31" t="n">
        <v>0</v>
      </c>
      <c r="L77" s="30" t="n">
        <v>92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75.70999999999999</v>
      </c>
      <c r="P77" s="31" t="n">
        <v>30.43</v>
      </c>
      <c r="Q77" s="31" t="n">
        <v>65.14</v>
      </c>
      <c r="R77" s="30" t="inlineStr">
        <is>
          <t>Volume Spike &amp; Near 52W High Breakout</t>
        </is>
      </c>
      <c r="S77" s="30" t="inlineStr">
        <is>
          <t>Nifty 50</t>
        </is>
      </c>
      <c r="T77" s="31" t="n">
        <v>-4.38</v>
      </c>
      <c r="U77" s="31" t="n">
        <v>52.12</v>
      </c>
      <c r="V77" s="31" t="n">
        <v>59.08</v>
      </c>
      <c r="W77" s="31" t="n">
        <v>38.76</v>
      </c>
      <c r="X77" s="30" t="inlineStr">
        <is>
          <t>Cyclical in an Upturn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Above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Negative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19</t>
        </is>
      </c>
      <c r="CG77" s="30">
        <f>IF(CF77&gt;20,10,IF(CF77&gt;=10,5,2))</f>
        <v/>
      </c>
    </row>
    <row r="78">
      <c r="A78" s="30">
        <f>IF(B78=0,"",RANK(B78,$B$2:$B$96,0))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0" t="inlineStr">
        <is>
          <t>TBZ</t>
        </is>
      </c>
      <c r="D78" s="30" t="inlineStr">
        <is>
          <t>Tribhovandas Bhimji Zaveri Ltd</t>
        </is>
      </c>
      <c r="E78" s="30" t="inlineStr">
        <is>
          <t>consumer discretionary</t>
        </is>
      </c>
      <c r="F78" s="30" t="inlineStr">
        <is>
          <t>Diamond, Gems &amp; Jewellery</t>
        </is>
      </c>
      <c r="G78" s="30" t="inlineStr">
        <is>
          <t>smallcap</t>
        </is>
      </c>
      <c r="H78" s="31" t="n">
        <v>1260.41</v>
      </c>
      <c r="I78" s="31" t="n">
        <v>188.88</v>
      </c>
      <c r="J78" s="31" t="n">
        <v>-0.42</v>
      </c>
      <c r="K78" s="31" t="n">
        <v>0</v>
      </c>
      <c r="L78" s="30" t="n">
        <v>47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63.69</v>
      </c>
      <c r="P78" s="31" t="n">
        <v>15.54</v>
      </c>
      <c r="Q78" s="31" t="n">
        <v>137.62</v>
      </c>
      <c r="R78" s="30" t="inlineStr">
        <is>
          <t>Near 52W High Breakout</t>
        </is>
      </c>
      <c r="S78" s="30" t="inlineStr">
        <is>
          <t>Nifty 50</t>
        </is>
      </c>
      <c r="T78" s="31" t="n">
        <v>-4.38</v>
      </c>
      <c r="U78" s="31" t="n">
        <v>2.56</v>
      </c>
      <c r="V78" s="31" t="n">
        <v>7.25</v>
      </c>
      <c r="W78" s="31" t="n">
        <v>12.12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0 to 20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Less than 50% and Borrowings are increasing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Between 0.7 to 1.2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21</t>
        </is>
      </c>
      <c r="CG78" s="30">
        <f>IF(CF78&gt;20,10,IF(CF78&gt;=10,5,2))</f>
        <v/>
      </c>
    </row>
    <row r="79">
      <c r="A79" s="30">
        <f>IF(B79=0,"",RANK(B79,$B$2:$B$96,0))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0" t="inlineStr">
        <is>
          <t>SKYGOLD</t>
        </is>
      </c>
      <c r="D79" s="30" t="inlineStr">
        <is>
          <t>Sky Gold &amp; Diamonds Ltd</t>
        </is>
      </c>
      <c r="E79" s="30" t="inlineStr">
        <is>
          <t>Consumer Cyclical</t>
        </is>
      </c>
      <c r="F79" s="30" t="inlineStr">
        <is>
          <t>Diamond, Gems &amp; Jewellery</t>
        </is>
      </c>
      <c r="G79" s="30" t="inlineStr">
        <is>
          <t>midcap</t>
        </is>
      </c>
      <c r="H79" s="31" t="n">
        <v>7889.28</v>
      </c>
      <c r="I79" s="31" t="n">
        <v>509.4</v>
      </c>
      <c r="J79" s="31" t="n">
        <v>-2.43</v>
      </c>
      <c r="K79" s="31" t="n">
        <v>0</v>
      </c>
      <c r="L79" s="30" t="n">
        <v>71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63.76</v>
      </c>
      <c r="P79" s="31" t="n">
        <v>38.86</v>
      </c>
      <c r="Q79" s="31" t="n">
        <v>388.25</v>
      </c>
      <c r="R79" s="30" t="inlineStr">
        <is>
          <t>Earnings / Momentum Support</t>
        </is>
      </c>
      <c r="S79" s="30" t="inlineStr">
        <is>
          <t>Nifty 50</t>
        </is>
      </c>
      <c r="T79" s="31" t="n">
        <v>-4.38</v>
      </c>
      <c r="U79" s="31" t="n">
        <v>60.16</v>
      </c>
      <c r="V79" s="31" t="n">
        <v>67.5</v>
      </c>
      <c r="W79" s="31" t="n">
        <v>20.71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B2C</t>
        </is>
      </c>
      <c r="AO79" s="30">
        <f>IF(AN79="B2C",10,IF(AN79="B2B",5,0))</f>
        <v/>
      </c>
      <c r="AP79" s="30" t="inlineStr">
        <is>
          <t>No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Negative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Between 0.7 to 1.2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20</t>
        </is>
      </c>
      <c r="CG79" s="30">
        <f>IF(CF79&gt;20,10,IF(CF79&gt;=10,5,2))</f>
        <v/>
      </c>
    </row>
    <row r="80">
      <c r="A80" s="30">
        <f>IF(B80=0,"",RANK(B80,$B$2:$B$96,0))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0" t="inlineStr">
        <is>
          <t>WHEELS</t>
        </is>
      </c>
      <c r="D80" s="30" t="inlineStr">
        <is>
          <t>Wheels India Ltd</t>
        </is>
      </c>
      <c r="E80" s="30" t="inlineStr">
        <is>
          <t>auto</t>
        </is>
      </c>
      <c r="F80" s="30" t="inlineStr">
        <is>
          <t>Auto Ancillaries - Wheels</t>
        </is>
      </c>
      <c r="G80" s="30" t="inlineStr">
        <is>
          <t>smallcap</t>
        </is>
      </c>
      <c r="H80" s="31" t="n">
        <v>3795.42</v>
      </c>
      <c r="I80" s="31" t="n">
        <v>1553.4</v>
      </c>
      <c r="J80" s="31" t="n">
        <v>1.72</v>
      </c>
      <c r="K80" s="31" t="n">
        <v>0</v>
      </c>
      <c r="L80" s="30" t="n">
        <v>83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68.06999999999999</v>
      </c>
      <c r="P80" s="31" t="n">
        <v>53.69</v>
      </c>
      <c r="Q80" s="31" t="n">
        <v>1256.35</v>
      </c>
      <c r="R80" s="30" t="inlineStr">
        <is>
          <t>Earnings / Momentum Support</t>
        </is>
      </c>
      <c r="S80" s="30" t="inlineStr">
        <is>
          <t>Nifty Auto</t>
        </is>
      </c>
      <c r="T80" s="31" t="n">
        <v>12.26</v>
      </c>
      <c r="U80" s="31" t="n">
        <v>107.6</v>
      </c>
      <c r="V80" s="31" t="n">
        <v>84.92</v>
      </c>
      <c r="W80" s="31" t="n">
        <v>27.31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No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Above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Negative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Less than 12%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19</t>
        </is>
      </c>
      <c r="CG80" s="30">
        <f>IF(CF80&gt;20,10,IF(CF80&gt;=10,5,2))</f>
        <v/>
      </c>
    </row>
    <row r="81">
      <c r="A81" s="30">
        <f>IF(B81=0,"",RANK(B81,$B$2:$B$96,0))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3" t="inlineStr">
        <is>
          <t>WELSPLSOL</t>
        </is>
      </c>
      <c r="D81" s="33" t="inlineStr">
        <is>
          <t>Welspun Specialty Solutions Ltd</t>
        </is>
      </c>
      <c r="E81" s="30" t="inlineStr">
        <is>
          <t>Basic Materials</t>
        </is>
      </c>
      <c r="F81" s="30" t="inlineStr">
        <is>
          <t>Steel - Tubes/Pipes</t>
        </is>
      </c>
      <c r="G81" s="30" t="inlineStr">
        <is>
          <t>smallcap</t>
        </is>
      </c>
      <c r="H81" s="31" t="n">
        <v>3863.02</v>
      </c>
      <c r="I81" s="31" t="n">
        <v>58.3</v>
      </c>
      <c r="J81" s="31" t="n">
        <v>-3.49</v>
      </c>
      <c r="K81" s="31" t="n">
        <v>0</v>
      </c>
      <c r="L81" s="30" t="n">
        <v>84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77.92</v>
      </c>
      <c r="P81" s="31" t="n">
        <v>33.01</v>
      </c>
      <c r="Q81" s="31" t="n">
        <v>41.95</v>
      </c>
      <c r="R81" s="30" t="inlineStr">
        <is>
          <t>Volume Spike &amp; Near 52W High Breakout</t>
        </is>
      </c>
      <c r="S81" s="30" t="inlineStr">
        <is>
          <t>Nifty Metal</t>
        </is>
      </c>
      <c r="T81" s="31" t="n">
        <v>42.48</v>
      </c>
      <c r="U81" s="31" t="n">
        <v>68.65000000000001</v>
      </c>
      <c r="V81" s="31" t="n">
        <v>18.37</v>
      </c>
      <c r="W81" s="31" t="n">
        <v>27.9</v>
      </c>
      <c r="X81" s="30" t="inlineStr">
        <is>
          <t>Cyclical in an Upturn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Cyclical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Volatile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Above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Less than 12%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18</t>
        </is>
      </c>
      <c r="CG81" s="30">
        <f>IF(CF81&gt;20,10,IF(CF81&gt;=10,5,2))</f>
        <v/>
      </c>
    </row>
    <row r="82">
      <c r="A82" s="30">
        <f>IF(B82=0,"",RANK(B82,$B$2:$B$96,0))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0" t="inlineStr">
        <is>
          <t>VINCOFE</t>
        </is>
      </c>
      <c r="D82" s="30" t="inlineStr">
        <is>
          <t>Vintage Coffee &amp; Beverages Ltd</t>
        </is>
      </c>
      <c r="E82" s="30" t="inlineStr">
        <is>
          <t>consumer discretionary</t>
        </is>
      </c>
      <c r="F82" s="30" t="inlineStr">
        <is>
          <t>FMCG - Coffee</t>
        </is>
      </c>
      <c r="G82" s="30" t="inlineStr">
        <is>
          <t>smallcap</t>
        </is>
      </c>
      <c r="H82" s="31" t="n">
        <v>2229.03</v>
      </c>
      <c r="I82" s="31" t="n">
        <v>153</v>
      </c>
      <c r="J82" s="31" t="n">
        <v>1.09</v>
      </c>
      <c r="K82" s="31" t="n">
        <v>0</v>
      </c>
      <c r="L82" s="30" t="n">
        <v>34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55.66</v>
      </c>
      <c r="P82" s="31" t="n">
        <v>13.94</v>
      </c>
      <c r="Q82" s="31" t="n">
        <v>118.63</v>
      </c>
      <c r="R82" s="30" t="inlineStr">
        <is>
          <t>Earnings / Momentum Support</t>
        </is>
      </c>
      <c r="S82" s="30" t="inlineStr">
        <is>
          <t>Nifty 50</t>
        </is>
      </c>
      <c r="T82" s="31" t="n">
        <v>-4.38</v>
      </c>
      <c r="U82" s="31" t="n">
        <v>27.15</v>
      </c>
      <c r="V82" s="31" t="n">
        <v>32.97</v>
      </c>
      <c r="W82" s="31" t="n">
        <v>8.960000000000001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Headwind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B2C</t>
        </is>
      </c>
      <c r="AO82" s="30">
        <f>IF(AN82="B2C",10,IF(AN82="B2B",5,0))</f>
        <v/>
      </c>
      <c r="AP82" s="30" t="inlineStr">
        <is>
          <t>No</t>
        </is>
      </c>
      <c r="AQ82" s="30">
        <f>IF(AP82="Yes",10,0)</f>
        <v/>
      </c>
      <c r="AR82" s="30" t="inlineStr">
        <is>
          <t>Higher Annuity, Lower One Time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0 to 20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Between 12 to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Between 1.5 to 2</t>
        </is>
      </c>
      <c r="BU82" s="30">
        <f>IF(BT82="Above 2",0,IF(BT82="Between 1.5 to 2",5,IF(BT82="Less than 1.5",10,0)))</f>
        <v/>
      </c>
      <c r="BV82" s="30" t="inlineStr">
        <is>
          <t>Less than 50%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21</t>
        </is>
      </c>
      <c r="CG82" s="30">
        <f>IF(CF82&gt;20,10,IF(CF82&gt;=10,5,2))</f>
        <v/>
      </c>
    </row>
    <row r="83">
      <c r="A83" s="30">
        <f>IF(B83=0,"",RANK(B83,$B$2:$B$96,0))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0" t="inlineStr">
        <is>
          <t>PANAMAPET</t>
        </is>
      </c>
      <c r="D83" s="30" t="inlineStr">
        <is>
          <t>Panama Petrochem Ltd</t>
        </is>
      </c>
      <c r="E83" s="30" t="inlineStr">
        <is>
          <t>energy</t>
        </is>
      </c>
      <c r="F83" s="30" t="inlineStr">
        <is>
          <t>Speciality Chemicals</t>
        </is>
      </c>
      <c r="G83" s="30" t="inlineStr">
        <is>
          <t>smallcap</t>
        </is>
      </c>
      <c r="H83" s="31" t="n">
        <v>2923.35</v>
      </c>
      <c r="I83" s="31" t="n">
        <v>483.25</v>
      </c>
      <c r="J83" s="31" t="n">
        <v>18.37</v>
      </c>
      <c r="K83" s="31" t="n">
        <v>0</v>
      </c>
      <c r="L83" s="30" t="n">
        <v>84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81.31</v>
      </c>
      <c r="P83" s="31" t="n">
        <v>24.06</v>
      </c>
      <c r="Q83" s="31" t="n">
        <v>366.77</v>
      </c>
      <c r="R83" s="30" t="inlineStr">
        <is>
          <t>Volume Spike &amp; Near 52W High Breakout</t>
        </is>
      </c>
      <c r="S83" s="30" t="inlineStr">
        <is>
          <t>Nifty Energy</t>
        </is>
      </c>
      <c r="T83" s="31" t="n">
        <v>13.9</v>
      </c>
      <c r="U83" s="31" t="n">
        <v>34.67</v>
      </c>
      <c r="V83" s="31" t="n">
        <v>18.24</v>
      </c>
      <c r="W83" s="31" t="n">
        <v>27.79</v>
      </c>
      <c r="X83" s="30" t="inlineStr">
        <is>
          <t>Cyclical in an Upturn</t>
        </is>
      </c>
      <c r="Y83" s="30">
        <f>IF(X83="Growing Industry",10,IF(X83="Cyclical in an Upturn",5,0))</f>
        <v/>
      </c>
      <c r="Z83" s="30" t="inlineStr">
        <is>
          <t>Oligopoly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Yes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Cyclical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Volatile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Above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Less than 1.5</t>
        </is>
      </c>
      <c r="BU83" s="30">
        <f>IF(BT83="Above 2",0,IF(BT83="Between 1.5 to 2",5,IF(BT83="Less than 1.5",10,0)))</f>
        <v/>
      </c>
      <c r="BV83" s="30" t="inlineStr">
        <is>
          <t>Negative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24</t>
        </is>
      </c>
      <c r="CG83" s="30">
        <f>IF(CF83&gt;20,10,IF(CF83&gt;=10,5,2))</f>
        <v/>
      </c>
    </row>
    <row r="84">
      <c r="A84" s="30">
        <f>IF(B84=0,"",RANK(B84,$B$2:$B$96,0))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2" t="inlineStr">
        <is>
          <t>AEROENTER</t>
        </is>
      </c>
      <c r="D84" s="32" t="inlineStr">
        <is>
          <t>Aeroflex Enterprises Ltd</t>
        </is>
      </c>
      <c r="E84" s="30" t="inlineStr">
        <is>
          <t>metals &amp; mining</t>
        </is>
      </c>
      <c r="F84" s="30" t="inlineStr">
        <is>
          <t>Miscellaneous</t>
        </is>
      </c>
      <c r="G84" s="30" t="inlineStr">
        <is>
          <t>smallcap</t>
        </is>
      </c>
      <c r="H84" s="31" t="n">
        <v>1536.49</v>
      </c>
      <c r="I84" s="31" t="n">
        <v>135.87</v>
      </c>
      <c r="J84" s="31" t="n">
        <v>9.199999999999999</v>
      </c>
      <c r="K84" s="31" t="n">
        <v>0</v>
      </c>
      <c r="L84" s="30" t="n">
        <v>85</v>
      </c>
      <c r="M84" s="30" t="inlineStr">
        <is>
          <t>Underperforming</t>
        </is>
      </c>
      <c r="N84" s="31">
        <f>IF(M84="Underperforming",-5,IF(L84&gt;=95,15,IF(L84&gt;=90,10,IF(L84&gt;=80,5,0))))</f>
        <v/>
      </c>
      <c r="O84" s="31" t="n">
        <v>75.09999999999999</v>
      </c>
      <c r="P84" s="31" t="n">
        <v>35.76</v>
      </c>
      <c r="Q84" s="31" t="n">
        <v>100.97</v>
      </c>
      <c r="R84" s="30" t="inlineStr">
        <is>
          <t>Volume Spike &amp; Near 52W High Breakout</t>
        </is>
      </c>
      <c r="S84" s="30" t="inlineStr">
        <is>
          <t>Nifty Metal</t>
        </is>
      </c>
      <c r="T84" s="31" t="n">
        <v>42.48</v>
      </c>
      <c r="U84" s="31" t="n">
        <v>38.33</v>
      </c>
      <c r="V84" s="31" t="n">
        <v>-2.91</v>
      </c>
      <c r="W84" s="31" t="n">
        <v>29.25</v>
      </c>
      <c r="X84" s="30" t="inlineStr">
        <is>
          <t>Cyclical in an Upturn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Cyclical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Volatile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Above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Less than 50%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24</t>
        </is>
      </c>
      <c r="CG84" s="30">
        <f>IF(CF84&gt;20,10,IF(CF84&gt;=10,5,2))</f>
        <v/>
      </c>
    </row>
    <row r="85">
      <c r="A85" s="30">
        <f>IF(B85=0,"",RANK(B85,$B$2:$B$96,0))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3" t="inlineStr">
        <is>
          <t>TVSSCS</t>
        </is>
      </c>
      <c r="D85" s="33" t="inlineStr">
        <is>
          <t>TVS Supply Chain Solutions Ltd</t>
        </is>
      </c>
      <c r="E85" s="30" t="inlineStr">
        <is>
          <t>transportation</t>
        </is>
      </c>
      <c r="F85" s="30" t="inlineStr">
        <is>
          <t>Logistics - Warehousing/Supply Chain</t>
        </is>
      </c>
      <c r="G85" s="30" t="inlineStr">
        <is>
          <t>midcap</t>
        </is>
      </c>
      <c r="H85" s="31" t="n">
        <v>6190.2</v>
      </c>
      <c r="I85" s="31" t="n">
        <v>140.31</v>
      </c>
      <c r="J85" s="31" t="n">
        <v>3.08</v>
      </c>
      <c r="K85" s="31" t="n">
        <v>0</v>
      </c>
      <c r="L85" s="30" t="n">
        <v>42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62.89</v>
      </c>
      <c r="P85" s="31" t="n">
        <v>12.35</v>
      </c>
      <c r="Q85" s="31" t="n">
        <v>106.06</v>
      </c>
      <c r="R85" s="30" t="inlineStr">
        <is>
          <t>Volume Spike &amp; Near 52W High Breakout</t>
        </is>
      </c>
      <c r="S85" s="30" t="inlineStr">
        <is>
          <t>Nifty 50</t>
        </is>
      </c>
      <c r="T85" s="31" t="n">
        <v>-4.38</v>
      </c>
      <c r="U85" s="31" t="n">
        <v>6.91</v>
      </c>
      <c r="V85" s="31" t="n">
        <v>11.81</v>
      </c>
      <c r="W85" s="31" t="n">
        <v>10.96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0 to 20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More than 1.2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22</t>
        </is>
      </c>
      <c r="CG85" s="30">
        <f>IF(CF85&gt;20,10,IF(CF85&gt;=10,5,2))</f>
        <v/>
      </c>
    </row>
    <row r="86">
      <c r="A86" s="30">
        <f>IF(B86=0,"",RANK(B86,$B$2:$B$96,0))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3" t="inlineStr">
        <is>
          <t>SBC</t>
        </is>
      </c>
      <c r="D86" s="33" t="inlineStr">
        <is>
          <t>SBC Exports Ltd</t>
        </is>
      </c>
      <c r="E86" s="30" t="inlineStr">
        <is>
          <t>textiles</t>
        </is>
      </c>
      <c r="F86" s="30" t="inlineStr">
        <is>
          <t>Textiles - Readymade Apparel</t>
        </is>
      </c>
      <c r="G86" s="30" t="inlineStr">
        <is>
          <t>smallcap</t>
        </is>
      </c>
      <c r="H86" s="31" t="n">
        <v>2075.71</v>
      </c>
      <c r="I86" s="31" t="n">
        <v>43.59</v>
      </c>
      <c r="J86" s="31" t="n">
        <v>9.300000000000001</v>
      </c>
      <c r="K86" s="31" t="n">
        <v>0</v>
      </c>
      <c r="L86" s="30" t="n">
        <v>89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80.76000000000001</v>
      </c>
      <c r="P86" s="31" t="n">
        <v>25.88</v>
      </c>
      <c r="Q86" s="31" t="n">
        <v>35.79</v>
      </c>
      <c r="R86" s="30" t="inlineStr">
        <is>
          <t>Volume Spike &amp; Near 52W High Breakout</t>
        </is>
      </c>
      <c r="S86" s="30" t="inlineStr">
        <is>
          <t>Nifty 50</t>
        </is>
      </c>
      <c r="T86" s="31" t="n">
        <v>-4.38</v>
      </c>
      <c r="U86" s="31" t="n">
        <v>199.59</v>
      </c>
      <c r="V86" s="31" t="n">
        <v>213.3</v>
      </c>
      <c r="W86" s="31" t="n">
        <v>33.36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Above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Between 1.5 to 2</t>
        </is>
      </c>
      <c r="BU86" s="30">
        <f>IF(BT86="Above 2",0,IF(BT86="Between 1.5 to 2",5,IF(BT86="Less than 1.5",10,0)))</f>
        <v/>
      </c>
      <c r="BV86" s="30" t="inlineStr">
        <is>
          <t>Negative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More than 1.2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22</t>
        </is>
      </c>
      <c r="CG86" s="30">
        <f>IF(CF86&gt;20,10,IF(CF86&gt;=10,5,2))</f>
        <v/>
      </c>
    </row>
    <row r="87">
      <c r="A87" s="30">
        <f>IF(B87=0,"",RANK(B87,$B$2:$B$96,0))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0" t="inlineStr">
        <is>
          <t>MSTCLTD</t>
        </is>
      </c>
      <c r="D87" s="30" t="inlineStr">
        <is>
          <t>MSTC Ltd</t>
        </is>
      </c>
      <c r="E87" s="30" t="inlineStr">
        <is>
          <t>i.t</t>
        </is>
      </c>
      <c r="F87" s="30" t="inlineStr">
        <is>
          <t>E-Commerce - Platform - Utility</t>
        </is>
      </c>
      <c r="G87" s="30" t="inlineStr">
        <is>
          <t>smallcap</t>
        </is>
      </c>
      <c r="H87" s="31" t="n">
        <v>4876.96</v>
      </c>
      <c r="I87" s="31" t="n">
        <v>692.75</v>
      </c>
      <c r="J87" s="31" t="n">
        <v>0.75</v>
      </c>
      <c r="K87" s="31" t="n">
        <v>0</v>
      </c>
      <c r="L87" s="30" t="n">
        <v>77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75.39</v>
      </c>
      <c r="P87" s="31" t="n">
        <v>20.4</v>
      </c>
      <c r="Q87" s="31" t="n">
        <v>535.87</v>
      </c>
      <c r="R87" s="30" t="inlineStr">
        <is>
          <t>Volume Spike &amp; Near 52W High Breakout</t>
        </is>
      </c>
      <c r="S87" s="30" t="inlineStr">
        <is>
          <t>Nifty IT</t>
        </is>
      </c>
      <c r="T87" s="31" t="n">
        <v>-29.66</v>
      </c>
      <c r="U87" s="31" t="n">
        <v>40.04</v>
      </c>
      <c r="V87" s="31" t="n">
        <v>99.09</v>
      </c>
      <c r="W87" s="31" t="n">
        <v>23.41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Oligopoly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Yes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Above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Less than 12%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Negative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20</t>
        </is>
      </c>
      <c r="CG87" s="30">
        <f>IF(CF87&gt;20,10,IF(CF87&gt;=10,5,2))</f>
        <v/>
      </c>
    </row>
    <row r="88">
      <c r="A88" s="30">
        <f>IF(B88=0,"",RANK(B88,$B$2:$B$96,0))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0" t="inlineStr">
        <is>
          <t>NGLFINE</t>
        </is>
      </c>
      <c r="D88" s="30" t="inlineStr">
        <is>
          <t>NGL Fine Chem Ltd</t>
        </is>
      </c>
      <c r="E88" s="30" t="inlineStr">
        <is>
          <t>healthcare</t>
        </is>
      </c>
      <c r="F88" s="30" t="inlineStr">
        <is>
          <t>Pharma - Animal</t>
        </is>
      </c>
      <c r="G88" s="30" t="inlineStr">
        <is>
          <t>smallcap</t>
        </is>
      </c>
      <c r="H88" s="31" t="n">
        <v>1887.76</v>
      </c>
      <c r="I88" s="31" t="n">
        <v>3055.6</v>
      </c>
      <c r="J88" s="31" t="n">
        <v>0.33</v>
      </c>
      <c r="K88" s="31" t="n">
        <v>0</v>
      </c>
      <c r="L88" s="30" t="inlineStr"/>
      <c r="M88" s="30" t="inlineStr"/>
      <c r="N88" s="31">
        <f>IF(M88="Underperforming",-5,IF(L88&gt;=95,15,IF(L88&gt;=90,10,IF(L88&gt;=80,5,0))))</f>
        <v/>
      </c>
      <c r="O88" s="31" t="inlineStr"/>
      <c r="P88" s="31" t="inlineStr"/>
      <c r="Q88" s="31" t="inlineStr"/>
      <c r="R88" s="30" t="inlineStr"/>
      <c r="S88" s="30" t="inlineStr"/>
      <c r="T88" s="31" t="inlineStr"/>
      <c r="U88" s="31" t="inlineStr"/>
      <c r="V88" s="31" t="inlineStr"/>
      <c r="W88" s="31" t="inlineStr"/>
      <c r="X88" s="30" t="n"/>
      <c r="Y88" s="30">
        <f>IF(X88="Growing Industry",10,IF(X88="Cyclical in an Upturn",5,0))</f>
        <v/>
      </c>
      <c r="Z88" s="30" t="n"/>
      <c r="AA88" s="30">
        <f>IF(Z88="Monopoly",10,IF(Z88="Oligopoly",5,IF(Z88="Duopoly that cooperate",10,IF(Z88="Duopoly that compete",5,IF(Z88="Too many players with High ROCE",5,0)))))</f>
        <v/>
      </c>
      <c r="AB88" s="30" t="n"/>
      <c r="AC88" s="30">
        <f>IF(AB88="No",5,0)</f>
        <v/>
      </c>
      <c r="AD88" s="30" t="n"/>
      <c r="AE88" s="30">
        <f>IF(AD88="Tailwind",10,0)</f>
        <v/>
      </c>
      <c r="AF88" s="30" t="n"/>
      <c r="AG88" s="30">
        <f>IF(AF88="Structural (10 Years Consistency)",10,IF(AF88="Shallow Cyclical (2 to 3 years growth)",5,0))</f>
        <v/>
      </c>
      <c r="AH88" s="30" t="n"/>
      <c r="AI88" s="30">
        <f>IF(AH88="Yes due to Product Mix change or Operating Leverage",10,IF(AH88="Yes, these are peak margins",-5,IF(AH88="No",5,0)))</f>
        <v/>
      </c>
      <c r="AJ88" s="30" t="n"/>
      <c r="AK88" s="30">
        <f>IF(AJ88="Stable",10,0)</f>
        <v/>
      </c>
      <c r="AL88" s="30" t="n"/>
      <c r="AM88" s="30">
        <f>IF(AL88="Yes",10,0)</f>
        <v/>
      </c>
      <c r="AN88" s="30" t="n"/>
      <c r="AO88" s="30">
        <f>IF(AN88="B2C",10,IF(AN88="B2B",5,0))</f>
        <v/>
      </c>
      <c r="AP88" s="30" t="n"/>
      <c r="AQ88" s="30">
        <f>IF(AP88="Yes",10,0)</f>
        <v/>
      </c>
      <c r="AR88" s="30" t="n"/>
      <c r="AS88" s="30">
        <f>IF(AR88="Fully Annuity",10,IF(AR88="Higher Annuity, Lower One Time",5,IF(AR88="Higher One Time, Lower Annuity",3,0)))</f>
        <v/>
      </c>
      <c r="AT88" s="30" t="n"/>
      <c r="AU88" s="30">
        <f>IF(AT88="Good",10,0)</f>
        <v/>
      </c>
      <c r="AV88" s="30" t="n"/>
      <c r="AW88" s="30">
        <f>IF(AV88="Yes for more than 2 years",10,IF(AV88="Yes only for next 1 to 2 years",5,0))</f>
        <v/>
      </c>
      <c r="AX88" s="30" t="n"/>
      <c r="AY88" s="30">
        <f>IF(AX88="Above 40",20,IF(AX88="20 to 40",10,IF(AX88="0 to 20",-5,0)))</f>
        <v/>
      </c>
      <c r="AZ88" s="30" t="n"/>
      <c r="BA88" s="30">
        <f>IF(AZ88="Between 50 to 75",10,IF(AZ88="Above 75",0,0))</f>
        <v/>
      </c>
      <c r="BB88" s="30" t="n"/>
      <c r="BC88" s="30">
        <f>IF(BB88="Stage 2",20,IF(BB88="Stage 1",0,IF(BB88="Stage 3",5,IF(BB88="Stage 4",-5,0))))</f>
        <v/>
      </c>
      <c r="BD88" s="30" t="n"/>
      <c r="BE88" s="30">
        <f>IF(BD88="Positive Trend",20,IF(BD88="Negative Trend",-10,0))</f>
        <v/>
      </c>
      <c r="BF88" s="30" t="n"/>
      <c r="BG88" s="30">
        <f>IF(BF88="Uptrend",10,IF(BF88="Sideways",5,0))</f>
        <v/>
      </c>
      <c r="BH88" s="30" t="n"/>
      <c r="BI88" s="30">
        <f>IF(BH88="Uptrend",10,IF(BH88="Sideways",5,0))</f>
        <v/>
      </c>
      <c r="BJ88" s="30" t="n"/>
      <c r="BK88" s="30">
        <f>IF(BJ88="Overhead supply in last 2 years in last 2 years",-5,IF(BJ88="Close to 52 week high or retracement",5,IF(BJ88="Blue sky scenario",10,IF(BJ88="Long term Downtrend",-10,0))))</f>
        <v/>
      </c>
      <c r="BL88" s="30" t="n"/>
      <c r="BM88" s="30">
        <f>IF(BL88="Yes",10,0)</f>
        <v/>
      </c>
      <c r="BN88" s="30" t="n"/>
      <c r="BO88" s="30">
        <f>IF(BN88="More than 20%",10,IF(BN88="Between 12 to 20%",5,IF(BN88="Less than 12%",0,0)))</f>
        <v/>
      </c>
      <c r="BP88" s="30" t="n"/>
      <c r="BQ88" s="30">
        <f>IF(BP88="No",10,0)</f>
        <v/>
      </c>
      <c r="BR88" s="30" t="n"/>
      <c r="BS88" s="30">
        <f>IF(BR88="NO",5,0)</f>
        <v/>
      </c>
      <c r="BT88" s="30" t="n"/>
      <c r="BU88" s="30">
        <f>IF(BT88="Above 2",0,IF(BT88="Between 1.5 to 2",5,IF(BT88="Less than 1.5",10,0)))</f>
        <v/>
      </c>
      <c r="BV88" s="30" t="n"/>
      <c r="BW88" s="30">
        <f>IF(BV88="Above 70%",10,IF(BV88="Between 50% to 70%",5,IF(BV88="Less than 50%",0,IF(BV88="Negative",-10,IF(BV88="Less than 50% and Borrowings are increasing",-5,0)))))</f>
        <v/>
      </c>
      <c r="BX88" s="30" t="n"/>
      <c r="BY88" s="30">
        <f>IF(BX88="More than 1.2",-10,IF(BX88="Between 0.7 to 1.2",0,IF(BX88="Less than 0.7",10,0)))</f>
        <v/>
      </c>
      <c r="BZ88" s="30" t="n"/>
      <c r="CA88" s="30">
        <f>IF(BZ88="Yes",-10,0)</f>
        <v/>
      </c>
      <c r="CB88" s="30" t="n"/>
      <c r="CC88" s="30">
        <f>IF(CB88="More than 15%",-10,IF(CB88="Less than 15%",10,0))</f>
        <v/>
      </c>
      <c r="CD88" s="30" t="n"/>
      <c r="CE88" s="30">
        <f>IF(CD88="Yes, more than 10%",-10,IF(CD88="No",10,0))</f>
        <v/>
      </c>
      <c r="CF88" s="30" t="n"/>
      <c r="CG88" s="30">
        <f>IF(CF88&gt;20,10,IF(CF88&gt;=10,5,2))</f>
        <v/>
      </c>
    </row>
    <row r="89">
      <c r="A89" s="30">
        <f>IF(B89=0,"",RANK(B89,$B$2:$B$96,0))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3" t="inlineStr">
        <is>
          <t>KIRLPNU</t>
        </is>
      </c>
      <c r="D89" s="33" t="inlineStr">
        <is>
          <t>Kirloskar Pneumatic Company Ltd</t>
        </is>
      </c>
      <c r="E89" s="30" t="inlineStr">
        <is>
          <t>industrials</t>
        </is>
      </c>
      <c r="F89" s="30" t="inlineStr">
        <is>
          <t>Compressors</t>
        </is>
      </c>
      <c r="G89" s="30" t="inlineStr">
        <is>
          <t>midcap</t>
        </is>
      </c>
      <c r="H89" s="31" t="n">
        <v>12666.85</v>
      </c>
      <c r="I89" s="31" t="n">
        <v>1950</v>
      </c>
      <c r="J89" s="31" t="n">
        <v>6.67</v>
      </c>
      <c r="K89" s="31" t="n">
        <v>0</v>
      </c>
      <c r="L89" s="30" t="inlineStr"/>
      <c r="M89" s="30" t="inlineStr"/>
      <c r="N89" s="31">
        <f>IF(M89="Underperforming",-5,IF(L89&gt;=95,15,IF(L89&gt;=90,10,IF(L89&gt;=80,5,0))))</f>
        <v/>
      </c>
      <c r="O89" s="31" t="inlineStr"/>
      <c r="P89" s="31" t="inlineStr"/>
      <c r="Q89" s="31" t="inlineStr"/>
      <c r="R89" s="30" t="inlineStr"/>
      <c r="S89" s="30" t="inlineStr"/>
      <c r="T89" s="31" t="inlineStr"/>
      <c r="U89" s="31" t="inlineStr"/>
      <c r="V89" s="31" t="inlineStr"/>
      <c r="W89" s="31" t="inlineStr"/>
      <c r="X89" s="30" t="n"/>
      <c r="Y89" s="30">
        <f>IF(X89="Growing Industry",10,IF(X89="Cyclical in an Upturn",5,0))</f>
        <v/>
      </c>
      <c r="Z89" s="30" t="n"/>
      <c r="AA89" s="30">
        <f>IF(Z89="Monopoly",10,IF(Z89="Oligopoly",5,IF(Z89="Duopoly that cooperate",10,IF(Z89="Duopoly that compete",5,IF(Z89="Too many players with High ROCE",5,0)))))</f>
        <v/>
      </c>
      <c r="AB89" s="30" t="n"/>
      <c r="AC89" s="30">
        <f>IF(AB89="No",5,0)</f>
        <v/>
      </c>
      <c r="AD89" s="30" t="n"/>
      <c r="AE89" s="30">
        <f>IF(AD89="Tailwind",10,0)</f>
        <v/>
      </c>
      <c r="AF89" s="30" t="n"/>
      <c r="AG89" s="30">
        <f>IF(AF89="Structural (10 Years Consistency)",10,IF(AF89="Shallow Cyclical (2 to 3 years growth)",5,0))</f>
        <v/>
      </c>
      <c r="AH89" s="30" t="n"/>
      <c r="AI89" s="30">
        <f>IF(AH89="Yes due to Product Mix change or Operating Leverage",10,IF(AH89="Yes, these are peak margins",-5,IF(AH89="No",5,0)))</f>
        <v/>
      </c>
      <c r="AJ89" s="30" t="n"/>
      <c r="AK89" s="30">
        <f>IF(AJ89="Stable",10,0)</f>
        <v/>
      </c>
      <c r="AL89" s="30" t="n"/>
      <c r="AM89" s="30">
        <f>IF(AL89="Yes",10,0)</f>
        <v/>
      </c>
      <c r="AN89" s="30" t="n"/>
      <c r="AO89" s="30">
        <f>IF(AN89="B2C",10,IF(AN89="B2B",5,0))</f>
        <v/>
      </c>
      <c r="AP89" s="30" t="n"/>
      <c r="AQ89" s="30">
        <f>IF(AP89="Yes",10,0)</f>
        <v/>
      </c>
      <c r="AR89" s="30" t="n"/>
      <c r="AS89" s="30">
        <f>IF(AR89="Fully Annuity",10,IF(AR89="Higher Annuity, Lower One Time",5,IF(AR89="Higher One Time, Lower Annuity",3,0)))</f>
        <v/>
      </c>
      <c r="AT89" s="30" t="n"/>
      <c r="AU89" s="30">
        <f>IF(AT89="Good",10,0)</f>
        <v/>
      </c>
      <c r="AV89" s="30" t="n"/>
      <c r="AW89" s="30">
        <f>IF(AV89="Yes for more than 2 years",10,IF(AV89="Yes only for next 1 to 2 years",5,0))</f>
        <v/>
      </c>
      <c r="AX89" s="30" t="n"/>
      <c r="AY89" s="30">
        <f>IF(AX89="Above 40",20,IF(AX89="20 to 40",10,IF(AX89="0 to 20",-5,0)))</f>
        <v/>
      </c>
      <c r="AZ89" s="30" t="n"/>
      <c r="BA89" s="30">
        <f>IF(AZ89="Between 50 to 75",10,IF(AZ89="Above 75",0,0))</f>
        <v/>
      </c>
      <c r="BB89" s="30" t="n"/>
      <c r="BC89" s="30">
        <f>IF(BB89="Stage 2",20,IF(BB89="Stage 1",0,IF(BB89="Stage 3",5,IF(BB89="Stage 4",-5,0))))</f>
        <v/>
      </c>
      <c r="BD89" s="30" t="n"/>
      <c r="BE89" s="30">
        <f>IF(BD89="Positive Trend",20,IF(BD89="Negative Trend",-10,0))</f>
        <v/>
      </c>
      <c r="BF89" s="30" t="n"/>
      <c r="BG89" s="30">
        <f>IF(BF89="Uptrend",10,IF(BF89="Sideways",5,0))</f>
        <v/>
      </c>
      <c r="BH89" s="30" t="n"/>
      <c r="BI89" s="30">
        <f>IF(BH89="Uptrend",10,IF(BH89="Sideways",5,0))</f>
        <v/>
      </c>
      <c r="BJ89" s="30" t="n"/>
      <c r="BK89" s="30">
        <f>IF(BJ89="Overhead supply in last 2 years in last 2 years",-5,IF(BJ89="Close to 52 week high or retracement",5,IF(BJ89="Blue sky scenario",10,IF(BJ89="Long term Downtrend",-10,0))))</f>
        <v/>
      </c>
      <c r="BL89" s="30" t="n"/>
      <c r="BM89" s="30">
        <f>IF(BL89="Yes",10,0)</f>
        <v/>
      </c>
      <c r="BN89" s="30" t="n"/>
      <c r="BO89" s="30">
        <f>IF(BN89="More than 20%",10,IF(BN89="Between 12 to 20%",5,IF(BN89="Less than 12%",0,0)))</f>
        <v/>
      </c>
      <c r="BP89" s="30" t="n"/>
      <c r="BQ89" s="30">
        <f>IF(BP89="No",10,0)</f>
        <v/>
      </c>
      <c r="BR89" s="30" t="n"/>
      <c r="BS89" s="30">
        <f>IF(BR89="NO",5,0)</f>
        <v/>
      </c>
      <c r="BT89" s="30" t="n"/>
      <c r="BU89" s="30">
        <f>IF(BT89="Above 2",0,IF(BT89="Between 1.5 to 2",5,IF(BT89="Less than 1.5",10,0)))</f>
        <v/>
      </c>
      <c r="BV89" s="30" t="n"/>
      <c r="BW89" s="30">
        <f>IF(BV89="Above 70%",10,IF(BV89="Between 50% to 70%",5,IF(BV89="Less than 50%",0,IF(BV89="Negative",-10,IF(BV89="Less than 50% and Borrowings are increasing",-5,0)))))</f>
        <v/>
      </c>
      <c r="BX89" s="30" t="n"/>
      <c r="BY89" s="30">
        <f>IF(BX89="More than 1.2",-10,IF(BX89="Between 0.7 to 1.2",0,IF(BX89="Less than 0.7",10,0)))</f>
        <v/>
      </c>
      <c r="BZ89" s="30" t="n"/>
      <c r="CA89" s="30">
        <f>IF(BZ89="Yes",-10,0)</f>
        <v/>
      </c>
      <c r="CB89" s="30" t="n"/>
      <c r="CC89" s="30">
        <f>IF(CB89="More than 15%",-10,IF(CB89="Less than 15%",10,0))</f>
        <v/>
      </c>
      <c r="CD89" s="30" t="n"/>
      <c r="CE89" s="30">
        <f>IF(CD89="Yes, more than 10%",-10,IF(CD89="No",10,0))</f>
        <v/>
      </c>
      <c r="CF89" s="30" t="n"/>
      <c r="CG89" s="30">
        <f>IF(CF89&gt;20,10,IF(CF89&gt;=10,5,2))</f>
        <v/>
      </c>
    </row>
    <row r="90">
      <c r="A90" s="30">
        <f>IF(B90=0,"",RANK(B90,$B$2:$B$96,0))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0" t="inlineStr">
        <is>
          <t>DIACABS</t>
        </is>
      </c>
      <c r="D90" s="30" t="inlineStr">
        <is>
          <t>Diamond Power Infrastructure Ltd</t>
        </is>
      </c>
      <c r="E90" s="30" t="inlineStr">
        <is>
          <t>industrials</t>
        </is>
      </c>
      <c r="F90" s="30" t="inlineStr">
        <is>
          <t>Cables - Power</t>
        </is>
      </c>
      <c r="G90" s="30" t="inlineStr">
        <is>
          <t>midcap</t>
        </is>
      </c>
      <c r="H90" s="31" t="n">
        <v>11026.34</v>
      </c>
      <c r="I90" s="31" t="n">
        <v>209.24</v>
      </c>
      <c r="J90" s="31" t="n">
        <v>3.46</v>
      </c>
      <c r="K90" s="31" t="n">
        <v>0</v>
      </c>
      <c r="L90" s="30" t="inlineStr"/>
      <c r="M90" s="30" t="inlineStr"/>
      <c r="N90" s="31">
        <f>IF(M90="Underperforming",-5,IF(L90&gt;=95,15,IF(L90&gt;=90,10,IF(L90&gt;=80,5,0))))</f>
        <v/>
      </c>
      <c r="O90" s="31" t="inlineStr"/>
      <c r="P90" s="31" t="inlineStr"/>
      <c r="Q90" s="31" t="inlineStr"/>
      <c r="R90" s="30" t="inlineStr"/>
      <c r="S90" s="30" t="inlineStr"/>
      <c r="T90" s="31" t="inlineStr"/>
      <c r="U90" s="31" t="inlineStr"/>
      <c r="V90" s="31" t="inlineStr"/>
      <c r="W90" s="31" t="inlineStr"/>
      <c r="X90" s="30" t="n"/>
      <c r="Y90" s="30">
        <f>IF(X90="Growing Industry",10,IF(X90="Cyclical in an Upturn",5,0))</f>
        <v/>
      </c>
      <c r="Z90" s="30" t="n"/>
      <c r="AA90" s="30">
        <f>IF(Z90="Monopoly",10,IF(Z90="Oligopoly",5,IF(Z90="Duopoly that cooperate",10,IF(Z90="Duopoly that compete",5,IF(Z90="Too many players with High ROCE",5,0)))))</f>
        <v/>
      </c>
      <c r="AB90" s="30" t="n"/>
      <c r="AC90" s="30">
        <f>IF(AB90="No",5,0)</f>
        <v/>
      </c>
      <c r="AD90" s="30" t="n"/>
      <c r="AE90" s="30">
        <f>IF(AD90="Tailwind",10,0)</f>
        <v/>
      </c>
      <c r="AF90" s="30" t="n"/>
      <c r="AG90" s="30">
        <f>IF(AF90="Structural (10 Years Consistency)",10,IF(AF90="Shallow Cyclical (2 to 3 years growth)",5,0))</f>
        <v/>
      </c>
      <c r="AH90" s="30" t="n"/>
      <c r="AI90" s="30">
        <f>IF(AH90="Yes due to Product Mix change or Operating Leverage",10,IF(AH90="Yes, these are peak margins",-5,IF(AH90="No",5,0)))</f>
        <v/>
      </c>
      <c r="AJ90" s="30" t="n"/>
      <c r="AK90" s="30">
        <f>IF(AJ90="Stable",10,0)</f>
        <v/>
      </c>
      <c r="AL90" s="30" t="n"/>
      <c r="AM90" s="30">
        <f>IF(AL90="Yes",10,0)</f>
        <v/>
      </c>
      <c r="AN90" s="30" t="n"/>
      <c r="AO90" s="30">
        <f>IF(AN90="B2C",10,IF(AN90="B2B",5,0))</f>
        <v/>
      </c>
      <c r="AP90" s="30" t="n"/>
      <c r="AQ90" s="30">
        <f>IF(AP90="Yes",10,0)</f>
        <v/>
      </c>
      <c r="AR90" s="30" t="n"/>
      <c r="AS90" s="30">
        <f>IF(AR90="Fully Annuity",10,IF(AR90="Higher Annuity, Lower One Time",5,IF(AR90="Higher One Time, Lower Annuity",3,0)))</f>
        <v/>
      </c>
      <c r="AT90" s="30" t="n"/>
      <c r="AU90" s="30">
        <f>IF(AT90="Good",10,0)</f>
        <v/>
      </c>
      <c r="AV90" s="30" t="n"/>
      <c r="AW90" s="30">
        <f>IF(AV90="Yes for more than 2 years",10,IF(AV90="Yes only for next 1 to 2 years",5,0))</f>
        <v/>
      </c>
      <c r="AX90" s="30" t="n"/>
      <c r="AY90" s="30">
        <f>IF(AX90="Above 40",20,IF(AX90="20 to 40",10,IF(AX90="0 to 20",-5,0)))</f>
        <v/>
      </c>
      <c r="AZ90" s="30" t="n"/>
      <c r="BA90" s="30">
        <f>IF(AZ90="Between 50 to 75",10,IF(AZ90="Above 75",0,0))</f>
        <v/>
      </c>
      <c r="BB90" s="30" t="n"/>
      <c r="BC90" s="30">
        <f>IF(BB90="Stage 2",20,IF(BB90="Stage 1",0,IF(BB90="Stage 3",5,IF(BB90="Stage 4",-5,0))))</f>
        <v/>
      </c>
      <c r="BD90" s="30" t="n"/>
      <c r="BE90" s="30">
        <f>IF(BD90="Positive Trend",20,IF(BD90="Negative Trend",-10,0))</f>
        <v/>
      </c>
      <c r="BF90" s="30" t="n"/>
      <c r="BG90" s="30">
        <f>IF(BF90="Uptrend",10,IF(BF90="Sideways",5,0))</f>
        <v/>
      </c>
      <c r="BH90" s="30" t="n"/>
      <c r="BI90" s="30">
        <f>IF(BH90="Uptrend",10,IF(BH90="Sideways",5,0))</f>
        <v/>
      </c>
      <c r="BJ90" s="30" t="n"/>
      <c r="BK90" s="30">
        <f>IF(BJ90="Overhead supply in last 2 years in last 2 years",-5,IF(BJ90="Close to 52 week high or retracement",5,IF(BJ90="Blue sky scenario",10,IF(BJ90="Long term Downtrend",-10,0))))</f>
        <v/>
      </c>
      <c r="BL90" s="30" t="n"/>
      <c r="BM90" s="30">
        <f>IF(BL90="Yes",10,0)</f>
        <v/>
      </c>
      <c r="BN90" s="30" t="n"/>
      <c r="BO90" s="30">
        <f>IF(BN90="More than 20%",10,IF(BN90="Between 12 to 20%",5,IF(BN90="Less than 12%",0,0)))</f>
        <v/>
      </c>
      <c r="BP90" s="30" t="n"/>
      <c r="BQ90" s="30">
        <f>IF(BP90="No",10,0)</f>
        <v/>
      </c>
      <c r="BR90" s="30" t="n"/>
      <c r="BS90" s="30">
        <f>IF(BR90="NO",5,0)</f>
        <v/>
      </c>
      <c r="BT90" s="30" t="n"/>
      <c r="BU90" s="30">
        <f>IF(BT90="Above 2",0,IF(BT90="Between 1.5 to 2",5,IF(BT90="Less than 1.5",10,0)))</f>
        <v/>
      </c>
      <c r="BV90" s="30" t="n"/>
      <c r="BW90" s="30">
        <f>IF(BV90="Above 70%",10,IF(BV90="Between 50% to 70%",5,IF(BV90="Less than 50%",0,IF(BV90="Negative",-10,IF(BV90="Less than 50% and Borrowings are increasing",-5,0)))))</f>
        <v/>
      </c>
      <c r="BX90" s="30" t="n"/>
      <c r="BY90" s="30">
        <f>IF(BX90="More than 1.2",-10,IF(BX90="Between 0.7 to 1.2",0,IF(BX90="Less than 0.7",10,0)))</f>
        <v/>
      </c>
      <c r="BZ90" s="30" t="n"/>
      <c r="CA90" s="30">
        <f>IF(BZ90="Yes",-10,0)</f>
        <v/>
      </c>
      <c r="CB90" s="30" t="n"/>
      <c r="CC90" s="30">
        <f>IF(CB90="More than 15%",-10,IF(CB90="Less than 15%",10,0))</f>
        <v/>
      </c>
      <c r="CD90" s="30" t="n"/>
      <c r="CE90" s="30">
        <f>IF(CD90="Yes, more than 10%",-10,IF(CD90="No",10,0))</f>
        <v/>
      </c>
      <c r="CF90" s="30" t="n"/>
      <c r="CG90" s="30">
        <f>IF(CF90&gt;20,10,IF(CF90&gt;=10,5,2))</f>
        <v/>
      </c>
    </row>
    <row r="91">
      <c r="A91" s="30">
        <f>IF(B91=0,"",RANK(B91,$B$2:$B$96,0))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0" t="inlineStr">
        <is>
          <t>LLOYDSME</t>
        </is>
      </c>
      <c r="D91" s="30" t="inlineStr">
        <is>
          <t>Lloyds Metals &amp; Energy Ltd</t>
        </is>
      </c>
      <c r="E91" s="30" t="inlineStr">
        <is>
          <t>unknown</t>
        </is>
      </c>
      <c r="F91" s="30" t="inlineStr">
        <is>
          <t>Mining/Minerals - Iron Ore</t>
        </is>
      </c>
      <c r="G91" s="30" t="inlineStr">
        <is>
          <t>largecap</t>
        </is>
      </c>
      <c r="H91" s="31" t="n">
        <v>99399.10000000001</v>
      </c>
      <c r="I91" s="31" t="n">
        <v>1766.2</v>
      </c>
      <c r="J91" s="31" t="n">
        <v>0.57</v>
      </c>
      <c r="K91" s="31" t="n">
        <v>0</v>
      </c>
      <c r="L91" s="30" t="inlineStr"/>
      <c r="M91" s="30" t="inlineStr"/>
      <c r="N91" s="31">
        <f>IF(M91="Underperforming",-5,IF(L91&gt;=95,15,IF(L91&gt;=90,10,IF(L91&gt;=80,5,0))))</f>
        <v/>
      </c>
      <c r="O91" s="31" t="inlineStr"/>
      <c r="P91" s="31" t="inlineStr"/>
      <c r="Q91" s="31" t="inlineStr"/>
      <c r="R91" s="30" t="inlineStr"/>
      <c r="S91" s="30" t="inlineStr"/>
      <c r="T91" s="31" t="inlineStr"/>
      <c r="U91" s="31" t="inlineStr"/>
      <c r="V91" s="31" t="inlineStr"/>
      <c r="W91" s="31" t="inlineStr"/>
      <c r="X91" s="30" t="n"/>
      <c r="Y91" s="30">
        <f>IF(X91="Growing Industry",10,IF(X91="Cyclical in an Upturn",5,0))</f>
        <v/>
      </c>
      <c r="Z91" s="30" t="n"/>
      <c r="AA91" s="30">
        <f>IF(Z91="Monopoly",10,IF(Z91="Oligopoly",5,IF(Z91="Duopoly that cooperate",10,IF(Z91="Duopoly that compete",5,IF(Z91="Too many players with High ROCE",5,0)))))</f>
        <v/>
      </c>
      <c r="AB91" s="30" t="n"/>
      <c r="AC91" s="30">
        <f>IF(AB91="No",5,0)</f>
        <v/>
      </c>
      <c r="AD91" s="30" t="n"/>
      <c r="AE91" s="30">
        <f>IF(AD91="Tailwind",10,0)</f>
        <v/>
      </c>
      <c r="AF91" s="30" t="n"/>
      <c r="AG91" s="30">
        <f>IF(AF91="Structural (10 Years Consistency)",10,IF(AF91="Shallow Cyclical (2 to 3 years growth)",5,0))</f>
        <v/>
      </c>
      <c r="AH91" s="30" t="n"/>
      <c r="AI91" s="30">
        <f>IF(AH91="Yes due to Product Mix change or Operating Leverage",10,IF(AH91="Yes, these are peak margins",-5,IF(AH91="No",5,0)))</f>
        <v/>
      </c>
      <c r="AJ91" s="30" t="n"/>
      <c r="AK91" s="30">
        <f>IF(AJ91="Stable",10,0)</f>
        <v/>
      </c>
      <c r="AL91" s="30" t="n"/>
      <c r="AM91" s="30">
        <f>IF(AL91="Yes",10,0)</f>
        <v/>
      </c>
      <c r="AN91" s="30" t="n"/>
      <c r="AO91" s="30">
        <f>IF(AN91="B2C",10,IF(AN91="B2B",5,0))</f>
        <v/>
      </c>
      <c r="AP91" s="30" t="n"/>
      <c r="AQ91" s="30">
        <f>IF(AP91="Yes",10,0)</f>
        <v/>
      </c>
      <c r="AR91" s="30" t="n"/>
      <c r="AS91" s="30">
        <f>IF(AR91="Fully Annuity",10,IF(AR91="Higher Annuity, Lower One Time",5,IF(AR91="Higher One Time, Lower Annuity",3,0)))</f>
        <v/>
      </c>
      <c r="AT91" s="30" t="n"/>
      <c r="AU91" s="30">
        <f>IF(AT91="Good",10,0)</f>
        <v/>
      </c>
      <c r="AV91" s="30" t="n"/>
      <c r="AW91" s="30">
        <f>IF(AV91="Yes for more than 2 years",10,IF(AV91="Yes only for next 1 to 2 years",5,0))</f>
        <v/>
      </c>
      <c r="AX91" s="30" t="n"/>
      <c r="AY91" s="30">
        <f>IF(AX91="Above 40",20,IF(AX91="20 to 40",10,IF(AX91="0 to 20",-5,0)))</f>
        <v/>
      </c>
      <c r="AZ91" s="30" t="n"/>
      <c r="BA91" s="30">
        <f>IF(AZ91="Between 50 to 75",10,IF(AZ91="Above 75",0,0))</f>
        <v/>
      </c>
      <c r="BB91" s="30" t="n"/>
      <c r="BC91" s="30">
        <f>IF(BB91="Stage 2",20,IF(BB91="Stage 1",0,IF(BB91="Stage 3",5,IF(BB91="Stage 4",-5,0))))</f>
        <v/>
      </c>
      <c r="BD91" s="30" t="n"/>
      <c r="BE91" s="30">
        <f>IF(BD91="Positive Trend",20,IF(BD91="Negative Trend",-10,0))</f>
        <v/>
      </c>
      <c r="BF91" s="30" t="n"/>
      <c r="BG91" s="30">
        <f>IF(BF91="Uptrend",10,IF(BF91="Sideways",5,0))</f>
        <v/>
      </c>
      <c r="BH91" s="30" t="n"/>
      <c r="BI91" s="30">
        <f>IF(BH91="Uptrend",10,IF(BH91="Sideways",5,0))</f>
        <v/>
      </c>
      <c r="BJ91" s="30" t="n"/>
      <c r="BK91" s="30">
        <f>IF(BJ91="Overhead supply in last 2 years in last 2 years",-5,IF(BJ91="Close to 52 week high or retracement",5,IF(BJ91="Blue sky scenario",10,IF(BJ91="Long term Downtrend",-10,0))))</f>
        <v/>
      </c>
      <c r="BL91" s="30" t="n"/>
      <c r="BM91" s="30">
        <f>IF(BL91="Yes",10,0)</f>
        <v/>
      </c>
      <c r="BN91" s="30" t="n"/>
      <c r="BO91" s="30">
        <f>IF(BN91="More than 20%",10,IF(BN91="Between 12 to 20%",5,IF(BN91="Less than 12%",0,0)))</f>
        <v/>
      </c>
      <c r="BP91" s="30" t="n"/>
      <c r="BQ91" s="30">
        <f>IF(BP91="No",10,0)</f>
        <v/>
      </c>
      <c r="BR91" s="30" t="n"/>
      <c r="BS91" s="30">
        <f>IF(BR91="NO",5,0)</f>
        <v/>
      </c>
      <c r="BT91" s="30" t="n"/>
      <c r="BU91" s="30">
        <f>IF(BT91="Above 2",0,IF(BT91="Between 1.5 to 2",5,IF(BT91="Less than 1.5",10,0)))</f>
        <v/>
      </c>
      <c r="BV91" s="30" t="n"/>
      <c r="BW91" s="30">
        <f>IF(BV91="Above 70%",10,IF(BV91="Between 50% to 70%",5,IF(BV91="Less than 50%",0,IF(BV91="Negative",-10,IF(BV91="Less than 50% and Borrowings are increasing",-5,0)))))</f>
        <v/>
      </c>
      <c r="BX91" s="30" t="n"/>
      <c r="BY91" s="30">
        <f>IF(BX91="More than 1.2",-10,IF(BX91="Between 0.7 to 1.2",0,IF(BX91="Less than 0.7",10,0)))</f>
        <v/>
      </c>
      <c r="BZ91" s="30" t="n"/>
      <c r="CA91" s="30">
        <f>IF(BZ91="Yes",-10,0)</f>
        <v/>
      </c>
      <c r="CB91" s="30" t="n"/>
      <c r="CC91" s="30">
        <f>IF(CB91="More than 15%",-10,IF(CB91="Less than 15%",10,0))</f>
        <v/>
      </c>
      <c r="CD91" s="30" t="n"/>
      <c r="CE91" s="30">
        <f>IF(CD91="Yes, more than 10%",-10,IF(CD91="No",10,0))</f>
        <v/>
      </c>
      <c r="CF91" s="30" t="n"/>
      <c r="CG91" s="30">
        <f>IF(CF91&gt;20,10,IF(CF91&gt;=10,5,2))</f>
        <v/>
      </c>
    </row>
    <row r="92">
      <c r="A92" s="30">
        <f>IF(B92=0,"",RANK(B92,$B$2:$B$96,0))</f>
        <v/>
      </c>
      <c r="B92" s="31">
        <f>SUM(N92,Y92,AA92,AC92,AE92,AG92,AI92,AK92,AM92,AO92,AQ92,AS92,AU92,AW92,AY92,BA92,BC92,BE92,BG92,BI92,BK92,BM92,BO92,BQ92,BS92,BU92,BW92,BY92,CA92,CC92,CE92,CG92)</f>
        <v/>
      </c>
      <c r="C92" s="30" t="inlineStr">
        <is>
          <t>NETWEB</t>
        </is>
      </c>
      <c r="D92" s="30" t="inlineStr">
        <is>
          <t>Netweb Technologies India Ltd</t>
        </is>
      </c>
      <c r="E92" s="30" t="inlineStr">
        <is>
          <t>i.t</t>
        </is>
      </c>
      <c r="F92" s="30" t="inlineStr">
        <is>
          <t>Data Centre</t>
        </is>
      </c>
      <c r="G92" s="30" t="inlineStr">
        <is>
          <t>largecap</t>
        </is>
      </c>
      <c r="H92" s="31" t="n">
        <v>28817.11</v>
      </c>
      <c r="I92" s="31" t="n">
        <v>5060.9</v>
      </c>
      <c r="J92" s="31" t="n">
        <v>-0.37</v>
      </c>
      <c r="K92" s="31" t="n">
        <v>0</v>
      </c>
      <c r="L92" s="30" t="inlineStr"/>
      <c r="M92" s="30" t="inlineStr"/>
      <c r="N92" s="31">
        <f>IF(M92="Underperforming",-5,IF(L92&gt;=95,15,IF(L92&gt;=90,10,IF(L92&gt;=80,5,0))))</f>
        <v/>
      </c>
      <c r="O92" s="31" t="inlineStr"/>
      <c r="P92" s="31" t="inlineStr"/>
      <c r="Q92" s="31" t="inlineStr"/>
      <c r="R92" s="30" t="inlineStr"/>
      <c r="S92" s="30" t="inlineStr"/>
      <c r="T92" s="31" t="inlineStr"/>
      <c r="U92" s="31" t="inlineStr"/>
      <c r="V92" s="31" t="inlineStr"/>
      <c r="W92" s="31" t="inlineStr"/>
      <c r="X92" s="30" t="n"/>
      <c r="Y92" s="30">
        <f>IF(X92="Growing Industry",10,IF(X92="Cyclical in an Upturn",5,0))</f>
        <v/>
      </c>
      <c r="Z92" s="30" t="n"/>
      <c r="AA92" s="30">
        <f>IF(Z92="Monopoly",10,IF(Z92="Oligopoly",5,IF(Z92="Duopoly that cooperate",10,IF(Z92="Duopoly that compete",5,IF(Z92="Too many players with High ROCE",5,0)))))</f>
        <v/>
      </c>
      <c r="AB92" s="30" t="n"/>
      <c r="AC92" s="30">
        <f>IF(AB92="No",5,0)</f>
        <v/>
      </c>
      <c r="AD92" s="30" t="n"/>
      <c r="AE92" s="30">
        <f>IF(AD92="Tailwind",10,0)</f>
        <v/>
      </c>
      <c r="AF92" s="30" t="n"/>
      <c r="AG92" s="30">
        <f>IF(AF92="Structural (10 Years Consistency)",10,IF(AF92="Shallow Cyclical (2 to 3 years growth)",5,0))</f>
        <v/>
      </c>
      <c r="AH92" s="30" t="n"/>
      <c r="AI92" s="30">
        <f>IF(AH92="Yes due to Product Mix change or Operating Leverage",10,IF(AH92="Yes, these are peak margins",-5,IF(AH92="No",5,0)))</f>
        <v/>
      </c>
      <c r="AJ92" s="30" t="n"/>
      <c r="AK92" s="30">
        <f>IF(AJ92="Stable",10,0)</f>
        <v/>
      </c>
      <c r="AL92" s="30" t="n"/>
      <c r="AM92" s="30">
        <f>IF(AL92="Yes",10,0)</f>
        <v/>
      </c>
      <c r="AN92" s="30" t="n"/>
      <c r="AO92" s="30">
        <f>IF(AN92="B2C",10,IF(AN92="B2B",5,0))</f>
        <v/>
      </c>
      <c r="AP92" s="30" t="n"/>
      <c r="AQ92" s="30">
        <f>IF(AP92="Yes",10,0)</f>
        <v/>
      </c>
      <c r="AR92" s="30" t="n"/>
      <c r="AS92" s="30">
        <f>IF(AR92="Fully Annuity",10,IF(AR92="Higher Annuity, Lower One Time",5,IF(AR92="Higher One Time, Lower Annuity",3,0)))</f>
        <v/>
      </c>
      <c r="AT92" s="30" t="n"/>
      <c r="AU92" s="30">
        <f>IF(AT92="Good",10,0)</f>
        <v/>
      </c>
      <c r="AV92" s="30" t="n"/>
      <c r="AW92" s="30">
        <f>IF(AV92="Yes for more than 2 years",10,IF(AV92="Yes only for next 1 to 2 years",5,0))</f>
        <v/>
      </c>
      <c r="AX92" s="30" t="n"/>
      <c r="AY92" s="30">
        <f>IF(AX92="Above 40",20,IF(AX92="20 to 40",10,IF(AX92="0 to 20",-5,0)))</f>
        <v/>
      </c>
      <c r="AZ92" s="30" t="n"/>
      <c r="BA92" s="30">
        <f>IF(AZ92="Between 50 to 75",10,IF(AZ92="Above 75",0,0))</f>
        <v/>
      </c>
      <c r="BB92" s="30" t="n"/>
      <c r="BC92" s="30">
        <f>IF(BB92="Stage 2",20,IF(BB92="Stage 1",0,IF(BB92="Stage 3",5,IF(BB92="Stage 4",-5,0))))</f>
        <v/>
      </c>
      <c r="BD92" s="30" t="n"/>
      <c r="BE92" s="30">
        <f>IF(BD92="Positive Trend",20,IF(BD92="Negative Trend",-10,0))</f>
        <v/>
      </c>
      <c r="BF92" s="30" t="n"/>
      <c r="BG92" s="30">
        <f>IF(BF92="Uptrend",10,IF(BF92="Sideways",5,0))</f>
        <v/>
      </c>
      <c r="BH92" s="30" t="n"/>
      <c r="BI92" s="30">
        <f>IF(BH92="Uptrend",10,IF(BH92="Sideways",5,0))</f>
        <v/>
      </c>
      <c r="BJ92" s="30" t="n"/>
      <c r="BK92" s="30">
        <f>IF(BJ92="Overhead supply in last 2 years in last 2 years",-5,IF(BJ92="Close to 52 week high or retracement",5,IF(BJ92="Blue sky scenario",10,IF(BJ92="Long term Downtrend",-10,0))))</f>
        <v/>
      </c>
      <c r="BL92" s="30" t="n"/>
      <c r="BM92" s="30">
        <f>IF(BL92="Yes",10,0)</f>
        <v/>
      </c>
      <c r="BN92" s="30" t="n"/>
      <c r="BO92" s="30">
        <f>IF(BN92="More than 20%",10,IF(BN92="Between 12 to 20%",5,IF(BN92="Less than 12%",0,0)))</f>
        <v/>
      </c>
      <c r="BP92" s="30" t="n"/>
      <c r="BQ92" s="30">
        <f>IF(BP92="No",10,0)</f>
        <v/>
      </c>
      <c r="BR92" s="30" t="n"/>
      <c r="BS92" s="30">
        <f>IF(BR92="NO",5,0)</f>
        <v/>
      </c>
      <c r="BT92" s="30" t="n"/>
      <c r="BU92" s="30">
        <f>IF(BT92="Above 2",0,IF(BT92="Between 1.5 to 2",5,IF(BT92="Less than 1.5",10,0)))</f>
        <v/>
      </c>
      <c r="BV92" s="30" t="n"/>
      <c r="BW92" s="30">
        <f>IF(BV92="Above 70%",10,IF(BV92="Between 50% to 70%",5,IF(BV92="Less than 50%",0,IF(BV92="Negative",-10,IF(BV92="Less than 50% and Borrowings are increasing",-5,0)))))</f>
        <v/>
      </c>
      <c r="BX92" s="30" t="n"/>
      <c r="BY92" s="30">
        <f>IF(BX92="More than 1.2",-10,IF(BX92="Between 0.7 to 1.2",0,IF(BX92="Less than 0.7",10,0)))</f>
        <v/>
      </c>
      <c r="BZ92" s="30" t="n"/>
      <c r="CA92" s="30">
        <f>IF(BZ92="Yes",-10,0)</f>
        <v/>
      </c>
      <c r="CB92" s="30" t="n"/>
      <c r="CC92" s="30">
        <f>IF(CB92="More than 15%",-10,IF(CB92="Less than 15%",10,0))</f>
        <v/>
      </c>
      <c r="CD92" s="30" t="n"/>
      <c r="CE92" s="30">
        <f>IF(CD92="Yes, more than 10%",-10,IF(CD92="No",10,0))</f>
        <v/>
      </c>
      <c r="CF92" s="30" t="n"/>
      <c r="CG92" s="30">
        <f>IF(CF92&gt;20,10,IF(CF92&gt;=10,5,2))</f>
        <v/>
      </c>
    </row>
    <row r="93">
      <c r="A93" s="30">
        <f>IF(B93=0,"",RANK(B93,$B$2:$B$96,0))</f>
        <v/>
      </c>
      <c r="B93" s="31">
        <f>SUM(N93,Y93,AA93,AC93,AE93,AG93,AI93,AK93,AM93,AO93,AQ93,AS93,AU93,AW93,AY93,BA93,BC93,BE93,BG93,BI93,BK93,BM93,BO93,BQ93,BS93,BU93,BW93,BY93,CA93,CC93,CE93,CG93)</f>
        <v/>
      </c>
      <c r="C93" s="33" t="inlineStr">
        <is>
          <t>OLECTRA</t>
        </is>
      </c>
      <c r="D93" s="33" t="inlineStr">
        <is>
          <t>Olectra Greentech Ltd</t>
        </is>
      </c>
      <c r="E93" s="30" t="inlineStr">
        <is>
          <t>auto</t>
        </is>
      </c>
      <c r="F93" s="30" t="inlineStr">
        <is>
          <t>Auto - Bus/LCVs</t>
        </is>
      </c>
      <c r="G93" s="30" t="inlineStr">
        <is>
          <t>midcap</t>
        </is>
      </c>
      <c r="H93" s="31" t="n">
        <v>12478.73</v>
      </c>
      <c r="I93" s="31" t="n">
        <v>1520.3</v>
      </c>
      <c r="J93" s="31" t="n">
        <v>5.09</v>
      </c>
      <c r="K93" s="31" t="n">
        <v>0</v>
      </c>
      <c r="L93" s="30" t="inlineStr"/>
      <c r="M93" s="30" t="inlineStr"/>
      <c r="N93" s="31">
        <f>IF(M93="Underperforming",-5,IF(L93&gt;=95,15,IF(L93&gt;=90,10,IF(L93&gt;=80,5,0))))</f>
        <v/>
      </c>
      <c r="O93" s="31" t="inlineStr"/>
      <c r="P93" s="31" t="inlineStr"/>
      <c r="Q93" s="31" t="inlineStr"/>
      <c r="R93" s="30" t="inlineStr"/>
      <c r="S93" s="30" t="inlineStr"/>
      <c r="T93" s="31" t="inlineStr"/>
      <c r="U93" s="31" t="inlineStr"/>
      <c r="V93" s="31" t="inlineStr"/>
      <c r="W93" s="31" t="inlineStr"/>
      <c r="X93" s="30" t="n"/>
      <c r="Y93" s="30">
        <f>IF(X93="Growing Industry",10,IF(X93="Cyclical in an Upturn",5,0))</f>
        <v/>
      </c>
      <c r="Z93" s="30" t="n"/>
      <c r="AA93" s="30">
        <f>IF(Z93="Monopoly",10,IF(Z93="Oligopoly",5,IF(Z93="Duopoly that cooperate",10,IF(Z93="Duopoly that compete",5,IF(Z93="Too many players with High ROCE",5,0)))))</f>
        <v/>
      </c>
      <c r="AB93" s="30" t="n"/>
      <c r="AC93" s="30">
        <f>IF(AB93="No",5,0)</f>
        <v/>
      </c>
      <c r="AD93" s="30" t="n"/>
      <c r="AE93" s="30">
        <f>IF(AD93="Tailwind",10,0)</f>
        <v/>
      </c>
      <c r="AF93" s="30" t="n"/>
      <c r="AG93" s="30">
        <f>IF(AF93="Structural (10 Years Consistency)",10,IF(AF93="Shallow Cyclical (2 to 3 years growth)",5,0))</f>
        <v/>
      </c>
      <c r="AH93" s="30" t="n"/>
      <c r="AI93" s="30">
        <f>IF(AH93="Yes due to Product Mix change or Operating Leverage",10,IF(AH93="Yes, these are peak margins",-5,IF(AH93="No",5,0)))</f>
        <v/>
      </c>
      <c r="AJ93" s="30" t="n"/>
      <c r="AK93" s="30">
        <f>IF(AJ93="Stable",10,0)</f>
        <v/>
      </c>
      <c r="AL93" s="30" t="n"/>
      <c r="AM93" s="30">
        <f>IF(AL93="Yes",10,0)</f>
        <v/>
      </c>
      <c r="AN93" s="30" t="n"/>
      <c r="AO93" s="30">
        <f>IF(AN93="B2C",10,IF(AN93="B2B",5,0))</f>
        <v/>
      </c>
      <c r="AP93" s="30" t="n"/>
      <c r="AQ93" s="30">
        <f>IF(AP93="Yes",10,0)</f>
        <v/>
      </c>
      <c r="AR93" s="30" t="n"/>
      <c r="AS93" s="30">
        <f>IF(AR93="Fully Annuity",10,IF(AR93="Higher Annuity, Lower One Time",5,IF(AR93="Higher One Time, Lower Annuity",3,0)))</f>
        <v/>
      </c>
      <c r="AT93" s="30" t="n"/>
      <c r="AU93" s="30">
        <f>IF(AT93="Good",10,0)</f>
        <v/>
      </c>
      <c r="AV93" s="30" t="n"/>
      <c r="AW93" s="30">
        <f>IF(AV93="Yes for more than 2 years",10,IF(AV93="Yes only for next 1 to 2 years",5,0))</f>
        <v/>
      </c>
      <c r="AX93" s="30" t="n"/>
      <c r="AY93" s="30">
        <f>IF(AX93="Above 40",20,IF(AX93="20 to 40",10,IF(AX93="0 to 20",-5,0)))</f>
        <v/>
      </c>
      <c r="AZ93" s="30" t="n"/>
      <c r="BA93" s="30">
        <f>IF(AZ93="Between 50 to 75",10,IF(AZ93="Above 75",0,0))</f>
        <v/>
      </c>
      <c r="BB93" s="30" t="n"/>
      <c r="BC93" s="30">
        <f>IF(BB93="Stage 2",20,IF(BB93="Stage 1",0,IF(BB93="Stage 3",5,IF(BB93="Stage 4",-5,0))))</f>
        <v/>
      </c>
      <c r="BD93" s="30" t="n"/>
      <c r="BE93" s="30">
        <f>IF(BD93="Positive Trend",20,IF(BD93="Negative Trend",-10,0))</f>
        <v/>
      </c>
      <c r="BF93" s="30" t="n"/>
      <c r="BG93" s="30">
        <f>IF(BF93="Uptrend",10,IF(BF93="Sideways",5,0))</f>
        <v/>
      </c>
      <c r="BH93" s="30" t="n"/>
      <c r="BI93" s="30">
        <f>IF(BH93="Uptrend",10,IF(BH93="Sideways",5,0))</f>
        <v/>
      </c>
      <c r="BJ93" s="30" t="n"/>
      <c r="BK93" s="30">
        <f>IF(BJ93="Overhead supply in last 2 years in last 2 years",-5,IF(BJ93="Close to 52 week high or retracement",5,IF(BJ93="Blue sky scenario",10,IF(BJ93="Long term Downtrend",-10,0))))</f>
        <v/>
      </c>
      <c r="BL93" s="30" t="n"/>
      <c r="BM93" s="30">
        <f>IF(BL93="Yes",10,0)</f>
        <v/>
      </c>
      <c r="BN93" s="30" t="n"/>
      <c r="BO93" s="30">
        <f>IF(BN93="More than 20%",10,IF(BN93="Between 12 to 20%",5,IF(BN93="Less than 12%",0,0)))</f>
        <v/>
      </c>
      <c r="BP93" s="30" t="n"/>
      <c r="BQ93" s="30">
        <f>IF(BP93="No",10,0)</f>
        <v/>
      </c>
      <c r="BR93" s="30" t="n"/>
      <c r="BS93" s="30">
        <f>IF(BR93="NO",5,0)</f>
        <v/>
      </c>
      <c r="BT93" s="30" t="n"/>
      <c r="BU93" s="30">
        <f>IF(BT93="Above 2",0,IF(BT93="Between 1.5 to 2",5,IF(BT93="Less than 1.5",10,0)))</f>
        <v/>
      </c>
      <c r="BV93" s="30" t="n"/>
      <c r="BW93" s="30">
        <f>IF(BV93="Above 70%",10,IF(BV93="Between 50% to 70%",5,IF(BV93="Less than 50%",0,IF(BV93="Negative",-10,IF(BV93="Less than 50% and Borrowings are increasing",-5,0)))))</f>
        <v/>
      </c>
      <c r="BX93" s="30" t="n"/>
      <c r="BY93" s="30">
        <f>IF(BX93="More than 1.2",-10,IF(BX93="Between 0.7 to 1.2",0,IF(BX93="Less than 0.7",10,0)))</f>
        <v/>
      </c>
      <c r="BZ93" s="30" t="n"/>
      <c r="CA93" s="30">
        <f>IF(BZ93="Yes",-10,0)</f>
        <v/>
      </c>
      <c r="CB93" s="30" t="n"/>
      <c r="CC93" s="30">
        <f>IF(CB93="More than 15%",-10,IF(CB93="Less than 15%",10,0))</f>
        <v/>
      </c>
      <c r="CD93" s="30" t="n"/>
      <c r="CE93" s="30">
        <f>IF(CD93="Yes, more than 10%",-10,IF(CD93="No",10,0))</f>
        <v/>
      </c>
      <c r="CF93" s="30" t="n"/>
      <c r="CG93" s="30">
        <f>IF(CF93&gt;20,10,IF(CF93&gt;=10,5,2))</f>
        <v/>
      </c>
    </row>
    <row r="94">
      <c r="A94" s="30">
        <f>IF(B94=0,"",RANK(B94,$B$2:$B$96,0))</f>
        <v/>
      </c>
      <c r="B94" s="31">
        <f>SUM(N94,Y94,AA94,AC94,AE94,AG94,AI94,AK94,AM94,AO94,AQ94,AS94,AU94,AW94,AY94,BA94,BC94,BE94,BG94,BI94,BK94,BM94,BO94,BQ94,BS94,BU94,BW94,BY94,CA94,CC94,CE94,CG94)</f>
        <v/>
      </c>
      <c r="C94" s="30" t="inlineStr">
        <is>
          <t>CAPLIPOINT</t>
        </is>
      </c>
      <c r="D94" s="30" t="inlineStr">
        <is>
          <t>Caplin Point Laboratories Ltd</t>
        </is>
      </c>
      <c r="E94" s="30" t="inlineStr">
        <is>
          <t>healthcare</t>
        </is>
      </c>
      <c r="F94" s="30" t="inlineStr">
        <is>
          <t>Pharma - Formulators</t>
        </is>
      </c>
      <c r="G94" s="30" t="inlineStr">
        <is>
          <t>midcap</t>
        </is>
      </c>
      <c r="H94" s="31" t="n">
        <v>19029.53</v>
      </c>
      <c r="I94" s="31" t="n">
        <v>2503.5</v>
      </c>
      <c r="J94" s="31" t="n">
        <v>6.11</v>
      </c>
      <c r="K94" s="31" t="n">
        <v>0</v>
      </c>
      <c r="L94" s="30" t="inlineStr"/>
      <c r="M94" s="30" t="inlineStr"/>
      <c r="N94" s="31">
        <f>IF(M94="Underperforming",-5,IF(L94&gt;=95,15,IF(L94&gt;=90,10,IF(L94&gt;=80,5,0))))</f>
        <v/>
      </c>
      <c r="O94" s="31" t="inlineStr"/>
      <c r="P94" s="31" t="inlineStr"/>
      <c r="Q94" s="31" t="inlineStr"/>
      <c r="R94" s="30" t="inlineStr"/>
      <c r="S94" s="30" t="inlineStr"/>
      <c r="T94" s="31" t="inlineStr"/>
      <c r="U94" s="31" t="inlineStr"/>
      <c r="V94" s="31" t="inlineStr"/>
      <c r="W94" s="31" t="inlineStr"/>
      <c r="X94" s="30" t="n"/>
      <c r="Y94" s="30">
        <f>IF(X94="Growing Industry",10,IF(X94="Cyclical in an Upturn",5,0))</f>
        <v/>
      </c>
      <c r="Z94" s="30" t="n"/>
      <c r="AA94" s="30">
        <f>IF(Z94="Monopoly",10,IF(Z94="Oligopoly",5,IF(Z94="Duopoly that cooperate",10,IF(Z94="Duopoly that compete",5,IF(Z94="Too many players with High ROCE",5,0)))))</f>
        <v/>
      </c>
      <c r="AB94" s="30" t="n"/>
      <c r="AC94" s="30">
        <f>IF(AB94="No",5,0)</f>
        <v/>
      </c>
      <c r="AD94" s="30" t="n"/>
      <c r="AE94" s="30">
        <f>IF(AD94="Tailwind",10,0)</f>
        <v/>
      </c>
      <c r="AF94" s="30" t="n"/>
      <c r="AG94" s="30">
        <f>IF(AF94="Structural (10 Years Consistency)",10,IF(AF94="Shallow Cyclical (2 to 3 years growth)",5,0))</f>
        <v/>
      </c>
      <c r="AH94" s="30" t="n"/>
      <c r="AI94" s="30">
        <f>IF(AH94="Yes due to Product Mix change or Operating Leverage",10,IF(AH94="Yes, these are peak margins",-5,IF(AH94="No",5,0)))</f>
        <v/>
      </c>
      <c r="AJ94" s="30" t="n"/>
      <c r="AK94" s="30">
        <f>IF(AJ94="Stable",10,0)</f>
        <v/>
      </c>
      <c r="AL94" s="30" t="n"/>
      <c r="AM94" s="30">
        <f>IF(AL94="Yes",10,0)</f>
        <v/>
      </c>
      <c r="AN94" s="30" t="n"/>
      <c r="AO94" s="30">
        <f>IF(AN94="B2C",10,IF(AN94="B2B",5,0))</f>
        <v/>
      </c>
      <c r="AP94" s="30" t="n"/>
      <c r="AQ94" s="30">
        <f>IF(AP94="Yes",10,0)</f>
        <v/>
      </c>
      <c r="AR94" s="30" t="n"/>
      <c r="AS94" s="30">
        <f>IF(AR94="Fully Annuity",10,IF(AR94="Higher Annuity, Lower One Time",5,IF(AR94="Higher One Time, Lower Annuity",3,0)))</f>
        <v/>
      </c>
      <c r="AT94" s="30" t="n"/>
      <c r="AU94" s="30">
        <f>IF(AT94="Good",10,0)</f>
        <v/>
      </c>
      <c r="AV94" s="30" t="n"/>
      <c r="AW94" s="30">
        <f>IF(AV94="Yes for more than 2 years",10,IF(AV94="Yes only for next 1 to 2 years",5,0))</f>
        <v/>
      </c>
      <c r="AX94" s="30" t="n"/>
      <c r="AY94" s="30">
        <f>IF(AX94="Above 40",20,IF(AX94="20 to 40",10,IF(AX94="0 to 20",-5,0)))</f>
        <v/>
      </c>
      <c r="AZ94" s="30" t="n"/>
      <c r="BA94" s="30">
        <f>IF(AZ94="Between 50 to 75",10,IF(AZ94="Above 75",0,0))</f>
        <v/>
      </c>
      <c r="BB94" s="30" t="n"/>
      <c r="BC94" s="30">
        <f>IF(BB94="Stage 2",20,IF(BB94="Stage 1",0,IF(BB94="Stage 3",5,IF(BB94="Stage 4",-5,0))))</f>
        <v/>
      </c>
      <c r="BD94" s="30" t="n"/>
      <c r="BE94" s="30">
        <f>IF(BD94="Positive Trend",20,IF(BD94="Negative Trend",-10,0))</f>
        <v/>
      </c>
      <c r="BF94" s="30" t="n"/>
      <c r="BG94" s="30">
        <f>IF(BF94="Uptrend",10,IF(BF94="Sideways",5,0))</f>
        <v/>
      </c>
      <c r="BH94" s="30" t="n"/>
      <c r="BI94" s="30">
        <f>IF(BH94="Uptrend",10,IF(BH94="Sideways",5,0))</f>
        <v/>
      </c>
      <c r="BJ94" s="30" t="n"/>
      <c r="BK94" s="30">
        <f>IF(BJ94="Overhead supply in last 2 years in last 2 years",-5,IF(BJ94="Close to 52 week high or retracement",5,IF(BJ94="Blue sky scenario",10,IF(BJ94="Long term Downtrend",-10,0))))</f>
        <v/>
      </c>
      <c r="BL94" s="30" t="n"/>
      <c r="BM94" s="30">
        <f>IF(BL94="Yes",10,0)</f>
        <v/>
      </c>
      <c r="BN94" s="30" t="n"/>
      <c r="BO94" s="30">
        <f>IF(BN94="More than 20%",10,IF(BN94="Between 12 to 20%",5,IF(BN94="Less than 12%",0,0)))</f>
        <v/>
      </c>
      <c r="BP94" s="30" t="n"/>
      <c r="BQ94" s="30">
        <f>IF(BP94="No",10,0)</f>
        <v/>
      </c>
      <c r="BR94" s="30" t="n"/>
      <c r="BS94" s="30">
        <f>IF(BR94="NO",5,0)</f>
        <v/>
      </c>
      <c r="BT94" s="30" t="n"/>
      <c r="BU94" s="30">
        <f>IF(BT94="Above 2",0,IF(BT94="Between 1.5 to 2",5,IF(BT94="Less than 1.5",10,0)))</f>
        <v/>
      </c>
      <c r="BV94" s="30" t="n"/>
      <c r="BW94" s="30">
        <f>IF(BV94="Above 70%",10,IF(BV94="Between 50% to 70%",5,IF(BV94="Less than 50%",0,IF(BV94="Negative",-10,IF(BV94="Less than 50% and Borrowings are increasing",-5,0)))))</f>
        <v/>
      </c>
      <c r="BX94" s="30" t="n"/>
      <c r="BY94" s="30">
        <f>IF(BX94="More than 1.2",-10,IF(BX94="Between 0.7 to 1.2",0,IF(BX94="Less than 0.7",10,0)))</f>
        <v/>
      </c>
      <c r="BZ94" s="30" t="n"/>
      <c r="CA94" s="30">
        <f>IF(BZ94="Yes",-10,0)</f>
        <v/>
      </c>
      <c r="CB94" s="30" t="n"/>
      <c r="CC94" s="30">
        <f>IF(CB94="More than 15%",-10,IF(CB94="Less than 15%",10,0))</f>
        <v/>
      </c>
      <c r="CD94" s="30" t="n"/>
      <c r="CE94" s="30">
        <f>IF(CD94="Yes, more than 10%",-10,IF(CD94="No",10,0))</f>
        <v/>
      </c>
      <c r="CF94" s="30" t="n"/>
      <c r="CG94" s="30">
        <f>IF(CF94&gt;20,10,IF(CF94&gt;=10,5,2))</f>
        <v/>
      </c>
    </row>
    <row r="95">
      <c r="A95" s="30">
        <f>IF(B95=0,"",RANK(B95,$B$2:$B$96,0))</f>
        <v/>
      </c>
      <c r="B95" s="31">
        <f>SUM(N95,Y95,AA95,AC95,AE95,AG95,AI95,AK95,AM95,AO95,AQ95,AS95,AU95,AW95,AY95,BA95,BC95,BE95,BG95,BI95,BK95,BM95,BO95,BQ95,BS95,BU95,BW95,BY95,CA95,CC95,CE95,CG95)</f>
        <v/>
      </c>
      <c r="C95" s="30" t="inlineStr">
        <is>
          <t>YASHO</t>
        </is>
      </c>
      <c r="D95" s="30" t="inlineStr">
        <is>
          <t>Yasho Industries Ltd</t>
        </is>
      </c>
      <c r="E95" s="30" t="inlineStr">
        <is>
          <t>chemicals</t>
        </is>
      </c>
      <c r="F95" s="30" t="inlineStr">
        <is>
          <t>Speciality Chemicals</t>
        </is>
      </c>
      <c r="G95" s="30" t="inlineStr">
        <is>
          <t>smallcap</t>
        </is>
      </c>
      <c r="H95" s="31" t="n">
        <v>3470.76</v>
      </c>
      <c r="I95" s="31" t="n">
        <v>2878.6</v>
      </c>
      <c r="J95" s="31" t="n">
        <v>-0.48</v>
      </c>
      <c r="K95" s="31" t="n">
        <v>0</v>
      </c>
      <c r="L95" s="30" t="inlineStr"/>
      <c r="M95" s="30" t="inlineStr"/>
      <c r="N95" s="31">
        <f>IF(M95="Underperforming",-5,IF(L95&gt;=95,15,IF(L95&gt;=90,10,IF(L95&gt;=80,5,0))))</f>
        <v/>
      </c>
      <c r="O95" s="31" t="inlineStr"/>
      <c r="P95" s="31" t="inlineStr"/>
      <c r="Q95" s="31" t="inlineStr"/>
      <c r="R95" s="30" t="inlineStr"/>
      <c r="S95" s="30" t="inlineStr"/>
      <c r="T95" s="31" t="inlineStr"/>
      <c r="U95" s="31" t="inlineStr"/>
      <c r="V95" s="31" t="inlineStr"/>
      <c r="W95" s="31" t="inlineStr"/>
      <c r="X95" s="30" t="n"/>
      <c r="Y95" s="30">
        <f>IF(X95="Growing Industry",10,IF(X95="Cyclical in an Upturn",5,0))</f>
        <v/>
      </c>
      <c r="Z95" s="30" t="n"/>
      <c r="AA95" s="30">
        <f>IF(Z95="Monopoly",10,IF(Z95="Oligopoly",5,IF(Z95="Duopoly that cooperate",10,IF(Z95="Duopoly that compete",5,IF(Z95="Too many players with High ROCE",5,0)))))</f>
        <v/>
      </c>
      <c r="AB95" s="30" t="n"/>
      <c r="AC95" s="30">
        <f>IF(AB95="No",5,0)</f>
        <v/>
      </c>
      <c r="AD95" s="30" t="n"/>
      <c r="AE95" s="30">
        <f>IF(AD95="Tailwind",10,0)</f>
        <v/>
      </c>
      <c r="AF95" s="30" t="n"/>
      <c r="AG95" s="30">
        <f>IF(AF95="Structural (10 Years Consistency)",10,IF(AF95="Shallow Cyclical (2 to 3 years growth)",5,0))</f>
        <v/>
      </c>
      <c r="AH95" s="30" t="n"/>
      <c r="AI95" s="30">
        <f>IF(AH95="Yes due to Product Mix change or Operating Leverage",10,IF(AH95="Yes, these are peak margins",-5,IF(AH95="No",5,0)))</f>
        <v/>
      </c>
      <c r="AJ95" s="30" t="n"/>
      <c r="AK95" s="30">
        <f>IF(AJ95="Stable",10,0)</f>
        <v/>
      </c>
      <c r="AL95" s="30" t="n"/>
      <c r="AM95" s="30">
        <f>IF(AL95="Yes",10,0)</f>
        <v/>
      </c>
      <c r="AN95" s="30" t="n"/>
      <c r="AO95" s="30">
        <f>IF(AN95="B2C",10,IF(AN95="B2B",5,0))</f>
        <v/>
      </c>
      <c r="AP95" s="30" t="n"/>
      <c r="AQ95" s="30">
        <f>IF(AP95="Yes",10,0)</f>
        <v/>
      </c>
      <c r="AR95" s="30" t="n"/>
      <c r="AS95" s="30">
        <f>IF(AR95="Fully Annuity",10,IF(AR95="Higher Annuity, Lower One Time",5,IF(AR95="Higher One Time, Lower Annuity",3,0)))</f>
        <v/>
      </c>
      <c r="AT95" s="30" t="n"/>
      <c r="AU95" s="30">
        <f>IF(AT95="Good",10,0)</f>
        <v/>
      </c>
      <c r="AV95" s="30" t="n"/>
      <c r="AW95" s="30">
        <f>IF(AV95="Yes for more than 2 years",10,IF(AV95="Yes only for next 1 to 2 years",5,0))</f>
        <v/>
      </c>
      <c r="AX95" s="30" t="n"/>
      <c r="AY95" s="30">
        <f>IF(AX95="Above 40",20,IF(AX95="20 to 40",10,IF(AX95="0 to 20",-5,0)))</f>
        <v/>
      </c>
      <c r="AZ95" s="30" t="n"/>
      <c r="BA95" s="30">
        <f>IF(AZ95="Between 50 to 75",10,IF(AZ95="Above 75",0,0))</f>
        <v/>
      </c>
      <c r="BB95" s="30" t="n"/>
      <c r="BC95" s="30">
        <f>IF(BB95="Stage 2",20,IF(BB95="Stage 1",0,IF(BB95="Stage 3",5,IF(BB95="Stage 4",-5,0))))</f>
        <v/>
      </c>
      <c r="BD95" s="30" t="n"/>
      <c r="BE95" s="30">
        <f>IF(BD95="Positive Trend",20,IF(BD95="Negative Trend",-10,0))</f>
        <v/>
      </c>
      <c r="BF95" s="30" t="n"/>
      <c r="BG95" s="30">
        <f>IF(BF95="Uptrend",10,IF(BF95="Sideways",5,0))</f>
        <v/>
      </c>
      <c r="BH95" s="30" t="n"/>
      <c r="BI95" s="30">
        <f>IF(BH95="Uptrend",10,IF(BH95="Sideways",5,0))</f>
        <v/>
      </c>
      <c r="BJ95" s="30" t="n"/>
      <c r="BK95" s="30">
        <f>IF(BJ95="Overhead supply in last 2 years in last 2 years",-5,IF(BJ95="Close to 52 week high or retracement",5,IF(BJ95="Blue sky scenario",10,IF(BJ95="Long term Downtrend",-10,0))))</f>
        <v/>
      </c>
      <c r="BL95" s="30" t="n"/>
      <c r="BM95" s="30">
        <f>IF(BL95="Yes",10,0)</f>
        <v/>
      </c>
      <c r="BN95" s="30" t="n"/>
      <c r="BO95" s="30">
        <f>IF(BN95="More than 20%",10,IF(BN95="Between 12 to 20%",5,IF(BN95="Less than 12%",0,0)))</f>
        <v/>
      </c>
      <c r="BP95" s="30" t="n"/>
      <c r="BQ95" s="30">
        <f>IF(BP95="No",10,0)</f>
        <v/>
      </c>
      <c r="BR95" s="30" t="n"/>
      <c r="BS95" s="30">
        <f>IF(BR95="NO",5,0)</f>
        <v/>
      </c>
      <c r="BT95" s="30" t="n"/>
      <c r="BU95" s="30">
        <f>IF(BT95="Above 2",0,IF(BT95="Between 1.5 to 2",5,IF(BT95="Less than 1.5",10,0)))</f>
        <v/>
      </c>
      <c r="BV95" s="30" t="n"/>
      <c r="BW95" s="30">
        <f>IF(BV95="Above 70%",10,IF(BV95="Between 50% to 70%",5,IF(BV95="Less than 50%",0,IF(BV95="Negative",-10,IF(BV95="Less than 50% and Borrowings are increasing",-5,0)))))</f>
        <v/>
      </c>
      <c r="BX95" s="30" t="n"/>
      <c r="BY95" s="30">
        <f>IF(BX95="More than 1.2",-10,IF(BX95="Between 0.7 to 1.2",0,IF(BX95="Less than 0.7",10,0)))</f>
        <v/>
      </c>
      <c r="BZ95" s="30" t="n"/>
      <c r="CA95" s="30">
        <f>IF(BZ95="Yes",-10,0)</f>
        <v/>
      </c>
      <c r="CB95" s="30" t="n"/>
      <c r="CC95" s="30">
        <f>IF(CB95="More than 15%",-10,IF(CB95="Less than 15%",10,0))</f>
        <v/>
      </c>
      <c r="CD95" s="30" t="n"/>
      <c r="CE95" s="30">
        <f>IF(CD95="Yes, more than 10%",-10,IF(CD95="No",10,0))</f>
        <v/>
      </c>
      <c r="CF95" s="30" t="n"/>
      <c r="CG95" s="30">
        <f>IF(CF95&gt;20,10,IF(CF95&gt;=10,5,2))</f>
        <v/>
      </c>
    </row>
    <row r="96">
      <c r="A96" s="30">
        <f>IF(B96=0,"",RANK(B96,$B$2:$B$96,0))</f>
        <v/>
      </c>
      <c r="B96" s="31">
        <f>SUM(N96,Y96,AA96,AC96,AE96,AG96,AI96,AK96,AM96,AO96,AQ96,AS96,AU96,AW96,AY96,BA96,BC96,BE96,BG96,BI96,BK96,BM96,BO96,BQ96,BS96,BU96,BW96,BY96,CA96,CC96,CE96,CG96)</f>
        <v/>
      </c>
      <c r="C96" s="30" t="inlineStr">
        <is>
          <t>MAYURUNIQ</t>
        </is>
      </c>
      <c r="D96" s="30" t="inlineStr">
        <is>
          <t>Mayur Uniquoters Ltd</t>
        </is>
      </c>
      <c r="E96" s="30" t="inlineStr">
        <is>
          <t>consumer discretionary</t>
        </is>
      </c>
      <c r="F96" s="30" t="inlineStr">
        <is>
          <t>Plastics - Plastic &amp; Plastic Products</t>
        </is>
      </c>
      <c r="G96" s="30" t="inlineStr">
        <is>
          <t>smallcap</t>
        </is>
      </c>
      <c r="H96" s="31" t="n">
        <v>3590.27</v>
      </c>
      <c r="I96" s="31" t="n">
        <v>826.25</v>
      </c>
      <c r="J96" s="31" t="n">
        <v>-0.15</v>
      </c>
      <c r="K96" s="31" t="n">
        <v>0</v>
      </c>
      <c r="L96" s="30" t="inlineStr"/>
      <c r="M96" s="30" t="inlineStr"/>
      <c r="N96" s="31">
        <f>IF(M96="Underperforming",-5,IF(L96&gt;=95,15,IF(L96&gt;=90,10,IF(L96&gt;=80,5,0))))</f>
        <v/>
      </c>
      <c r="O96" s="31" t="inlineStr"/>
      <c r="P96" s="31" t="inlineStr"/>
      <c r="Q96" s="31" t="inlineStr"/>
      <c r="R96" s="30" t="inlineStr"/>
      <c r="S96" s="30" t="inlineStr"/>
      <c r="T96" s="31" t="inlineStr"/>
      <c r="U96" s="31" t="inlineStr"/>
      <c r="V96" s="31" t="inlineStr"/>
      <c r="W96" s="31" t="inlineStr"/>
      <c r="X96" s="30" t="n"/>
      <c r="Y96" s="30">
        <f>IF(X96="Growing Industry",10,IF(X96="Cyclical in an Upturn",5,0))</f>
        <v/>
      </c>
      <c r="Z96" s="30" t="n"/>
      <c r="AA96" s="30">
        <f>IF(Z96="Monopoly",10,IF(Z96="Oligopoly",5,IF(Z96="Duopoly that cooperate",10,IF(Z96="Duopoly that compete",5,IF(Z96="Too many players with High ROCE",5,0)))))</f>
        <v/>
      </c>
      <c r="AB96" s="30" t="n"/>
      <c r="AC96" s="30">
        <f>IF(AB96="No",5,0)</f>
        <v/>
      </c>
      <c r="AD96" s="30" t="n"/>
      <c r="AE96" s="30">
        <f>IF(AD96="Tailwind",10,0)</f>
        <v/>
      </c>
      <c r="AF96" s="30" t="n"/>
      <c r="AG96" s="30">
        <f>IF(AF96="Structural (10 Years Consistency)",10,IF(AF96="Shallow Cyclical (2 to 3 years growth)",5,0))</f>
        <v/>
      </c>
      <c r="AH96" s="30" t="n"/>
      <c r="AI96" s="30">
        <f>IF(AH96="Yes due to Product Mix change or Operating Leverage",10,IF(AH96="Yes, these are peak margins",-5,IF(AH96="No",5,0)))</f>
        <v/>
      </c>
      <c r="AJ96" s="30" t="n"/>
      <c r="AK96" s="30">
        <f>IF(AJ96="Stable",10,0)</f>
        <v/>
      </c>
      <c r="AL96" s="30" t="n"/>
      <c r="AM96" s="30">
        <f>IF(AL96="Yes",10,0)</f>
        <v/>
      </c>
      <c r="AN96" s="30" t="n"/>
      <c r="AO96" s="30">
        <f>IF(AN96="B2C",10,IF(AN96="B2B",5,0))</f>
        <v/>
      </c>
      <c r="AP96" s="30" t="n"/>
      <c r="AQ96" s="30">
        <f>IF(AP96="Yes",10,0)</f>
        <v/>
      </c>
      <c r="AR96" s="30" t="n"/>
      <c r="AS96" s="30">
        <f>IF(AR96="Fully Annuity",10,IF(AR96="Higher Annuity, Lower One Time",5,IF(AR96="Higher One Time, Lower Annuity",3,0)))</f>
        <v/>
      </c>
      <c r="AT96" s="30" t="n"/>
      <c r="AU96" s="30">
        <f>IF(AT96="Good",10,0)</f>
        <v/>
      </c>
      <c r="AV96" s="30" t="n"/>
      <c r="AW96" s="30">
        <f>IF(AV96="Yes for more than 2 years",10,IF(AV96="Yes only for next 1 to 2 years",5,0))</f>
        <v/>
      </c>
      <c r="AX96" s="30" t="n"/>
      <c r="AY96" s="30">
        <f>IF(AX96="Above 40",20,IF(AX96="20 to 40",10,IF(AX96="0 to 20",-5,0)))</f>
        <v/>
      </c>
      <c r="AZ96" s="30" t="n"/>
      <c r="BA96" s="30">
        <f>IF(AZ96="Between 50 to 75",10,IF(AZ96="Above 75",0,0))</f>
        <v/>
      </c>
      <c r="BB96" s="30" t="n"/>
      <c r="BC96" s="30">
        <f>IF(BB96="Stage 2",20,IF(BB96="Stage 1",0,IF(BB96="Stage 3",5,IF(BB96="Stage 4",-5,0))))</f>
        <v/>
      </c>
      <c r="BD96" s="30" t="n"/>
      <c r="BE96" s="30">
        <f>IF(BD96="Positive Trend",20,IF(BD96="Negative Trend",-10,0))</f>
        <v/>
      </c>
      <c r="BF96" s="30" t="n"/>
      <c r="BG96" s="30">
        <f>IF(BF96="Uptrend",10,IF(BF96="Sideways",5,0))</f>
        <v/>
      </c>
      <c r="BH96" s="30" t="n"/>
      <c r="BI96" s="30">
        <f>IF(BH96="Uptrend",10,IF(BH96="Sideways",5,0))</f>
        <v/>
      </c>
      <c r="BJ96" s="30" t="n"/>
      <c r="BK96" s="30">
        <f>IF(BJ96="Overhead supply in last 2 years in last 2 years",-5,IF(BJ96="Close to 52 week high or retracement",5,IF(BJ96="Blue sky scenario",10,IF(BJ96="Long term Downtrend",-10,0))))</f>
        <v/>
      </c>
      <c r="BL96" s="30" t="n"/>
      <c r="BM96" s="30">
        <f>IF(BL96="Yes",10,0)</f>
        <v/>
      </c>
      <c r="BN96" s="30" t="n"/>
      <c r="BO96" s="30">
        <f>IF(BN96="More than 20%",10,IF(BN96="Between 12 to 20%",5,IF(BN96="Less than 12%",0,0)))</f>
        <v/>
      </c>
      <c r="BP96" s="30" t="n"/>
      <c r="BQ96" s="30">
        <f>IF(BP96="No",10,0)</f>
        <v/>
      </c>
      <c r="BR96" s="30" t="n"/>
      <c r="BS96" s="30">
        <f>IF(BR96="NO",5,0)</f>
        <v/>
      </c>
      <c r="BT96" s="30" t="n"/>
      <c r="BU96" s="30">
        <f>IF(BT96="Above 2",0,IF(BT96="Between 1.5 to 2",5,IF(BT96="Less than 1.5",10,0)))</f>
        <v/>
      </c>
      <c r="BV96" s="30" t="n"/>
      <c r="BW96" s="30">
        <f>IF(BV96="Above 70%",10,IF(BV96="Between 50% to 70%",5,IF(BV96="Less than 50%",0,IF(BV96="Negative",-10,IF(BV96="Less than 50% and Borrowings are increasing",-5,0)))))</f>
        <v/>
      </c>
      <c r="BX96" s="30" t="n"/>
      <c r="BY96" s="30">
        <f>IF(BX96="More than 1.2",-10,IF(BX96="Between 0.7 to 1.2",0,IF(BX96="Less than 0.7",10,0)))</f>
        <v/>
      </c>
      <c r="BZ96" s="30" t="n"/>
      <c r="CA96" s="30">
        <f>IF(BZ96="Yes",-10,0)</f>
        <v/>
      </c>
      <c r="CB96" s="30" t="n"/>
      <c r="CC96" s="30">
        <f>IF(CB96="More than 15%",-10,IF(CB96="Less than 15%",10,0))</f>
        <v/>
      </c>
      <c r="CD96" s="30" t="n"/>
      <c r="CE96" s="30">
        <f>IF(CD96="Yes, more than 10%",-10,IF(CD96="No",10,0))</f>
        <v/>
      </c>
      <c r="CF96" s="30" t="n"/>
      <c r="CG96" s="30">
        <f>IF(CF96&gt;20,10,IF(CF96&gt;=10,5,2))</f>
        <v/>
      </c>
    </row>
    <row r="100">
      <c r="A100" s="24" t="inlineStr">
        <is>
          <t>❌ REMOVED SCAN MATCH STOCKS (THIS WEEK)</t>
        </is>
      </c>
    </row>
    <row r="101">
      <c r="A101" s="34" t="inlineStr">
        <is>
          <t>Symbol</t>
        </is>
      </c>
      <c r="B101" s="34" t="inlineStr">
        <is>
          <t>Company Name</t>
        </is>
      </c>
      <c r="C101" s="34" t="inlineStr">
        <is>
          <t>Sector</t>
        </is>
      </c>
      <c r="D101" s="34" t="inlineStr">
        <is>
          <t>Date of Removal</t>
        </is>
      </c>
    </row>
    <row r="102">
      <c r="A102" s="35" t="inlineStr">
        <is>
          <t>ADFFOODS</t>
        </is>
      </c>
      <c r="B102" s="36" t="inlineStr">
        <is>
          <t>ADF Foods Limited</t>
        </is>
      </c>
      <c r="C102" s="36" t="inlineStr">
        <is>
          <t>Consumer Defensive</t>
        </is>
      </c>
      <c r="D102" s="37" t="inlineStr">
        <is>
          <t>2026-06-18</t>
        </is>
      </c>
    </row>
    <row r="103">
      <c r="A103" s="35" t="inlineStr">
        <is>
          <t>AKUMS</t>
        </is>
      </c>
      <c r="B103" s="36" t="inlineStr">
        <is>
          <t>AKUMS</t>
        </is>
      </c>
      <c r="C103" s="36" t="inlineStr">
        <is>
          <t>Healthcare</t>
        </is>
      </c>
      <c r="D103" s="37" t="inlineStr">
        <is>
          <t>2026-06-16</t>
        </is>
      </c>
    </row>
    <row r="104">
      <c r="A104" s="35" t="inlineStr">
        <is>
          <t>ATHERENERG</t>
        </is>
      </c>
      <c r="B104" s="36" t="inlineStr">
        <is>
          <t>ATHERENERG</t>
        </is>
      </c>
      <c r="C104" s="36" t="inlineStr">
        <is>
          <t>unknown</t>
        </is>
      </c>
      <c r="D104" s="37" t="inlineStr">
        <is>
          <t>2026-06-16</t>
        </is>
      </c>
    </row>
    <row r="105">
      <c r="A105" s="35" t="inlineStr">
        <is>
          <t>BMW</t>
        </is>
      </c>
      <c r="B105" s="36" t="inlineStr">
        <is>
          <t>BMW</t>
        </is>
      </c>
      <c r="C105" s="36" t="inlineStr">
        <is>
          <t>unknown</t>
        </is>
      </c>
      <c r="D105" s="37" t="inlineStr">
        <is>
          <t>2026-06-19</t>
        </is>
      </c>
    </row>
    <row r="106">
      <c r="A106" s="35" t="inlineStr">
        <is>
          <t>BSE</t>
        </is>
      </c>
      <c r="B106" s="36" t="inlineStr">
        <is>
          <t>BSE</t>
        </is>
      </c>
      <c r="C106" s="36" t="inlineStr">
        <is>
          <t>unknown</t>
        </is>
      </c>
      <c r="D106" s="37" t="inlineStr">
        <is>
          <t>2026-06-17</t>
        </is>
      </c>
    </row>
    <row r="107">
      <c r="A107" s="35" t="inlineStr">
        <is>
          <t>CHENNPETRO</t>
        </is>
      </c>
      <c r="B107" s="36" t="inlineStr">
        <is>
          <t>CHENNPETRO</t>
        </is>
      </c>
      <c r="C107" s="36" t="inlineStr">
        <is>
          <t>unknown</t>
        </is>
      </c>
      <c r="D107" s="37" t="inlineStr">
        <is>
          <t>2026-06-16</t>
        </is>
      </c>
    </row>
    <row r="108">
      <c r="A108" s="35" t="inlineStr">
        <is>
          <t>COCKERILL</t>
        </is>
      </c>
      <c r="B108" s="36" t="inlineStr">
        <is>
          <t>COCKERILL</t>
        </is>
      </c>
      <c r="C108" s="36" t="inlineStr">
        <is>
          <t>unknown</t>
        </is>
      </c>
      <c r="D108" s="37" t="inlineStr">
        <is>
          <t>2026-06-17</t>
        </is>
      </c>
    </row>
    <row r="109">
      <c r="A109" s="35" t="inlineStr">
        <is>
          <t>DIFFNKG</t>
        </is>
      </c>
      <c r="B109" s="36" t="inlineStr">
        <is>
          <t>DIFFNKG</t>
        </is>
      </c>
      <c r="C109" s="36" t="inlineStr">
        <is>
          <t>Industrials</t>
        </is>
      </c>
      <c r="D109" s="37" t="inlineStr">
        <is>
          <t>2026-06-19</t>
        </is>
      </c>
    </row>
    <row r="110">
      <c r="A110" s="35" t="inlineStr">
        <is>
          <t>DIVGIITTS</t>
        </is>
      </c>
      <c r="B110" s="36" t="inlineStr">
        <is>
          <t>Divgi TorqTransfer Systems Limited</t>
        </is>
      </c>
      <c r="C110" s="36" t="inlineStr">
        <is>
          <t>Consumer Cyclical</t>
        </is>
      </c>
      <c r="D110" s="37" t="inlineStr">
        <is>
          <t>2026-06-17</t>
        </is>
      </c>
    </row>
    <row r="111">
      <c r="A111" s="35" t="inlineStr">
        <is>
          <t>FIEMIND</t>
        </is>
      </c>
      <c r="B111" s="36" t="inlineStr">
        <is>
          <t>FIEMIND</t>
        </is>
      </c>
      <c r="C111" s="36" t="inlineStr">
        <is>
          <t>unknown</t>
        </is>
      </c>
      <c r="D111" s="37" t="inlineStr">
        <is>
          <t>2026-06-19</t>
        </is>
      </c>
    </row>
    <row r="112">
      <c r="A112" s="35" t="inlineStr">
        <is>
          <t>HARSHA</t>
        </is>
      </c>
      <c r="B112" s="36" t="inlineStr">
        <is>
          <t>Harsha Engineers International Limited</t>
        </is>
      </c>
      <c r="C112" s="36" t="inlineStr">
        <is>
          <t>Industrials</t>
        </is>
      </c>
      <c r="D112" s="37" t="inlineStr">
        <is>
          <t>2026-06-17</t>
        </is>
      </c>
    </row>
    <row r="113">
      <c r="A113" s="35" t="inlineStr">
        <is>
          <t>INDNIPPON</t>
        </is>
      </c>
      <c r="B113" s="36" t="inlineStr">
        <is>
          <t>India Nippon Electricals Limited</t>
        </is>
      </c>
      <c r="C113" s="36" t="inlineStr">
        <is>
          <t>Consumer Cyclical</t>
        </is>
      </c>
      <c r="D113" s="37" t="inlineStr">
        <is>
          <t>2026-06-16</t>
        </is>
      </c>
    </row>
    <row r="114">
      <c r="A114" s="35" t="inlineStr">
        <is>
          <t>INDOBORAX</t>
        </is>
      </c>
      <c r="B114" s="36" t="inlineStr">
        <is>
          <t>Indo Borax &amp; Chemicals Limited</t>
        </is>
      </c>
      <c r="C114" s="36" t="inlineStr">
        <is>
          <t>Basic Materials</t>
        </is>
      </c>
      <c r="D114" s="37" t="inlineStr">
        <is>
          <t>2026-06-17</t>
        </is>
      </c>
    </row>
    <row r="115">
      <c r="A115" s="35" t="inlineStr">
        <is>
          <t>IOLCP</t>
        </is>
      </c>
      <c r="B115" s="36" t="inlineStr">
        <is>
          <t>IOL Chemicals and Pharmaceuticals Limited</t>
        </is>
      </c>
      <c r="C115" s="36" t="inlineStr">
        <is>
          <t>Healthcare</t>
        </is>
      </c>
      <c r="D115" s="37" t="inlineStr">
        <is>
          <t>2026-06-16</t>
        </is>
      </c>
    </row>
    <row r="116">
      <c r="A116" s="35" t="inlineStr">
        <is>
          <t>IZMO</t>
        </is>
      </c>
      <c r="B116" s="36" t="inlineStr">
        <is>
          <t>IZMO</t>
        </is>
      </c>
      <c r="C116" s="36" t="inlineStr">
        <is>
          <t>unknown</t>
        </is>
      </c>
      <c r="D116" s="37" t="inlineStr">
        <is>
          <t>2026-06-17</t>
        </is>
      </c>
    </row>
    <row r="117">
      <c r="A117" s="35" t="inlineStr">
        <is>
          <t>KRISHANA</t>
        </is>
      </c>
      <c r="B117" s="36" t="inlineStr">
        <is>
          <t>KRISHANA</t>
        </is>
      </c>
      <c r="C117" s="36" t="inlineStr">
        <is>
          <t>unknown</t>
        </is>
      </c>
      <c r="D117" s="37" t="inlineStr">
        <is>
          <t>2026-06-19</t>
        </is>
      </c>
    </row>
    <row r="118">
      <c r="A118" s="35" t="inlineStr">
        <is>
          <t>MOBAVENUE</t>
        </is>
      </c>
      <c r="B118" s="36" t="inlineStr">
        <is>
          <t>MOBAVENUE</t>
        </is>
      </c>
      <c r="C118" s="36" t="inlineStr">
        <is>
          <t>unknown</t>
        </is>
      </c>
      <c r="D118" s="37" t="inlineStr">
        <is>
          <t>2026-06-18</t>
        </is>
      </c>
    </row>
    <row r="119">
      <c r="A119" s="35" t="inlineStr">
        <is>
          <t>OBSCP</t>
        </is>
      </c>
      <c r="B119" s="36" t="inlineStr">
        <is>
          <t>OBSCP</t>
        </is>
      </c>
      <c r="C119" s="36" t="inlineStr">
        <is>
          <t>unknown</t>
        </is>
      </c>
      <c r="D119" s="37" t="inlineStr">
        <is>
          <t>2026-06-19</t>
        </is>
      </c>
    </row>
    <row r="120">
      <c r="A120" s="35" t="inlineStr">
        <is>
          <t>ONEGLOBAL</t>
        </is>
      </c>
      <c r="B120" s="36" t="inlineStr">
        <is>
          <t>ONEGLOBAL</t>
        </is>
      </c>
      <c r="C120" s="36" t="inlineStr">
        <is>
          <t>unknown</t>
        </is>
      </c>
      <c r="D120" s="37" t="inlineStr">
        <is>
          <t>2026-06-19</t>
        </is>
      </c>
    </row>
    <row r="121">
      <c r="A121" s="35" t="inlineStr">
        <is>
          <t>ORCHPHARMA</t>
        </is>
      </c>
      <c r="B121" s="36" t="inlineStr">
        <is>
          <t>ORCHPHARMA</t>
        </is>
      </c>
      <c r="C121" s="36" t="inlineStr">
        <is>
          <t>unknown</t>
        </is>
      </c>
      <c r="D121" s="37" t="inlineStr">
        <is>
          <t>2026-06-19</t>
        </is>
      </c>
    </row>
    <row r="122">
      <c r="A122" s="35" t="inlineStr">
        <is>
          <t>POWERINDIA</t>
        </is>
      </c>
      <c r="B122" s="36" t="inlineStr">
        <is>
          <t>POWERINDIA</t>
        </is>
      </c>
      <c r="C122" s="36" t="inlineStr">
        <is>
          <t>unknown</t>
        </is>
      </c>
      <c r="D122" s="37" t="inlineStr">
        <is>
          <t>2026-06-16</t>
        </is>
      </c>
    </row>
    <row r="123">
      <c r="A123" s="35" t="inlineStr">
        <is>
          <t>PREMIERENE</t>
        </is>
      </c>
      <c r="B123" s="36" t="inlineStr">
        <is>
          <t>PREMIERENE</t>
        </is>
      </c>
      <c r="C123" s="36" t="inlineStr">
        <is>
          <t>unknown</t>
        </is>
      </c>
      <c r="D123" s="37" t="inlineStr">
        <is>
          <t>2026-06-18</t>
        </is>
      </c>
    </row>
    <row r="124">
      <c r="A124" s="35" t="inlineStr">
        <is>
          <t>PTCIL</t>
        </is>
      </c>
      <c r="B124" s="36" t="inlineStr">
        <is>
          <t>PTC Industries Limited</t>
        </is>
      </c>
      <c r="C124" s="36" t="inlineStr">
        <is>
          <t>Industrials</t>
        </is>
      </c>
      <c r="D124" s="37" t="inlineStr">
        <is>
          <t>2026-06-16</t>
        </is>
      </c>
    </row>
    <row r="125">
      <c r="A125" s="35" t="inlineStr">
        <is>
          <t>RAIN</t>
        </is>
      </c>
      <c r="B125" s="36" t="inlineStr">
        <is>
          <t>Rain Industries Limited</t>
        </is>
      </c>
      <c r="C125" s="36" t="inlineStr">
        <is>
          <t>Basic Materials</t>
        </is>
      </c>
      <c r="D125" s="37" t="inlineStr">
        <is>
          <t>2026-06-16</t>
        </is>
      </c>
    </row>
    <row r="126">
      <c r="A126" s="35" t="inlineStr">
        <is>
          <t>RAMCOSYS</t>
        </is>
      </c>
      <c r="B126" s="36" t="inlineStr">
        <is>
          <t>Ramco Systems Limited</t>
        </is>
      </c>
      <c r="C126" s="36" t="inlineStr">
        <is>
          <t>Technology</t>
        </is>
      </c>
      <c r="D126" s="37" t="inlineStr">
        <is>
          <t>2026-06-18</t>
        </is>
      </c>
    </row>
    <row r="127">
      <c r="A127" s="35" t="inlineStr">
        <is>
          <t>RATEGAIN</t>
        </is>
      </c>
      <c r="B127" s="36" t="inlineStr">
        <is>
          <t>RateGain Travel Technologies Limited</t>
        </is>
      </c>
      <c r="C127" s="36" t="inlineStr">
        <is>
          <t>Technology</t>
        </is>
      </c>
      <c r="D127" s="37" t="inlineStr">
        <is>
          <t>2026-06-19</t>
        </is>
      </c>
    </row>
    <row r="128">
      <c r="A128" s="35" t="inlineStr">
        <is>
          <t>RHETAN</t>
        </is>
      </c>
      <c r="B128" s="36" t="inlineStr">
        <is>
          <t>RHETAN</t>
        </is>
      </c>
      <c r="C128" s="36" t="inlineStr">
        <is>
          <t>unknown</t>
        </is>
      </c>
      <c r="D128" s="37" t="inlineStr">
        <is>
          <t>2026-06-17</t>
        </is>
      </c>
    </row>
    <row r="129">
      <c r="A129" s="35" t="inlineStr">
        <is>
          <t>ROBU</t>
        </is>
      </c>
      <c r="B129" s="36" t="inlineStr">
        <is>
          <t>ROBU</t>
        </is>
      </c>
      <c r="C129" s="36" t="inlineStr">
        <is>
          <t>unknown</t>
        </is>
      </c>
      <c r="D129" s="37" t="inlineStr">
        <is>
          <t>2026-06-18</t>
        </is>
      </c>
    </row>
    <row r="130">
      <c r="A130" s="35" t="inlineStr">
        <is>
          <t>SAKAR</t>
        </is>
      </c>
      <c r="B130" s="36" t="inlineStr">
        <is>
          <t>Sakar Healthcare Limited</t>
        </is>
      </c>
      <c r="C130" s="36" t="inlineStr">
        <is>
          <t>Healthcare</t>
        </is>
      </c>
      <c r="D130" s="37" t="inlineStr">
        <is>
          <t>2026-06-18</t>
        </is>
      </c>
    </row>
    <row r="131">
      <c r="A131" s="35" t="inlineStr">
        <is>
          <t>SANDHAR</t>
        </is>
      </c>
      <c r="B131" s="36" t="inlineStr">
        <is>
          <t>SANDHAR</t>
        </is>
      </c>
      <c r="C131" s="36" t="inlineStr">
        <is>
          <t>unknown</t>
        </is>
      </c>
      <c r="D131" s="37" t="inlineStr">
        <is>
          <t>2026-06-17</t>
        </is>
      </c>
    </row>
    <row r="132">
      <c r="A132" s="35" t="inlineStr">
        <is>
          <t>SANSERA</t>
        </is>
      </c>
      <c r="B132" s="36" t="inlineStr">
        <is>
          <t>Sansera Engineering Limited</t>
        </is>
      </c>
      <c r="C132" s="36" t="inlineStr">
        <is>
          <t>Consumer Cyclical</t>
        </is>
      </c>
      <c r="D132" s="37" t="inlineStr">
        <is>
          <t>2026-06-16</t>
        </is>
      </c>
    </row>
    <row r="133">
      <c r="A133" s="35" t="inlineStr">
        <is>
          <t>SEAMECLTD</t>
        </is>
      </c>
      <c r="B133" s="36" t="inlineStr">
        <is>
          <t>SEAMECLTD</t>
        </is>
      </c>
      <c r="C133" s="36" t="inlineStr">
        <is>
          <t>unknown</t>
        </is>
      </c>
      <c r="D133" s="37" t="inlineStr">
        <is>
          <t>2026-06-17</t>
        </is>
      </c>
    </row>
    <row r="134">
      <c r="A134" s="35" t="inlineStr">
        <is>
          <t>SGFIN</t>
        </is>
      </c>
      <c r="B134" s="36" t="inlineStr">
        <is>
          <t>SGFIN</t>
        </is>
      </c>
      <c r="C134" s="36" t="inlineStr">
        <is>
          <t>unknown</t>
        </is>
      </c>
      <c r="D134" s="37" t="inlineStr">
        <is>
          <t>2026-06-16</t>
        </is>
      </c>
    </row>
    <row r="135">
      <c r="A135" s="35" t="inlineStr">
        <is>
          <t>SHILPAMED</t>
        </is>
      </c>
      <c r="B135" s="36" t="inlineStr">
        <is>
          <t>Shilpa Medicare Limited</t>
        </is>
      </c>
      <c r="C135" s="36" t="inlineStr">
        <is>
          <t>Healthcare</t>
        </is>
      </c>
      <c r="D135" s="37" t="inlineStr">
        <is>
          <t>2026-06-18</t>
        </is>
      </c>
    </row>
    <row r="136">
      <c r="A136" s="35" t="inlineStr">
        <is>
          <t>SILVERTUC</t>
        </is>
      </c>
      <c r="B136" s="36" t="inlineStr">
        <is>
          <t>Silver Touch Technologies Limited</t>
        </is>
      </c>
      <c r="C136" s="36" t="inlineStr">
        <is>
          <t>Technology</t>
        </is>
      </c>
      <c r="D136" s="37" t="inlineStr">
        <is>
          <t>2026-06-18</t>
        </is>
      </c>
    </row>
    <row r="137">
      <c r="A137" s="35" t="inlineStr">
        <is>
          <t>SPECTRUM</t>
        </is>
      </c>
      <c r="B137" s="36" t="inlineStr">
        <is>
          <t>SPECTRUM</t>
        </is>
      </c>
      <c r="C137" s="36" t="inlineStr">
        <is>
          <t>Industrials</t>
        </is>
      </c>
      <c r="D137" s="37" t="inlineStr">
        <is>
          <t>2026-06-19</t>
        </is>
      </c>
    </row>
    <row r="138">
      <c r="A138" s="35" t="inlineStr">
        <is>
          <t>SUNSHIEL</t>
        </is>
      </c>
      <c r="B138" s="36" t="inlineStr">
        <is>
          <t>SUNSHIEL</t>
        </is>
      </c>
      <c r="C138" s="36" t="inlineStr">
        <is>
          <t>unknown</t>
        </is>
      </c>
      <c r="D138" s="37" t="inlineStr">
        <is>
          <t>2026-06-19</t>
        </is>
      </c>
    </row>
    <row r="139">
      <c r="A139" s="35" t="inlineStr">
        <is>
          <t>SUPRIYA</t>
        </is>
      </c>
      <c r="B139" s="36" t="inlineStr">
        <is>
          <t>Supriya Lifescience Limited</t>
        </is>
      </c>
      <c r="C139" s="36" t="inlineStr">
        <is>
          <t>Healthcare</t>
        </is>
      </c>
      <c r="D139" s="37" t="inlineStr">
        <is>
          <t>2026-06-17</t>
        </is>
      </c>
    </row>
    <row r="140">
      <c r="A140" s="35" t="inlineStr">
        <is>
          <t>V2RETAIL</t>
        </is>
      </c>
      <c r="B140" s="36" t="inlineStr">
        <is>
          <t>V2 Retail Limited</t>
        </is>
      </c>
      <c r="C140" s="36" t="inlineStr">
        <is>
          <t>Consumer Cyclical</t>
        </is>
      </c>
      <c r="D140" s="37" t="inlineStr">
        <is>
          <t>2026-06-19</t>
        </is>
      </c>
    </row>
  </sheetData>
  <autoFilter ref="A1:CG96"/>
  <conditionalFormatting sqref="B2:B9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6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6">
    <cfRule type="cellIs" priority="37" operator="equal" dxfId="3" stopIfTrue="1">
      <formula>"Underperforming"</formula>
    </cfRule>
  </conditionalFormatting>
  <conditionalFormatting sqref="N2:N96">
    <cfRule type="cellIs" priority="38" operator="equal" dxfId="3" stopIfTrue="1">
      <formula>-5</formula>
    </cfRule>
  </conditionalFormatting>
  <conditionalFormatting sqref="Q2:Q96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6" showDropDown="0" showInputMessage="0" showErrorMessage="0" allowBlank="1" type="list">
      <formula1>"Growing Industry,Stagnant Industry,Cyclical in an Upturn"</formula1>
    </dataValidation>
    <dataValidation sqref="Z2:Z9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6" showDropDown="0" showInputMessage="0" showErrorMessage="0" allowBlank="1" type="list">
      <formula1>"Yes,No"</formula1>
    </dataValidation>
    <dataValidation sqref="AD2:AD96" showDropDown="0" showInputMessage="0" showErrorMessage="0" allowBlank="1" type="list">
      <formula1>"Tailwind,Headwind"</formula1>
    </dataValidation>
    <dataValidation sqref="AF2:AF96" showDropDown="0" showInputMessage="0" showErrorMessage="0" allowBlank="1" type="list">
      <formula1>"Structural (10 Years Consistency),Shallow Cyclical (2 to 3 Years Growth),Cyclical"</formula1>
    </dataValidation>
    <dataValidation sqref="AH2:AH96" showDropDown="0" showInputMessage="0" showErrorMessage="0" allowBlank="1" type="list">
      <formula1>"Yes due to Product Mix change or Operating Leverage,Yes, these are peak margins,No"</formula1>
    </dataValidation>
    <dataValidation sqref="AJ2:AJ96" showDropDown="0" showInputMessage="0" showErrorMessage="0" allowBlank="1" type="list">
      <formula1>"Stable,Volatile"</formula1>
    </dataValidation>
    <dataValidation sqref="AL2:AL96" showDropDown="0" showInputMessage="0" showErrorMessage="0" allowBlank="1" type="list">
      <formula1>"Yes,No"</formula1>
    </dataValidation>
    <dataValidation sqref="AN2:AN96" showDropDown="0" showInputMessage="0" showErrorMessage="0" allowBlank="1" type="list">
      <formula1>"B2C,B2B,B2G"</formula1>
    </dataValidation>
    <dataValidation sqref="AP2:AP96" showDropDown="0" showInputMessage="0" showErrorMessage="0" allowBlank="1" type="list">
      <formula1>"Yes,No"</formula1>
    </dataValidation>
    <dataValidation sqref="AR2:AR96" showDropDown="0" showInputMessage="0" showErrorMessage="0" allowBlank="1" type="list">
      <formula1>"Fully Annuity,Higher Annuity, Lower One time,Higher One Time, Lower Annuity,Fully One Time"</formula1>
    </dataValidation>
    <dataValidation sqref="AT2:AT96" showDropDown="0" showInputMessage="0" showErrorMessage="0" allowBlank="1" type="list">
      <formula1>"Good,Allocated capital in Non-core Areas"</formula1>
    </dataValidation>
    <dataValidation sqref="AV2:AV96" showDropDown="0" showInputMessage="0" showErrorMessage="0" allowBlank="1" type="list">
      <formula1>"Yes for more than 2 years,Yes only for next 1 to 2 years,No"</formula1>
    </dataValidation>
    <dataValidation sqref="AX2:AX96" showDropDown="0" showInputMessage="0" showErrorMessage="0" allowBlank="1" type="list">
      <formula1>"Above 40,20 to 40,0 to 20"</formula1>
    </dataValidation>
    <dataValidation sqref="AZ2:AZ96" showDropDown="0" showInputMessage="0" showErrorMessage="0" allowBlank="1" type="list">
      <formula1>"Between 50 to 75,Above 75,Below 45"</formula1>
    </dataValidation>
    <dataValidation sqref="BB2:BB96" showDropDown="0" showInputMessage="0" showErrorMessage="0" allowBlank="1" type="list">
      <formula1>"Stage 1,Stage 2,Stage 3,Stage 4"</formula1>
    </dataValidation>
    <dataValidation sqref="BD2:BD96" showDropDown="0" showInputMessage="0" showErrorMessage="0" allowBlank="1" type="list">
      <formula1>"Positive Trend,Negative Trend"</formula1>
    </dataValidation>
    <dataValidation sqref="BF2:BF96" showDropDown="0" showInputMessage="0" showErrorMessage="0" allowBlank="1" type="list">
      <formula1>"Uptrend,Sideways,Downtrend"</formula1>
    </dataValidation>
    <dataValidation sqref="BH2:BH96" showDropDown="0" showInputMessage="0" showErrorMessage="0" allowBlank="1" type="list">
      <formula1>"Uptrend,Sideways,Downtrend"</formula1>
    </dataValidation>
    <dataValidation sqref="BJ2:BJ9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6" showDropDown="0" showInputMessage="0" showErrorMessage="0" allowBlank="1" type="list">
      <formula1>"Yes,No"</formula1>
    </dataValidation>
    <dataValidation sqref="BN2:BN96" showDropDown="0" showInputMessage="0" showErrorMessage="0" allowBlank="1" type="list">
      <formula1>"More than 20%,Between 12 to 20%,Less than 12%"</formula1>
    </dataValidation>
    <dataValidation sqref="BP2:BP96" showDropDown="0" showInputMessage="0" showErrorMessage="0" allowBlank="1" type="list">
      <formula1>"Yes,No"</formula1>
    </dataValidation>
    <dataValidation sqref="BR2:BR96" showDropDown="0" showInputMessage="0" showErrorMessage="0" allowBlank="1" type="list">
      <formula1>"Yes,No"</formula1>
    </dataValidation>
    <dataValidation sqref="BT2:BT96" showDropDown="0" showInputMessage="0" showErrorMessage="0" allowBlank="1" type="list">
      <formula1>"Above 2,Between 1.5 to 2,Less than 1.5"</formula1>
    </dataValidation>
    <dataValidation sqref="BV2:BV96" showDropDown="0" showInputMessage="0" showErrorMessage="0" allowBlank="1" type="list">
      <formula1>"Above 70%,Between 50% to 70%,Less than 50%,Less than 50% and Borrowings are increasing,Negative"</formula1>
    </dataValidation>
    <dataValidation sqref="BX2:BX96" showDropDown="0" showInputMessage="0" showErrorMessage="0" allowBlank="1" type="list">
      <formula1>"More than 1.2,Between 0.7 to 1.2,Less than 0.7"</formula1>
    </dataValidation>
    <dataValidation sqref="BZ2:BZ96" showDropDown="0" showInputMessage="0" showErrorMessage="0" allowBlank="1" type="list">
      <formula1>"Yes,No"</formula1>
    </dataValidation>
    <dataValidation sqref="CB2:CB96" showDropDown="0" showInputMessage="0" showErrorMessage="0" allowBlank="1" type="list">
      <formula1>"More than 15%,Less than 15%"</formula1>
    </dataValidation>
    <dataValidation sqref="CD2:CD9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IF(B2=0,"",RANK(B2,$B$2:$B$6,0))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SATIN</t>
        </is>
      </c>
      <c r="D2" s="30" t="inlineStr">
        <is>
          <t>Satin Creditcare Network Ltd</t>
        </is>
      </c>
      <c r="E2" s="30" t="inlineStr">
        <is>
          <t>financials</t>
        </is>
      </c>
      <c r="F2" s="30" t="inlineStr">
        <is>
          <t>Finance &amp; Investments - Microfinance</t>
        </is>
      </c>
      <c r="G2" s="30" t="inlineStr">
        <is>
          <t>smallcap</t>
        </is>
      </c>
      <c r="H2" s="31" t="n">
        <v>2600.82</v>
      </c>
      <c r="I2" s="31" t="n">
        <v>235.43</v>
      </c>
      <c r="J2" s="31" t="n">
        <v>1.73</v>
      </c>
      <c r="K2" s="31" t="n">
        <v>0</v>
      </c>
      <c r="L2" s="30" t="n">
        <v>78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70.66</v>
      </c>
      <c r="P2" s="31" t="n">
        <v>45.82</v>
      </c>
      <c r="Q2" s="31" t="n">
        <v>187.8</v>
      </c>
      <c r="R2" s="30" t="inlineStr">
        <is>
          <t>Near 52W High Breakout</t>
        </is>
      </c>
      <c r="S2" s="30" t="inlineStr">
        <is>
          <t>Nifty Bank</t>
        </is>
      </c>
      <c r="T2" s="31" t="n">
        <v>2.55</v>
      </c>
      <c r="U2" s="31" t="n">
        <v>55.28</v>
      </c>
      <c r="V2" s="31" t="n">
        <v>51.42</v>
      </c>
      <c r="W2" s="31" t="n">
        <v>24.04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22</t>
        </is>
      </c>
      <c r="CC2" s="30">
        <f>IF(CB2&gt;20,10,IF(CB2&gt;=10,5,2))</f>
        <v/>
      </c>
    </row>
    <row r="3">
      <c r="A3" s="30">
        <f>IF(B3=0,"",RANK(B3,$B$2:$B$6,0))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MAHABANK</t>
        </is>
      </c>
      <c r="D3" s="30" t="inlineStr">
        <is>
          <t>Bank of Maharashtra</t>
        </is>
      </c>
      <c r="E3" s="30" t="inlineStr">
        <is>
          <t>bank</t>
        </is>
      </c>
      <c r="F3" s="30" t="inlineStr">
        <is>
          <t>Banks - PSU</t>
        </is>
      </c>
      <c r="G3" s="30" t="inlineStr">
        <is>
          <t>largecap</t>
        </is>
      </c>
      <c r="H3" s="31" t="n">
        <v>69370.13</v>
      </c>
      <c r="I3" s="31" t="n">
        <v>90.19</v>
      </c>
      <c r="J3" s="31" t="n">
        <v>0.77</v>
      </c>
      <c r="K3" s="31" t="n">
        <v>0</v>
      </c>
      <c r="L3" s="30" t="n">
        <v>71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73.27</v>
      </c>
      <c r="P3" s="31" t="n">
        <v>43.78</v>
      </c>
      <c r="Q3" s="31" t="n">
        <v>73.88</v>
      </c>
      <c r="R3" s="30" t="inlineStr">
        <is>
          <t>Near 52W High Breakout</t>
        </is>
      </c>
      <c r="S3" s="30" t="inlineStr">
        <is>
          <t>Nifty Bank</t>
        </is>
      </c>
      <c r="T3" s="31" t="n">
        <v>2.55</v>
      </c>
      <c r="U3" s="31" t="n">
        <v>72.56</v>
      </c>
      <c r="V3" s="31" t="n">
        <v>68.27</v>
      </c>
      <c r="W3" s="31" t="n">
        <v>20.41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21</t>
        </is>
      </c>
      <c r="CC3" s="30">
        <f>IF(CB3&gt;20,10,IF(CB3&gt;=10,5,2))</f>
        <v/>
      </c>
    </row>
    <row r="4">
      <c r="A4" s="30">
        <f>IF(B4=0,"",RANK(B4,$B$2:$B$6,0))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PAISALO</t>
        </is>
      </c>
      <c r="D4" s="30" t="inlineStr">
        <is>
          <t>Paisalo Digital Ltd</t>
        </is>
      </c>
      <c r="E4" s="30" t="inlineStr">
        <is>
          <t>financials</t>
        </is>
      </c>
      <c r="F4" s="30" t="inlineStr">
        <is>
          <t>Finance - Capital Markets - Brokers</t>
        </is>
      </c>
      <c r="G4" s="30" t="inlineStr">
        <is>
          <t>midcap</t>
        </is>
      </c>
      <c r="H4" s="31" t="n">
        <v>5348.9</v>
      </c>
      <c r="I4" s="31" t="n">
        <v>58.81</v>
      </c>
      <c r="J4" s="31" t="n">
        <v>0.51</v>
      </c>
      <c r="K4" s="31" t="n">
        <v>0</v>
      </c>
      <c r="L4" s="30" t="n">
        <v>87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76.09</v>
      </c>
      <c r="P4" s="31" t="n">
        <v>35.43</v>
      </c>
      <c r="Q4" s="31" t="n">
        <v>46.84</v>
      </c>
      <c r="R4" s="30" t="inlineStr">
        <is>
          <t>Near 52W High Breakout</t>
        </is>
      </c>
      <c r="S4" s="30" t="inlineStr">
        <is>
          <t>Nifty Bank</t>
        </is>
      </c>
      <c r="T4" s="31" t="n">
        <v>2.55</v>
      </c>
      <c r="U4" s="31" t="n">
        <v>95.81999999999999</v>
      </c>
      <c r="V4" s="31" t="n">
        <v>90.95</v>
      </c>
      <c r="W4" s="31" t="n">
        <v>30.99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between 2.5x to 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Above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Close to 52 week high or retracement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20</t>
        </is>
      </c>
      <c r="CC4" s="30">
        <f>IF(CB4&gt;20,10,IF(CB4&gt;=10,5,2))</f>
        <v/>
      </c>
    </row>
    <row r="5">
      <c r="A5" s="30">
        <f>IF(B5=0,"",RANK(B5,$B$2:$B$6,0))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CGCL</t>
        </is>
      </c>
      <c r="D5" s="30" t="inlineStr">
        <is>
          <t>Capri Global Capital Ltd</t>
        </is>
      </c>
      <c r="E5" s="30" t="inlineStr">
        <is>
          <t>financials</t>
        </is>
      </c>
      <c r="F5" s="30" t="inlineStr">
        <is>
          <t>Finance &amp; Investments - Gold Loan</t>
        </is>
      </c>
      <c r="G5" s="30" t="inlineStr">
        <is>
          <t>largecap</t>
        </is>
      </c>
      <c r="H5" s="31" t="n">
        <v>21259.75</v>
      </c>
      <c r="I5" s="31" t="n">
        <v>220.96</v>
      </c>
      <c r="J5" s="31" t="n">
        <v>0.07000000000000001</v>
      </c>
      <c r="K5" s="31" t="n">
        <v>0</v>
      </c>
      <c r="L5" s="30" t="n">
        <v>48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70.44</v>
      </c>
      <c r="P5" s="31" t="n">
        <v>19.4</v>
      </c>
      <c r="Q5" s="31" t="n">
        <v>180.07</v>
      </c>
      <c r="R5" s="30" t="inlineStr">
        <is>
          <t>Volume Spike &amp; Near 52W High Breakout</t>
        </is>
      </c>
      <c r="S5" s="30" t="inlineStr">
        <is>
          <t>Nifty Bank</t>
        </is>
      </c>
      <c r="T5" s="31" t="n">
        <v>2.55</v>
      </c>
      <c r="U5" s="31" t="n">
        <v>32.03</v>
      </c>
      <c r="V5" s="31" t="n">
        <v>28.75</v>
      </c>
      <c r="W5" s="31" t="n">
        <v>12.53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between 2.5x to 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0 to 20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24</t>
        </is>
      </c>
      <c r="CC5" s="30">
        <f>IF(CB5&gt;20,10,IF(CB5&gt;=10,5,2))</f>
        <v/>
      </c>
    </row>
    <row r="6">
      <c r="A6" s="30">
        <f>IF(B6=0,"",RANK(B6,$B$2:$B$6,0))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ANGELONE</t>
        </is>
      </c>
      <c r="D6" s="30" t="inlineStr">
        <is>
          <t>Angel One Ltd</t>
        </is>
      </c>
      <c r="E6" s="30" t="inlineStr">
        <is>
          <t>financials</t>
        </is>
      </c>
      <c r="F6" s="30" t="inlineStr">
        <is>
          <t>Finance - Capital Markets - Brokers</t>
        </is>
      </c>
      <c r="G6" s="30" t="inlineStr">
        <is>
          <t>largecap</t>
        </is>
      </c>
      <c r="H6" s="31" t="n">
        <v>32305.17</v>
      </c>
      <c r="I6" s="31" t="n">
        <v>353.7</v>
      </c>
      <c r="J6" s="31" t="n">
        <v>0.26</v>
      </c>
      <c r="K6" s="31" t="n">
        <v>0</v>
      </c>
      <c r="L6" s="30" t="inlineStr"/>
      <c r="M6" s="30" t="inlineStr"/>
      <c r="N6" s="31">
        <f>IF(M6="Underperforming",-5,IF(L6&gt;=95,15,IF(L6&gt;=90,10,IF(L6&gt;=80,5,0))))</f>
        <v/>
      </c>
      <c r="O6" s="31" t="inlineStr"/>
      <c r="P6" s="31" t="inlineStr"/>
      <c r="Q6" s="31" t="inlineStr"/>
      <c r="R6" s="30" t="inlineStr"/>
      <c r="S6" s="30" t="inlineStr"/>
      <c r="T6" s="31" t="inlineStr"/>
      <c r="U6" s="31" t="inlineStr"/>
      <c r="V6" s="31" t="inlineStr"/>
      <c r="W6" s="31" t="inlineStr"/>
      <c r="X6" s="30" t="n"/>
      <c r="Y6" s="30">
        <f>IF(X6="Growing Industry",10,IF(X6="Cyclical in an Upturn",5,0))</f>
        <v/>
      </c>
      <c r="Z6" s="30" t="n"/>
      <c r="AA6" s="30">
        <f>IF(Z6="Fragmented with Low ROE",-5,IF(Z6="Fragmented with High ROE",10,IF(Z6= "highly cyclical",5,0)))</f>
        <v/>
      </c>
      <c r="AB6" s="30" t="n"/>
      <c r="AC6" s="30">
        <f>IF(AB6="No",5,0)</f>
        <v/>
      </c>
      <c r="AD6" s="30" t="n"/>
      <c r="AE6" s="30">
        <f>IF(AD6="Tailwind",10,0)</f>
        <v/>
      </c>
      <c r="AF6" s="30" t="n"/>
      <c r="AG6" s="30">
        <f>IF(AF6="Structural (10 Years Consistency)",15,IF(AF6="Shallow Cyclical (2 to 3 years growth)",10,IF(AF6 = "Cyclical in an Uptick",5,IF(AF6 = "Cyclical in an Downtick",-10,0))))</f>
        <v/>
      </c>
      <c r="AH6" s="30" t="n"/>
      <c r="AI6" s="30">
        <f>IF(AH6="Yes",10,0)</f>
        <v/>
      </c>
      <c r="AJ6" s="30" t="n"/>
      <c r="AK6" s="30">
        <f>IF(AJ6="Yes",10,0)</f>
        <v/>
      </c>
      <c r="AL6" s="30" t="n"/>
      <c r="AM6" s="30">
        <f>IF(AL6="No",10,0)</f>
        <v/>
      </c>
      <c r="AN6" s="30" t="n"/>
      <c r="AO6" s="30">
        <f>IF(AN6="Yes",10,0)</f>
        <v/>
      </c>
      <c r="AP6" s="30" t="n"/>
      <c r="AQ6" s="30">
        <f>IF(AP6="Yes",10,0)</f>
        <v/>
      </c>
      <c r="AR6" s="30" t="n"/>
      <c r="AS6" s="30">
        <f>IF(AR6="Yes",5,0)</f>
        <v/>
      </c>
      <c r="AT6" s="30" t="n"/>
      <c r="AU6" s="30">
        <f>IF(AT6="No",10,IF(AT6="Yes",-10,0))</f>
        <v/>
      </c>
      <c r="AV6" s="30" t="n"/>
      <c r="AW6" s="30">
        <f>IF(AV6="No",10,0)</f>
        <v/>
      </c>
      <c r="AX6" s="30" t="n"/>
      <c r="AY6" s="30">
        <f>IF(AX6="No",10,IF(AX6= "Yes CEO Resignation",-5,0))</f>
        <v/>
      </c>
      <c r="AZ6" s="30" t="n"/>
      <c r="BA6" s="30">
        <f>IF(AZ6="No",10,IF(AZ6="Yes",-5,0))</f>
        <v/>
      </c>
      <c r="BB6" s="30" t="n"/>
      <c r="BC6" s="30">
        <f>IF(BB6="No",5,IF(BB6="Yes",-5,0))</f>
        <v/>
      </c>
      <c r="BD6" s="30" t="n"/>
      <c r="BE6" s="30">
        <f>IF(BD6="Yes",10,0)</f>
        <v/>
      </c>
      <c r="BF6" s="30" t="n"/>
      <c r="BG6" s="30">
        <f>IF(BF6="Yes",10,0)</f>
        <v/>
      </c>
      <c r="BH6" s="30" t="n"/>
      <c r="BI6" s="30">
        <f>IF(BH6="Yes",10,0)</f>
        <v/>
      </c>
      <c r="BJ6" s="30" t="n"/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n"/>
      <c r="BM6" s="30">
        <f>IF(BL6="Above 40",20,IF(BL6="20 to 40",10,IF(BL6="0 to 20",-5,0)))</f>
        <v/>
      </c>
      <c r="BN6" s="30" t="n"/>
      <c r="BO6" s="30">
        <f>IF(BN6="Between 50 to 75",10,IF(BN6="Above 75",0,0))</f>
        <v/>
      </c>
      <c r="BP6" s="30" t="n"/>
      <c r="BQ6" s="30">
        <f>IF(BP6="Stage 2",20,IF(BP6="Stage 1",0,IF(BP6="Stage 3",5,IF(BP6="Stage 4",-5,0))))</f>
        <v/>
      </c>
      <c r="BR6" s="30" t="n"/>
      <c r="BS6" s="30">
        <f>IF(BR6="Positive Trend",20,IF(BR6="Negative Trend",-10,0))</f>
        <v/>
      </c>
      <c r="BT6" s="30" t="n"/>
      <c r="BU6" s="30">
        <f>IF(BT6="Uptrend",10,IF(BT6="Sideways",5,0))</f>
        <v/>
      </c>
      <c r="BV6" s="30" t="n"/>
      <c r="BW6" s="30">
        <f>IF(BV6="Uptrend",10,IF(BV6="Sideways",5,0))</f>
        <v/>
      </c>
      <c r="BX6" s="30" t="n"/>
      <c r="BY6" s="30">
        <f>IF(BX6="Overhead supply in last 2 years in last 2 years",-5,IF(BX6="Close to 52 week high or retracement",5,IF(BX6="Blue sky scenario",10,IF(BX6="Long term Downtrend",-10,0))))</f>
        <v/>
      </c>
      <c r="BZ6" s="30" t="n"/>
      <c r="CA6" s="30">
        <f>IF(BZ6="Yes",10,0)</f>
        <v/>
      </c>
      <c r="CB6" s="30" t="n"/>
      <c r="CC6" s="30">
        <f>IF(CB6&gt;20,10,IF(CB6&gt;=10,5,2))</f>
        <v/>
      </c>
    </row>
    <row r="10">
      <c r="A10" s="24" t="inlineStr">
        <is>
          <t>❌ REMOVED SCAN MATCH STOCKS (THIS WEEK)</t>
        </is>
      </c>
    </row>
    <row r="11">
      <c r="A11" s="34" t="inlineStr">
        <is>
          <t>Symbol</t>
        </is>
      </c>
      <c r="B11" s="34" t="inlineStr">
        <is>
          <t>Company Name</t>
        </is>
      </c>
      <c r="C11" s="34" t="inlineStr">
        <is>
          <t>Sector</t>
        </is>
      </c>
      <c r="D11" s="34" t="inlineStr">
        <is>
          <t>Date of Removal</t>
        </is>
      </c>
    </row>
    <row r="12">
      <c r="A12" s="35" t="inlineStr">
        <is>
          <t>MONARCH</t>
        </is>
      </c>
      <c r="B12" s="36" t="inlineStr">
        <is>
          <t>Monarch Networth Capital Limited</t>
        </is>
      </c>
      <c r="C12" s="36" t="inlineStr">
        <is>
          <t>Financial Services</t>
        </is>
      </c>
      <c r="D12" s="37" t="inlineStr">
        <is>
          <t>2026-06-17</t>
        </is>
      </c>
    </row>
    <row r="13">
      <c r="A13" s="35" t="inlineStr">
        <is>
          <t>NAM-INDIA</t>
        </is>
      </c>
      <c r="B13" s="36" t="inlineStr">
        <is>
          <t>Nippon Life India Asset Management Limited</t>
        </is>
      </c>
      <c r="C13" s="36" t="inlineStr">
        <is>
          <t>Financial Services</t>
        </is>
      </c>
      <c r="D13" s="37" t="inlineStr">
        <is>
          <t>2026-06-18</t>
        </is>
      </c>
    </row>
  </sheetData>
  <autoFilter ref="A1:CC6"/>
  <conditionalFormatting sqref="B2:B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6">
    <cfRule type="cellIs" priority="35" operator="equal" dxfId="3" stopIfTrue="1">
      <formula>"Underperforming"</formula>
    </cfRule>
  </conditionalFormatting>
  <conditionalFormatting sqref="N2:N6">
    <cfRule type="cellIs" priority="36" operator="equal" dxfId="3" stopIfTrue="1">
      <formula>-5</formula>
    </cfRule>
  </conditionalFormatting>
  <conditionalFormatting sqref="Q2:Q6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6" showDropDown="0" showInputMessage="0" showErrorMessage="0" allowBlank="1" type="list">
      <formula1>"Growing Industry,Stagnant Industry,Cyclical in an Upturn"</formula1>
    </dataValidation>
    <dataValidation sqref="Z2:Z6" showDropDown="0" showInputMessage="0" showErrorMessage="0" allowBlank="1" type="list">
      <formula1>"Fragmented with Low ROE,Fragmented with High ROE,Highly Cyclical"</formula1>
    </dataValidation>
    <dataValidation sqref="AB2:AB6" showDropDown="0" showInputMessage="0" showErrorMessage="0" allowBlank="1" type="list">
      <formula1>"Yes,No"</formula1>
    </dataValidation>
    <dataValidation sqref="AD2:AD6" showDropDown="0" showInputMessage="0" showErrorMessage="0" allowBlank="1" type="list">
      <formula1>"Tailwind,Headwind"</formula1>
    </dataValidation>
    <dataValidation sqref="AF2:AF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6" showDropDown="0" showInputMessage="0" showErrorMessage="0" allowBlank="1" type="list">
      <formula1>"Yes,No"</formula1>
    </dataValidation>
    <dataValidation sqref="AJ2:AJ6" showDropDown="0" showInputMessage="0" showErrorMessage="0" allowBlank="1" type="list">
      <formula1>"Yes,No,Not Applicable"</formula1>
    </dataValidation>
    <dataValidation sqref="AL2:AL6" showDropDown="0" showInputMessage="0" showErrorMessage="0" allowBlank="1" type="list">
      <formula1>"Yes,No"</formula1>
    </dataValidation>
    <dataValidation sqref="AN2:AN6" showDropDown="0" showInputMessage="0" showErrorMessage="0" allowBlank="1" type="list">
      <formula1>"Yes,No"</formula1>
    </dataValidation>
    <dataValidation sqref="AP2:AP6" showDropDown="0" showInputMessage="0" showErrorMessage="0" allowBlank="1" type="list">
      <formula1>"Yes,No"</formula1>
    </dataValidation>
    <dataValidation sqref="AR2:AR6" showDropDown="0" showInputMessage="0" showErrorMessage="0" allowBlank="1" type="list">
      <formula1>"Yes,No"</formula1>
    </dataValidation>
    <dataValidation sqref="AT2:AT6" showDropDown="0" showInputMessage="0" showErrorMessage="0" allowBlank="1" type="list">
      <formula1>"No,Yes"</formula1>
    </dataValidation>
    <dataValidation sqref="AV2:AV6" showDropDown="0" showInputMessage="0" showErrorMessage="0" allowBlank="1" type="list">
      <formula1>"No,Yes"</formula1>
    </dataValidation>
    <dataValidation sqref="AX2:AX6" showDropDown="0" showInputMessage="0" showErrorMessage="0" allowBlank="1" type="list">
      <formula1>"No,Yes CEO Resignation,Yes CEO Retirement"</formula1>
    </dataValidation>
    <dataValidation sqref="AZ2:AZ6" showDropDown="0" showInputMessage="0" showErrorMessage="0" allowBlank="1" type="list">
      <formula1>"No,Yes"</formula1>
    </dataValidation>
    <dataValidation sqref="BB2:BB6" showDropDown="0" showInputMessage="0" showErrorMessage="0" allowBlank="1" type="list">
      <formula1>"No,Yes"</formula1>
    </dataValidation>
    <dataValidation sqref="BD2:BD6" showDropDown="0" showInputMessage="0" showErrorMessage="0" allowBlank="1" type="list">
      <formula1>"Yes,No"</formula1>
    </dataValidation>
    <dataValidation sqref="BF2:BF6" showDropDown="0" showInputMessage="0" showErrorMessage="0" allowBlank="1" type="list">
      <formula1>"Yes,No"</formula1>
    </dataValidation>
    <dataValidation sqref="BH2:BH6" showDropDown="0" showInputMessage="0" showErrorMessage="0" allowBlank="1" type="list">
      <formula1>"Yes,No"</formula1>
    </dataValidation>
    <dataValidation sqref="BJ2:BJ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6" showDropDown="0" showInputMessage="0" showErrorMessage="0" allowBlank="1" type="list">
      <formula1>"Above 40,20 to 40,0 to 20"</formula1>
    </dataValidation>
    <dataValidation sqref="BN2:BN6" showDropDown="0" showInputMessage="0" showErrorMessage="0" allowBlank="1" type="list">
      <formula1>"Between 50 to 75,Above 75,Below 45"</formula1>
    </dataValidation>
    <dataValidation sqref="BP2:BP6" showDropDown="0" showInputMessage="0" showErrorMessage="0" allowBlank="1" type="list">
      <formula1>"Stage 1,Stage 2,Stage 3,Stage 4"</formula1>
    </dataValidation>
    <dataValidation sqref="BR2:BR6" showDropDown="0" showInputMessage="0" showErrorMessage="0" allowBlank="1" type="list">
      <formula1>"Positive Trend,Negative Trend"</formula1>
    </dataValidation>
    <dataValidation sqref="BT2:BT6" showDropDown="0" showInputMessage="0" showErrorMessage="0" allowBlank="1" type="list">
      <formula1>"Uptrend,Sideways,Downtrend"</formula1>
    </dataValidation>
    <dataValidation sqref="BV2:BV6" showDropDown="0" showInputMessage="0" showErrorMessage="0" allowBlank="1" type="list">
      <formula1>"Uptrend,Sideways,Downtrend"</formula1>
    </dataValidation>
    <dataValidation sqref="BX2:BX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2026-06-19T13:53:26Z</dcterms:created>
  <dcterms:modified xmlns:dcterms="http://purl.org/dc/terms/" xmlns:xsi="http://www.w3.org/2001/XMLSchema-instance" xsi:type="dcterms:W3CDTF">2026-06-19T13:54:03Z</dcterms:modified>
</cp:coreProperties>
</file>