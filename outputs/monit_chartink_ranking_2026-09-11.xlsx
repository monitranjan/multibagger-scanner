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Universe'!$A$1:$J$336</definedName>
    <definedName name="_xlnm._FilterDatabase" localSheetId="3" hidden="1">'Confluence Overlap'!$A$1:$K$93</definedName>
    <definedName name="_xlnm._FilterDatabase" localSheetId="4" hidden="1">'Monit Non Financial'!$A$1:$CE$304</definedName>
    <definedName name="_xlnm._FilterDatabase" localSheetId="5" hidden="1">'Monit Banks NBFC'!$A$1:$CA$33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Financial'!$A$1:$CG$95</definedName>
    <definedName name="_xlnm._FilterDatabase" localSheetId="9" hidden="1">'Scan Match Banks NBFC'!$A$1:$CC$7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Friday, 11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25" customWidth="1" min="3" max="3"/>
    <col width="47" customWidth="1" min="4" max="4"/>
    <col width="25" customWidth="1" min="5" max="5"/>
    <col width="42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720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105</v>
      </c>
      <c r="G6" s="19" t="n">
        <v>73252.02</v>
      </c>
      <c r="H6" s="18" t="inlineStr">
        <is>
          <t>Potential Leader</t>
        </is>
      </c>
      <c r="J6" s="18" t="inlineStr">
        <is>
          <t>telecom-service</t>
        </is>
      </c>
      <c r="K6" s="16" t="n">
        <v>9</v>
      </c>
      <c r="L6" s="16" t="n">
        <v>4</v>
      </c>
      <c r="M6" s="20" t="inlineStr">
        <is>
          <t>125.0%</t>
        </is>
      </c>
    </row>
    <row r="7">
      <c r="A7" s="16" t="n">
        <v>2</v>
      </c>
      <c r="B7" s="17" t="n">
        <v>408</v>
      </c>
      <c r="C7" s="17" t="inlineStr">
        <is>
          <t>CYIENTDLM</t>
        </is>
      </c>
      <c r="D7" s="18" t="inlineStr">
        <is>
          <t>Cyient DLM Ltd</t>
        </is>
      </c>
      <c r="E7" s="18" t="inlineStr">
        <is>
          <t>aerospace &amp; defence</t>
        </is>
      </c>
      <c r="F7" s="16" t="n">
        <v>53</v>
      </c>
      <c r="G7" s="19" t="n">
        <v>7329.47</v>
      </c>
      <c r="H7" s="18" t="inlineStr">
        <is>
          <t>Potential Leader</t>
        </is>
      </c>
      <c r="J7" s="18" t="inlineStr">
        <is>
          <t>co-working</t>
        </is>
      </c>
      <c r="K7" s="16" t="n">
        <v>9</v>
      </c>
      <c r="L7" s="16" t="n">
        <v>5</v>
      </c>
      <c r="M7" s="20" t="inlineStr">
        <is>
          <t>80.0%</t>
        </is>
      </c>
    </row>
    <row r="8">
      <c r="A8" s="16" t="n">
        <v>3</v>
      </c>
      <c r="B8" s="17" t="n">
        <v>408</v>
      </c>
      <c r="C8" s="17" t="inlineStr">
        <is>
          <t>IRISDOREME</t>
        </is>
      </c>
      <c r="D8" s="18" t="inlineStr">
        <is>
          <t>Iris Clothings Ltd</t>
        </is>
      </c>
      <c r="E8" s="18" t="inlineStr">
        <is>
          <t>consumer discretionary</t>
        </is>
      </c>
      <c r="F8" s="16" t="n">
        <v>53</v>
      </c>
      <c r="G8" s="19" t="n">
        <v>1185.57</v>
      </c>
      <c r="H8" s="18" t="inlineStr">
        <is>
          <t>Potential Leader</t>
        </is>
      </c>
      <c r="J8" s="18" t="inlineStr">
        <is>
          <t>aerospace &amp; defence</t>
        </is>
      </c>
      <c r="K8" s="16" t="n">
        <v>76</v>
      </c>
      <c r="L8" s="16" t="n">
        <v>45</v>
      </c>
      <c r="M8" s="20" t="inlineStr">
        <is>
          <t>68.9%</t>
        </is>
      </c>
    </row>
    <row r="9">
      <c r="A9" s="16" t="n">
        <v>4</v>
      </c>
      <c r="B9" s="17" t="n">
        <v>402</v>
      </c>
      <c r="C9" s="17" t="inlineStr">
        <is>
          <t>SETL</t>
        </is>
      </c>
      <c r="D9" s="18" t="inlineStr">
        <is>
          <t>Standard Enginnering Technology Ltd</t>
        </is>
      </c>
      <c r="E9" s="18" t="inlineStr">
        <is>
          <t>industrials</t>
        </is>
      </c>
      <c r="F9" s="16" t="n">
        <v>52</v>
      </c>
      <c r="G9" s="19" t="n">
        <v>8895.33</v>
      </c>
      <c r="H9" s="18" t="inlineStr">
        <is>
          <t>Potential Leader</t>
        </is>
      </c>
      <c r="J9" s="18" t="inlineStr">
        <is>
          <t>power &amp; utilities</t>
        </is>
      </c>
      <c r="K9" s="16" t="n">
        <v>11</v>
      </c>
      <c r="L9" s="16" t="n">
        <v>7</v>
      </c>
      <c r="M9" s="20" t="inlineStr">
        <is>
          <t>57.1%</t>
        </is>
      </c>
    </row>
    <row r="10">
      <c r="A10" s="16" t="n">
        <v>5</v>
      </c>
      <c r="B10" s="17" t="n">
        <v>360</v>
      </c>
      <c r="C10" s="17" t="inlineStr">
        <is>
          <t>SUNDRMFAST</t>
        </is>
      </c>
      <c r="D10" s="18" t="inlineStr">
        <is>
          <t>Sundram Fasteners Limited</t>
        </is>
      </c>
      <c r="E10" s="18" t="inlineStr">
        <is>
          <t>auto</t>
        </is>
      </c>
      <c r="F10" s="16" t="n">
        <v>45</v>
      </c>
      <c r="G10" s="19" t="n">
        <v>26394.22</v>
      </c>
      <c r="H10" s="18" t="inlineStr">
        <is>
          <t>Potential Leader</t>
        </is>
      </c>
      <c r="J10" s="18" t="inlineStr">
        <is>
          <t>transportation</t>
        </is>
      </c>
      <c r="K10" s="16" t="n">
        <v>43</v>
      </c>
      <c r="L10" s="16" t="n">
        <v>33</v>
      </c>
      <c r="M10" s="20" t="inlineStr">
        <is>
          <t>30.3%</t>
        </is>
      </c>
    </row>
    <row r="11">
      <c r="A11" s="16" t="n">
        <v>6</v>
      </c>
      <c r="B11" s="17" t="n">
        <v>336</v>
      </c>
      <c r="C11" s="17" t="inlineStr">
        <is>
          <t>KABRAEXTRU</t>
        </is>
      </c>
      <c r="D11" s="18" t="inlineStr">
        <is>
          <t>Kabra Extrusion Technik Limited</t>
        </is>
      </c>
      <c r="E11" s="18" t="inlineStr">
        <is>
          <t>industrials</t>
        </is>
      </c>
      <c r="F11" s="16" t="n">
        <v>41</v>
      </c>
      <c r="G11" s="19" t="n">
        <v>2474.5</v>
      </c>
      <c r="H11" s="18" t="inlineStr">
        <is>
          <t>Potential Leader</t>
        </is>
      </c>
      <c r="J11" s="18" t="inlineStr">
        <is>
          <t>building materials</t>
        </is>
      </c>
      <c r="K11" s="16" t="n">
        <v>72</v>
      </c>
      <c r="L11" s="16" t="n">
        <v>58</v>
      </c>
      <c r="M11" s="20" t="inlineStr">
        <is>
          <t>24.1%</t>
        </is>
      </c>
    </row>
    <row r="12">
      <c r="A12" s="16" t="n">
        <v>7</v>
      </c>
      <c r="B12" s="17" t="n">
        <v>324</v>
      </c>
      <c r="C12" s="17" t="inlineStr">
        <is>
          <t>DIVISLAB</t>
        </is>
      </c>
      <c r="D12" s="18" t="inlineStr">
        <is>
          <t>Divi's Laboratories Limited</t>
        </is>
      </c>
      <c r="E12" s="18" t="inlineStr">
        <is>
          <t>healthcare</t>
        </is>
      </c>
      <c r="F12" s="16" t="n">
        <v>39</v>
      </c>
      <c r="G12" s="19" t="n">
        <v>250562.52</v>
      </c>
      <c r="H12" s="18" t="inlineStr">
        <is>
          <t>Potential Leader</t>
        </is>
      </c>
      <c r="J12" s="18" t="inlineStr">
        <is>
          <t>services</t>
        </is>
      </c>
      <c r="K12" s="16" t="n">
        <v>43</v>
      </c>
      <c r="L12" s="16" t="n">
        <v>39</v>
      </c>
      <c r="M12" s="20" t="inlineStr">
        <is>
          <t>10.3%</t>
        </is>
      </c>
    </row>
    <row r="13">
      <c r="A13" s="16" t="n">
        <v>8</v>
      </c>
      <c r="B13" s="17" t="n">
        <v>324</v>
      </c>
      <c r="C13" s="17" t="inlineStr">
        <is>
          <t>MENONBE</t>
        </is>
      </c>
      <c r="D13" s="18" t="inlineStr">
        <is>
          <t>Menon Bearings Limited</t>
        </is>
      </c>
      <c r="E13" s="18" t="inlineStr">
        <is>
          <t>auto</t>
        </is>
      </c>
      <c r="F13" s="16" t="n">
        <v>39</v>
      </c>
      <c r="G13" s="19" t="n">
        <v>1690.45</v>
      </c>
      <c r="H13" s="18" t="inlineStr">
        <is>
          <t>Potential Leader</t>
        </is>
      </c>
      <c r="J13" s="18" t="inlineStr">
        <is>
          <t>consumer discretionary</t>
        </is>
      </c>
      <c r="K13" s="16" t="n">
        <v>133</v>
      </c>
      <c r="L13" s="16" t="n">
        <v>122</v>
      </c>
      <c r="M13" s="20" t="inlineStr">
        <is>
          <t>9.0%</t>
        </is>
      </c>
    </row>
    <row r="14">
      <c r="A14" s="16" t="n">
        <v>9</v>
      </c>
      <c r="B14" s="17" t="n">
        <v>324</v>
      </c>
      <c r="C14" s="17" t="inlineStr">
        <is>
          <t>TFCILTD</t>
        </is>
      </c>
      <c r="D14" s="18" t="inlineStr">
        <is>
          <t>Tourism Finance Corporation Of India Limited</t>
        </is>
      </c>
      <c r="E14" s="18" t="inlineStr">
        <is>
          <t>financials</t>
        </is>
      </c>
      <c r="F14" s="16" t="n">
        <v>39</v>
      </c>
      <c r="G14" s="19" t="n">
        <v>6628.45</v>
      </c>
      <c r="H14" s="18" t="inlineStr">
        <is>
          <t>Potential Leader</t>
        </is>
      </c>
      <c r="J14" s="18" t="inlineStr">
        <is>
          <t>healthcare</t>
        </is>
      </c>
      <c r="K14" s="16" t="n">
        <v>271</v>
      </c>
      <c r="L14" s="16" t="n">
        <v>250</v>
      </c>
      <c r="M14" s="20" t="inlineStr">
        <is>
          <t>8.4%</t>
        </is>
      </c>
    </row>
    <row r="15">
      <c r="A15" s="16" t="n">
        <v>10</v>
      </c>
      <c r="B15" s="17" t="n">
        <v>324</v>
      </c>
      <c r="C15" s="17" t="inlineStr">
        <is>
          <t>VSSL</t>
        </is>
      </c>
      <c r="D15" s="18" t="inlineStr">
        <is>
          <t>Vardhman Special Steels Limited</t>
        </is>
      </c>
      <c r="E15" s="18" t="inlineStr">
        <is>
          <t>metals &amp; mining</t>
        </is>
      </c>
      <c r="F15" s="16" t="n">
        <v>39</v>
      </c>
      <c r="G15" s="19" t="n">
        <v>3790.08</v>
      </c>
      <c r="H15" s="18" t="inlineStr">
        <is>
          <t>Potential Leader</t>
        </is>
      </c>
      <c r="J15" s="18" t="inlineStr">
        <is>
          <t>energy</t>
        </is>
      </c>
      <c r="K15" s="16" t="n">
        <v>74</v>
      </c>
      <c r="L15" s="16" t="n">
        <v>69</v>
      </c>
      <c r="M15" s="20" t="inlineStr">
        <is>
          <t>7.2%</t>
        </is>
      </c>
    </row>
    <row r="16">
      <c r="A16" s="16" t="n">
        <v>11</v>
      </c>
      <c r="B16" s="17" t="n">
        <v>318</v>
      </c>
      <c r="C16" s="17" t="inlineStr">
        <is>
          <t>NILKAMAL</t>
        </is>
      </c>
      <c r="D16" s="18" t="inlineStr">
        <is>
          <t>Nilkamal Limited</t>
        </is>
      </c>
      <c r="E16" s="18" t="inlineStr">
        <is>
          <t>plastic products</t>
        </is>
      </c>
      <c r="F16" s="16" t="n">
        <v>38</v>
      </c>
      <c r="G16" s="19" t="n">
        <v>3100.01</v>
      </c>
      <c r="H16" s="18" t="inlineStr">
        <is>
          <t>Potential Leader</t>
        </is>
      </c>
      <c r="J16" s="18" t="inlineStr">
        <is>
          <t>textiles</t>
        </is>
      </c>
      <c r="K16" s="16" t="n">
        <v>81</v>
      </c>
      <c r="L16" s="16" t="n">
        <v>78</v>
      </c>
      <c r="M16" s="20" t="inlineStr">
        <is>
          <t>3.8%</t>
        </is>
      </c>
    </row>
    <row r="17">
      <c r="A17" s="16" t="n">
        <v>12</v>
      </c>
      <c r="B17" s="17" t="n">
        <v>312</v>
      </c>
      <c r="C17" s="17" t="inlineStr">
        <is>
          <t>WSTCSTPAPR</t>
        </is>
      </c>
      <c r="D17" s="18" t="inlineStr">
        <is>
          <t>West Coast Paper Mills Limited</t>
        </is>
      </c>
      <c r="E17" s="18" t="inlineStr">
        <is>
          <t>building materials</t>
        </is>
      </c>
      <c r="F17" s="16" t="n">
        <v>37</v>
      </c>
      <c r="G17" s="19" t="n">
        <v>4690.13</v>
      </c>
      <c r="H17" s="18" t="inlineStr">
        <is>
          <t>Potential Leader</t>
        </is>
      </c>
      <c r="J17" s="18" t="inlineStr">
        <is>
          <t>realty</t>
        </is>
      </c>
      <c r="K17" s="16" t="n">
        <v>91</v>
      </c>
      <c r="L17" s="16" t="n">
        <v>88</v>
      </c>
      <c r="M17" s="20" t="inlineStr">
        <is>
          <t>3.4%</t>
        </is>
      </c>
    </row>
    <row r="18">
      <c r="A18" s="16" t="n">
        <v>13</v>
      </c>
      <c r="B18" s="17" t="n">
        <v>306</v>
      </c>
      <c r="C18" s="17" t="inlineStr">
        <is>
          <t>UNIPARTS</t>
        </is>
      </c>
      <c r="D18" s="18" t="inlineStr">
        <is>
          <t>Uniparts India Ltd</t>
        </is>
      </c>
      <c r="E18" s="18" t="inlineStr">
        <is>
          <t>industrials</t>
        </is>
      </c>
      <c r="F18" s="16" t="n">
        <v>36</v>
      </c>
      <c r="G18" s="19" t="n">
        <v>4035.12</v>
      </c>
      <c r="H18" s="18" t="inlineStr">
        <is>
          <t>Potential Leader</t>
        </is>
      </c>
      <c r="J18" s="18" t="inlineStr">
        <is>
          <t>financials</t>
        </is>
      </c>
      <c r="K18" s="16" t="n">
        <v>125</v>
      </c>
      <c r="L18" s="16" t="n">
        <v>124</v>
      </c>
      <c r="M18" s="20" t="inlineStr">
        <is>
          <t>0.8%</t>
        </is>
      </c>
    </row>
    <row r="19">
      <c r="A19" s="16" t="n">
        <v>14</v>
      </c>
      <c r="B19" s="17" t="n">
        <v>300</v>
      </c>
      <c r="C19" s="17" t="inlineStr">
        <is>
          <t>ARTEMISMED</t>
        </is>
      </c>
      <c r="D19" s="18" t="inlineStr">
        <is>
          <t>Artemis Medicare Services Ltd</t>
        </is>
      </c>
      <c r="E19" s="18" t="inlineStr">
        <is>
          <t>healthcare</t>
        </is>
      </c>
      <c r="F19" s="16" t="n">
        <v>35</v>
      </c>
      <c r="G19" s="19" t="n">
        <v>5517.76</v>
      </c>
      <c r="H19" s="18" t="inlineStr">
        <is>
          <t>Potential Leader</t>
        </is>
      </c>
      <c r="J19" s="18" t="inlineStr">
        <is>
          <t>telecom</t>
        </is>
      </c>
      <c r="K19" s="16" t="n">
        <v>7</v>
      </c>
      <c r="L19" s="16" t="n">
        <v>7</v>
      </c>
      <c r="M19" s="20" t="inlineStr">
        <is>
          <t>0.0%</t>
        </is>
      </c>
    </row>
    <row r="20">
      <c r="A20" s="16" t="n">
        <v>15</v>
      </c>
      <c r="B20" s="17" t="n">
        <v>300</v>
      </c>
      <c r="C20" s="17" t="inlineStr">
        <is>
          <t>PAYTM</t>
        </is>
      </c>
      <c r="D20" s="18" t="inlineStr">
        <is>
          <t>One 97 Communications Ltd</t>
        </is>
      </c>
      <c r="E20" s="18" t="inlineStr">
        <is>
          <t>i.t</t>
        </is>
      </c>
      <c r="F20" s="16" t="n">
        <v>35</v>
      </c>
      <c r="G20" s="19" t="n">
        <v>111354.61</v>
      </c>
      <c r="H20" s="18" t="inlineStr">
        <is>
          <t>Potential Leader</t>
        </is>
      </c>
      <c r="J20" s="18" t="inlineStr">
        <is>
          <t>plastic products</t>
        </is>
      </c>
      <c r="K20" s="16" t="n">
        <v>27</v>
      </c>
      <c r="L20" s="16" t="n">
        <v>28</v>
      </c>
      <c r="M20" s="21" t="inlineStr">
        <is>
          <t>-3.6%</t>
        </is>
      </c>
    </row>
    <row r="21">
      <c r="A21" s="16" t="n">
        <v>16</v>
      </c>
      <c r="B21" s="17" t="n">
        <v>294</v>
      </c>
      <c r="C21" s="17" t="inlineStr">
        <is>
          <t>DEEPINDS</t>
        </is>
      </c>
      <c r="D21" s="18" t="inlineStr">
        <is>
          <t>Deep Industries Ltd</t>
        </is>
      </c>
      <c r="E21" s="18" t="inlineStr">
        <is>
          <t>energy</t>
        </is>
      </c>
      <c r="F21" s="16" t="n">
        <v>34</v>
      </c>
      <c r="G21" s="19" t="n">
        <v>5009.92</v>
      </c>
      <c r="H21" s="18" t="inlineStr">
        <is>
          <t>Potential Leader</t>
        </is>
      </c>
    </row>
    <row r="22">
      <c r="A22" s="16" t="n">
        <v>17</v>
      </c>
      <c r="B22" s="17" t="n">
        <v>294</v>
      </c>
      <c r="C22" s="17" t="inlineStr">
        <is>
          <t>NEULANDLAB</t>
        </is>
      </c>
      <c r="D22" s="18" t="inlineStr">
        <is>
          <t>Neuland Laboratories Limited</t>
        </is>
      </c>
      <c r="E22" s="18" t="inlineStr">
        <is>
          <t>healthcare</t>
        </is>
      </c>
      <c r="F22" s="16" t="n">
        <v>34</v>
      </c>
      <c r="G22" s="19" t="n">
        <v>30535.14</v>
      </c>
      <c r="H22" s="18" t="inlineStr">
        <is>
          <t>Potential Leader</t>
        </is>
      </c>
    </row>
    <row r="23">
      <c r="A23" s="16" t="n">
        <v>18</v>
      </c>
      <c r="B23" s="17" t="n">
        <v>294</v>
      </c>
      <c r="C23" s="17" t="inlineStr">
        <is>
          <t>REDINGTON</t>
        </is>
      </c>
      <c r="D23" s="18" t="inlineStr">
        <is>
          <t>Redington (india) Limited</t>
        </is>
      </c>
      <c r="E23" s="18" t="inlineStr">
        <is>
          <t>services</t>
        </is>
      </c>
      <c r="F23" s="16" t="n">
        <v>34</v>
      </c>
      <c r="G23" s="19" t="n">
        <v>30645.56</v>
      </c>
      <c r="H23" s="18" t="inlineStr">
        <is>
          <t>Potential Leader</t>
        </is>
      </c>
    </row>
    <row r="24">
      <c r="A24" s="16" t="n">
        <v>19</v>
      </c>
      <c r="B24" s="17" t="n">
        <v>294</v>
      </c>
      <c r="C24" s="17" t="inlineStr">
        <is>
          <t>SAILIFE</t>
        </is>
      </c>
      <c r="D24" s="18" t="inlineStr">
        <is>
          <t>Sai Life Sciences Ltd</t>
        </is>
      </c>
      <c r="E24" s="18" t="inlineStr">
        <is>
          <t>healthcare</t>
        </is>
      </c>
      <c r="F24" s="16" t="n">
        <v>34</v>
      </c>
      <c r="G24" s="19" t="n">
        <v>33776.83</v>
      </c>
      <c r="H24" s="18" t="inlineStr">
        <is>
          <t>Potential Leader</t>
        </is>
      </c>
    </row>
    <row r="25">
      <c r="A25" s="16" t="n">
        <v>20</v>
      </c>
      <c r="B25" s="17" t="n">
        <v>294</v>
      </c>
      <c r="C25" s="17" t="inlineStr">
        <is>
          <t>VARROC</t>
        </is>
      </c>
      <c r="D25" s="18" t="inlineStr">
        <is>
          <t>Varroc Engineering Ltd</t>
        </is>
      </c>
      <c r="E25" s="18" t="inlineStr">
        <is>
          <t>auto</t>
        </is>
      </c>
      <c r="F25" s="16" t="n">
        <v>34</v>
      </c>
      <c r="G25" s="19" t="n">
        <v>13512.43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GODREJAGRO</t>
        </is>
      </c>
      <c r="B30" s="18" t="inlineStr">
        <is>
          <t>Godrej Agrovet Ltd</t>
        </is>
      </c>
      <c r="C30" s="18" t="inlineStr">
        <is>
          <t>fmcg</t>
        </is>
      </c>
      <c r="D30" s="16" t="n">
        <v>10</v>
      </c>
      <c r="E30" s="16" t="n">
        <v>2</v>
      </c>
      <c r="F30" s="19" t="n">
        <v>12946.79</v>
      </c>
      <c r="J30" s="17" t="inlineStr">
        <is>
          <t>VINDHYATEL</t>
        </is>
      </c>
      <c r="K30" s="18" t="inlineStr">
        <is>
          <t>realty</t>
        </is>
      </c>
      <c r="L30" s="19" t="n">
        <v>298</v>
      </c>
      <c r="M30" s="19" t="n">
        <v>3339.93</v>
      </c>
      <c r="N30" s="16" t="n">
        <v>30</v>
      </c>
    </row>
    <row r="31">
      <c r="A31" s="17" t="inlineStr">
        <is>
          <t>ASIANHOTNR</t>
        </is>
      </c>
      <c r="B31" s="18" t="inlineStr">
        <is>
          <t>Asian Hotels (north) Limited</t>
        </is>
      </c>
      <c r="C31" s="18" t="inlineStr">
        <is>
          <t>services</t>
        </is>
      </c>
      <c r="D31" s="16" t="n">
        <v>10</v>
      </c>
      <c r="E31" s="16" t="n">
        <v>1</v>
      </c>
      <c r="F31" s="19" t="n">
        <v>1629.23</v>
      </c>
      <c r="J31" s="17" t="inlineStr">
        <is>
          <t>TMB</t>
        </is>
      </c>
      <c r="K31" s="18" t="inlineStr">
        <is>
          <t>bank</t>
        </is>
      </c>
      <c r="L31" s="19" t="n">
        <v>295</v>
      </c>
      <c r="M31" s="19" t="n">
        <v>14626.13</v>
      </c>
      <c r="N31" s="16" t="n">
        <v>25</v>
      </c>
    </row>
    <row r="32">
      <c r="A32" s="17" t="inlineStr">
        <is>
          <t>GMMPFAUDLR</t>
        </is>
      </c>
      <c r="B32" s="18" t="inlineStr">
        <is>
          <t>GMM Pfaudler Ltd</t>
        </is>
      </c>
      <c r="C32" s="18" t="inlineStr">
        <is>
          <t>industrials</t>
        </is>
      </c>
      <c r="D32" s="16" t="n">
        <v>9</v>
      </c>
      <c r="E32" s="16" t="n">
        <v>0</v>
      </c>
      <c r="F32" s="19" t="n">
        <v>5930.76</v>
      </c>
      <c r="J32" s="17" t="inlineStr">
        <is>
          <t>INDNIPPON</t>
        </is>
      </c>
      <c r="K32" s="18" t="inlineStr">
        <is>
          <t>auto</t>
        </is>
      </c>
      <c r="L32" s="19" t="n">
        <v>295</v>
      </c>
      <c r="M32" s="19" t="n">
        <v>3096.87</v>
      </c>
      <c r="N32" s="16" t="n">
        <v>8</v>
      </c>
    </row>
    <row r="33">
      <c r="A33" s="17" t="inlineStr">
        <is>
          <t>PRABHA</t>
        </is>
      </c>
      <c r="B33" s="18" t="inlineStr">
        <is>
          <t>Prabha Energy Ltd</t>
        </is>
      </c>
      <c r="C33" s="18" t="inlineStr">
        <is>
          <t>energy</t>
        </is>
      </c>
      <c r="D33" s="16" t="n">
        <v>9</v>
      </c>
      <c r="E33" s="16" t="n">
        <v>0</v>
      </c>
      <c r="F33" s="19" t="n">
        <v>3628.85</v>
      </c>
      <c r="J33" s="17" t="inlineStr">
        <is>
          <t>MSTCLTD</t>
        </is>
      </c>
      <c r="K33" s="18" t="inlineStr">
        <is>
          <t>i.t</t>
        </is>
      </c>
      <c r="L33" s="19" t="n">
        <v>288</v>
      </c>
      <c r="M33" s="19" t="n">
        <v>5192.35</v>
      </c>
      <c r="N33" s="16" t="n">
        <v>20</v>
      </c>
    </row>
    <row r="34">
      <c r="A34" s="17" t="inlineStr">
        <is>
          <t>ANUHPHR</t>
        </is>
      </c>
      <c r="B34" s="18" t="inlineStr">
        <is>
          <t>Anuh Pharma Ltd</t>
        </is>
      </c>
      <c r="C34" s="18" t="inlineStr">
        <is>
          <t>healthcare</t>
        </is>
      </c>
      <c r="D34" s="16" t="n">
        <v>8</v>
      </c>
      <c r="E34" s="16" t="n">
        <v>2</v>
      </c>
      <c r="F34" s="19" t="n">
        <v>914.14</v>
      </c>
      <c r="J34" s="17" t="inlineStr">
        <is>
          <t>VISHNU</t>
        </is>
      </c>
      <c r="K34" s="18" t="inlineStr">
        <is>
          <t>chemicals</t>
        </is>
      </c>
      <c r="L34" s="19" t="n">
        <v>288</v>
      </c>
      <c r="M34" s="19" t="n">
        <v>4872.28</v>
      </c>
      <c r="N34" s="16" t="n">
        <v>20</v>
      </c>
    </row>
    <row r="35">
      <c r="A35" s="17" t="inlineStr">
        <is>
          <t>SHREEJISPG</t>
        </is>
      </c>
      <c r="B35" s="18" t="inlineStr">
        <is>
          <t>Shreeji Shipping Global Ltd</t>
        </is>
      </c>
      <c r="C35" s="18" t="inlineStr">
        <is>
          <t>transportation</t>
        </is>
      </c>
      <c r="D35" s="16" t="n">
        <v>7</v>
      </c>
      <c r="E35" s="16" t="n">
        <v>0</v>
      </c>
      <c r="F35" s="19" t="n">
        <v>11617.7</v>
      </c>
      <c r="J35" s="17" t="inlineStr">
        <is>
          <t>ORIENTBELL</t>
        </is>
      </c>
      <c r="K35" s="18" t="inlineStr">
        <is>
          <t>building materials</t>
        </is>
      </c>
      <c r="L35" s="19" t="n">
        <v>288</v>
      </c>
      <c r="M35" s="19" t="n">
        <v>606.0700000000001</v>
      </c>
      <c r="N35" s="16" t="n">
        <v>21</v>
      </c>
    </row>
    <row r="36">
      <c r="A36" s="17" t="inlineStr">
        <is>
          <t>MVGJL</t>
        </is>
      </c>
      <c r="B36" s="18" t="inlineStr">
        <is>
          <t>Manoj Vaibhav Gems N Jewellers Ltd</t>
        </is>
      </c>
      <c r="C36" s="18" t="inlineStr">
        <is>
          <t>consumer discretionary</t>
        </is>
      </c>
      <c r="D36" s="16" t="n">
        <v>7</v>
      </c>
      <c r="E36" s="16" t="n">
        <v>0</v>
      </c>
      <c r="F36" s="19" t="n">
        <v>1019.84</v>
      </c>
      <c r="J36" s="17" t="inlineStr">
        <is>
          <t>TALBROAUTO</t>
        </is>
      </c>
      <c r="K36" s="18" t="inlineStr">
        <is>
          <t>auto</t>
        </is>
      </c>
      <c r="L36" s="19" t="n">
        <v>288</v>
      </c>
      <c r="M36" s="19" t="n">
        <v>2593.82</v>
      </c>
      <c r="N36" s="16" t="n">
        <v>14</v>
      </c>
    </row>
    <row r="37">
      <c r="A37" s="17" t="inlineStr">
        <is>
          <t>BLUESTONE</t>
        </is>
      </c>
      <c r="B37" s="18" t="inlineStr">
        <is>
          <t>Bluestone Jewellery and Lifestyle Ltd</t>
        </is>
      </c>
      <c r="C37" s="18" t="inlineStr">
        <is>
          <t>consumer discretionary</t>
        </is>
      </c>
      <c r="D37" s="16" t="n">
        <v>7</v>
      </c>
      <c r="E37" s="16" t="n">
        <v>0</v>
      </c>
      <c r="F37" s="19" t="n">
        <v>13032.64</v>
      </c>
      <c r="J37" s="17" t="inlineStr">
        <is>
          <t>AVTNPL</t>
        </is>
      </c>
      <c r="K37" s="18" t="inlineStr">
        <is>
          <t>fmcg</t>
        </is>
      </c>
      <c r="L37" s="19" t="n">
        <v>287</v>
      </c>
      <c r="M37" s="19" t="n">
        <v>1379.69</v>
      </c>
      <c r="N37" s="16" t="n">
        <v>24</v>
      </c>
    </row>
    <row r="38">
      <c r="A38" s="17" t="inlineStr">
        <is>
          <t>MAZDA</t>
        </is>
      </c>
      <c r="B38" s="18" t="inlineStr">
        <is>
          <t>Mazda Limited</t>
        </is>
      </c>
      <c r="C38" s="18" t="inlineStr">
        <is>
          <t>Industrials</t>
        </is>
      </c>
      <c r="D38" s="16" t="n">
        <v>7</v>
      </c>
      <c r="E38" s="16" t="n">
        <v>0</v>
      </c>
      <c r="F38" s="19" t="n">
        <v>511.14</v>
      </c>
      <c r="J38" s="17" t="inlineStr">
        <is>
          <t>VINCOFE</t>
        </is>
      </c>
      <c r="K38" s="18" t="inlineStr">
        <is>
          <t>consumer discretionary</t>
        </is>
      </c>
      <c r="L38" s="19" t="n">
        <v>287</v>
      </c>
      <c r="M38" s="19" t="n">
        <v>2577.67</v>
      </c>
      <c r="N38" s="16" t="n">
        <v>16</v>
      </c>
    </row>
    <row r="39">
      <c r="A39" s="17" t="inlineStr">
        <is>
          <t>SMSPHARMA</t>
        </is>
      </c>
      <c r="B39" s="18" t="inlineStr">
        <is>
          <t>Sms Pharmaceuticals Limited</t>
        </is>
      </c>
      <c r="C39" s="18" t="inlineStr">
        <is>
          <t>healthcare</t>
        </is>
      </c>
      <c r="D39" s="16" t="n">
        <v>6</v>
      </c>
      <c r="E39" s="16" t="n">
        <v>2</v>
      </c>
      <c r="F39" s="19" t="n">
        <v>3909.5</v>
      </c>
      <c r="J39" s="17" t="inlineStr">
        <is>
          <t>BIRLACABLE</t>
        </is>
      </c>
      <c r="K39" s="18" t="inlineStr">
        <is>
          <t>industrials</t>
        </is>
      </c>
      <c r="L39" s="19" t="n">
        <v>285</v>
      </c>
      <c r="M39" s="19" t="n">
        <v>1123.95</v>
      </c>
      <c r="N39" s="16" t="n">
        <v>30</v>
      </c>
    </row>
    <row r="40">
      <c r="A40" s="17" t="inlineStr">
        <is>
          <t>IONEXCHANG</t>
        </is>
      </c>
      <c r="B40" s="18" t="inlineStr">
        <is>
          <t>Ion Exchange (India) Ltd</t>
        </is>
      </c>
      <c r="C40" s="18" t="inlineStr">
        <is>
          <t>realty</t>
        </is>
      </c>
      <c r="D40" s="16" t="n">
        <v>6</v>
      </c>
      <c r="E40" s="16" t="n">
        <v>1</v>
      </c>
      <c r="F40" s="19" t="n">
        <v>6386.6</v>
      </c>
      <c r="J40" s="17" t="inlineStr">
        <is>
          <t>TBZ</t>
        </is>
      </c>
      <c r="K40" s="18" t="inlineStr">
        <is>
          <t>consumer discretionary</t>
        </is>
      </c>
      <c r="L40" s="19" t="n">
        <v>285</v>
      </c>
      <c r="M40" s="19" t="n">
        <v>3344.87</v>
      </c>
      <c r="N40" s="16" t="n">
        <v>23</v>
      </c>
    </row>
    <row r="41">
      <c r="A41" s="17" t="inlineStr">
        <is>
          <t>RADHIKAJWE</t>
        </is>
      </c>
      <c r="B41" s="18" t="inlineStr">
        <is>
          <t>Radhika Jeweltech Ltd</t>
        </is>
      </c>
      <c r="C41" s="18" t="inlineStr">
        <is>
          <t>consumer discretionary</t>
        </is>
      </c>
      <c r="D41" s="16" t="n">
        <v>6</v>
      </c>
      <c r="E41" s="16" t="n">
        <v>0</v>
      </c>
      <c r="F41" s="19" t="n">
        <v>992.97</v>
      </c>
      <c r="J41" s="17" t="inlineStr">
        <is>
          <t>WELINV</t>
        </is>
      </c>
      <c r="K41" s="18" t="inlineStr">
        <is>
          <t>financials</t>
        </is>
      </c>
      <c r="L41" s="19" t="n">
        <v>285</v>
      </c>
      <c r="M41" s="19" t="n">
        <v>856.97</v>
      </c>
      <c r="N41" s="16" t="n">
        <v>19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130.21</v>
      </c>
      <c r="D47" s="28" t="n">
        <v>260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43925.27</v>
      </c>
    </row>
    <row r="48">
      <c r="A48" s="16" t="n">
        <v>2</v>
      </c>
      <c r="B48" s="27" t="n">
        <v>99</v>
      </c>
      <c r="C48" s="28" t="n">
        <v>93.09</v>
      </c>
      <c r="D48" s="28" t="n">
        <v>257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37307.61</v>
      </c>
    </row>
    <row r="49">
      <c r="A49" s="16" t="n">
        <v>3</v>
      </c>
      <c r="B49" s="27" t="n">
        <v>98</v>
      </c>
      <c r="C49" s="28" t="n">
        <v>92.34999999999999</v>
      </c>
      <c r="D49" s="28" t="n">
        <v>273</v>
      </c>
      <c r="E49" s="17" t="inlineStr">
        <is>
          <t>SETL</t>
        </is>
      </c>
      <c r="F49" s="18" t="inlineStr">
        <is>
          <t>Standard Enginnering Technology Ltd</t>
        </is>
      </c>
      <c r="G49" s="18" t="inlineStr">
        <is>
          <t>industrials</t>
        </is>
      </c>
      <c r="H49" s="19" t="n">
        <v>8895.33</v>
      </c>
    </row>
    <row r="50">
      <c r="A50" s="16" t="n">
        <v>4</v>
      </c>
      <c r="B50" s="27" t="n">
        <v>98</v>
      </c>
      <c r="C50" s="28" t="n">
        <v>77.09999999999999</v>
      </c>
      <c r="D50" s="28" t="n">
        <v>275</v>
      </c>
      <c r="E50" s="17" t="inlineStr">
        <is>
          <t>KABRAEXTRU</t>
        </is>
      </c>
      <c r="F50" s="18" t="inlineStr">
        <is>
          <t>Kabra Extrusion Technik Limited</t>
        </is>
      </c>
      <c r="G50" s="18" t="inlineStr">
        <is>
          <t>industrials</t>
        </is>
      </c>
      <c r="H50" s="19" t="n">
        <v>2474.5</v>
      </c>
    </row>
    <row r="51">
      <c r="A51" s="16" t="n">
        <v>5</v>
      </c>
      <c r="B51" s="27" t="n">
        <v>98</v>
      </c>
      <c r="C51" s="28" t="n">
        <v>76.87</v>
      </c>
      <c r="D51" s="28" t="n">
        <v>285</v>
      </c>
      <c r="E51" s="17" t="inlineStr">
        <is>
          <t>TBZ</t>
        </is>
      </c>
      <c r="F51" s="18" t="inlineStr">
        <is>
          <t>Tribhovandas Bhimji Zaveri Limited</t>
        </is>
      </c>
      <c r="G51" s="18" t="inlineStr">
        <is>
          <t>consumer discretionary</t>
        </is>
      </c>
      <c r="H51" s="19" t="n">
        <v>3344.87</v>
      </c>
    </row>
    <row r="52">
      <c r="A52" s="16" t="n">
        <v>6</v>
      </c>
      <c r="B52" s="27" t="n">
        <v>98</v>
      </c>
      <c r="C52" s="28" t="n">
        <v>74.64</v>
      </c>
      <c r="D52" s="28" t="n">
        <v>258</v>
      </c>
      <c r="E52" s="17" t="inlineStr">
        <is>
          <t>SIGMAADV</t>
        </is>
      </c>
      <c r="F52" s="18" t="inlineStr">
        <is>
          <t>Sigma Advanced System Ltd</t>
        </is>
      </c>
      <c r="G52" s="18" t="inlineStr">
        <is>
          <t>aerospace &amp; defence</t>
        </is>
      </c>
      <c r="H52" s="19" t="n">
        <v>15024.2</v>
      </c>
    </row>
    <row r="53">
      <c r="A53" s="16" t="n">
        <v>7</v>
      </c>
      <c r="B53" s="27" t="n">
        <v>97</v>
      </c>
      <c r="C53" s="28" t="n">
        <v>69.31999999999999</v>
      </c>
      <c r="D53" s="28" t="n">
        <v>280</v>
      </c>
      <c r="E53" s="17" t="inlineStr">
        <is>
          <t>RPEL</t>
        </is>
      </c>
      <c r="F53" s="18" t="inlineStr">
        <is>
          <t>Raghav Productivity Enhancers Ltd</t>
        </is>
      </c>
      <c r="G53" s="18" t="inlineStr">
        <is>
          <t>building materials</t>
        </is>
      </c>
      <c r="H53" s="19" t="n">
        <v>8006.49</v>
      </c>
    </row>
    <row r="54">
      <c r="A54" s="16" t="n">
        <v>8</v>
      </c>
      <c r="B54" s="27" t="n">
        <v>97</v>
      </c>
      <c r="C54" s="28" t="n">
        <v>64.97</v>
      </c>
      <c r="D54" s="28" t="n">
        <v>265</v>
      </c>
      <c r="E54" s="17" t="inlineStr">
        <is>
          <t>BODALCHEM</t>
        </is>
      </c>
      <c r="F54" s="18" t="inlineStr">
        <is>
          <t>Bodal Chemicals Limited</t>
        </is>
      </c>
      <c r="G54" s="18" t="inlineStr">
        <is>
          <t>chemicals</t>
        </is>
      </c>
      <c r="H54" s="19" t="n">
        <v>2092.06</v>
      </c>
    </row>
    <row r="55">
      <c r="A55" s="16" t="n">
        <v>9</v>
      </c>
      <c r="B55" s="27" t="n">
        <v>97</v>
      </c>
      <c r="C55" s="28" t="n">
        <v>64.87</v>
      </c>
      <c r="D55" s="28" t="n">
        <v>277</v>
      </c>
      <c r="E55" s="17" t="inlineStr">
        <is>
          <t>INDSWFTLAB</t>
        </is>
      </c>
      <c r="F55" s="18" t="inlineStr">
        <is>
          <t>Ind-swift Laboratories Limited</t>
        </is>
      </c>
      <c r="G55" s="18" t="inlineStr">
        <is>
          <t>healthcare</t>
        </is>
      </c>
      <c r="H55" s="19" t="n">
        <v>3282.8</v>
      </c>
    </row>
    <row r="56">
      <c r="A56" s="16" t="n">
        <v>10</v>
      </c>
      <c r="B56" s="27" t="n">
        <v>97</v>
      </c>
      <c r="C56" s="28" t="n">
        <v>63.29</v>
      </c>
      <c r="D56" s="28" t="n">
        <v>283</v>
      </c>
      <c r="E56" s="17" t="inlineStr">
        <is>
          <t>ATHERENERG</t>
        </is>
      </c>
      <c r="F56" s="18" t="inlineStr">
        <is>
          <t>Ather Energy Ltd</t>
        </is>
      </c>
      <c r="G56" s="18" t="inlineStr">
        <is>
          <t>auto</t>
        </is>
      </c>
      <c r="H56" s="19" t="n">
        <v>65357.8</v>
      </c>
    </row>
    <row r="57">
      <c r="A57" s="16" t="n">
        <v>11</v>
      </c>
      <c r="B57" s="27" t="n">
        <v>96</v>
      </c>
      <c r="C57" s="28" t="n">
        <v>62.04</v>
      </c>
      <c r="D57" s="28" t="n">
        <v>265</v>
      </c>
      <c r="E57" s="17" t="inlineStr">
        <is>
          <t>SAPL</t>
        </is>
      </c>
      <c r="F57" s="18" t="inlineStr">
        <is>
          <t>Sar Auto Products Limited</t>
        </is>
      </c>
      <c r="G57" s="18" t="inlineStr">
        <is>
          <t>Consumer Cyclical</t>
        </is>
      </c>
      <c r="H57" s="19" t="n">
        <v>2594.71</v>
      </c>
    </row>
    <row r="58">
      <c r="A58" s="16" t="n">
        <v>12</v>
      </c>
      <c r="B58" s="27" t="n">
        <v>96</v>
      </c>
      <c r="C58" s="28" t="n">
        <v>60.59</v>
      </c>
      <c r="D58" s="28" t="n">
        <v>265</v>
      </c>
      <c r="E58" s="17" t="inlineStr">
        <is>
          <t>SPECTRUM</t>
        </is>
      </c>
      <c r="F58" s="18" t="inlineStr">
        <is>
          <t>Spectrum Electrical Industries Ltd</t>
        </is>
      </c>
      <c r="G58" s="18" t="inlineStr">
        <is>
          <t>industrials</t>
        </is>
      </c>
      <c r="H58" s="19" t="n">
        <v>4523.39</v>
      </c>
    </row>
    <row r="59">
      <c r="A59" s="16" t="n">
        <v>13</v>
      </c>
      <c r="B59" s="27" t="n">
        <v>96</v>
      </c>
      <c r="C59" s="28" t="n">
        <v>60.22</v>
      </c>
      <c r="D59" s="28" t="n">
        <v>285</v>
      </c>
      <c r="E59" s="17" t="inlineStr">
        <is>
          <t>BIRLACABLE</t>
        </is>
      </c>
      <c r="F59" s="18" t="inlineStr">
        <is>
          <t>Birla Cable Limited</t>
        </is>
      </c>
      <c r="G59" s="18" t="inlineStr">
        <is>
          <t>industrials</t>
        </is>
      </c>
      <c r="H59" s="19" t="n">
        <v>1123.95</v>
      </c>
    </row>
    <row r="60">
      <c r="A60" s="16" t="n">
        <v>14</v>
      </c>
      <c r="B60" s="27" t="n">
        <v>95</v>
      </c>
      <c r="C60" s="28" t="n">
        <v>59.62</v>
      </c>
      <c r="D60" s="28" t="n">
        <v>280</v>
      </c>
      <c r="E60" s="17" t="inlineStr">
        <is>
          <t>MENONBE</t>
        </is>
      </c>
      <c r="F60" s="18" t="inlineStr">
        <is>
          <t>Menon Bearings Limited</t>
        </is>
      </c>
      <c r="G60" s="18" t="inlineStr">
        <is>
          <t>auto</t>
        </is>
      </c>
      <c r="H60" s="19" t="n">
        <v>1690.45</v>
      </c>
    </row>
    <row r="61">
      <c r="A61" s="16" t="n">
        <v>15</v>
      </c>
      <c r="B61" s="27" t="n">
        <v>95</v>
      </c>
      <c r="C61" s="28" t="n">
        <v>58.35</v>
      </c>
      <c r="D61" s="28" t="n">
        <v>278</v>
      </c>
      <c r="E61" s="17" t="inlineStr">
        <is>
          <t>WELCORP</t>
        </is>
      </c>
      <c r="F61" s="18" t="inlineStr">
        <is>
          <t>Welspun Corp Limited</t>
        </is>
      </c>
      <c r="G61" s="18" t="inlineStr">
        <is>
          <t>industrials</t>
        </is>
      </c>
      <c r="H61" s="19" t="n">
        <v>73252.02</v>
      </c>
    </row>
    <row r="62">
      <c r="A62" s="16" t="n">
        <v>16</v>
      </c>
      <c r="B62" s="27" t="n">
        <v>95</v>
      </c>
      <c r="C62" s="28" t="n">
        <v>57.44</v>
      </c>
      <c r="D62" s="28" t="n">
        <v>283</v>
      </c>
      <c r="E62" s="17" t="inlineStr">
        <is>
          <t>SWANDEF</t>
        </is>
      </c>
      <c r="F62" s="18" t="inlineStr">
        <is>
          <t>Swan Defence and Heavy Industries Ltd</t>
        </is>
      </c>
      <c r="G62" s="18" t="inlineStr">
        <is>
          <t>transportation</t>
        </is>
      </c>
      <c r="H62" s="19" t="n">
        <v>14028.2</v>
      </c>
    </row>
    <row r="63">
      <c r="A63" s="16" t="n">
        <v>17</v>
      </c>
      <c r="B63" s="27" t="n">
        <v>95</v>
      </c>
      <c r="C63" s="28" t="n">
        <v>56.78</v>
      </c>
      <c r="D63" s="28" t="n">
        <v>255</v>
      </c>
      <c r="E63" s="17" t="inlineStr">
        <is>
          <t>INVPRECQ</t>
        </is>
      </c>
      <c r="F63" s="18" t="inlineStr">
        <is>
          <t>Investment &amp; Precision Castings Limited</t>
        </is>
      </c>
      <c r="G63" s="18" t="inlineStr">
        <is>
          <t>Basic Materials</t>
        </is>
      </c>
      <c r="H63" s="19" t="n">
        <v>1407.65</v>
      </c>
    </row>
    <row r="64">
      <c r="A64" s="16" t="n">
        <v>18</v>
      </c>
      <c r="B64" s="29" t="n">
        <v>94</v>
      </c>
      <c r="C64" s="28" t="n">
        <v>56.22</v>
      </c>
      <c r="D64" s="28" t="n">
        <v>265</v>
      </c>
      <c r="E64" s="17" t="inlineStr">
        <is>
          <t>BLISSGVS</t>
        </is>
      </c>
      <c r="F64" s="18" t="inlineStr">
        <is>
          <t>Bliss Gvs Pharma Limited</t>
        </is>
      </c>
      <c r="G64" s="18" t="inlineStr">
        <is>
          <t>healthcare</t>
        </is>
      </c>
      <c r="H64" s="19" t="n">
        <v>7428.71</v>
      </c>
    </row>
    <row r="65">
      <c r="A65" s="16" t="n">
        <v>19</v>
      </c>
      <c r="B65" s="29" t="n">
        <v>94</v>
      </c>
      <c r="C65" s="28" t="n">
        <v>53.65</v>
      </c>
      <c r="D65" s="28" t="n">
        <v>270</v>
      </c>
      <c r="E65" s="17" t="inlineStr">
        <is>
          <t>WHEELS</t>
        </is>
      </c>
      <c r="F65" s="18" t="inlineStr">
        <is>
          <t>Wheels India Limited</t>
        </is>
      </c>
      <c r="G65" s="18" t="inlineStr">
        <is>
          <t>auto</t>
        </is>
      </c>
      <c r="H65" s="19" t="n">
        <v>5651.36</v>
      </c>
    </row>
    <row r="66">
      <c r="A66" s="16" t="n">
        <v>20</v>
      </c>
      <c r="B66" s="29" t="n">
        <v>94</v>
      </c>
      <c r="C66" s="28" t="n">
        <v>53.31</v>
      </c>
      <c r="D66" s="28" t="n">
        <v>273</v>
      </c>
      <c r="E66" s="17" t="inlineStr">
        <is>
          <t>CYIENTDLM</t>
        </is>
      </c>
      <c r="F66" s="18" t="inlineStr">
        <is>
          <t>Cyient DLM Ltd</t>
        </is>
      </c>
      <c r="G66" s="18" t="inlineStr">
        <is>
          <t>aerospace &amp; defence</t>
        </is>
      </c>
      <c r="H66" s="19" t="n">
        <v>7329.47</v>
      </c>
    </row>
    <row r="67">
      <c r="A67" s="16" t="n">
        <v>21</v>
      </c>
      <c r="B67" s="29" t="n">
        <v>94</v>
      </c>
      <c r="C67" s="28" t="n">
        <v>52.88</v>
      </c>
      <c r="D67" s="28" t="n">
        <v>275</v>
      </c>
      <c r="E67" s="17" t="inlineStr">
        <is>
          <t>MODISONLTD</t>
        </is>
      </c>
      <c r="F67" s="18" t="inlineStr">
        <is>
          <t>Modison Ltd</t>
        </is>
      </c>
      <c r="G67" s="18" t="inlineStr">
        <is>
          <t>industrials</t>
        </is>
      </c>
      <c r="H67" s="19" t="n">
        <v>1670.53</v>
      </c>
    </row>
    <row r="68">
      <c r="A68" s="16" t="n">
        <v>22</v>
      </c>
      <c r="B68" s="29" t="n">
        <v>93</v>
      </c>
      <c r="C68" s="28" t="n">
        <v>52.47</v>
      </c>
      <c r="D68" s="28" t="n">
        <v>272</v>
      </c>
      <c r="E68" s="17" t="inlineStr">
        <is>
          <t>MOREPENLAB</t>
        </is>
      </c>
      <c r="F68" s="18" t="inlineStr">
        <is>
          <t>Morepen Laboratories Limited</t>
        </is>
      </c>
      <c r="G68" s="18" t="inlineStr">
        <is>
          <t>healthcare</t>
        </is>
      </c>
      <c r="H68" s="19" t="n">
        <v>6316.81</v>
      </c>
    </row>
    <row r="69">
      <c r="A69" s="16" t="n">
        <v>23</v>
      </c>
      <c r="B69" s="29" t="n">
        <v>93</v>
      </c>
      <c r="C69" s="28" t="n">
        <v>52.31</v>
      </c>
      <c r="D69" s="28" t="n">
        <v>270</v>
      </c>
      <c r="E69" s="17" t="inlineStr">
        <is>
          <t>DIACABS</t>
        </is>
      </c>
      <c r="F69" s="18" t="inlineStr">
        <is>
          <t>Diamond Power Infrastructure Ltd</t>
        </is>
      </c>
      <c r="G69" s="18" t="inlineStr">
        <is>
          <t>industrials</t>
        </is>
      </c>
      <c r="H69" s="19" t="n">
        <v>21022.2</v>
      </c>
    </row>
    <row r="70">
      <c r="A70" s="16" t="n">
        <v>24</v>
      </c>
      <c r="B70" s="29" t="n">
        <v>93</v>
      </c>
      <c r="C70" s="28" t="n">
        <v>51.45</v>
      </c>
      <c r="D70" s="28" t="n">
        <v>260</v>
      </c>
      <c r="E70" s="17" t="inlineStr">
        <is>
          <t>AEROFLEX</t>
        </is>
      </c>
      <c r="F70" s="18" t="inlineStr">
        <is>
          <t>Aeroflex Industries Ltd</t>
        </is>
      </c>
      <c r="G70" s="18" t="inlineStr">
        <is>
          <t>metals &amp; mining</t>
        </is>
      </c>
      <c r="H70" s="19" t="n">
        <v>7466.1</v>
      </c>
    </row>
    <row r="71">
      <c r="A71" s="16" t="n">
        <v>25</v>
      </c>
      <c r="B71" s="29" t="n">
        <v>92</v>
      </c>
      <c r="C71" s="28" t="n">
        <v>49.74</v>
      </c>
      <c r="D71" s="28" t="n">
        <v>263</v>
      </c>
      <c r="E71" s="17" t="inlineStr">
        <is>
          <t>PVP</t>
        </is>
      </c>
      <c r="F71" s="18" t="inlineStr">
        <is>
          <t>Pvp Ventures Limited</t>
        </is>
      </c>
      <c r="G71" s="18" t="inlineStr">
        <is>
          <t>realty</t>
        </is>
      </c>
      <c r="H71" s="19" t="n">
        <v>1721.27</v>
      </c>
    </row>
    <row r="72">
      <c r="A72" s="16" t="n">
        <v>26</v>
      </c>
      <c r="B72" s="29" t="n">
        <v>92</v>
      </c>
      <c r="C72" s="28" t="n">
        <v>47.61</v>
      </c>
      <c r="D72" s="28" t="n">
        <v>280</v>
      </c>
      <c r="E72" s="17" t="inlineStr">
        <is>
          <t>BHAGYANGR</t>
        </is>
      </c>
      <c r="F72" s="18" t="inlineStr">
        <is>
          <t>Bhagyanagar India</t>
        </is>
      </c>
      <c r="G72" s="18" t="inlineStr">
        <is>
          <t>power &amp; utilities</t>
        </is>
      </c>
      <c r="H72" s="19" t="n">
        <v>1447.72</v>
      </c>
    </row>
    <row r="73">
      <c r="A73" s="16" t="n">
        <v>27</v>
      </c>
      <c r="B73" s="29" t="n">
        <v>92</v>
      </c>
      <c r="C73" s="28" t="n">
        <v>45.63</v>
      </c>
      <c r="D73" s="28" t="n">
        <v>298</v>
      </c>
      <c r="E73" s="17" t="inlineStr">
        <is>
          <t>VINDHYATEL</t>
        </is>
      </c>
      <c r="F73" s="18" t="inlineStr">
        <is>
          <t>Vindhya Telelinks Limited</t>
        </is>
      </c>
      <c r="G73" s="18" t="inlineStr">
        <is>
          <t>realty</t>
        </is>
      </c>
      <c r="H73" s="19" t="n">
        <v>3339.93</v>
      </c>
    </row>
    <row r="74">
      <c r="A74" s="16" t="n">
        <v>28</v>
      </c>
      <c r="B74" s="29" t="n">
        <v>92</v>
      </c>
      <c r="C74" s="28" t="n">
        <v>45.09</v>
      </c>
      <c r="D74" s="28" t="n">
        <v>258</v>
      </c>
      <c r="E74" s="17" t="inlineStr">
        <is>
          <t>RAYMOND</t>
        </is>
      </c>
      <c r="F74" s="18" t="inlineStr">
        <is>
          <t>Raymond Limited</t>
        </is>
      </c>
      <c r="G74" s="18" t="inlineStr">
        <is>
          <t>transportation</t>
        </is>
      </c>
      <c r="H74" s="19" t="n">
        <v>5684.4</v>
      </c>
    </row>
    <row r="75">
      <c r="A75" s="16" t="n">
        <v>29</v>
      </c>
      <c r="B75" s="29" t="n">
        <v>91</v>
      </c>
      <c r="C75" s="28" t="n">
        <v>44.74</v>
      </c>
      <c r="D75" s="28" t="n">
        <v>270</v>
      </c>
      <c r="E75" s="17" t="inlineStr">
        <is>
          <t>BAFNAPH</t>
        </is>
      </c>
      <c r="F75" s="18" t="inlineStr">
        <is>
          <t>Bafna Pharmaceuticals Ltd</t>
        </is>
      </c>
      <c r="G75" s="18" t="inlineStr">
        <is>
          <t>healthcare</t>
        </is>
      </c>
      <c r="H75" s="19" t="n">
        <v>727.67</v>
      </c>
    </row>
    <row r="76">
      <c r="A76" s="16" t="n">
        <v>30</v>
      </c>
      <c r="B76" s="29" t="n">
        <v>91</v>
      </c>
      <c r="C76" s="28" t="n">
        <v>42.23</v>
      </c>
      <c r="D76" s="28" t="n">
        <v>272</v>
      </c>
      <c r="E76" s="17" t="inlineStr">
        <is>
          <t>KPL</t>
        </is>
      </c>
      <c r="F76" s="18" t="inlineStr">
        <is>
          <t>Kwality Pharmaceuticals Limited</t>
        </is>
      </c>
      <c r="G76" s="18" t="inlineStr">
        <is>
          <t>Healthcare</t>
        </is>
      </c>
      <c r="H76" s="19" t="n">
        <v>3779.53</v>
      </c>
    </row>
    <row r="77">
      <c r="A77" s="16" t="n">
        <v>31</v>
      </c>
      <c r="B77" s="29" t="n">
        <v>91</v>
      </c>
      <c r="C77" s="28" t="n">
        <v>42.04</v>
      </c>
      <c r="D77" s="28" t="n">
        <v>265</v>
      </c>
      <c r="E77" s="17" t="inlineStr">
        <is>
          <t>NOVARTIND</t>
        </is>
      </c>
      <c r="F77" s="18" t="inlineStr">
        <is>
          <t>Novartis India Ltd</t>
        </is>
      </c>
      <c r="G77" s="18" t="inlineStr">
        <is>
          <t>healthcare</t>
        </is>
      </c>
      <c r="H77" s="19" t="n">
        <v>5995.42</v>
      </c>
    </row>
    <row r="78">
      <c r="A78" s="16" t="n">
        <v>32</v>
      </c>
      <c r="B78" s="29" t="n">
        <v>90</v>
      </c>
      <c r="C78" s="28" t="n">
        <v>42.01</v>
      </c>
      <c r="D78" s="28" t="n">
        <v>267</v>
      </c>
      <c r="E78" s="17" t="inlineStr">
        <is>
          <t>HFCL</t>
        </is>
      </c>
      <c r="F78" s="18" t="inlineStr">
        <is>
          <t>HFCL Limited</t>
        </is>
      </c>
      <c r="G78" s="18" t="inlineStr">
        <is>
          <t>Technology</t>
        </is>
      </c>
      <c r="H78" s="19" t="n">
        <v>35760.73</v>
      </c>
    </row>
    <row r="79">
      <c r="A79" s="16" t="n">
        <v>33</v>
      </c>
      <c r="B79" s="29" t="n">
        <v>90</v>
      </c>
      <c r="C79" s="28" t="n">
        <v>41.65</v>
      </c>
      <c r="D79" s="28" t="n">
        <v>263</v>
      </c>
      <c r="E79" s="17" t="inlineStr">
        <is>
          <t>RISHABH</t>
        </is>
      </c>
      <c r="F79" s="18" t="inlineStr">
        <is>
          <t>Rishabh Instruments Ltd</t>
        </is>
      </c>
      <c r="G79" s="18" t="inlineStr">
        <is>
          <t>industrials</t>
        </is>
      </c>
      <c r="H79" s="19" t="n">
        <v>3120.49</v>
      </c>
    </row>
    <row r="80">
      <c r="A80" s="16" t="n">
        <v>34</v>
      </c>
      <c r="B80" s="29" t="n">
        <v>90</v>
      </c>
      <c r="C80" s="28" t="n">
        <v>41.41</v>
      </c>
      <c r="D80" s="28" t="n">
        <v>248</v>
      </c>
      <c r="E80" s="17" t="inlineStr">
        <is>
          <t>MAHASTEEL</t>
        </is>
      </c>
      <c r="F80" s="18" t="inlineStr">
        <is>
          <t>Mahamaya Steel Industries Limited</t>
        </is>
      </c>
      <c r="G80" s="18" t="inlineStr">
        <is>
          <t>metals &amp; mining</t>
        </is>
      </c>
      <c r="H80" s="19" t="n">
        <v>2188.4</v>
      </c>
    </row>
    <row r="81">
      <c r="A81" s="16" t="n">
        <v>35</v>
      </c>
      <c r="B81" s="29" t="n">
        <v>90</v>
      </c>
      <c r="C81" s="28" t="n">
        <v>40.24</v>
      </c>
      <c r="D81" s="28" t="n">
        <v>272</v>
      </c>
      <c r="E81" s="17" t="inlineStr">
        <is>
          <t>SHILPAMED</t>
        </is>
      </c>
      <c r="F81" s="18" t="inlineStr">
        <is>
          <t>Shilpa Medicare Limited</t>
        </is>
      </c>
      <c r="G81" s="18" t="inlineStr">
        <is>
          <t>healthcare</t>
        </is>
      </c>
      <c r="H81" s="19" t="n">
        <v>18382.73</v>
      </c>
    </row>
    <row r="82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RAYMOND</t>
        </is>
      </c>
      <c r="B2" s="31" t="inlineStr">
        <is>
          <t>Raymond Limited</t>
        </is>
      </c>
      <c r="C2" s="31" t="inlineStr">
        <is>
          <t>transportation</t>
        </is>
      </c>
      <c r="D2" s="31" t="inlineStr">
        <is>
          <t>transport - airlines</t>
        </is>
      </c>
      <c r="E2" s="31" t="inlineStr">
        <is>
          <t>midcap</t>
        </is>
      </c>
      <c r="F2" s="31" t="n">
        <v>5684.4</v>
      </c>
      <c r="G2" s="31" t="n">
        <v>1002.8</v>
      </c>
      <c r="H2" s="31" t="n">
        <v>17.44</v>
      </c>
      <c r="I2" s="31" t="n">
        <v>16245056</v>
      </c>
      <c r="J2" s="31" t="inlineStr">
        <is>
          <t>500330</t>
        </is>
      </c>
    </row>
    <row r="3">
      <c r="A3" s="31" t="inlineStr">
        <is>
          <t>FILATEX</t>
        </is>
      </c>
      <c r="B3" s="31" t="inlineStr">
        <is>
          <t>Filatex India Limited</t>
        </is>
      </c>
      <c r="C3" s="31" t="inlineStr">
        <is>
          <t>textiles</t>
        </is>
      </c>
      <c r="D3" s="31" t="inlineStr">
        <is>
          <t>textiles - manmade</t>
        </is>
      </c>
      <c r="E3" s="31" t="inlineStr">
        <is>
          <t>smallcap</t>
        </is>
      </c>
      <c r="F3" s="31" t="n">
        <v>3385.95</v>
      </c>
      <c r="G3" s="31" t="n">
        <v>87.41</v>
      </c>
      <c r="H3" s="31" t="n">
        <v>14.64</v>
      </c>
      <c r="I3" s="31" t="n">
        <v>38898608</v>
      </c>
      <c r="J3" s="31" t="inlineStr">
        <is>
          <t>526227</t>
        </is>
      </c>
    </row>
    <row r="4">
      <c r="A4" s="31" t="inlineStr">
        <is>
          <t>AHCL</t>
        </is>
      </c>
      <c r="B4" s="31" t="inlineStr">
        <is>
          <t>Anlon Healthcare Ltd</t>
        </is>
      </c>
      <c r="C4" s="31" t="inlineStr">
        <is>
          <t>healthcare</t>
        </is>
      </c>
      <c r="D4" s="31" t="inlineStr">
        <is>
          <t>pharmaceuticals - indian - bulk drugs &amp; formln</t>
        </is>
      </c>
      <c r="E4" s="31" t="inlineStr">
        <is>
          <t>smallcap</t>
        </is>
      </c>
      <c r="F4" s="31" t="n">
        <v>932.28</v>
      </c>
      <c r="G4" s="31" t="n">
        <v>19.57</v>
      </c>
      <c r="H4" s="31" t="n">
        <v>11.57</v>
      </c>
      <c r="I4" s="31" t="n">
        <v>150749037</v>
      </c>
      <c r="J4" s="31" t="inlineStr">
        <is>
          <t>544497</t>
        </is>
      </c>
    </row>
    <row r="5">
      <c r="A5" s="31" t="inlineStr">
        <is>
          <t>SMSPHARMA</t>
        </is>
      </c>
      <c r="B5" s="31" t="inlineStr">
        <is>
          <t>Sms Pharmaceuticals Limited</t>
        </is>
      </c>
      <c r="C5" s="31" t="inlineStr">
        <is>
          <t>healthcare</t>
        </is>
      </c>
      <c r="D5" s="31" t="inlineStr">
        <is>
          <t>pharmaceuticals - indian - bulk drugs</t>
        </is>
      </c>
      <c r="E5" s="31" t="inlineStr">
        <is>
          <t>smallcap</t>
        </is>
      </c>
      <c r="F5" s="31" t="n">
        <v>3909.5</v>
      </c>
      <c r="G5" s="31" t="n">
        <v>463.45</v>
      </c>
      <c r="H5" s="31" t="n">
        <v>11.02</v>
      </c>
      <c r="I5" s="31" t="n">
        <v>10401534</v>
      </c>
      <c r="J5" s="31" t="inlineStr">
        <is>
          <t>532815</t>
        </is>
      </c>
    </row>
    <row r="6">
      <c r="A6" s="31" t="inlineStr">
        <is>
          <t>RACLGEAR</t>
        </is>
      </c>
      <c r="B6" s="31" t="inlineStr">
        <is>
          <t>RACL Geartech Ltd</t>
        </is>
      </c>
      <c r="C6" s="31" t="inlineStr">
        <is>
          <t>auto</t>
        </is>
      </c>
      <c r="D6" s="31" t="inlineStr">
        <is>
          <t>auto ancillaries</t>
        </is>
      </c>
      <c r="E6" s="31" t="inlineStr">
        <is>
          <t>smallcap</t>
        </is>
      </c>
      <c r="F6" s="31" t="n">
        <v>1872.18</v>
      </c>
      <c r="G6" s="31" t="n">
        <v>1756.7</v>
      </c>
      <c r="H6" s="31" t="n">
        <v>10.61</v>
      </c>
      <c r="I6" s="31" t="n">
        <v>1142834</v>
      </c>
      <c r="J6" s="31" t="inlineStr">
        <is>
          <t>520073</t>
        </is>
      </c>
    </row>
    <row r="7">
      <c r="A7" s="31" t="inlineStr">
        <is>
          <t>QUADFUTURE</t>
        </is>
      </c>
      <c r="B7" s="31" t="inlineStr">
        <is>
          <t>Quadrant Future Tek Ltd</t>
        </is>
      </c>
      <c r="C7" s="31" t="inlineStr">
        <is>
          <t>industrials</t>
        </is>
      </c>
      <c r="D7" s="31" t="inlineStr">
        <is>
          <t>cables - power</t>
        </is>
      </c>
      <c r="E7" s="31" t="inlineStr">
        <is>
          <t>smallcap</t>
        </is>
      </c>
      <c r="F7" s="31" t="n">
        <v>1743.2</v>
      </c>
      <c r="G7" s="31" t="n">
        <v>478.5</v>
      </c>
      <c r="H7" s="31" t="n">
        <v>9.800000000000001</v>
      </c>
      <c r="I7" s="31" t="n">
        <v>10362562</v>
      </c>
      <c r="J7" s="31" t="inlineStr">
        <is>
          <t>544336</t>
        </is>
      </c>
    </row>
    <row r="8">
      <c r="A8" s="31" t="inlineStr">
        <is>
          <t>PRIMO</t>
        </is>
      </c>
      <c r="B8" s="31" t="inlineStr">
        <is>
          <t>Primo Chemicals Ltd</t>
        </is>
      </c>
      <c r="C8" s="31" t="inlineStr">
        <is>
          <t>chemicals</t>
        </is>
      </c>
      <c r="D8" s="31" t="inlineStr">
        <is>
          <t>chlor alkali / soda ash</t>
        </is>
      </c>
      <c r="E8" s="31" t="inlineStr">
        <is>
          <t>smallcap</t>
        </is>
      </c>
      <c r="F8" s="31" t="n">
        <v>525.88</v>
      </c>
      <c r="G8" s="31" t="n">
        <v>23.71</v>
      </c>
      <c r="H8" s="31" t="n">
        <v>9.26</v>
      </c>
      <c r="I8" s="31" t="n">
        <v>1605579</v>
      </c>
      <c r="J8" s="31" t="inlineStr">
        <is>
          <t>506852</t>
        </is>
      </c>
    </row>
    <row r="9">
      <c r="A9" s="31" t="inlineStr">
        <is>
          <t>UGARSUGAR</t>
        </is>
      </c>
      <c r="B9" s="31" t="inlineStr">
        <is>
          <t>The Ugar Sugar Works Limited</t>
        </is>
      </c>
      <c r="C9" s="31" t="inlineStr">
        <is>
          <t>fmcg</t>
        </is>
      </c>
      <c r="D9" s="31" t="inlineStr">
        <is>
          <t>sugar</t>
        </is>
      </c>
      <c r="E9" s="31" t="inlineStr">
        <is>
          <t>smallcap</t>
        </is>
      </c>
      <c r="F9" s="31" t="n">
        <v>561.6</v>
      </c>
      <c r="G9" s="31" t="n">
        <v>54.3</v>
      </c>
      <c r="H9" s="31" t="n">
        <v>8.77</v>
      </c>
      <c r="I9" s="31" t="n">
        <v>11275075</v>
      </c>
      <c r="J9" s="31" t="inlineStr">
        <is>
          <t>530363</t>
        </is>
      </c>
    </row>
    <row r="10">
      <c r="A10" s="31" t="inlineStr">
        <is>
          <t>BLACKBUCK</t>
        </is>
      </c>
      <c r="B10" s="31" t="inlineStr">
        <is>
          <t>BlackBuck Ltd</t>
        </is>
      </c>
      <c r="C10" s="31" t="inlineStr">
        <is>
          <t>transportation</t>
        </is>
      </c>
      <c r="D10" s="31" t="inlineStr">
        <is>
          <t>miscellaneous</t>
        </is>
      </c>
      <c r="E10" s="31" t="inlineStr">
        <is>
          <t>midcap</t>
        </is>
      </c>
      <c r="F10" s="31" t="n">
        <v>10671.5</v>
      </c>
      <c r="G10" s="31" t="n">
        <v>628.15</v>
      </c>
      <c r="H10" s="31" t="n">
        <v>7.21</v>
      </c>
      <c r="I10" s="31" t="n">
        <v>4433382</v>
      </c>
      <c r="J10" s="31" t="inlineStr">
        <is>
          <t>544288</t>
        </is>
      </c>
    </row>
    <row r="11">
      <c r="A11" s="31" t="inlineStr">
        <is>
          <t>KIRLOSIND</t>
        </is>
      </c>
      <c r="B11" s="31" t="inlineStr">
        <is>
          <t>Kirloskar Industries Limited</t>
        </is>
      </c>
      <c r="C11" s="31" t="inlineStr">
        <is>
          <t>financials</t>
        </is>
      </c>
      <c r="D11" s="31" t="inlineStr">
        <is>
          <t>finance &amp; investments</t>
        </is>
      </c>
      <c r="E11" s="31" t="inlineStr">
        <is>
          <t>smallcap</t>
        </is>
      </c>
      <c r="F11" s="31" t="n">
        <v>3758.99</v>
      </c>
      <c r="G11" s="31" t="n">
        <v>3828.3</v>
      </c>
      <c r="H11" s="31" t="n">
        <v>7.03</v>
      </c>
      <c r="I11" s="31" t="n">
        <v>639315</v>
      </c>
      <c r="J11" s="31" t="inlineStr">
        <is>
          <t>500243</t>
        </is>
      </c>
    </row>
    <row r="12">
      <c r="A12" s="31" t="inlineStr">
        <is>
          <t>SOLARA</t>
        </is>
      </c>
      <c r="B12" s="31" t="inlineStr">
        <is>
          <t>Solara Active Pharma Sciences Ltd</t>
        </is>
      </c>
      <c r="C12" s="31" t="inlineStr">
        <is>
          <t>healthcare</t>
        </is>
      </c>
      <c r="D12" s="31" t="inlineStr">
        <is>
          <t>pharmaceuticals - indian - bulk drugs &amp; formln</t>
        </is>
      </c>
      <c r="E12" s="31" t="inlineStr">
        <is>
          <t>smallcap</t>
        </is>
      </c>
      <c r="F12" s="31" t="n">
        <v>3412.2</v>
      </c>
      <c r="G12" s="31" t="n">
        <v>749.15</v>
      </c>
      <c r="H12" s="31" t="n">
        <v>5.92</v>
      </c>
      <c r="I12" s="31" t="n">
        <v>1159874</v>
      </c>
      <c r="J12" s="31" t="inlineStr">
        <is>
          <t>541540</t>
        </is>
      </c>
    </row>
    <row r="13">
      <c r="A13" s="31" t="inlineStr">
        <is>
          <t>RPEL</t>
        </is>
      </c>
      <c r="B13" s="31" t="inlineStr">
        <is>
          <t>Raghav Productivity Enhancers Ltd</t>
        </is>
      </c>
      <c r="C13" s="31" t="inlineStr">
        <is>
          <t>building materials</t>
        </is>
      </c>
      <c r="D13" s="31" t="inlineStr">
        <is>
          <t>refractories / intermediates</t>
        </is>
      </c>
      <c r="E13" s="31" t="inlineStr">
        <is>
          <t>midcap</t>
        </is>
      </c>
      <c r="F13" s="31" t="n">
        <v>8006.49</v>
      </c>
      <c r="G13" s="31" t="n">
        <v>1845.2</v>
      </c>
      <c r="H13" s="31" t="n">
        <v>5.83</v>
      </c>
      <c r="I13" s="31" t="n">
        <v>171393</v>
      </c>
      <c r="J13" s="31" t="inlineStr">
        <is>
          <t>539837</t>
        </is>
      </c>
    </row>
    <row r="14">
      <c r="A14" s="31" t="inlineStr">
        <is>
          <t>PTCIL</t>
        </is>
      </c>
      <c r="B14" s="31" t="inlineStr">
        <is>
          <t>PTC Industries Ltd</t>
        </is>
      </c>
      <c r="C14" s="31" t="inlineStr">
        <is>
          <t>industrials</t>
        </is>
      </c>
      <c r="D14" s="31" t="inlineStr">
        <is>
          <t>castings &amp; forgings</t>
        </is>
      </c>
      <c r="E14" s="31" t="inlineStr">
        <is>
          <t>largecap</t>
        </is>
      </c>
      <c r="F14" s="31" t="n">
        <v>33560.82</v>
      </c>
      <c r="G14" s="31" t="n">
        <v>23630</v>
      </c>
      <c r="H14" s="31" t="n">
        <v>5.56</v>
      </c>
      <c r="I14" s="31" t="n">
        <v>65881</v>
      </c>
      <c r="J14" s="31" t="inlineStr">
        <is>
          <t>539006</t>
        </is>
      </c>
    </row>
    <row r="15">
      <c r="A15" s="31" t="inlineStr">
        <is>
          <t>NRAIL</t>
        </is>
      </c>
      <c r="B15" s="31" t="inlineStr">
        <is>
          <t>N R Agarwal Industries Ltd</t>
        </is>
      </c>
      <c r="C15" s="31" t="inlineStr">
        <is>
          <t>building materials</t>
        </is>
      </c>
      <c r="D15" s="31" t="inlineStr">
        <is>
          <t>paper</t>
        </is>
      </c>
      <c r="E15" s="31" t="inlineStr">
        <is>
          <t>smallcap</t>
        </is>
      </c>
      <c r="F15" s="31" t="n">
        <v>1013.15</v>
      </c>
      <c r="G15" s="31" t="n">
        <v>627.9</v>
      </c>
      <c r="H15" s="31" t="n">
        <v>5.48</v>
      </c>
      <c r="I15" s="31" t="n">
        <v>40702</v>
      </c>
      <c r="J15" s="31" t="inlineStr">
        <is>
          <t>516082</t>
        </is>
      </c>
    </row>
    <row r="16">
      <c r="A16" s="31" t="inlineStr">
        <is>
          <t>YESBANK</t>
        </is>
      </c>
      <c r="B16" s="31" t="inlineStr">
        <is>
          <t>Yes Bank Limited</t>
        </is>
      </c>
      <c r="C16" s="31" t="inlineStr">
        <is>
          <t>bank</t>
        </is>
      </c>
      <c r="D16" s="31" t="inlineStr">
        <is>
          <t>banks - private sector</t>
        </is>
      </c>
      <c r="E16" s="31" t="inlineStr">
        <is>
          <t>largecap</t>
        </is>
      </c>
      <c r="F16" s="31" t="n">
        <v>69992.48</v>
      </c>
      <c r="G16" s="31" t="n">
        <v>23.48</v>
      </c>
      <c r="H16" s="31" t="n">
        <v>5.29</v>
      </c>
      <c r="I16" s="31" t="n">
        <v>234792571</v>
      </c>
      <c r="J16" s="31" t="inlineStr">
        <is>
          <t>532648</t>
        </is>
      </c>
    </row>
    <row r="17">
      <c r="A17" s="31" t="inlineStr">
        <is>
          <t>SUBEXLTD</t>
        </is>
      </c>
      <c r="B17" s="31" t="inlineStr">
        <is>
          <t>Subex Ltd</t>
        </is>
      </c>
      <c r="C17" s="31" t="inlineStr">
        <is>
          <t>i.t</t>
        </is>
      </c>
      <c r="D17" s="31" t="inlineStr">
        <is>
          <t>computers - software - medium / small</t>
        </is>
      </c>
      <c r="E17" s="31" t="inlineStr">
        <is>
          <t>smallcap</t>
        </is>
      </c>
      <c r="F17" s="31" t="n">
        <v>1110.52</v>
      </c>
      <c r="G17" s="31" t="n">
        <v>20.8</v>
      </c>
      <c r="H17" s="31" t="n">
        <v>5.26</v>
      </c>
      <c r="I17" s="31" t="n">
        <v>34488169</v>
      </c>
      <c r="J17" s="31" t="inlineStr">
        <is>
          <t>532348</t>
        </is>
      </c>
    </row>
    <row r="18">
      <c r="A18" s="31" t="inlineStr">
        <is>
          <t>MUKKA</t>
        </is>
      </c>
      <c r="B18" s="31" t="inlineStr">
        <is>
          <t>Mukka Proteins Ltd</t>
        </is>
      </c>
      <c r="C18" s="31" t="inlineStr">
        <is>
          <t>fmcg</t>
        </is>
      </c>
      <c r="D18" s="31" t="inlineStr">
        <is>
          <t>food - processing - indian</t>
        </is>
      </c>
      <c r="E18" s="31" t="inlineStr">
        <is>
          <t>smallcap</t>
        </is>
      </c>
      <c r="F18" s="31" t="n">
        <v>917.1</v>
      </c>
      <c r="G18" s="31" t="n">
        <v>32.17</v>
      </c>
      <c r="H18" s="31" t="n">
        <v>5.23</v>
      </c>
      <c r="I18" s="31" t="n">
        <v>1909923</v>
      </c>
      <c r="J18" s="31" t="inlineStr">
        <is>
          <t>544135</t>
        </is>
      </c>
    </row>
    <row r="19">
      <c r="A19" s="31" t="inlineStr">
        <is>
          <t>KANPRPLA</t>
        </is>
      </c>
      <c r="B19" s="31" t="inlineStr">
        <is>
          <t>Kanpur Plastipack Ltd</t>
        </is>
      </c>
      <c r="C19" s="31" t="inlineStr">
        <is>
          <t>industrials</t>
        </is>
      </c>
      <c r="D19" s="31" t="inlineStr">
        <is>
          <t>packaging</t>
        </is>
      </c>
      <c r="E19" s="31" t="inlineStr">
        <is>
          <t>smallcap</t>
        </is>
      </c>
      <c r="F19" s="31" t="n">
        <v>616.14</v>
      </c>
      <c r="G19" s="31" t="n">
        <v>264.6</v>
      </c>
      <c r="H19" s="31" t="n">
        <v>5.13</v>
      </c>
      <c r="I19" s="31" t="n">
        <v>72663</v>
      </c>
      <c r="J19" s="31" t="inlineStr">
        <is>
          <t>507779</t>
        </is>
      </c>
    </row>
    <row r="20">
      <c r="A20" s="31" t="inlineStr">
        <is>
          <t>SPECTRUM</t>
        </is>
      </c>
      <c r="B20" s="31" t="inlineStr">
        <is>
          <t>Spectrum Electrical Industries Ltd</t>
        </is>
      </c>
      <c r="C20" s="31" t="inlineStr">
        <is>
          <t>industrials</t>
        </is>
      </c>
      <c r="D20" s="31" t="inlineStr">
        <is>
          <t>electric equipment</t>
        </is>
      </c>
      <c r="E20" s="31" t="inlineStr">
        <is>
          <t>smallcap</t>
        </is>
      </c>
      <c r="F20" s="31" t="n">
        <v>4523.39</v>
      </c>
      <c r="G20" s="31" t="n">
        <v>3022.5</v>
      </c>
      <c r="H20" s="31" t="n">
        <v>5</v>
      </c>
      <c r="I20" s="31" t="n">
        <v>47215</v>
      </c>
      <c r="J20" s="31" t="inlineStr">
        <is>
          <t>535112</t>
        </is>
      </c>
    </row>
    <row r="21">
      <c r="A21" s="31" t="inlineStr">
        <is>
          <t>TBZ</t>
        </is>
      </c>
      <c r="B21" s="31" t="inlineStr">
        <is>
          <t>Tribhovandas Bhimji Zaveri Limited</t>
        </is>
      </c>
      <c r="C21" s="31" t="inlineStr">
        <is>
          <t>consumer discretionary</t>
        </is>
      </c>
      <c r="D21" s="31" t="inlineStr">
        <is>
          <t>diamond cutting / jewellery</t>
        </is>
      </c>
      <c r="E21" s="31" t="inlineStr">
        <is>
          <t>smallcap</t>
        </is>
      </c>
      <c r="F21" s="31" t="n">
        <v>3344.87</v>
      </c>
      <c r="G21" s="31" t="n">
        <v>526.3</v>
      </c>
      <c r="H21" s="31" t="n">
        <v>5</v>
      </c>
      <c r="I21" s="31" t="n">
        <v>2734893</v>
      </c>
      <c r="J21" s="31" t="inlineStr">
        <is>
          <t>534369</t>
        </is>
      </c>
    </row>
    <row r="22">
      <c r="A22" s="31" t="inlineStr">
        <is>
          <t>DIACABS</t>
        </is>
      </c>
      <c r="B22" s="31" t="inlineStr">
        <is>
          <t>Diamond Power Infrastructure Ltd</t>
        </is>
      </c>
      <c r="C22" s="31" t="inlineStr">
        <is>
          <t>industrials</t>
        </is>
      </c>
      <c r="D22" s="31" t="inlineStr">
        <is>
          <t>cables - power</t>
        </is>
      </c>
      <c r="E22" s="31" t="inlineStr">
        <is>
          <t>largecap</t>
        </is>
      </c>
      <c r="F22" s="31" t="n">
        <v>21022.2</v>
      </c>
      <c r="G22" s="31" t="n">
        <v>369.05</v>
      </c>
      <c r="H22" s="31" t="n">
        <v>4.99</v>
      </c>
      <c r="I22" s="31" t="n">
        <v>1300799</v>
      </c>
      <c r="J22" s="31" t="inlineStr">
        <is>
          <t>522163</t>
        </is>
      </c>
    </row>
    <row r="23">
      <c r="A23" s="31" t="inlineStr">
        <is>
          <t>VALIANTORG</t>
        </is>
      </c>
      <c r="B23" s="31" t="inlineStr">
        <is>
          <t>Valiant Organics Ltd</t>
        </is>
      </c>
      <c r="C23" s="31" t="inlineStr">
        <is>
          <t>chemicals</t>
        </is>
      </c>
      <c r="D23" s="31" t="inlineStr">
        <is>
          <t>chemicals</t>
        </is>
      </c>
      <c r="E23" s="31" t="inlineStr">
        <is>
          <t>smallcap</t>
        </is>
      </c>
      <c r="F23" s="31" t="n">
        <v>1058.17</v>
      </c>
      <c r="G23" s="31" t="n">
        <v>396.3</v>
      </c>
      <c r="H23" s="31" t="n">
        <v>4.99</v>
      </c>
      <c r="I23" s="31" t="n">
        <v>133752</v>
      </c>
      <c r="J23" s="31" t="inlineStr">
        <is>
          <t>540145</t>
        </is>
      </c>
    </row>
    <row r="24">
      <c r="A24" s="31" t="inlineStr">
        <is>
          <t>SIGMAADV</t>
        </is>
      </c>
      <c r="B24" s="31" t="inlineStr">
        <is>
          <t>Sigma Advanced System Ltd</t>
        </is>
      </c>
      <c r="C24" s="31" t="inlineStr">
        <is>
          <t>aerospace &amp; defence</t>
        </is>
      </c>
      <c r="D24" s="31" t="inlineStr">
        <is>
          <t>electronics - components</t>
        </is>
      </c>
      <c r="E24" s="31" t="inlineStr">
        <is>
          <t>midcap</t>
        </is>
      </c>
      <c r="F24" s="31" t="n">
        <v>15024.2</v>
      </c>
      <c r="G24" s="31" t="n">
        <v>832.45</v>
      </c>
      <c r="H24" s="31" t="n">
        <v>4.99</v>
      </c>
      <c r="I24" s="31" t="n">
        <v>366669</v>
      </c>
      <c r="J24" s="31" t="inlineStr">
        <is>
          <t>532408</t>
        </is>
      </c>
    </row>
    <row r="25">
      <c r="A25" s="31" t="inlineStr">
        <is>
          <t>STLTECH</t>
        </is>
      </c>
      <c r="B25" s="31" t="inlineStr">
        <is>
          <t>Sterlite Technologies Limited</t>
        </is>
      </c>
      <c r="C25" s="31" t="inlineStr">
        <is>
          <t>industrials</t>
        </is>
      </c>
      <c r="D25" s="31" t="inlineStr">
        <is>
          <t>cables - telephone</t>
        </is>
      </c>
      <c r="E25" s="31" t="inlineStr">
        <is>
          <t>largecap</t>
        </is>
      </c>
      <c r="F25" s="31" t="n">
        <v>43925.27</v>
      </c>
      <c r="G25" s="31" t="n">
        <v>897.4</v>
      </c>
      <c r="H25" s="31" t="n">
        <v>4.99</v>
      </c>
      <c r="I25" s="31" t="n">
        <v>2409510</v>
      </c>
      <c r="J25" s="31" t="inlineStr">
        <is>
          <t>532374</t>
        </is>
      </c>
    </row>
    <row r="26">
      <c r="A26" s="31" t="inlineStr">
        <is>
          <t>STLNETWORK</t>
        </is>
      </c>
      <c r="B26" s="31" t="inlineStr">
        <is>
          <t>STL Networks Ltd</t>
        </is>
      </c>
      <c r="C26" s="31" t="inlineStr">
        <is>
          <t>telecom-service</t>
        </is>
      </c>
      <c r="D26" s="31" t="inlineStr">
        <is>
          <t>telecommunications - service provider</t>
        </is>
      </c>
      <c r="E26" s="31" t="inlineStr">
        <is>
          <t>smallcap</t>
        </is>
      </c>
      <c r="F26" s="31" t="n">
        <v>1701.43</v>
      </c>
      <c r="G26" s="31" t="n">
        <v>36.6</v>
      </c>
      <c r="H26" s="31" t="n">
        <v>4.99</v>
      </c>
      <c r="I26" s="31" t="n">
        <v>5579818</v>
      </c>
      <c r="J26" s="31" t="inlineStr">
        <is>
          <t>544395</t>
        </is>
      </c>
    </row>
    <row r="27">
      <c r="A27" s="31" t="inlineStr">
        <is>
          <t>SETL</t>
        </is>
      </c>
      <c r="B27" s="31" t="inlineStr">
        <is>
          <t>Standard Enginnering Technology Ltd</t>
        </is>
      </c>
      <c r="C27" s="31" t="inlineStr">
        <is>
          <t>industrials</t>
        </is>
      </c>
      <c r="D27" s="31" t="inlineStr">
        <is>
          <t>engineering</t>
        </is>
      </c>
      <c r="E27" s="31" t="inlineStr">
        <is>
          <t>midcap</t>
        </is>
      </c>
      <c r="F27" s="31" t="n">
        <v>8895.33</v>
      </c>
      <c r="G27" s="31" t="n">
        <v>468.15</v>
      </c>
      <c r="H27" s="31" t="n">
        <v>4.99</v>
      </c>
      <c r="I27" s="31" t="n">
        <v>2933978</v>
      </c>
      <c r="J27" s="31" t="inlineStr">
        <is>
          <t>544333</t>
        </is>
      </c>
    </row>
    <row r="28">
      <c r="A28" s="31" t="inlineStr">
        <is>
          <t>GAYAPROJ</t>
        </is>
      </c>
      <c r="B28" s="31" t="inlineStr">
        <is>
          <t>Gayatri Projects Limited</t>
        </is>
      </c>
      <c r="C28" s="31" t="inlineStr">
        <is>
          <t>realty</t>
        </is>
      </c>
      <c r="D28" s="31" t="inlineStr">
        <is>
          <t>construction</t>
        </is>
      </c>
      <c r="E28" s="31" t="inlineStr">
        <is>
          <t>smallcap</t>
        </is>
      </c>
      <c r="F28" s="31" t="n">
        <v>1151.46</v>
      </c>
      <c r="G28" s="31" t="n">
        <v>26.03</v>
      </c>
      <c r="H28" s="31" t="n">
        <v>4.96</v>
      </c>
      <c r="I28" s="31" t="n">
        <v>2686464</v>
      </c>
      <c r="J28" s="31" t="inlineStr">
        <is>
          <t>532767</t>
        </is>
      </c>
    </row>
    <row r="29">
      <c r="A29" s="31" t="inlineStr">
        <is>
          <t>MMP</t>
        </is>
      </c>
      <c r="B29" s="31" t="inlineStr">
        <is>
          <t>MMP Industries Ltd</t>
        </is>
      </c>
      <c r="C29" s="31" t="inlineStr">
        <is>
          <t>metals &amp; mining</t>
        </is>
      </c>
      <c r="D29" s="31" t="inlineStr">
        <is>
          <t>aluminium and aluminium products</t>
        </is>
      </c>
      <c r="E29" s="31" t="inlineStr">
        <is>
          <t>smallcap</t>
        </is>
      </c>
      <c r="F29" s="31" t="n">
        <v>847.27</v>
      </c>
      <c r="G29" s="31" t="n">
        <v>469.95</v>
      </c>
      <c r="H29" s="31" t="n">
        <v>4.95</v>
      </c>
      <c r="I29" s="31" t="n">
        <v>94390</v>
      </c>
      <c r="J29" s="31" t="inlineStr">
        <is>
          <t>535071</t>
        </is>
      </c>
    </row>
    <row r="30">
      <c r="A30" s="31" t="inlineStr">
        <is>
          <t>SMLMAH</t>
        </is>
      </c>
      <c r="B30" s="31" t="inlineStr">
        <is>
          <t>SML Mahindra Ltd</t>
        </is>
      </c>
      <c r="C30" s="31" t="inlineStr">
        <is>
          <t>auto</t>
        </is>
      </c>
      <c r="D30" s="31" t="inlineStr">
        <is>
          <t>automobiles - lcvs / hcvs</t>
        </is>
      </c>
      <c r="E30" s="31" t="inlineStr">
        <is>
          <t>midcap</t>
        </is>
      </c>
      <c r="F30" s="31" t="n">
        <v>9085.299999999999</v>
      </c>
      <c r="G30" s="31" t="n">
        <v>6583</v>
      </c>
      <c r="H30" s="31" t="n">
        <v>4.86</v>
      </c>
      <c r="I30" s="31" t="n">
        <v>109374</v>
      </c>
      <c r="J30" s="31" t="inlineStr">
        <is>
          <t>505192</t>
        </is>
      </c>
    </row>
    <row r="31">
      <c r="A31" s="31" t="inlineStr">
        <is>
          <t>DYNAMATECH</t>
        </is>
      </c>
      <c r="B31" s="31" t="inlineStr">
        <is>
          <t>Dynamatic Technologies Limited</t>
        </is>
      </c>
      <c r="C31" s="31" t="inlineStr">
        <is>
          <t>aerospace &amp; defence</t>
        </is>
      </c>
      <c r="D31" s="31" t="inlineStr">
        <is>
          <t>engineering</t>
        </is>
      </c>
      <c r="E31" s="31" t="inlineStr">
        <is>
          <t>midcap</t>
        </is>
      </c>
      <c r="F31" s="31" t="n">
        <v>7839.36</v>
      </c>
      <c r="G31" s="31" t="n">
        <v>12097</v>
      </c>
      <c r="H31" s="31" t="n">
        <v>4.8</v>
      </c>
      <c r="I31" s="31" t="n">
        <v>62178</v>
      </c>
      <c r="J31" s="31" t="inlineStr">
        <is>
          <t>505242</t>
        </is>
      </c>
    </row>
    <row r="32">
      <c r="A32" s="31" t="inlineStr">
        <is>
          <t>VENKEYS</t>
        </is>
      </c>
      <c r="B32" s="31" t="inlineStr">
        <is>
          <t>Venky's (india) Limited</t>
        </is>
      </c>
      <c r="C32" s="31" t="inlineStr">
        <is>
          <t>fmcg</t>
        </is>
      </c>
      <c r="D32" s="31" t="inlineStr">
        <is>
          <t>miscellaneous</t>
        </is>
      </c>
      <c r="E32" s="31" t="inlineStr">
        <is>
          <t>smallcap</t>
        </is>
      </c>
      <c r="F32" s="31" t="n">
        <v>2404.29</v>
      </c>
      <c r="G32" s="31" t="n">
        <v>1787.2</v>
      </c>
      <c r="H32" s="31" t="n">
        <v>4.72</v>
      </c>
      <c r="I32" s="31" t="n">
        <v>254979</v>
      </c>
      <c r="J32" s="31" t="inlineStr">
        <is>
          <t>523261</t>
        </is>
      </c>
    </row>
    <row r="33">
      <c r="A33" s="31" t="inlineStr">
        <is>
          <t>BIRLACABLE</t>
        </is>
      </c>
      <c r="B33" s="31" t="inlineStr">
        <is>
          <t>Birla Cable Limited</t>
        </is>
      </c>
      <c r="C33" s="31" t="inlineStr">
        <is>
          <t>industrials</t>
        </is>
      </c>
      <c r="D33" s="31" t="inlineStr">
        <is>
          <t>cables - telephone</t>
        </is>
      </c>
      <c r="E33" s="31" t="inlineStr">
        <is>
          <t>smallcap</t>
        </is>
      </c>
      <c r="F33" s="31" t="n">
        <v>1123.95</v>
      </c>
      <c r="G33" s="31" t="n">
        <v>392.35</v>
      </c>
      <c r="H33" s="31" t="n">
        <v>4.72</v>
      </c>
      <c r="I33" s="31" t="n">
        <v>996485</v>
      </c>
      <c r="J33" s="31" t="inlineStr">
        <is>
          <t>500060</t>
        </is>
      </c>
    </row>
    <row r="34">
      <c r="A34" s="31" t="inlineStr">
        <is>
          <t>BHAGERIA</t>
        </is>
      </c>
      <c r="B34" s="31" t="inlineStr">
        <is>
          <t>Bhageria Industries Limited</t>
        </is>
      </c>
      <c r="C34" s="31" t="inlineStr">
        <is>
          <t>chemicals</t>
        </is>
      </c>
      <c r="D34" s="31" t="inlineStr">
        <is>
          <t>dyes and pigments</t>
        </is>
      </c>
      <c r="E34" s="31" t="inlineStr">
        <is>
          <t>smallcap</t>
        </is>
      </c>
      <c r="F34" s="31" t="n">
        <v>1322.86</v>
      </c>
      <c r="G34" s="31" t="n">
        <v>317.05</v>
      </c>
      <c r="H34" s="31" t="n">
        <v>4.6</v>
      </c>
      <c r="I34" s="31" t="n">
        <v>395692</v>
      </c>
      <c r="J34" s="31" t="inlineStr">
        <is>
          <t>530803</t>
        </is>
      </c>
    </row>
    <row r="35">
      <c r="A35" s="31" t="inlineStr">
        <is>
          <t>INDORAMA</t>
        </is>
      </c>
      <c r="B35" s="31" t="inlineStr">
        <is>
          <t>Indo Rama Synthetics (india) Limited</t>
        </is>
      </c>
      <c r="C35" s="31" t="inlineStr">
        <is>
          <t>textiles</t>
        </is>
      </c>
      <c r="D35" s="31" t="inlineStr">
        <is>
          <t>textiles - manmade</t>
        </is>
      </c>
      <c r="E35" s="31" t="inlineStr">
        <is>
          <t>smallcap</t>
        </is>
      </c>
      <c r="F35" s="31" t="n">
        <v>2165.41</v>
      </c>
      <c r="G35" s="31" t="n">
        <v>86.5</v>
      </c>
      <c r="H35" s="31" t="n">
        <v>4.3</v>
      </c>
      <c r="I35" s="31" t="n">
        <v>1794174</v>
      </c>
      <c r="J35" s="31" t="inlineStr">
        <is>
          <t>500207</t>
        </is>
      </c>
    </row>
    <row r="36">
      <c r="A36" s="31" t="inlineStr">
        <is>
          <t>BLUESTONE</t>
        </is>
      </c>
      <c r="B36" s="31" t="inlineStr">
        <is>
          <t>Bluestone Jewellery and Lifestyle Ltd</t>
        </is>
      </c>
      <c r="C36" s="31" t="inlineStr">
        <is>
          <t>consumer discretionary</t>
        </is>
      </c>
      <c r="D36" s="31" t="inlineStr">
        <is>
          <t>diamond cutting / jewellery</t>
        </is>
      </c>
      <c r="E36" s="31" t="inlineStr">
        <is>
          <t>midcap</t>
        </is>
      </c>
      <c r="F36" s="31" t="n">
        <v>13032.64</v>
      </c>
      <c r="G36" s="31" t="n">
        <v>890.35</v>
      </c>
      <c r="H36" s="31" t="n">
        <v>4.12</v>
      </c>
      <c r="I36" s="31" t="n">
        <v>1308518</v>
      </c>
      <c r="J36" s="31" t="n"/>
    </row>
    <row r="37">
      <c r="A37" s="31" t="inlineStr">
        <is>
          <t>ANUHPHR</t>
        </is>
      </c>
      <c r="B37" s="31" t="inlineStr">
        <is>
          <t>Anuh Pharma Ltd</t>
        </is>
      </c>
      <c r="C37" s="31" t="inlineStr">
        <is>
          <t>healthcare</t>
        </is>
      </c>
      <c r="D37" s="31" t="inlineStr">
        <is>
          <t>pharmaceuticals - indian - bulk drugs</t>
        </is>
      </c>
      <c r="E37" s="31" t="inlineStr">
        <is>
          <t>smallcap</t>
        </is>
      </c>
      <c r="F37" s="31" t="n">
        <v>914.14</v>
      </c>
      <c r="G37" s="31" t="n">
        <v>94.86</v>
      </c>
      <c r="H37" s="31" t="n">
        <v>4</v>
      </c>
      <c r="I37" s="31" t="n">
        <v>222204</v>
      </c>
      <c r="J37" s="31" t="inlineStr">
        <is>
          <t>506260</t>
        </is>
      </c>
    </row>
    <row r="38">
      <c r="A38" s="31" t="inlineStr">
        <is>
          <t>SOFTTECH</t>
        </is>
      </c>
      <c r="B38" s="31" t="inlineStr">
        <is>
          <t>Softtech Engineers Ltd</t>
        </is>
      </c>
      <c r="C38" s="31" t="inlineStr">
        <is>
          <t>i.t</t>
        </is>
      </c>
      <c r="D38" s="31" t="inlineStr">
        <is>
          <t>computers - software - medium / small</t>
        </is>
      </c>
      <c r="E38" s="31" t="inlineStr">
        <is>
          <t>smallcap</t>
        </is>
      </c>
      <c r="F38" s="31" t="n">
        <v>602.13</v>
      </c>
      <c r="G38" s="31" t="n">
        <v>452.35</v>
      </c>
      <c r="H38" s="31" t="n">
        <v>3.99</v>
      </c>
      <c r="I38" s="31" t="n">
        <v>7424</v>
      </c>
      <c r="J38" s="31" t="inlineStr">
        <is>
          <t>535078</t>
        </is>
      </c>
    </row>
    <row r="39">
      <c r="A39" s="31" t="inlineStr">
        <is>
          <t>ITDC</t>
        </is>
      </c>
      <c r="B39" s="31" t="inlineStr">
        <is>
          <t>India Tourism Development Corporation Ltd</t>
        </is>
      </c>
      <c r="C39" s="31" t="inlineStr">
        <is>
          <t>services</t>
        </is>
      </c>
      <c r="D39" s="31" t="inlineStr">
        <is>
          <t>hotels</t>
        </is>
      </c>
      <c r="E39" s="31" t="inlineStr">
        <is>
          <t>midcap</t>
        </is>
      </c>
      <c r="F39" s="31" t="n">
        <v>5700.23</v>
      </c>
      <c r="G39" s="31" t="n">
        <v>690.85</v>
      </c>
      <c r="H39" s="31" t="n">
        <v>3.95</v>
      </c>
      <c r="I39" s="31" t="n">
        <v>3431057</v>
      </c>
      <c r="J39" s="31" t="inlineStr">
        <is>
          <t>532189</t>
        </is>
      </c>
    </row>
    <row r="40">
      <c r="A40" s="31" t="inlineStr">
        <is>
          <t>PAYTM</t>
        </is>
      </c>
      <c r="B40" s="31" t="inlineStr">
        <is>
          <t>One 97 Communications Ltd</t>
        </is>
      </c>
      <c r="C40" s="31" t="inlineStr">
        <is>
          <t>i.t</t>
        </is>
      </c>
      <c r="D40" s="31" t="inlineStr">
        <is>
          <t>miscellaneous</t>
        </is>
      </c>
      <c r="E40" s="31" t="inlineStr">
        <is>
          <t>largecap</t>
        </is>
      </c>
      <c r="F40" s="31" t="n">
        <v>111354.61</v>
      </c>
      <c r="G40" s="31" t="n">
        <v>1807.5</v>
      </c>
      <c r="H40" s="31" t="n">
        <v>3.94</v>
      </c>
      <c r="I40" s="31" t="n">
        <v>9269434</v>
      </c>
      <c r="J40" s="31" t="inlineStr">
        <is>
          <t>543396</t>
        </is>
      </c>
    </row>
    <row r="41">
      <c r="A41" s="31" t="inlineStr">
        <is>
          <t>FIVESTAR</t>
        </is>
      </c>
      <c r="B41" s="31" t="inlineStr">
        <is>
          <t>Five-Star Business Finance Ltd</t>
        </is>
      </c>
      <c r="C41" s="31" t="inlineStr">
        <is>
          <t>financials</t>
        </is>
      </c>
      <c r="D41" s="31" t="inlineStr">
        <is>
          <t>finance &amp; investments</t>
        </is>
      </c>
      <c r="E41" s="31" t="inlineStr">
        <is>
          <t>midcap</t>
        </is>
      </c>
      <c r="F41" s="31" t="n">
        <v>15663.72</v>
      </c>
      <c r="G41" s="31" t="n">
        <v>551.05</v>
      </c>
      <c r="H41" s="31" t="n">
        <v>3.84</v>
      </c>
      <c r="I41" s="31" t="n">
        <v>1960216</v>
      </c>
      <c r="J41" s="31" t="n"/>
    </row>
    <row r="42">
      <c r="A42" s="31" t="inlineStr">
        <is>
          <t>BODALCHEM</t>
        </is>
      </c>
      <c r="B42" s="31" t="inlineStr">
        <is>
          <t>Bodal Chemicals Limited</t>
        </is>
      </c>
      <c r="C42" s="31" t="inlineStr">
        <is>
          <t>chemicals</t>
        </is>
      </c>
      <c r="D42" s="31" t="inlineStr">
        <is>
          <t>dyes and pigments</t>
        </is>
      </c>
      <c r="E42" s="31" t="inlineStr">
        <is>
          <t>smallcap</t>
        </is>
      </c>
      <c r="F42" s="31" t="n">
        <v>2092.06</v>
      </c>
      <c r="G42" s="31" t="n">
        <v>172.4</v>
      </c>
      <c r="H42" s="31" t="n">
        <v>3.79</v>
      </c>
      <c r="I42" s="31" t="n">
        <v>7456837</v>
      </c>
      <c r="J42" s="31" t="inlineStr">
        <is>
          <t>524370</t>
        </is>
      </c>
    </row>
    <row r="43">
      <c r="A43" s="31" t="inlineStr">
        <is>
          <t>SAKAR</t>
        </is>
      </c>
      <c r="B43" s="31" t="inlineStr">
        <is>
          <t>Sakar Healthcare Ltd</t>
        </is>
      </c>
      <c r="C43" s="31" t="inlineStr">
        <is>
          <t>healthcare</t>
        </is>
      </c>
      <c r="D43" s="31" t="inlineStr">
        <is>
          <t>pharmaceuticals - indian - bulk drugs &amp; formln</t>
        </is>
      </c>
      <c r="E43" s="31" t="inlineStr">
        <is>
          <t>smallcap</t>
        </is>
      </c>
      <c r="F43" s="31" t="n">
        <v>2485.98</v>
      </c>
      <c r="G43" s="31" t="n">
        <v>1158.55</v>
      </c>
      <c r="H43" s="31" t="n">
        <v>3.69</v>
      </c>
      <c r="I43" s="31" t="n">
        <v>181225</v>
      </c>
      <c r="J43" s="31" t="inlineStr">
        <is>
          <t>538377</t>
        </is>
      </c>
    </row>
    <row r="44">
      <c r="A44" s="31" t="inlineStr">
        <is>
          <t>VENUSPIPES</t>
        </is>
      </c>
      <c r="B44" s="31" t="inlineStr">
        <is>
          <t>Venus Pipes &amp; Tubes Ltd</t>
        </is>
      </c>
      <c r="C44" s="31" t="inlineStr">
        <is>
          <t>metals &amp; mining</t>
        </is>
      </c>
      <c r="D44" s="31" t="inlineStr">
        <is>
          <t>steel - medium / small</t>
        </is>
      </c>
      <c r="E44" s="31" t="inlineStr">
        <is>
          <t>smallcap</t>
        </is>
      </c>
      <c r="F44" s="31" t="n">
        <v>4037.78</v>
      </c>
      <c r="G44" s="31" t="n">
        <v>2020.1</v>
      </c>
      <c r="H44" s="31" t="n">
        <v>3.64</v>
      </c>
      <c r="I44" s="31" t="n">
        <v>301736</v>
      </c>
      <c r="J44" s="31" t="inlineStr">
        <is>
          <t>543528</t>
        </is>
      </c>
    </row>
    <row r="45">
      <c r="A45" s="31" t="inlineStr">
        <is>
          <t>CONCORDBIO</t>
        </is>
      </c>
      <c r="B45" s="31" t="inlineStr">
        <is>
          <t>Concord Biotech Ltd</t>
        </is>
      </c>
      <c r="C45" s="31" t="inlineStr">
        <is>
          <t>healthcare</t>
        </is>
      </c>
      <c r="D45" s="31" t="inlineStr">
        <is>
          <t>pharmaceuticals - indian - bulk drugs &amp; formln</t>
        </is>
      </c>
      <c r="E45" s="31" t="inlineStr">
        <is>
          <t>midcap</t>
        </is>
      </c>
      <c r="F45" s="31" t="n">
        <v>15198.64</v>
      </c>
      <c r="G45" s="31" t="n">
        <v>1505.7</v>
      </c>
      <c r="H45" s="31" t="n">
        <v>3.64</v>
      </c>
      <c r="I45" s="31" t="n">
        <v>372504</v>
      </c>
      <c r="J45" s="31" t="inlineStr">
        <is>
          <t>543960</t>
        </is>
      </c>
    </row>
    <row r="46">
      <c r="A46" s="31" t="inlineStr">
        <is>
          <t>AKUMS</t>
        </is>
      </c>
      <c r="B46" s="31" t="inlineStr">
        <is>
          <t>Akums Drugs &amp; Pharmaceuticals Ltd</t>
        </is>
      </c>
      <c r="C46" s="31" t="inlineStr">
        <is>
          <t>healthcare</t>
        </is>
      </c>
      <c r="D46" s="31" t="inlineStr">
        <is>
          <t>pharmaceuticals - indian - bulk drugs &amp; formln</t>
        </is>
      </c>
      <c r="E46" s="31" t="inlineStr">
        <is>
          <t>midcap</t>
        </is>
      </c>
      <c r="F46" s="31" t="n">
        <v>11799.04</v>
      </c>
      <c r="G46" s="31" t="n">
        <v>776.35</v>
      </c>
      <c r="H46" s="31" t="n">
        <v>3.56</v>
      </c>
      <c r="I46" s="31" t="n">
        <v>398725</v>
      </c>
      <c r="J46" s="31" t="inlineStr">
        <is>
          <t>544222</t>
        </is>
      </c>
    </row>
    <row r="47">
      <c r="A47" s="31" t="inlineStr">
        <is>
          <t>STEL</t>
        </is>
      </c>
      <c r="B47" s="31" t="inlineStr">
        <is>
          <t>Stel Holdings Limited</t>
        </is>
      </c>
      <c r="C47" s="31" t="inlineStr">
        <is>
          <t>financials</t>
        </is>
      </c>
      <c r="D47" s="31" t="inlineStr">
        <is>
          <t>finance &amp; investments</t>
        </is>
      </c>
      <c r="E47" s="31" t="inlineStr">
        <is>
          <t>smallcap</t>
        </is>
      </c>
      <c r="F47" s="31" t="n">
        <v>1089.24</v>
      </c>
      <c r="G47" s="31" t="n">
        <v>611.1</v>
      </c>
      <c r="H47" s="31" t="n">
        <v>3.54</v>
      </c>
      <c r="I47" s="31" t="n">
        <v>4670</v>
      </c>
      <c r="J47" s="31" t="n"/>
    </row>
    <row r="48">
      <c r="A48" s="31" t="inlineStr">
        <is>
          <t>AEGISLOG</t>
        </is>
      </c>
      <c r="B48" s="31" t="inlineStr">
        <is>
          <t>Aegis Logistics Ltd</t>
        </is>
      </c>
      <c r="C48" s="31" t="inlineStr">
        <is>
          <t>services</t>
        </is>
      </c>
      <c r="D48" s="31" t="inlineStr">
        <is>
          <t>trading</t>
        </is>
      </c>
      <c r="E48" s="31" t="inlineStr">
        <is>
          <t>largecap</t>
        </is>
      </c>
      <c r="F48" s="31" t="n">
        <v>45896.76</v>
      </c>
      <c r="G48" s="31" t="n">
        <v>1353.6</v>
      </c>
      <c r="H48" s="31" t="n">
        <v>3.52</v>
      </c>
      <c r="I48" s="31" t="n">
        <v>1216825</v>
      </c>
      <c r="J48" s="31" t="inlineStr">
        <is>
          <t>500003</t>
        </is>
      </c>
    </row>
    <row r="49">
      <c r="A49" s="31" t="inlineStr">
        <is>
          <t>ABDL</t>
        </is>
      </c>
      <c r="B49" s="31" t="inlineStr">
        <is>
          <t>Allied Blenders &amp; Distillers Ltd</t>
        </is>
      </c>
      <c r="C49" s="31" t="inlineStr">
        <is>
          <t>fmcg</t>
        </is>
      </c>
      <c r="D49" s="31" t="inlineStr">
        <is>
          <t>breweries &amp; distilleries</t>
        </is>
      </c>
      <c r="E49" s="31" t="inlineStr">
        <is>
          <t>midcap</t>
        </is>
      </c>
      <c r="F49" s="31" t="n">
        <v>17102.88</v>
      </c>
      <c r="G49" s="31" t="n">
        <v>632.5</v>
      </c>
      <c r="H49" s="31" t="n">
        <v>3.44</v>
      </c>
      <c r="I49" s="31" t="n">
        <v>563681</v>
      </c>
      <c r="J49" s="31" t="inlineStr">
        <is>
          <t>544203</t>
        </is>
      </c>
    </row>
    <row r="50">
      <c r="A50" s="31" t="inlineStr">
        <is>
          <t>KROSS</t>
        </is>
      </c>
      <c r="B50" s="31" t="inlineStr">
        <is>
          <t>Kross Ltd</t>
        </is>
      </c>
      <c r="C50" s="31" t="inlineStr">
        <is>
          <t>auto</t>
        </is>
      </c>
      <c r="D50" s="31" t="inlineStr">
        <is>
          <t>auto ancillaries</t>
        </is>
      </c>
      <c r="E50" s="31" t="inlineStr">
        <is>
          <t>smallcap</t>
        </is>
      </c>
      <c r="F50" s="31" t="n">
        <v>1493.65</v>
      </c>
      <c r="G50" s="31" t="n">
        <v>239.07</v>
      </c>
      <c r="H50" s="31" t="n">
        <v>3.25</v>
      </c>
      <c r="I50" s="31" t="n">
        <v>2135648</v>
      </c>
      <c r="J50" s="31" t="inlineStr">
        <is>
          <t>544253</t>
        </is>
      </c>
    </row>
    <row r="51">
      <c r="A51" s="31" t="inlineStr">
        <is>
          <t>SIGNPOST</t>
        </is>
      </c>
      <c r="B51" s="31" t="inlineStr">
        <is>
          <t>Signpost India Ltd</t>
        </is>
      </c>
      <c r="C51" s="31" t="inlineStr">
        <is>
          <t>miscellaneous</t>
        </is>
      </c>
      <c r="D51" s="31" t="inlineStr">
        <is>
          <t>miscellaneous</t>
        </is>
      </c>
      <c r="E51" s="31" t="inlineStr">
        <is>
          <t>smallcap</t>
        </is>
      </c>
      <c r="F51" s="31" t="n">
        <v>1431.39</v>
      </c>
      <c r="G51" s="31" t="n">
        <v>276.25</v>
      </c>
      <c r="H51" s="31" t="n">
        <v>3.16</v>
      </c>
      <c r="I51" s="31" t="n">
        <v>102421</v>
      </c>
      <c r="J51" s="31" t="n"/>
    </row>
    <row r="52">
      <c r="A52" s="31" t="inlineStr">
        <is>
          <t>EXICOM</t>
        </is>
      </c>
      <c r="B52" s="31" t="inlineStr">
        <is>
          <t>Exicom Tele-Systems Ltd</t>
        </is>
      </c>
      <c r="C52" s="31" t="inlineStr">
        <is>
          <t>industrials</t>
        </is>
      </c>
      <c r="D52" s="31" t="inlineStr">
        <is>
          <t>electric equipment</t>
        </is>
      </c>
      <c r="E52" s="31" t="inlineStr">
        <is>
          <t>smallcap</t>
        </is>
      </c>
      <c r="F52" s="31" t="n">
        <v>2457.96</v>
      </c>
      <c r="G52" s="31" t="n">
        <v>182.28</v>
      </c>
      <c r="H52" s="31" t="n">
        <v>3.14</v>
      </c>
      <c r="I52" s="31" t="n">
        <v>1693706</v>
      </c>
      <c r="J52" s="31" t="inlineStr">
        <is>
          <t>544133</t>
        </is>
      </c>
    </row>
    <row r="53">
      <c r="A53" s="31" t="inlineStr">
        <is>
          <t>WABAG</t>
        </is>
      </c>
      <c r="B53" s="31" t="inlineStr">
        <is>
          <t>Va Tech Wabag Limited</t>
        </is>
      </c>
      <c r="C53" s="31" t="inlineStr">
        <is>
          <t>realty</t>
        </is>
      </c>
      <c r="D53" s="31" t="inlineStr">
        <is>
          <t>engineering - turnkey services</t>
        </is>
      </c>
      <c r="E53" s="31" t="inlineStr">
        <is>
          <t>midcap</t>
        </is>
      </c>
      <c r="F53" s="31" t="n">
        <v>13791.63</v>
      </c>
      <c r="G53" s="31" t="n">
        <v>2277.9</v>
      </c>
      <c r="H53" s="31" t="n">
        <v>2.99</v>
      </c>
      <c r="I53" s="31" t="n">
        <v>2231415</v>
      </c>
      <c r="J53" s="31" t="inlineStr">
        <is>
          <t>533269</t>
        </is>
      </c>
    </row>
    <row r="54">
      <c r="A54" s="31" t="inlineStr">
        <is>
          <t>TIIL</t>
        </is>
      </c>
      <c r="B54" s="31" t="inlineStr">
        <is>
          <t>Technocraft Industries (india) Limited</t>
        </is>
      </c>
      <c r="C54" s="31" t="inlineStr">
        <is>
          <t>metals &amp; mining</t>
        </is>
      </c>
      <c r="D54" s="31" t="inlineStr">
        <is>
          <t>steel - medium / small</t>
        </is>
      </c>
      <c r="E54" s="31" t="inlineStr">
        <is>
          <t>midcap</t>
        </is>
      </c>
      <c r="F54" s="31" t="n">
        <v>7158.03</v>
      </c>
      <c r="G54" s="31" t="n">
        <v>3250.2</v>
      </c>
      <c r="H54" s="31" t="n">
        <v>2.95</v>
      </c>
      <c r="I54" s="31" t="n">
        <v>40351</v>
      </c>
      <c r="J54" s="31" t="inlineStr">
        <is>
          <t>532804</t>
        </is>
      </c>
    </row>
    <row r="55">
      <c r="A55" s="31" t="inlineStr">
        <is>
          <t>BLISSGVS</t>
        </is>
      </c>
      <c r="B55" s="31" t="inlineStr">
        <is>
          <t>Bliss Gvs Pharma Limited</t>
        </is>
      </c>
      <c r="C55" s="31" t="inlineStr">
        <is>
          <t>healthcare</t>
        </is>
      </c>
      <c r="D55" s="31" t="inlineStr">
        <is>
          <t>pharmaceuticals - indian - formulations</t>
        </is>
      </c>
      <c r="E55" s="31" t="inlineStr">
        <is>
          <t>midcap</t>
        </is>
      </c>
      <c r="F55" s="31" t="n">
        <v>7428.71</v>
      </c>
      <c r="G55" s="31" t="n">
        <v>720.95</v>
      </c>
      <c r="H55" s="31" t="n">
        <v>2.93</v>
      </c>
      <c r="I55" s="31" t="n">
        <v>190726</v>
      </c>
      <c r="J55" s="31" t="inlineStr">
        <is>
          <t>506197</t>
        </is>
      </c>
    </row>
    <row r="56">
      <c r="A56" s="31" t="inlineStr">
        <is>
          <t>AZAD</t>
        </is>
      </c>
      <c r="B56" s="31" t="inlineStr">
        <is>
          <t>Azad Engineering Ltd</t>
        </is>
      </c>
      <c r="C56" s="31" t="inlineStr">
        <is>
          <t>aerospace &amp; defence</t>
        </is>
      </c>
      <c r="D56" s="31" t="inlineStr">
        <is>
          <t>engineering</t>
        </is>
      </c>
      <c r="E56" s="31" t="inlineStr">
        <is>
          <t>midcap</t>
        </is>
      </c>
      <c r="F56" s="31" t="n">
        <v>17911.75</v>
      </c>
      <c r="G56" s="31" t="n">
        <v>2849.1</v>
      </c>
      <c r="H56" s="31" t="n">
        <v>2.73</v>
      </c>
      <c r="I56" s="31" t="n">
        <v>454037</v>
      </c>
      <c r="J56" s="31" t="inlineStr">
        <is>
          <t>544061</t>
        </is>
      </c>
    </row>
    <row r="57">
      <c r="A57" s="31" t="inlineStr">
        <is>
          <t>JAMNAAUTO</t>
        </is>
      </c>
      <c r="B57" s="31" t="inlineStr">
        <is>
          <t>Jamna Auto Industries Limited</t>
        </is>
      </c>
      <c r="C57" s="31" t="inlineStr">
        <is>
          <t>auto</t>
        </is>
      </c>
      <c r="D57" s="31" t="inlineStr">
        <is>
          <t>auto ancillaries</t>
        </is>
      </c>
      <c r="E57" s="31" t="inlineStr">
        <is>
          <t>midcap</t>
        </is>
      </c>
      <c r="F57" s="31" t="n">
        <v>5271.59</v>
      </c>
      <c r="G57" s="31" t="n">
        <v>135.46</v>
      </c>
      <c r="H57" s="31" t="n">
        <v>2.73</v>
      </c>
      <c r="I57" s="31" t="n">
        <v>6244729</v>
      </c>
      <c r="J57" s="31" t="inlineStr">
        <is>
          <t>520051</t>
        </is>
      </c>
    </row>
    <row r="58">
      <c r="A58" s="31" t="inlineStr">
        <is>
          <t>GLOBAL</t>
        </is>
      </c>
      <c r="B58" s="31" t="inlineStr">
        <is>
          <t>Global Education Ltd</t>
        </is>
      </c>
      <c r="C58" s="31" t="inlineStr">
        <is>
          <t>services</t>
        </is>
      </c>
      <c r="D58" s="31" t="inlineStr">
        <is>
          <t>miscellaneous</t>
        </is>
      </c>
      <c r="E58" s="31" t="inlineStr">
        <is>
          <t>smallcap</t>
        </is>
      </c>
      <c r="F58" s="31" t="n">
        <v>628.9400000000001</v>
      </c>
      <c r="G58" s="31" t="n">
        <v>126.91</v>
      </c>
      <c r="H58" s="31" t="n">
        <v>2.71</v>
      </c>
      <c r="I58" s="31" t="n">
        <v>180836</v>
      </c>
      <c r="J58" s="31" t="inlineStr">
        <is>
          <t>538406</t>
        </is>
      </c>
    </row>
    <row r="59">
      <c r="A59" s="31" t="inlineStr">
        <is>
          <t>ARROWGREEN</t>
        </is>
      </c>
      <c r="B59" s="31" t="inlineStr">
        <is>
          <t>Arrow Greentech Limited</t>
        </is>
      </c>
      <c r="C59" s="31" t="inlineStr">
        <is>
          <t>plastic products</t>
        </is>
      </c>
      <c r="D59" s="31" t="inlineStr">
        <is>
          <t>plastics products</t>
        </is>
      </c>
      <c r="E59" s="31" t="inlineStr">
        <is>
          <t>smallcap</t>
        </is>
      </c>
      <c r="F59" s="31" t="n">
        <v>1194.51</v>
      </c>
      <c r="G59" s="31" t="n">
        <v>813</v>
      </c>
      <c r="H59" s="31" t="n">
        <v>2.69</v>
      </c>
      <c r="I59" s="31" t="n">
        <v>19342</v>
      </c>
      <c r="J59" s="31" t="inlineStr">
        <is>
          <t>516064</t>
        </is>
      </c>
    </row>
    <row r="60">
      <c r="A60" s="31" t="inlineStr">
        <is>
          <t>VOLTAMP</t>
        </is>
      </c>
      <c r="B60" s="31" t="inlineStr">
        <is>
          <t>Voltamp Transformers Limited</t>
        </is>
      </c>
      <c r="C60" s="31" t="inlineStr">
        <is>
          <t>industrials</t>
        </is>
      </c>
      <c r="D60" s="31" t="inlineStr">
        <is>
          <t>electric equipment</t>
        </is>
      </c>
      <c r="E60" s="31" t="inlineStr">
        <is>
          <t>midcap</t>
        </is>
      </c>
      <c r="F60" s="31" t="n">
        <v>11051.94</v>
      </c>
      <c r="G60" s="31" t="n">
        <v>11217</v>
      </c>
      <c r="H60" s="31" t="n">
        <v>2.68</v>
      </c>
      <c r="I60" s="31" t="n">
        <v>22505</v>
      </c>
      <c r="J60" s="31" t="inlineStr">
        <is>
          <t>532757</t>
        </is>
      </c>
    </row>
    <row r="61">
      <c r="A61" s="31" t="inlineStr">
        <is>
          <t>UNIMECH</t>
        </is>
      </c>
      <c r="B61" s="31" t="inlineStr">
        <is>
          <t>Unimech Aerospace and Manufacturing Ltd</t>
        </is>
      </c>
      <c r="C61" s="31" t="inlineStr">
        <is>
          <t>aerospace &amp; defence</t>
        </is>
      </c>
      <c r="D61" s="31" t="inlineStr">
        <is>
          <t>engineering</t>
        </is>
      </c>
      <c r="E61" s="31" t="inlineStr">
        <is>
          <t>midcap</t>
        </is>
      </c>
      <c r="F61" s="31" t="n">
        <v>7974.87</v>
      </c>
      <c r="G61" s="31" t="n">
        <v>1610</v>
      </c>
      <c r="H61" s="31" t="n">
        <v>2.67</v>
      </c>
      <c r="I61" s="31" t="n">
        <v>296742</v>
      </c>
      <c r="J61" s="31" t="inlineStr">
        <is>
          <t>544322</t>
        </is>
      </c>
    </row>
    <row r="62">
      <c r="A62" s="31" t="inlineStr">
        <is>
          <t>LUMAXTECH</t>
        </is>
      </c>
      <c r="B62" s="31" t="inlineStr">
        <is>
          <t>Lumax Auto Technologies Limited</t>
        </is>
      </c>
      <c r="C62" s="31" t="inlineStr">
        <is>
          <t>auto</t>
        </is>
      </c>
      <c r="D62" s="31" t="inlineStr">
        <is>
          <t>auto ancillaries</t>
        </is>
      </c>
      <c r="E62" s="31" t="inlineStr">
        <is>
          <t>midcap</t>
        </is>
      </c>
      <c r="F62" s="31" t="n">
        <v>13240.32</v>
      </c>
      <c r="G62" s="31" t="n">
        <v>1993.7</v>
      </c>
      <c r="H62" s="31" t="n">
        <v>2.63</v>
      </c>
      <c r="I62" s="31" t="n">
        <v>164997</v>
      </c>
      <c r="J62" s="31" t="inlineStr">
        <is>
          <t>532796</t>
        </is>
      </c>
    </row>
    <row r="63">
      <c r="A63" s="31" t="inlineStr">
        <is>
          <t>ANGELONE</t>
        </is>
      </c>
      <c r="B63" s="31" t="inlineStr">
        <is>
          <t>Angel One Ltd</t>
        </is>
      </c>
      <c r="C63" s="31" t="inlineStr">
        <is>
          <t>financials</t>
        </is>
      </c>
      <c r="D63" s="31" t="inlineStr">
        <is>
          <t>finance &amp; investments</t>
        </is>
      </c>
      <c r="E63" s="31" t="inlineStr">
        <is>
          <t>largecap</t>
        </is>
      </c>
      <c r="F63" s="31" t="n">
        <v>27158.92</v>
      </c>
      <c r="G63" s="31" t="n">
        <v>305</v>
      </c>
      <c r="H63" s="31" t="n">
        <v>2.59</v>
      </c>
      <c r="I63" s="31" t="n">
        <v>5942668</v>
      </c>
      <c r="J63" s="31" t="n"/>
    </row>
    <row r="64">
      <c r="A64" s="31" t="inlineStr">
        <is>
          <t>YUKEN</t>
        </is>
      </c>
      <c r="B64" s="31" t="inlineStr">
        <is>
          <t>Yuken India Ltd</t>
        </is>
      </c>
      <c r="C64" s="31" t="inlineStr">
        <is>
          <t>industrials</t>
        </is>
      </c>
      <c r="D64" s="31" t="inlineStr">
        <is>
          <t>engineering</t>
        </is>
      </c>
      <c r="E64" s="31" t="inlineStr">
        <is>
          <t>smallcap</t>
        </is>
      </c>
      <c r="F64" s="31" t="n">
        <v>1474.81</v>
      </c>
      <c r="G64" s="31" t="n">
        <v>1113.75</v>
      </c>
      <c r="H64" s="31" t="n">
        <v>2.58</v>
      </c>
      <c r="I64" s="31" t="n">
        <v>35432</v>
      </c>
      <c r="J64" s="31" t="inlineStr">
        <is>
          <t>522108</t>
        </is>
      </c>
    </row>
    <row r="65">
      <c r="A65" s="31" t="inlineStr">
        <is>
          <t>63MOONS</t>
        </is>
      </c>
      <c r="B65" s="31" t="inlineStr">
        <is>
          <t>63 Moons Technologies Ltd</t>
        </is>
      </c>
      <c r="C65" s="31" t="inlineStr">
        <is>
          <t>i.t</t>
        </is>
      </c>
      <c r="D65" s="31" t="inlineStr">
        <is>
          <t>computers - software - medium / small</t>
        </is>
      </c>
      <c r="E65" s="31" t="inlineStr">
        <is>
          <t>smallcap</t>
        </is>
      </c>
      <c r="F65" s="31" t="n">
        <v>4084.17</v>
      </c>
      <c r="G65" s="31" t="n">
        <v>908.9</v>
      </c>
      <c r="H65" s="31" t="n">
        <v>2.54</v>
      </c>
      <c r="I65" s="31" t="n">
        <v>1336886</v>
      </c>
      <c r="J65" s="31" t="inlineStr">
        <is>
          <t>526881</t>
        </is>
      </c>
    </row>
    <row r="66">
      <c r="A66" s="31" t="inlineStr">
        <is>
          <t>MARINE</t>
        </is>
      </c>
      <c r="B66" s="31" t="inlineStr">
        <is>
          <t>Marine Electricals (India) Ltd</t>
        </is>
      </c>
      <c r="C66" s="31" t="inlineStr">
        <is>
          <t>industrials</t>
        </is>
      </c>
      <c r="D66" s="31" t="inlineStr">
        <is>
          <t>electric equipment</t>
        </is>
      </c>
      <c r="E66" s="31" t="inlineStr">
        <is>
          <t>midcap</t>
        </is>
      </c>
      <c r="F66" s="31" t="n">
        <v>5721.63</v>
      </c>
      <c r="G66" s="31" t="n">
        <v>419.15</v>
      </c>
      <c r="H66" s="31" t="n">
        <v>2.52</v>
      </c>
      <c r="I66" s="31" t="n">
        <v>774758</v>
      </c>
      <c r="J66" s="31" t="inlineStr">
        <is>
          <t>535119</t>
        </is>
      </c>
    </row>
    <row r="67">
      <c r="A67" s="31" t="inlineStr">
        <is>
          <t>MANAKSTEEL</t>
        </is>
      </c>
      <c r="B67" s="31" t="inlineStr">
        <is>
          <t>Manaksia Steels Limited</t>
        </is>
      </c>
      <c r="C67" s="31" t="inlineStr">
        <is>
          <t>metals &amp; mining</t>
        </is>
      </c>
      <c r="D67" s="31" t="inlineStr">
        <is>
          <t>steel - medium / small</t>
        </is>
      </c>
      <c r="E67" s="31" t="inlineStr">
        <is>
          <t>smallcap</t>
        </is>
      </c>
      <c r="F67" s="31" t="n">
        <v>753.71</v>
      </c>
      <c r="G67" s="31" t="n">
        <v>117.91</v>
      </c>
      <c r="H67" s="31" t="n">
        <v>2.52</v>
      </c>
      <c r="I67" s="31" t="n">
        <v>149999</v>
      </c>
      <c r="J67" s="31" t="inlineStr">
        <is>
          <t>539044</t>
        </is>
      </c>
    </row>
    <row r="68">
      <c r="A68" s="31" t="inlineStr">
        <is>
          <t>HATSUN</t>
        </is>
      </c>
      <c r="B68" s="31" t="inlineStr">
        <is>
          <t>Hatsun Agro Product Limited</t>
        </is>
      </c>
      <c r="C68" s="31" t="inlineStr">
        <is>
          <t>fmcg</t>
        </is>
      </c>
      <c r="D68" s="31" t="inlineStr">
        <is>
          <t>food - processing - indian</t>
        </is>
      </c>
      <c r="E68" s="31" t="inlineStr">
        <is>
          <t>largecap</t>
        </is>
      </c>
      <c r="F68" s="31" t="n">
        <v>26607.28</v>
      </c>
      <c r="G68" s="31" t="n">
        <v>1224.4</v>
      </c>
      <c r="H68" s="31" t="n">
        <v>2.5</v>
      </c>
      <c r="I68" s="31" t="n">
        <v>113105</v>
      </c>
      <c r="J68" s="31" t="inlineStr">
        <is>
          <t>531531</t>
        </is>
      </c>
    </row>
    <row r="69">
      <c r="A69" s="31" t="inlineStr">
        <is>
          <t>VALIANTLAB</t>
        </is>
      </c>
      <c r="B69" s="31" t="inlineStr">
        <is>
          <t>Valiant Laboratories Ltd</t>
        </is>
      </c>
      <c r="C69" s="31" t="inlineStr">
        <is>
          <t>healthcare</t>
        </is>
      </c>
      <c r="D69" s="31" t="inlineStr">
        <is>
          <t>pharmaceuticals - indian - bulk drugs &amp; formln</t>
        </is>
      </c>
      <c r="E69" s="31" t="inlineStr">
        <is>
          <t>smallcap</t>
        </is>
      </c>
      <c r="F69" s="31" t="n">
        <v>677.8200000000001</v>
      </c>
      <c r="G69" s="31" t="n">
        <v>127.91</v>
      </c>
      <c r="H69" s="31" t="n">
        <v>2.49</v>
      </c>
      <c r="I69" s="31" t="n">
        <v>234978</v>
      </c>
      <c r="J69" s="31" t="n"/>
    </row>
    <row r="70">
      <c r="A70" s="31" t="inlineStr">
        <is>
          <t>RISHABH</t>
        </is>
      </c>
      <c r="B70" s="31" t="inlineStr">
        <is>
          <t>Rishabh Instruments Ltd</t>
        </is>
      </c>
      <c r="C70" s="31" t="inlineStr">
        <is>
          <t>industrials</t>
        </is>
      </c>
      <c r="D70" s="31" t="inlineStr">
        <is>
          <t>electric equipment</t>
        </is>
      </c>
      <c r="E70" s="31" t="inlineStr">
        <is>
          <t>smallcap</t>
        </is>
      </c>
      <c r="F70" s="31" t="n">
        <v>3120.49</v>
      </c>
      <c r="G70" s="31" t="n">
        <v>829.6</v>
      </c>
      <c r="H70" s="31" t="n">
        <v>2.48</v>
      </c>
      <c r="I70" s="31" t="n">
        <v>223706</v>
      </c>
      <c r="J70" s="31" t="inlineStr">
        <is>
          <t>543977</t>
        </is>
      </c>
    </row>
    <row r="71">
      <c r="A71" s="31" t="inlineStr">
        <is>
          <t>SWANDEF</t>
        </is>
      </c>
      <c r="B71" s="31" t="inlineStr">
        <is>
          <t>Swan Defence and Heavy Industries Ltd</t>
        </is>
      </c>
      <c r="C71" s="31" t="inlineStr">
        <is>
          <t>transportation</t>
        </is>
      </c>
      <c r="D71" s="31" t="inlineStr">
        <is>
          <t>miscellaneous</t>
        </is>
      </c>
      <c r="E71" s="31" t="inlineStr">
        <is>
          <t>midcap</t>
        </is>
      </c>
      <c r="F71" s="31" t="n">
        <v>14028.2</v>
      </c>
      <c r="G71" s="31" t="n">
        <v>2727.9</v>
      </c>
      <c r="H71" s="31" t="n">
        <v>2.44</v>
      </c>
      <c r="I71" s="31" t="n">
        <v>20275</v>
      </c>
      <c r="J71" s="31" t="inlineStr">
        <is>
          <t>533107</t>
        </is>
      </c>
    </row>
    <row r="72">
      <c r="A72" s="31" t="inlineStr">
        <is>
          <t>IONEXCHANG</t>
        </is>
      </c>
      <c r="B72" s="31" t="inlineStr">
        <is>
          <t>Ion Exchange (India) Ltd</t>
        </is>
      </c>
      <c r="C72" s="31" t="inlineStr">
        <is>
          <t>realty</t>
        </is>
      </c>
      <c r="D72" s="31" t="inlineStr">
        <is>
          <t>engineering - turnkey services</t>
        </is>
      </c>
      <c r="E72" s="31" t="inlineStr">
        <is>
          <t>midcap</t>
        </is>
      </c>
      <c r="F72" s="31" t="n">
        <v>6386.6</v>
      </c>
      <c r="G72" s="31" t="n">
        <v>445.7</v>
      </c>
      <c r="H72" s="31" t="n">
        <v>2.35</v>
      </c>
      <c r="I72" s="31" t="n">
        <v>1336559</v>
      </c>
      <c r="J72" s="31" t="inlineStr">
        <is>
          <t>500214</t>
        </is>
      </c>
    </row>
    <row r="73">
      <c r="A73" s="31" t="inlineStr">
        <is>
          <t>XPROINDIA</t>
        </is>
      </c>
      <c r="B73" s="31" t="inlineStr">
        <is>
          <t>Xpro India Limited</t>
        </is>
      </c>
      <c r="C73" s="31" t="inlineStr">
        <is>
          <t>industrials</t>
        </is>
      </c>
      <c r="D73" s="31" t="inlineStr">
        <is>
          <t>packaging</t>
        </is>
      </c>
      <c r="E73" s="31" t="inlineStr">
        <is>
          <t>smallcap</t>
        </is>
      </c>
      <c r="F73" s="31" t="n">
        <v>2970.18</v>
      </c>
      <c r="G73" s="31" t="n">
        <v>1294.7</v>
      </c>
      <c r="H73" s="31" t="n">
        <v>2.31</v>
      </c>
      <c r="I73" s="31" t="n">
        <v>50993</v>
      </c>
      <c r="J73" s="31" t="inlineStr">
        <is>
          <t>590013</t>
        </is>
      </c>
    </row>
    <row r="74">
      <c r="A74" s="31" t="inlineStr">
        <is>
          <t>SHILPAMED</t>
        </is>
      </c>
      <c r="B74" s="31" t="inlineStr">
        <is>
          <t>Shilpa Medicare Limited</t>
        </is>
      </c>
      <c r="C74" s="31" t="inlineStr">
        <is>
          <t>healthcare</t>
        </is>
      </c>
      <c r="D74" s="31" t="inlineStr">
        <is>
          <t>pharmaceuticals - indian - formulations</t>
        </is>
      </c>
      <c r="E74" s="31" t="inlineStr">
        <is>
          <t>midcap</t>
        </is>
      </c>
      <c r="F74" s="31" t="n">
        <v>18382.73</v>
      </c>
      <c r="G74" s="31" t="n">
        <v>961.15</v>
      </c>
      <c r="H74" s="31" t="n">
        <v>2.26</v>
      </c>
      <c r="I74" s="31" t="n">
        <v>1471659</v>
      </c>
      <c r="J74" s="31" t="inlineStr">
        <is>
          <t>530549</t>
        </is>
      </c>
    </row>
    <row r="75">
      <c r="A75" s="31" t="inlineStr">
        <is>
          <t>KABRAEXTRU</t>
        </is>
      </c>
      <c r="B75" s="31" t="inlineStr">
        <is>
          <t>Kabra Extrusion Technik Limited</t>
        </is>
      </c>
      <c r="C75" s="31" t="inlineStr">
        <is>
          <t>industrials</t>
        </is>
      </c>
      <c r="D75" s="31" t="inlineStr">
        <is>
          <t>engineering</t>
        </is>
      </c>
      <c r="E75" s="31" t="inlineStr">
        <is>
          <t>smallcap</t>
        </is>
      </c>
      <c r="F75" s="31" t="n">
        <v>2474.5</v>
      </c>
      <c r="G75" s="31" t="n">
        <v>723.15</v>
      </c>
      <c r="H75" s="31" t="n">
        <v>2.2</v>
      </c>
      <c r="I75" s="31" t="n">
        <v>479794</v>
      </c>
      <c r="J75" s="31" t="inlineStr">
        <is>
          <t>524109</t>
        </is>
      </c>
    </row>
    <row r="76">
      <c r="A76" s="31" t="inlineStr">
        <is>
          <t>APOLLO</t>
        </is>
      </c>
      <c r="B76" s="31" t="inlineStr">
        <is>
          <t>Apollo Micro Systems Ltd</t>
        </is>
      </c>
      <c r="C76" s="31" t="inlineStr">
        <is>
          <t>aerospace &amp; defence</t>
        </is>
      </c>
      <c r="D76" s="31" t="inlineStr">
        <is>
          <t>electronics - components</t>
        </is>
      </c>
      <c r="E76" s="31" t="inlineStr">
        <is>
          <t>midcap</t>
        </is>
      </c>
      <c r="F76" s="31" t="n">
        <v>15354.49</v>
      </c>
      <c r="G76" s="31" t="n">
        <v>422.25</v>
      </c>
      <c r="H76" s="31" t="n">
        <v>2.19</v>
      </c>
      <c r="I76" s="31" t="n">
        <v>7751875</v>
      </c>
      <c r="J76" s="31" t="inlineStr">
        <is>
          <t>540879</t>
        </is>
      </c>
    </row>
    <row r="77">
      <c r="A77" s="31" t="inlineStr">
        <is>
          <t>GOCLCORP</t>
        </is>
      </c>
      <c r="B77" s="31" t="inlineStr">
        <is>
          <t>Gocl Corporation Limited</t>
        </is>
      </c>
      <c r="C77" s="31" t="inlineStr">
        <is>
          <t>miscellaneous</t>
        </is>
      </c>
      <c r="D77" s="31" t="inlineStr">
        <is>
          <t>diversified - medium / small</t>
        </is>
      </c>
      <c r="E77" s="31" t="inlineStr">
        <is>
          <t>smallcap</t>
        </is>
      </c>
      <c r="F77" s="31" t="n">
        <v>2142.52</v>
      </c>
      <c r="G77" s="31" t="n">
        <v>441.55</v>
      </c>
      <c r="H77" s="31" t="n">
        <v>2.16</v>
      </c>
      <c r="I77" s="31" t="n">
        <v>203952</v>
      </c>
      <c r="J77" s="31" t="inlineStr">
        <is>
          <t>506480</t>
        </is>
      </c>
    </row>
    <row r="78">
      <c r="A78" s="31" t="inlineStr">
        <is>
          <t>AETHER</t>
        </is>
      </c>
      <c r="B78" s="31" t="inlineStr">
        <is>
          <t>Aether Industries Ltd</t>
        </is>
      </c>
      <c r="C78" s="31" t="inlineStr">
        <is>
          <t>chemicals</t>
        </is>
      </c>
      <c r="D78" s="31" t="inlineStr">
        <is>
          <t>chemicals</t>
        </is>
      </c>
      <c r="E78" s="31" t="inlineStr">
        <is>
          <t>largecap</t>
        </is>
      </c>
      <c r="F78" s="31" t="n">
        <v>21768.84</v>
      </c>
      <c r="G78" s="31" t="n">
        <v>1674.7</v>
      </c>
      <c r="H78" s="31" t="n">
        <v>2.1</v>
      </c>
      <c r="I78" s="31" t="n">
        <v>352268</v>
      </c>
      <c r="J78" s="31" t="inlineStr">
        <is>
          <t>543534</t>
        </is>
      </c>
    </row>
    <row r="79">
      <c r="A79" s="31" t="inlineStr">
        <is>
          <t>INDSWFTLAB</t>
        </is>
      </c>
      <c r="B79" s="31" t="inlineStr">
        <is>
          <t>Ind-swift Laboratories Limited</t>
        </is>
      </c>
      <c r="C79" s="31" t="inlineStr">
        <is>
          <t>healthcare</t>
        </is>
      </c>
      <c r="D79" s="31" t="inlineStr">
        <is>
          <t>pharmaceuticals - indian - bulk drugs &amp; formln</t>
        </is>
      </c>
      <c r="E79" s="31" t="inlineStr">
        <is>
          <t>smallcap</t>
        </is>
      </c>
      <c r="F79" s="31" t="n">
        <v>3282.8</v>
      </c>
      <c r="G79" s="31" t="n">
        <v>385.35</v>
      </c>
      <c r="H79" s="31" t="n">
        <v>2.08</v>
      </c>
      <c r="I79" s="31" t="n">
        <v>565658</v>
      </c>
      <c r="J79" s="31" t="inlineStr">
        <is>
          <t>532305</t>
        </is>
      </c>
    </row>
    <row r="80">
      <c r="A80" s="31" t="inlineStr">
        <is>
          <t>RUBYMILLS</t>
        </is>
      </c>
      <c r="B80" s="31" t="inlineStr">
        <is>
          <t>The Ruby Mills Limited</t>
        </is>
      </c>
      <c r="C80" s="31" t="inlineStr">
        <is>
          <t>textiles</t>
        </is>
      </c>
      <c r="D80" s="31" t="inlineStr">
        <is>
          <t>textiles - composite</t>
        </is>
      </c>
      <c r="E80" s="31" t="inlineStr">
        <is>
          <t>smallcap</t>
        </is>
      </c>
      <c r="F80" s="31" t="n">
        <v>1491.09</v>
      </c>
      <c r="G80" s="31" t="n">
        <v>455.1</v>
      </c>
      <c r="H80" s="31" t="n">
        <v>2.06</v>
      </c>
      <c r="I80" s="31" t="n">
        <v>11703</v>
      </c>
      <c r="J80" s="31" t="inlineStr">
        <is>
          <t>503169</t>
        </is>
      </c>
    </row>
    <row r="81">
      <c r="A81" s="31" t="inlineStr">
        <is>
          <t>ZIMLAB</t>
        </is>
      </c>
      <c r="B81" s="31" t="inlineStr">
        <is>
          <t>Zim Laboratories Ltd</t>
        </is>
      </c>
      <c r="C81" s="31" t="inlineStr">
        <is>
          <t>healthcare</t>
        </is>
      </c>
      <c r="D81" s="31" t="inlineStr">
        <is>
          <t>pharmaceuticals - indian - bulk drugs &amp; formln</t>
        </is>
      </c>
      <c r="E81" s="31" t="inlineStr">
        <is>
          <t>smallcap</t>
        </is>
      </c>
      <c r="F81" s="31" t="n">
        <v>730.5700000000001</v>
      </c>
      <c r="G81" s="31" t="n">
        <v>139.22</v>
      </c>
      <c r="H81" s="31" t="n">
        <v>2.05</v>
      </c>
      <c r="I81" s="31" t="n">
        <v>119406</v>
      </c>
      <c r="J81" s="31" t="inlineStr">
        <is>
          <t>541400</t>
        </is>
      </c>
    </row>
    <row r="82">
      <c r="A82" s="31" t="inlineStr">
        <is>
          <t>ABSLAMC</t>
        </is>
      </c>
      <c r="B82" s="31" t="inlineStr">
        <is>
          <t>Aditya Birla Sun Life AMC Ltd</t>
        </is>
      </c>
      <c r="C82" s="31" t="inlineStr">
        <is>
          <t>financials</t>
        </is>
      </c>
      <c r="D82" s="31" t="inlineStr">
        <is>
          <t>finance &amp; investments</t>
        </is>
      </c>
      <c r="E82" s="31" t="inlineStr">
        <is>
          <t>largecap</t>
        </is>
      </c>
      <c r="F82" s="31" t="n">
        <v>31436.55</v>
      </c>
      <c r="G82" s="31" t="n">
        <v>1109.9</v>
      </c>
      <c r="H82" s="31" t="n">
        <v>1.97</v>
      </c>
      <c r="I82" s="31" t="n">
        <v>578949</v>
      </c>
      <c r="J82" s="31" t="inlineStr">
        <is>
          <t>543374</t>
        </is>
      </c>
    </row>
    <row r="83">
      <c r="A83" s="31" t="inlineStr">
        <is>
          <t>LICHSGFIN</t>
        </is>
      </c>
      <c r="B83" s="31" t="inlineStr">
        <is>
          <t>Lic Housing Finance Limited</t>
        </is>
      </c>
      <c r="C83" s="31" t="inlineStr">
        <is>
          <t>financials</t>
        </is>
      </c>
      <c r="D83" s="31" t="inlineStr">
        <is>
          <t>finance - housing</t>
        </is>
      </c>
      <c r="E83" s="31" t="inlineStr">
        <is>
          <t>largecap</t>
        </is>
      </c>
      <c r="F83" s="31" t="n">
        <v>30379.98</v>
      </c>
      <c r="G83" s="31" t="n">
        <v>562.9</v>
      </c>
      <c r="H83" s="31" t="n">
        <v>1.92</v>
      </c>
      <c r="I83" s="31" t="n">
        <v>11556446</v>
      </c>
      <c r="J83" s="31" t="inlineStr">
        <is>
          <t>500253</t>
        </is>
      </c>
    </row>
    <row r="84">
      <c r="A84" s="31" t="inlineStr">
        <is>
          <t>RSWM</t>
        </is>
      </c>
      <c r="B84" s="31" t="inlineStr">
        <is>
          <t>Rswm Limited</t>
        </is>
      </c>
      <c r="C84" s="31" t="inlineStr">
        <is>
          <t>textiles</t>
        </is>
      </c>
      <c r="D84" s="31" t="inlineStr">
        <is>
          <t>textiles - cotton/blended</t>
        </is>
      </c>
      <c r="E84" s="31" t="inlineStr">
        <is>
          <t>smallcap</t>
        </is>
      </c>
      <c r="F84" s="31" t="n">
        <v>1010.14</v>
      </c>
      <c r="G84" s="31" t="n">
        <v>218.23</v>
      </c>
      <c r="H84" s="31" t="n">
        <v>1.76</v>
      </c>
      <c r="I84" s="31" t="n">
        <v>30165</v>
      </c>
      <c r="J84" s="31" t="inlineStr">
        <is>
          <t>500350</t>
        </is>
      </c>
    </row>
    <row r="85">
      <c r="A85" s="31" t="inlineStr">
        <is>
          <t>CARTRADE</t>
        </is>
      </c>
      <c r="B85" s="31" t="inlineStr">
        <is>
          <t>Cartrade Tech Ltd</t>
        </is>
      </c>
      <c r="C85" s="31" t="inlineStr">
        <is>
          <t>consumer discretionary</t>
        </is>
      </c>
      <c r="D85" s="31" t="inlineStr">
        <is>
          <t>miscellaneous</t>
        </is>
      </c>
      <c r="E85" s="31" t="inlineStr">
        <is>
          <t>midcap</t>
        </is>
      </c>
      <c r="F85" s="31" t="n">
        <v>14573.55</v>
      </c>
      <c r="G85" s="31" t="n">
        <v>3087.9</v>
      </c>
      <c r="H85" s="31" t="n">
        <v>1.75</v>
      </c>
      <c r="I85" s="31" t="n">
        <v>273739</v>
      </c>
      <c r="J85" s="31" t="inlineStr">
        <is>
          <t>543333</t>
        </is>
      </c>
    </row>
    <row r="86">
      <c r="A86" s="31" t="inlineStr">
        <is>
          <t>PRIVISCL</t>
        </is>
      </c>
      <c r="B86" s="31" t="inlineStr">
        <is>
          <t>Privi Speciality Chemicals Ltd</t>
        </is>
      </c>
      <c r="C86" s="31" t="inlineStr">
        <is>
          <t>chemicals</t>
        </is>
      </c>
      <c r="D86" s="31" t="inlineStr">
        <is>
          <t>chemicals</t>
        </is>
      </c>
      <c r="E86" s="31" t="inlineStr">
        <is>
          <t>midcap</t>
        </is>
      </c>
      <c r="F86" s="31" t="n">
        <v>13654.76</v>
      </c>
      <c r="G86" s="31" t="n">
        <v>3556.1</v>
      </c>
      <c r="H86" s="31" t="n">
        <v>1.73</v>
      </c>
      <c r="I86" s="31" t="n">
        <v>107650</v>
      </c>
      <c r="J86" s="31" t="inlineStr">
        <is>
          <t>530117</t>
        </is>
      </c>
    </row>
    <row r="87">
      <c r="A87" s="31" t="inlineStr">
        <is>
          <t>SESHAPAPER</t>
        </is>
      </c>
      <c r="B87" s="31" t="inlineStr">
        <is>
          <t>Seshasayee Paper And Boards Limited</t>
        </is>
      </c>
      <c r="C87" s="31" t="inlineStr">
        <is>
          <t>building materials</t>
        </is>
      </c>
      <c r="D87" s="31" t="inlineStr">
        <is>
          <t>paper</t>
        </is>
      </c>
      <c r="E87" s="31" t="inlineStr">
        <is>
          <t>smallcap</t>
        </is>
      </c>
      <c r="F87" s="31" t="n">
        <v>1557.53</v>
      </c>
      <c r="G87" s="31" t="n">
        <v>251.14</v>
      </c>
      <c r="H87" s="31" t="n">
        <v>1.69</v>
      </c>
      <c r="I87" s="31" t="n">
        <v>179922</v>
      </c>
      <c r="J87" s="31" t="inlineStr">
        <is>
          <t>502450</t>
        </is>
      </c>
    </row>
    <row r="88">
      <c r="A88" s="31" t="inlineStr">
        <is>
          <t>AVALON</t>
        </is>
      </c>
      <c r="B88" s="31" t="inlineStr">
        <is>
          <t>Avalon Technologies Ltd</t>
        </is>
      </c>
      <c r="C88" s="31" t="inlineStr">
        <is>
          <t>consumer discretionary</t>
        </is>
      </c>
      <c r="D88" s="31" t="inlineStr">
        <is>
          <t>electronics - components</t>
        </is>
      </c>
      <c r="E88" s="31" t="inlineStr">
        <is>
          <t>midcap</t>
        </is>
      </c>
      <c r="F88" s="31" t="n">
        <v>14878.98</v>
      </c>
      <c r="G88" s="31" t="n">
        <v>2264.5</v>
      </c>
      <c r="H88" s="31" t="n">
        <v>1.68</v>
      </c>
      <c r="I88" s="31" t="n">
        <v>334741</v>
      </c>
      <c r="J88" s="31" t="inlineStr">
        <is>
          <t>543896</t>
        </is>
      </c>
    </row>
    <row r="89">
      <c r="A89" s="31" t="inlineStr">
        <is>
          <t>WENDT</t>
        </is>
      </c>
      <c r="B89" s="31" t="inlineStr">
        <is>
          <t>Wendt (india) Limited</t>
        </is>
      </c>
      <c r="C89" s="31" t="inlineStr">
        <is>
          <t>industrials</t>
        </is>
      </c>
      <c r="D89" s="31" t="inlineStr">
        <is>
          <t>abrasives and grinding wheels</t>
        </is>
      </c>
      <c r="E89" s="31" t="inlineStr">
        <is>
          <t>smallcap</t>
        </is>
      </c>
      <c r="F89" s="31" t="n">
        <v>1733.9</v>
      </c>
      <c r="G89" s="31" t="n">
        <v>8812.5</v>
      </c>
      <c r="H89" s="31" t="n">
        <v>1.65</v>
      </c>
      <c r="I89" s="31" t="n">
        <v>28678</v>
      </c>
      <c r="J89" s="31" t="inlineStr">
        <is>
          <t>505412</t>
        </is>
      </c>
    </row>
    <row r="90">
      <c r="A90" s="31" t="inlineStr">
        <is>
          <t>CONFIPET</t>
        </is>
      </c>
      <c r="B90" s="31" t="inlineStr">
        <is>
          <t>Confidence Petroleum India Ltd</t>
        </is>
      </c>
      <c r="C90" s="31" t="inlineStr">
        <is>
          <t>miscellaneous</t>
        </is>
      </c>
      <c r="D90" s="31" t="inlineStr">
        <is>
          <t>miscellaneous</t>
        </is>
      </c>
      <c r="E90" s="31" t="inlineStr">
        <is>
          <t>smallcap</t>
        </is>
      </c>
      <c r="F90" s="31" t="n">
        <v>2918.41</v>
      </c>
      <c r="G90" s="31" t="n">
        <v>89.22</v>
      </c>
      <c r="H90" s="31" t="n">
        <v>1.57</v>
      </c>
      <c r="I90" s="31" t="n">
        <v>4722048</v>
      </c>
      <c r="J90" s="31" t="inlineStr">
        <is>
          <t>526829</t>
        </is>
      </c>
    </row>
    <row r="91">
      <c r="A91" s="31" t="inlineStr">
        <is>
          <t>ARIES</t>
        </is>
      </c>
      <c r="B91" s="31" t="inlineStr">
        <is>
          <t>Aries Agro Limited</t>
        </is>
      </c>
      <c r="C91" s="31" t="inlineStr">
        <is>
          <t>chemicals</t>
        </is>
      </c>
      <c r="D91" s="31" t="inlineStr">
        <is>
          <t>fertilizers</t>
        </is>
      </c>
      <c r="E91" s="31" t="inlineStr">
        <is>
          <t>smallcap</t>
        </is>
      </c>
      <c r="F91" s="31" t="n">
        <v>609.38</v>
      </c>
      <c r="G91" s="31" t="n">
        <v>475.6</v>
      </c>
      <c r="H91" s="31" t="n">
        <v>1.49</v>
      </c>
      <c r="I91" s="31" t="n">
        <v>24528</v>
      </c>
      <c r="J91" s="31" t="inlineStr">
        <is>
          <t>532935</t>
        </is>
      </c>
    </row>
    <row r="92">
      <c r="A92" s="31" t="inlineStr">
        <is>
          <t>EIMCOELECO</t>
        </is>
      </c>
      <c r="B92" s="31" t="inlineStr">
        <is>
          <t>Eimco Elecon (india) Limited</t>
        </is>
      </c>
      <c r="C92" s="31" t="inlineStr">
        <is>
          <t>industrials</t>
        </is>
      </c>
      <c r="D92" s="31" t="inlineStr">
        <is>
          <t>engineering</t>
        </is>
      </c>
      <c r="E92" s="31" t="inlineStr">
        <is>
          <t>smallcap</t>
        </is>
      </c>
      <c r="F92" s="31" t="n">
        <v>1321.77</v>
      </c>
      <c r="G92" s="31" t="n">
        <v>2325.5</v>
      </c>
      <c r="H92" s="31" t="n">
        <v>1.49</v>
      </c>
      <c r="I92" s="31" t="n">
        <v>27993</v>
      </c>
      <c r="J92" s="31" t="inlineStr">
        <is>
          <t>523708</t>
        </is>
      </c>
    </row>
    <row r="93">
      <c r="A93" s="31" t="inlineStr">
        <is>
          <t>PAISALO</t>
        </is>
      </c>
      <c r="B93" s="31" t="inlineStr">
        <is>
          <t>Paisalo Digital Ltd</t>
        </is>
      </c>
      <c r="C93" s="31" t="inlineStr">
        <is>
          <t>financials</t>
        </is>
      </c>
      <c r="D93" s="31" t="inlineStr">
        <is>
          <t>finance &amp; investments</t>
        </is>
      </c>
      <c r="E93" s="31" t="inlineStr">
        <is>
          <t>midcap</t>
        </is>
      </c>
      <c r="F93" s="31" t="n">
        <v>7553.58</v>
      </c>
      <c r="G93" s="31" t="n">
        <v>84.23</v>
      </c>
      <c r="H93" s="31" t="n">
        <v>1.42</v>
      </c>
      <c r="I93" s="31" t="n">
        <v>16781160</v>
      </c>
      <c r="J93" s="31" t="inlineStr">
        <is>
          <t>532900</t>
        </is>
      </c>
    </row>
    <row r="94">
      <c r="A94" s="31" t="inlineStr">
        <is>
          <t>OAL</t>
        </is>
      </c>
      <c r="B94" s="31" t="inlineStr">
        <is>
          <t>Oriental Aromatics Ltd</t>
        </is>
      </c>
      <c r="C94" s="31" t="inlineStr">
        <is>
          <t>chemicals</t>
        </is>
      </c>
      <c r="D94" s="31" t="inlineStr">
        <is>
          <t>chemicals</t>
        </is>
      </c>
      <c r="E94" s="31" t="inlineStr">
        <is>
          <t>smallcap</t>
        </is>
      </c>
      <c r="F94" s="31" t="n">
        <v>1765.8</v>
      </c>
      <c r="G94" s="31" t="n">
        <v>532.1</v>
      </c>
      <c r="H94" s="31" t="n">
        <v>1.41</v>
      </c>
      <c r="I94" s="31" t="n">
        <v>43221</v>
      </c>
      <c r="J94" s="31" t="inlineStr">
        <is>
          <t>500078</t>
        </is>
      </c>
    </row>
    <row r="95">
      <c r="A95" s="31" t="inlineStr">
        <is>
          <t>VSSL</t>
        </is>
      </c>
      <c r="B95" s="31" t="inlineStr">
        <is>
          <t>Vardhman Special Steels Limited</t>
        </is>
      </c>
      <c r="C95" s="31" t="inlineStr">
        <is>
          <t>metals &amp; mining</t>
        </is>
      </c>
      <c r="D95" s="31" t="inlineStr">
        <is>
          <t>steel - medium / small</t>
        </is>
      </c>
      <c r="E95" s="31" t="inlineStr">
        <is>
          <t>smallcap</t>
        </is>
      </c>
      <c r="F95" s="31" t="n">
        <v>3790.08</v>
      </c>
      <c r="G95" s="31" t="n">
        <v>397.45</v>
      </c>
      <c r="H95" s="31" t="n">
        <v>1.39</v>
      </c>
      <c r="I95" s="31" t="n">
        <v>621233</v>
      </c>
      <c r="J95" s="31" t="inlineStr">
        <is>
          <t>534392</t>
        </is>
      </c>
    </row>
    <row r="96">
      <c r="A96" s="31" t="inlineStr">
        <is>
          <t>MAHSEAMLES</t>
        </is>
      </c>
      <c r="B96" s="31" t="inlineStr">
        <is>
          <t>Maharashtra Seamless Limited</t>
        </is>
      </c>
      <c r="C96" s="31" t="inlineStr">
        <is>
          <t>metals &amp; mining</t>
        </is>
      </c>
      <c r="D96" s="31" t="inlineStr">
        <is>
          <t>steel - medium / small</t>
        </is>
      </c>
      <c r="E96" s="31" t="inlineStr">
        <is>
          <t>midcap</t>
        </is>
      </c>
      <c r="F96" s="31" t="n">
        <v>9633.879999999999</v>
      </c>
      <c r="G96" s="31" t="n">
        <v>728.9</v>
      </c>
      <c r="H96" s="31" t="n">
        <v>1.38</v>
      </c>
      <c r="I96" s="31" t="n">
        <v>1045480</v>
      </c>
      <c r="J96" s="31" t="inlineStr">
        <is>
          <t>500265</t>
        </is>
      </c>
    </row>
    <row r="97">
      <c r="A97" s="31" t="inlineStr">
        <is>
          <t>ANTELOPUS</t>
        </is>
      </c>
      <c r="B97" s="31" t="inlineStr">
        <is>
          <t>Antelopus Selan Energy Ltd</t>
        </is>
      </c>
      <c r="C97" s="31" t="inlineStr">
        <is>
          <t>energy</t>
        </is>
      </c>
      <c r="D97" s="31" t="inlineStr">
        <is>
          <t>oil drilling / allied services</t>
        </is>
      </c>
      <c r="E97" s="31" t="inlineStr">
        <is>
          <t>smallcap</t>
        </is>
      </c>
      <c r="F97" s="31" t="n">
        <v>3952.6</v>
      </c>
      <c r="G97" s="31" t="n">
        <v>1139.35</v>
      </c>
      <c r="H97" s="31" t="n">
        <v>1.36</v>
      </c>
      <c r="I97" s="31" t="n">
        <v>4164751</v>
      </c>
      <c r="J97" s="31" t="inlineStr">
        <is>
          <t>530075</t>
        </is>
      </c>
    </row>
    <row r="98">
      <c r="A98" s="31" t="inlineStr">
        <is>
          <t>SHAREINDIA</t>
        </is>
      </c>
      <c r="B98" s="31" t="inlineStr">
        <is>
          <t>Share India Securities Ltd</t>
        </is>
      </c>
      <c r="C98" s="31" t="inlineStr">
        <is>
          <t>financials</t>
        </is>
      </c>
      <c r="D98" s="31" t="inlineStr">
        <is>
          <t>finance &amp; investments</t>
        </is>
      </c>
      <c r="E98" s="31" t="inlineStr">
        <is>
          <t>smallcap</t>
        </is>
      </c>
      <c r="F98" s="31" t="n">
        <v>4295.98</v>
      </c>
      <c r="G98" s="31" t="n">
        <v>198.93</v>
      </c>
      <c r="H98" s="31" t="n">
        <v>1.33</v>
      </c>
      <c r="I98" s="31" t="n">
        <v>15203480</v>
      </c>
      <c r="J98" s="31" t="inlineStr">
        <is>
          <t>540725</t>
        </is>
      </c>
    </row>
    <row r="99">
      <c r="A99" s="31" t="inlineStr">
        <is>
          <t>SRHHYPOLTD</t>
        </is>
      </c>
      <c r="B99" s="31" t="inlineStr">
        <is>
          <t>Sree Rayalaseema Hi-strength Hypo Limited</t>
        </is>
      </c>
      <c r="C99" s="31" t="inlineStr">
        <is>
          <t>chemicals</t>
        </is>
      </c>
      <c r="D99" s="31" t="inlineStr">
        <is>
          <t>chemicals</t>
        </is>
      </c>
      <c r="E99" s="31" t="inlineStr">
        <is>
          <t>smallcap</t>
        </is>
      </c>
      <c r="F99" s="31" t="n">
        <v>887.59</v>
      </c>
      <c r="G99" s="31" t="n">
        <v>523.8</v>
      </c>
      <c r="H99" s="31" t="n">
        <v>1.3</v>
      </c>
      <c r="I99" s="31" t="n">
        <v>18998</v>
      </c>
      <c r="J99" s="31" t="inlineStr">
        <is>
          <t>532842</t>
        </is>
      </c>
    </row>
    <row r="100">
      <c r="A100" s="31" t="inlineStr">
        <is>
          <t>PVRINOX</t>
        </is>
      </c>
      <c r="B100" s="31" t="inlineStr">
        <is>
          <t>PVR Inox Ltd</t>
        </is>
      </c>
      <c r="C100" s="31" t="inlineStr">
        <is>
          <t>media</t>
        </is>
      </c>
      <c r="D100" s="31" t="inlineStr">
        <is>
          <t>entertainment / electronic media software</t>
        </is>
      </c>
      <c r="E100" s="31" t="inlineStr">
        <is>
          <t>midcap</t>
        </is>
      </c>
      <c r="F100" s="31" t="n">
        <v>11993.16</v>
      </c>
      <c r="G100" s="31" t="n">
        <v>1237.1</v>
      </c>
      <c r="H100" s="31" t="n">
        <v>1.29</v>
      </c>
      <c r="I100" s="31" t="n">
        <v>879763</v>
      </c>
      <c r="J100" s="31" t="inlineStr">
        <is>
          <t>532689</t>
        </is>
      </c>
    </row>
    <row r="101">
      <c r="A101" s="31" t="inlineStr">
        <is>
          <t>OMAXE</t>
        </is>
      </c>
      <c r="B101" s="31" t="inlineStr">
        <is>
          <t>Omaxe Limited</t>
        </is>
      </c>
      <c r="C101" s="31" t="inlineStr">
        <is>
          <t>realty</t>
        </is>
      </c>
      <c r="D101" s="31" t="inlineStr">
        <is>
          <t>construction</t>
        </is>
      </c>
      <c r="E101" s="31" t="inlineStr">
        <is>
          <t>smallcap</t>
        </is>
      </c>
      <c r="F101" s="31" t="n">
        <v>2239.07</v>
      </c>
      <c r="G101" s="31" t="n">
        <v>123.98</v>
      </c>
      <c r="H101" s="31" t="n">
        <v>1.27</v>
      </c>
      <c r="I101" s="31" t="n">
        <v>1063265</v>
      </c>
      <c r="J101" s="31" t="inlineStr">
        <is>
          <t>532880</t>
        </is>
      </c>
    </row>
    <row r="102">
      <c r="A102" s="31" t="inlineStr">
        <is>
          <t>ACMESOLAR</t>
        </is>
      </c>
      <c r="B102" s="31" t="inlineStr">
        <is>
          <t>ACME Solar Holdings Ltd</t>
        </is>
      </c>
      <c r="C102" s="31" t="inlineStr">
        <is>
          <t>realty</t>
        </is>
      </c>
      <c r="D102" s="31" t="inlineStr">
        <is>
          <t>engineering - turnkey services</t>
        </is>
      </c>
      <c r="E102" s="31" t="inlineStr">
        <is>
          <t>largecap</t>
        </is>
      </c>
      <c r="F102" s="31" t="n">
        <v>28080.58</v>
      </c>
      <c r="G102" s="31" t="n">
        <v>402.3</v>
      </c>
      <c r="H102" s="31" t="n">
        <v>1.27</v>
      </c>
      <c r="I102" s="31" t="n">
        <v>1235415</v>
      </c>
      <c r="J102" s="31" t="inlineStr">
        <is>
          <t>544283</t>
        </is>
      </c>
    </row>
    <row r="103">
      <c r="A103" s="31" t="inlineStr">
        <is>
          <t>ENTERO</t>
        </is>
      </c>
      <c r="B103" s="31" t="inlineStr">
        <is>
          <t>Entero Healthcare Solutions Ltd</t>
        </is>
      </c>
      <c r="C103" s="31" t="inlineStr">
        <is>
          <t>healthcare</t>
        </is>
      </c>
      <c r="D103" s="31" t="inlineStr">
        <is>
          <t>trading</t>
        </is>
      </c>
      <c r="E103" s="31" t="inlineStr">
        <is>
          <t>midcap</t>
        </is>
      </c>
      <c r="F103" s="31" t="n">
        <v>7803.25</v>
      </c>
      <c r="G103" s="31" t="n">
        <v>1815.4</v>
      </c>
      <c r="H103" s="31" t="n">
        <v>1.26</v>
      </c>
      <c r="I103" s="31" t="n">
        <v>98792</v>
      </c>
      <c r="J103" s="31" t="inlineStr">
        <is>
          <t>544122</t>
        </is>
      </c>
    </row>
    <row r="104">
      <c r="A104" s="31" t="inlineStr">
        <is>
          <t>LAURUSLABS</t>
        </is>
      </c>
      <c r="B104" s="31" t="inlineStr">
        <is>
          <t>Laurus Labs Limited</t>
        </is>
      </c>
      <c r="C104" s="31" t="inlineStr">
        <is>
          <t>healthcare</t>
        </is>
      </c>
      <c r="D104" s="31" t="inlineStr">
        <is>
          <t>pharmaceuticals - indian - bulk drugs &amp; formln</t>
        </is>
      </c>
      <c r="E104" s="31" t="inlineStr">
        <is>
          <t>largecap</t>
        </is>
      </c>
      <c r="F104" s="31" t="n">
        <v>105078.54</v>
      </c>
      <c r="G104" s="31" t="n">
        <v>1969</v>
      </c>
      <c r="H104" s="31" t="n">
        <v>1.23</v>
      </c>
      <c r="I104" s="31" t="n">
        <v>2277375</v>
      </c>
      <c r="J104" s="31" t="inlineStr">
        <is>
          <t>540222</t>
        </is>
      </c>
    </row>
    <row r="105">
      <c r="A105" s="31" t="inlineStr">
        <is>
          <t>TEXINFRA</t>
        </is>
      </c>
      <c r="B105" s="31" t="inlineStr">
        <is>
          <t>Texmaco Infrastructure &amp; Holdings Limited</t>
        </is>
      </c>
      <c r="C105" s="31" t="inlineStr">
        <is>
          <t>realty</t>
        </is>
      </c>
      <c r="D105" s="31" t="inlineStr">
        <is>
          <t>construction</t>
        </is>
      </c>
      <c r="E105" s="31" t="inlineStr">
        <is>
          <t>smallcap</t>
        </is>
      </c>
      <c r="F105" s="31" t="n">
        <v>1455.34</v>
      </c>
      <c r="G105" s="31" t="n">
        <v>115.52</v>
      </c>
      <c r="H105" s="31" t="n">
        <v>1.15</v>
      </c>
      <c r="I105" s="31" t="n">
        <v>140099</v>
      </c>
      <c r="J105" s="31" t="inlineStr">
        <is>
          <t>505400</t>
        </is>
      </c>
    </row>
    <row r="106">
      <c r="A106" s="31" t="inlineStr">
        <is>
          <t>MOTILALOFS</t>
        </is>
      </c>
      <c r="B106" s="31" t="inlineStr">
        <is>
          <t>Motilal Oswal Financial Services Limited</t>
        </is>
      </c>
      <c r="C106" s="31" t="inlineStr">
        <is>
          <t>financials</t>
        </is>
      </c>
      <c r="D106" s="31" t="inlineStr">
        <is>
          <t>finance &amp; investments</t>
        </is>
      </c>
      <c r="E106" s="31" t="inlineStr">
        <is>
          <t>largecap</t>
        </is>
      </c>
      <c r="F106" s="31" t="n">
        <v>61117.89</v>
      </c>
      <c r="G106" s="31" t="n">
        <v>1026.5</v>
      </c>
      <c r="H106" s="31" t="n">
        <v>1.13</v>
      </c>
      <c r="I106" s="31" t="n">
        <v>625141</v>
      </c>
      <c r="J106" s="31" t="inlineStr">
        <is>
          <t>532892</t>
        </is>
      </c>
    </row>
    <row r="107">
      <c r="A107" s="31" t="inlineStr">
        <is>
          <t>GRANULES</t>
        </is>
      </c>
      <c r="B107" s="31" t="inlineStr">
        <is>
          <t>Granules India Limited</t>
        </is>
      </c>
      <c r="C107" s="31" t="inlineStr">
        <is>
          <t>healthcare</t>
        </is>
      </c>
      <c r="D107" s="31" t="inlineStr">
        <is>
          <t>pharmaceuticals - indian - bulk drugs &amp; formln</t>
        </is>
      </c>
      <c r="E107" s="31" t="inlineStr">
        <is>
          <t>largecap</t>
        </is>
      </c>
      <c r="F107" s="31" t="n">
        <v>22283.14</v>
      </c>
      <c r="G107" s="31" t="n">
        <v>909.3</v>
      </c>
      <c r="H107" s="31" t="n">
        <v>1.12</v>
      </c>
      <c r="I107" s="31" t="n">
        <v>7851231</v>
      </c>
      <c r="J107" s="31" t="inlineStr">
        <is>
          <t>532482</t>
        </is>
      </c>
    </row>
    <row r="108">
      <c r="A108" s="31" t="inlineStr">
        <is>
          <t>AEGISVOPAK</t>
        </is>
      </c>
      <c r="B108" s="31" t="inlineStr">
        <is>
          <t>Aegis Vopak Terminals Ltd</t>
        </is>
      </c>
      <c r="C108" s="31" t="inlineStr">
        <is>
          <t>transportation</t>
        </is>
      </c>
      <c r="D108" s="31" t="inlineStr">
        <is>
          <t>miscellaneous</t>
        </is>
      </c>
      <c r="E108" s="31" t="inlineStr">
        <is>
          <t>largecap</t>
        </is>
      </c>
      <c r="F108" s="31" t="n">
        <v>32336.73</v>
      </c>
      <c r="G108" s="31" t="n">
        <v>295.1</v>
      </c>
      <c r="H108" s="31" t="n">
        <v>1.11</v>
      </c>
      <c r="I108" s="31" t="n">
        <v>1776446</v>
      </c>
      <c r="J108" s="31" t="inlineStr">
        <is>
          <t>544407</t>
        </is>
      </c>
    </row>
    <row r="109">
      <c r="A109" s="31" t="inlineStr">
        <is>
          <t>SUNDRMFAST</t>
        </is>
      </c>
      <c r="B109" s="31" t="inlineStr">
        <is>
          <t>Sundram Fasteners Limited</t>
        </is>
      </c>
      <c r="C109" s="31" t="inlineStr">
        <is>
          <t>auto</t>
        </is>
      </c>
      <c r="D109" s="31" t="inlineStr">
        <is>
          <t>auto ancillaries</t>
        </is>
      </c>
      <c r="E109" s="31" t="inlineStr">
        <is>
          <t>largecap</t>
        </is>
      </c>
      <c r="F109" s="31" t="n">
        <v>26394.22</v>
      </c>
      <c r="G109" s="31" t="n">
        <v>1270</v>
      </c>
      <c r="H109" s="31" t="n">
        <v>1.11</v>
      </c>
      <c r="I109" s="31" t="n">
        <v>158860</v>
      </c>
      <c r="J109" s="31" t="inlineStr">
        <is>
          <t>500403</t>
        </is>
      </c>
    </row>
    <row r="110">
      <c r="A110" s="31" t="inlineStr">
        <is>
          <t>ORIENTHOT</t>
        </is>
      </c>
      <c r="B110" s="31" t="inlineStr">
        <is>
          <t>Oriental Hotels Limited</t>
        </is>
      </c>
      <c r="C110" s="31" t="inlineStr">
        <is>
          <t>services</t>
        </is>
      </c>
      <c r="D110" s="31" t="inlineStr">
        <is>
          <t>hotels</t>
        </is>
      </c>
      <c r="E110" s="31" t="inlineStr">
        <is>
          <t>smallcap</t>
        </is>
      </c>
      <c r="F110" s="31" t="n">
        <v>2497</v>
      </c>
      <c r="G110" s="31" t="n">
        <v>141.35</v>
      </c>
      <c r="H110" s="31" t="n">
        <v>1.1</v>
      </c>
      <c r="I110" s="31" t="n">
        <v>466572</v>
      </c>
      <c r="J110" s="31" t="inlineStr">
        <is>
          <t>500314</t>
        </is>
      </c>
    </row>
    <row r="111">
      <c r="A111" s="31" t="inlineStr">
        <is>
          <t>DATAPATTNS</t>
        </is>
      </c>
      <c r="B111" s="31" t="inlineStr">
        <is>
          <t>Data Patterns (India) Ltd</t>
        </is>
      </c>
      <c r="C111" s="31" t="inlineStr">
        <is>
          <t>aerospace &amp; defence</t>
        </is>
      </c>
      <c r="D111" s="31" t="inlineStr">
        <is>
          <t>electronics - components</t>
        </is>
      </c>
      <c r="E111" s="31" t="inlineStr">
        <is>
          <t>largecap</t>
        </is>
      </c>
      <c r="F111" s="31" t="n">
        <v>26744.66</v>
      </c>
      <c r="G111" s="31" t="n">
        <v>4829.2</v>
      </c>
      <c r="H111" s="31" t="n">
        <v>1.09</v>
      </c>
      <c r="I111" s="31" t="n">
        <v>561224</v>
      </c>
      <c r="J111" s="31" t="inlineStr">
        <is>
          <t>543428</t>
        </is>
      </c>
    </row>
    <row r="112">
      <c r="A112" s="31" t="inlineStr">
        <is>
          <t>ANDHRAPAP</t>
        </is>
      </c>
      <c r="B112" s="31" t="inlineStr">
        <is>
          <t>Andhra Paper Ltd</t>
        </is>
      </c>
      <c r="C112" s="31" t="inlineStr">
        <is>
          <t>building materials</t>
        </is>
      </c>
      <c r="D112" s="31" t="inlineStr">
        <is>
          <t>paper</t>
        </is>
      </c>
      <c r="E112" s="31" t="inlineStr">
        <is>
          <t>smallcap</t>
        </is>
      </c>
      <c r="F112" s="31" t="n">
        <v>1443.25</v>
      </c>
      <c r="G112" s="31" t="n">
        <v>73.36</v>
      </c>
      <c r="H112" s="31" t="n">
        <v>1.07</v>
      </c>
      <c r="I112" s="31" t="n">
        <v>1705341</v>
      </c>
      <c r="J112" s="31" t="inlineStr">
        <is>
          <t>502330</t>
        </is>
      </c>
    </row>
    <row r="113">
      <c r="A113" s="31" t="inlineStr">
        <is>
          <t>SYNCOMF</t>
        </is>
      </c>
      <c r="B113" s="31" t="inlineStr">
        <is>
          <t>Syncom Formulations (India) Ltd</t>
        </is>
      </c>
      <c r="C113" s="31" t="inlineStr">
        <is>
          <t>healthcare</t>
        </is>
      </c>
      <c r="D113" s="31" t="inlineStr">
        <is>
          <t>pharmaceuticals - indian - bulk drugs &amp; formln</t>
        </is>
      </c>
      <c r="E113" s="31" t="inlineStr">
        <is>
          <t>smallcap</t>
        </is>
      </c>
      <c r="F113" s="31" t="n">
        <v>1810.44</v>
      </c>
      <c r="G113" s="31" t="n">
        <v>19.46</v>
      </c>
      <c r="H113" s="31" t="n">
        <v>1.04</v>
      </c>
      <c r="I113" s="31" t="n">
        <v>9148018</v>
      </c>
      <c r="J113" s="31" t="inlineStr">
        <is>
          <t>524470</t>
        </is>
      </c>
    </row>
    <row r="114">
      <c r="A114" s="31" t="inlineStr">
        <is>
          <t>CHEVIOT</t>
        </is>
      </c>
      <c r="B114" s="31" t="inlineStr">
        <is>
          <t>Cheviot Company Ltd</t>
        </is>
      </c>
      <c r="C114" s="31" t="inlineStr">
        <is>
          <t>textiles</t>
        </is>
      </c>
      <c r="D114" s="31" t="inlineStr">
        <is>
          <t>textiles - jute - yarn / products</t>
        </is>
      </c>
      <c r="E114" s="31" t="inlineStr">
        <is>
          <t>smallcap</t>
        </is>
      </c>
      <c r="F114" s="31" t="n">
        <v>698.63</v>
      </c>
      <c r="G114" s="31" t="n">
        <v>1207.8</v>
      </c>
      <c r="H114" s="31" t="n">
        <v>1</v>
      </c>
      <c r="I114" s="31" t="n">
        <v>1164</v>
      </c>
      <c r="J114" s="31" t="inlineStr">
        <is>
          <t>526817</t>
        </is>
      </c>
    </row>
    <row r="115">
      <c r="A115" s="31" t="inlineStr">
        <is>
          <t>SIGACHI</t>
        </is>
      </c>
      <c r="B115" s="31" t="inlineStr">
        <is>
          <t>Sigachi Industries Ltd</t>
        </is>
      </c>
      <c r="C115" s="31" t="inlineStr">
        <is>
          <t>healthcare</t>
        </is>
      </c>
      <c r="D115" s="31" t="inlineStr">
        <is>
          <t>pharmaceuticals - indian - bulk drugs &amp; formln</t>
        </is>
      </c>
      <c r="E115" s="31" t="inlineStr">
        <is>
          <t>smallcap</t>
        </is>
      </c>
      <c r="F115" s="31" t="n">
        <v>1435.23</v>
      </c>
      <c r="G115" s="31" t="n">
        <v>37.93</v>
      </c>
      <c r="H115" s="31" t="n">
        <v>0.99</v>
      </c>
      <c r="I115" s="31" t="n">
        <v>4502407</v>
      </c>
      <c r="J115" s="31" t="inlineStr">
        <is>
          <t>543389</t>
        </is>
      </c>
    </row>
    <row r="116">
      <c r="A116" s="31" t="inlineStr">
        <is>
          <t>SOMANYCERA</t>
        </is>
      </c>
      <c r="B116" s="31" t="inlineStr">
        <is>
          <t>Somany Ceramics Limited</t>
        </is>
      </c>
      <c r="C116" s="31" t="inlineStr">
        <is>
          <t>building materials</t>
        </is>
      </c>
      <c r="D116" s="31" t="inlineStr">
        <is>
          <t>ceramics - tiles / sanitaryware</t>
        </is>
      </c>
      <c r="E116" s="31" t="inlineStr">
        <is>
          <t>smallcap</t>
        </is>
      </c>
      <c r="F116" s="31" t="n">
        <v>2295.49</v>
      </c>
      <c r="G116" s="31" t="n">
        <v>565.2</v>
      </c>
      <c r="H116" s="31" t="n">
        <v>0.98</v>
      </c>
      <c r="I116" s="31" t="n">
        <v>101279</v>
      </c>
      <c r="J116" s="31" t="inlineStr">
        <is>
          <t>531548</t>
        </is>
      </c>
    </row>
    <row r="117">
      <c r="A117" s="31" t="inlineStr">
        <is>
          <t>ASAHIINDIA</t>
        </is>
      </c>
      <c r="B117" s="31" t="inlineStr">
        <is>
          <t>Asahi India Glass Limited</t>
        </is>
      </c>
      <c r="C117" s="31" t="inlineStr">
        <is>
          <t>building materials</t>
        </is>
      </c>
      <c r="D117" s="31" t="inlineStr">
        <is>
          <t>glass &amp; glass products</t>
        </is>
      </c>
      <c r="E117" s="31" t="inlineStr">
        <is>
          <t>largecap</t>
        </is>
      </c>
      <c r="F117" s="31" t="n">
        <v>24885.99</v>
      </c>
      <c r="G117" s="31" t="n">
        <v>985.8</v>
      </c>
      <c r="H117" s="31" t="n">
        <v>0.98</v>
      </c>
      <c r="I117" s="31" t="n">
        <v>205299</v>
      </c>
      <c r="J117" s="31" t="inlineStr">
        <is>
          <t>515030</t>
        </is>
      </c>
    </row>
    <row r="118">
      <c r="A118" s="31" t="inlineStr">
        <is>
          <t>ARVIND</t>
        </is>
      </c>
      <c r="B118" s="31" t="inlineStr">
        <is>
          <t>Arvind Limited</t>
        </is>
      </c>
      <c r="C118" s="31" t="inlineStr">
        <is>
          <t>textiles</t>
        </is>
      </c>
      <c r="D118" s="31" t="inlineStr">
        <is>
          <t>textiles - cotton/blended</t>
        </is>
      </c>
      <c r="E118" s="31" t="inlineStr">
        <is>
          <t>midcap</t>
        </is>
      </c>
      <c r="F118" s="31" t="n">
        <v>15500.88</v>
      </c>
      <c r="G118" s="31" t="n">
        <v>575.1</v>
      </c>
      <c r="H118" s="31" t="n">
        <v>0.93</v>
      </c>
      <c r="I118" s="31" t="n">
        <v>470791</v>
      </c>
      <c r="J118" s="31" t="inlineStr">
        <is>
          <t>500101</t>
        </is>
      </c>
    </row>
    <row r="119">
      <c r="A119" s="31" t="inlineStr">
        <is>
          <t>HEALTHX</t>
        </is>
      </c>
      <c r="B119" s="31" t="inlineStr">
        <is>
          <t>Health X Platform Ltd</t>
        </is>
      </c>
      <c r="C119" s="31" t="inlineStr">
        <is>
          <t>financials</t>
        </is>
      </c>
      <c r="D119" s="31" t="inlineStr">
        <is>
          <t>finance &amp; investments</t>
        </is>
      </c>
      <c r="E119" s="31" t="inlineStr">
        <is>
          <t>smallcap</t>
        </is>
      </c>
      <c r="F119" s="31" t="n">
        <v>971.33</v>
      </c>
      <c r="G119" s="31" t="n">
        <v>308.15</v>
      </c>
      <c r="H119" s="31" t="n">
        <v>0.92</v>
      </c>
      <c r="I119" s="31" t="n">
        <v>3397</v>
      </c>
      <c r="J119" s="31" t="inlineStr">
        <is>
          <t>533259</t>
        </is>
      </c>
    </row>
    <row r="120">
      <c r="A120" s="31" t="inlineStr">
        <is>
          <t>CUPID</t>
        </is>
      </c>
      <c r="B120" s="31" t="inlineStr">
        <is>
          <t>Cupid Limited</t>
        </is>
      </c>
      <c r="C120" s="31" t="inlineStr">
        <is>
          <t>fmcg</t>
        </is>
      </c>
      <c r="D120" s="31" t="inlineStr">
        <is>
          <t>personal care - indian</t>
        </is>
      </c>
      <c r="E120" s="31" t="inlineStr">
        <is>
          <t>largecap</t>
        </is>
      </c>
      <c r="F120" s="31" t="n">
        <v>37307.61</v>
      </c>
      <c r="G120" s="31" t="n">
        <v>280</v>
      </c>
      <c r="H120" s="31" t="n">
        <v>0.92</v>
      </c>
      <c r="I120" s="31" t="n">
        <v>10688011</v>
      </c>
      <c r="J120" s="31" t="inlineStr">
        <is>
          <t>530843</t>
        </is>
      </c>
    </row>
    <row r="121">
      <c r="A121" s="31" t="inlineStr">
        <is>
          <t>APARINDS</t>
        </is>
      </c>
      <c r="B121" s="31" t="inlineStr">
        <is>
          <t>Apar Industries Limited</t>
        </is>
      </c>
      <c r="C121" s="31" t="inlineStr">
        <is>
          <t>industrials</t>
        </is>
      </c>
      <c r="D121" s="31" t="inlineStr">
        <is>
          <t>electric equipment</t>
        </is>
      </c>
      <c r="E121" s="31" t="inlineStr">
        <is>
          <t>largecap</t>
        </is>
      </c>
      <c r="F121" s="31" t="n">
        <v>72615.00999999999</v>
      </c>
      <c r="G121" s="31" t="n">
        <v>17500</v>
      </c>
      <c r="H121" s="31" t="n">
        <v>0.91</v>
      </c>
      <c r="I121" s="31" t="n">
        <v>169196</v>
      </c>
      <c r="J121" s="31" t="inlineStr">
        <is>
          <t>532259</t>
        </is>
      </c>
    </row>
    <row r="122">
      <c r="A122" s="31" t="inlineStr">
        <is>
          <t>SEAMECLTD</t>
        </is>
      </c>
      <c r="B122" s="31" t="inlineStr">
        <is>
          <t>Seamec Limited</t>
        </is>
      </c>
      <c r="C122" s="31" t="inlineStr">
        <is>
          <t>miscellaneous</t>
        </is>
      </c>
      <c r="D122" s="31" t="inlineStr">
        <is>
          <t>miscellaneous</t>
        </is>
      </c>
      <c r="E122" s="31" t="inlineStr">
        <is>
          <t>smallcap</t>
        </is>
      </c>
      <c r="F122" s="31" t="n">
        <v>4507.6</v>
      </c>
      <c r="G122" s="31" t="n">
        <v>1788.4</v>
      </c>
      <c r="H122" s="31" t="n">
        <v>0.87</v>
      </c>
      <c r="I122" s="31" t="n">
        <v>150565</v>
      </c>
      <c r="J122" s="31" t="inlineStr">
        <is>
          <t>526807</t>
        </is>
      </c>
    </row>
    <row r="123">
      <c r="A123" s="31" t="inlineStr">
        <is>
          <t>TALBROAUTO</t>
        </is>
      </c>
      <c r="B123" s="31" t="inlineStr">
        <is>
          <t>Talbros Automotive Components Limited</t>
        </is>
      </c>
      <c r="C123" s="31" t="inlineStr">
        <is>
          <t>auto</t>
        </is>
      </c>
      <c r="D123" s="31" t="inlineStr">
        <is>
          <t>auto ancillaries</t>
        </is>
      </c>
      <c r="E123" s="31" t="inlineStr">
        <is>
          <t>smallcap</t>
        </is>
      </c>
      <c r="F123" s="31" t="n">
        <v>2593.82</v>
      </c>
      <c r="G123" s="31" t="n">
        <v>423.75</v>
      </c>
      <c r="H123" s="31" t="n">
        <v>0.84</v>
      </c>
      <c r="I123" s="31" t="n">
        <v>164443</v>
      </c>
      <c r="J123" s="31" t="inlineStr">
        <is>
          <t>505160</t>
        </is>
      </c>
    </row>
    <row r="124">
      <c r="A124" s="31" t="inlineStr">
        <is>
          <t>EMCURE</t>
        </is>
      </c>
      <c r="B124" s="31" t="inlineStr">
        <is>
          <t>Emcure Pharmaceuticals Ltd</t>
        </is>
      </c>
      <c r="C124" s="31" t="inlineStr">
        <is>
          <t>healthcare</t>
        </is>
      </c>
      <c r="D124" s="31" t="inlineStr">
        <is>
          <t>pharmaceuticals - indian - bulk drugs &amp; formln</t>
        </is>
      </c>
      <c r="E124" s="31" t="inlineStr">
        <is>
          <t>largecap</t>
        </is>
      </c>
      <c r="F124" s="31" t="n">
        <v>37230.42</v>
      </c>
      <c r="G124" s="31" t="n">
        <v>1978.9</v>
      </c>
      <c r="H124" s="31" t="n">
        <v>0.82</v>
      </c>
      <c r="I124" s="31" t="n">
        <v>122389</v>
      </c>
      <c r="J124" s="31" t="inlineStr">
        <is>
          <t>544210</t>
        </is>
      </c>
    </row>
    <row r="125">
      <c r="A125" s="31" t="inlineStr">
        <is>
          <t>NYKAA</t>
        </is>
      </c>
      <c r="B125" s="31" t="inlineStr">
        <is>
          <t>FSN E-Commerce Ventures Ltd</t>
        </is>
      </c>
      <c r="C125" s="31" t="inlineStr">
        <is>
          <t>i.t</t>
        </is>
      </c>
      <c r="D125" s="31" t="inlineStr">
        <is>
          <t>trading</t>
        </is>
      </c>
      <c r="E125" s="31" t="inlineStr">
        <is>
          <t>largecap</t>
        </is>
      </c>
      <c r="F125" s="31" t="n">
        <v>97928.47</v>
      </c>
      <c r="G125" s="31" t="n">
        <v>344.5</v>
      </c>
      <c r="H125" s="31" t="n">
        <v>0.75</v>
      </c>
      <c r="I125" s="31" t="n">
        <v>3977712</v>
      </c>
      <c r="J125" s="31" t="inlineStr">
        <is>
          <t>543384</t>
        </is>
      </c>
    </row>
    <row r="126">
      <c r="A126" s="31" t="inlineStr">
        <is>
          <t>TASTYBITE</t>
        </is>
      </c>
      <c r="B126" s="31" t="inlineStr">
        <is>
          <t>Tasty Bite Eatables Ltd</t>
        </is>
      </c>
      <c r="C126" s="31" t="inlineStr">
        <is>
          <t>fmcg</t>
        </is>
      </c>
      <c r="D126" s="31" t="inlineStr">
        <is>
          <t>food - processing - indian</t>
        </is>
      </c>
      <c r="E126" s="31" t="inlineStr">
        <is>
          <t>smallcap</t>
        </is>
      </c>
      <c r="F126" s="31" t="n">
        <v>2617.58</v>
      </c>
      <c r="G126" s="31" t="n">
        <v>10273</v>
      </c>
      <c r="H126" s="31" t="n">
        <v>0.71</v>
      </c>
      <c r="I126" s="31" t="n">
        <v>2921</v>
      </c>
      <c r="J126" s="31" t="inlineStr">
        <is>
          <t>519091</t>
        </is>
      </c>
    </row>
    <row r="127">
      <c r="A127" s="31" t="inlineStr">
        <is>
          <t>AUROPHARMA</t>
        </is>
      </c>
      <c r="B127" s="31" t="inlineStr">
        <is>
          <t>Aurobindo Pharma Limited</t>
        </is>
      </c>
      <c r="C127" s="31" t="inlineStr">
        <is>
          <t>healthcare</t>
        </is>
      </c>
      <c r="D127" s="31" t="inlineStr">
        <is>
          <t>pharmaceuticals - indian - bulk drugs &amp; formln</t>
        </is>
      </c>
      <c r="E127" s="31" t="inlineStr">
        <is>
          <t>largecap</t>
        </is>
      </c>
      <c r="F127" s="31" t="n">
        <v>95996.05</v>
      </c>
      <c r="G127" s="31" t="n">
        <v>1679.8</v>
      </c>
      <c r="H127" s="31" t="n">
        <v>0.68</v>
      </c>
      <c r="I127" s="31" t="n">
        <v>494251</v>
      </c>
      <c r="J127" s="31" t="inlineStr">
        <is>
          <t>524804</t>
        </is>
      </c>
    </row>
    <row r="128">
      <c r="A128" s="31" t="inlineStr">
        <is>
          <t>HITECHCORP</t>
        </is>
      </c>
      <c r="B128" s="31" t="inlineStr">
        <is>
          <t>Hitech Corporation</t>
        </is>
      </c>
      <c r="C128" s="31" t="inlineStr">
        <is>
          <t>industrials</t>
        </is>
      </c>
      <c r="D128" s="31" t="inlineStr">
        <is>
          <t>packaging</t>
        </is>
      </c>
      <c r="E128" s="31" t="inlineStr">
        <is>
          <t>smallcap</t>
        </is>
      </c>
      <c r="F128" s="31" t="n">
        <v>570.66</v>
      </c>
      <c r="G128" s="31" t="n">
        <v>334.5</v>
      </c>
      <c r="H128" s="31" t="n">
        <v>0.68</v>
      </c>
      <c r="I128" s="31" t="n">
        <v>3865</v>
      </c>
      <c r="J128" s="31" t="inlineStr">
        <is>
          <t>526217</t>
        </is>
      </c>
    </row>
    <row r="129">
      <c r="A129" s="31" t="inlineStr">
        <is>
          <t>LOTUSDEV</t>
        </is>
      </c>
      <c r="B129" s="31" t="inlineStr">
        <is>
          <t>Sri Lotus Developers &amp; Realty Ltd</t>
        </is>
      </c>
      <c r="C129" s="31" t="inlineStr">
        <is>
          <t>realty</t>
        </is>
      </c>
      <c r="D129" s="31" t="inlineStr">
        <is>
          <t>construction</t>
        </is>
      </c>
      <c r="E129" s="31" t="inlineStr">
        <is>
          <t>midcap</t>
        </is>
      </c>
      <c r="F129" s="31" t="n">
        <v>10159.59</v>
      </c>
      <c r="G129" s="31" t="n">
        <v>209.27</v>
      </c>
      <c r="H129" s="31" t="n">
        <v>0.67</v>
      </c>
      <c r="I129" s="31" t="n">
        <v>2083473</v>
      </c>
      <c r="J129" s="31" t="inlineStr">
        <is>
          <t>544469</t>
        </is>
      </c>
    </row>
    <row r="130">
      <c r="A130" s="31" t="inlineStr">
        <is>
          <t>ROSSTECH</t>
        </is>
      </c>
      <c r="B130" s="31" t="inlineStr">
        <is>
          <t>Rossell Techsys Ltd</t>
        </is>
      </c>
      <c r="C130" s="31" t="inlineStr">
        <is>
          <t>aerospace &amp; defence</t>
        </is>
      </c>
      <c r="D130" s="31" t="inlineStr">
        <is>
          <t>engineering</t>
        </is>
      </c>
      <c r="E130" s="31" t="inlineStr">
        <is>
          <t>smallcap</t>
        </is>
      </c>
      <c r="F130" s="31" t="n">
        <v>4548.46</v>
      </c>
      <c r="G130" s="31" t="n">
        <v>1214.3</v>
      </c>
      <c r="H130" s="31" t="n">
        <v>0.64</v>
      </c>
      <c r="I130" s="31" t="n">
        <v>147435</v>
      </c>
      <c r="J130" s="31" t="inlineStr">
        <is>
          <t>544294</t>
        </is>
      </c>
    </row>
    <row r="131">
      <c r="A131" s="31" t="inlineStr">
        <is>
          <t>KOTAKBANK</t>
        </is>
      </c>
      <c r="B131" s="31" t="inlineStr">
        <is>
          <t>Kotak Mahindra Bank Limited</t>
        </is>
      </c>
      <c r="C131" s="31" t="inlineStr">
        <is>
          <t>bank</t>
        </is>
      </c>
      <c r="D131" s="31" t="inlineStr">
        <is>
          <t>banks - private sector</t>
        </is>
      </c>
      <c r="E131" s="31" t="inlineStr">
        <is>
          <t>largecap</t>
        </is>
      </c>
      <c r="F131" s="31" t="n">
        <v>414330.17</v>
      </c>
      <c r="G131" s="31" t="n">
        <v>419</v>
      </c>
      <c r="H131" s="31" t="n">
        <v>0.59</v>
      </c>
      <c r="I131" s="31" t="n">
        <v>15197483</v>
      </c>
      <c r="J131" s="31" t="inlineStr">
        <is>
          <t>500247</t>
        </is>
      </c>
    </row>
    <row r="132">
      <c r="A132" s="31" t="inlineStr">
        <is>
          <t>SBC</t>
        </is>
      </c>
      <c r="B132" s="31" t="inlineStr">
        <is>
          <t>SBC Exports Ltd</t>
        </is>
      </c>
      <c r="C132" s="31" t="inlineStr">
        <is>
          <t>textiles</t>
        </is>
      </c>
      <c r="D132" s="31" t="inlineStr">
        <is>
          <t>textiles - products</t>
        </is>
      </c>
      <c r="E132" s="31" t="inlineStr">
        <is>
          <t>smallcap</t>
        </is>
      </c>
      <c r="F132" s="31" t="n">
        <v>2288.09</v>
      </c>
      <c r="G132" s="31" t="n">
        <v>48.33</v>
      </c>
      <c r="H132" s="31" t="n">
        <v>0.58</v>
      </c>
      <c r="I132" s="31" t="n">
        <v>8267285</v>
      </c>
      <c r="J132" s="31" t="inlineStr">
        <is>
          <t>542725</t>
        </is>
      </c>
    </row>
    <row r="133">
      <c r="A133" s="31" t="inlineStr">
        <is>
          <t>KRN</t>
        </is>
      </c>
      <c r="B133" s="31" t="inlineStr">
        <is>
          <t>KRN Heat Exchanger and Refrigeration Ltd</t>
        </is>
      </c>
      <c r="C133" s="31" t="inlineStr">
        <is>
          <t>industrials</t>
        </is>
      </c>
      <c r="D133" s="31" t="inlineStr">
        <is>
          <t>engineering</t>
        </is>
      </c>
      <c r="E133" s="31" t="inlineStr">
        <is>
          <t>midcap</t>
        </is>
      </c>
      <c r="F133" s="31" t="n">
        <v>10372.55</v>
      </c>
      <c r="G133" s="31" t="n">
        <v>1593.6</v>
      </c>
      <c r="H133" s="31" t="n">
        <v>0.57</v>
      </c>
      <c r="I133" s="31" t="n">
        <v>188504</v>
      </c>
      <c r="J133" s="31" t="inlineStr">
        <is>
          <t>544263</t>
        </is>
      </c>
    </row>
    <row r="134">
      <c r="A134" s="31" t="inlineStr">
        <is>
          <t>KAPSTON</t>
        </is>
      </c>
      <c r="B134" s="31" t="inlineStr">
        <is>
          <t>Kapston Services Ltd</t>
        </is>
      </c>
      <c r="C134" s="31" t="inlineStr">
        <is>
          <t>miscellaneous</t>
        </is>
      </c>
      <c r="D134" s="31" t="inlineStr">
        <is>
          <t>miscellaneous</t>
        </is>
      </c>
      <c r="E134" s="31" t="inlineStr">
        <is>
          <t>smallcap</t>
        </is>
      </c>
      <c r="F134" s="31" t="n">
        <v>1780.13</v>
      </c>
      <c r="G134" s="31" t="n">
        <v>588.2</v>
      </c>
      <c r="H134" s="31" t="n">
        <v>0.5600000000000001</v>
      </c>
      <c r="I134" s="31" t="n">
        <v>63762</v>
      </c>
      <c r="J134" s="31" t="inlineStr">
        <is>
          <t>535064</t>
        </is>
      </c>
    </row>
    <row r="135">
      <c r="A135" s="31" t="inlineStr">
        <is>
          <t>SANSERA</t>
        </is>
      </c>
      <c r="B135" s="31" t="inlineStr">
        <is>
          <t>Sansera Engineering Ltd</t>
        </is>
      </c>
      <c r="C135" s="31" t="inlineStr">
        <is>
          <t>auto</t>
        </is>
      </c>
      <c r="D135" s="31" t="inlineStr">
        <is>
          <t>auto ancillaries</t>
        </is>
      </c>
      <c r="E135" s="31" t="inlineStr">
        <is>
          <t>largecap</t>
        </is>
      </c>
      <c r="F135" s="31" t="n">
        <v>25634.76</v>
      </c>
      <c r="G135" s="31" t="n">
        <v>4129.9</v>
      </c>
      <c r="H135" s="31" t="n">
        <v>0.54</v>
      </c>
      <c r="I135" s="31" t="n">
        <v>127741</v>
      </c>
      <c r="J135" s="31" t="inlineStr">
        <is>
          <t>543358</t>
        </is>
      </c>
    </row>
    <row r="136">
      <c r="A136" s="31" t="inlineStr">
        <is>
          <t>GANDHAR</t>
        </is>
      </c>
      <c r="B136" s="31" t="inlineStr">
        <is>
          <t>Gandhar Oil Refinery (India) Ltd</t>
        </is>
      </c>
      <c r="C136" s="31" t="inlineStr">
        <is>
          <t>energy</t>
        </is>
      </c>
      <c r="D136" s="31" t="inlineStr">
        <is>
          <t>refineries</t>
        </is>
      </c>
      <c r="E136" s="31" t="inlineStr">
        <is>
          <t>smallcap</t>
        </is>
      </c>
      <c r="F136" s="31" t="n">
        <v>2655.47</v>
      </c>
      <c r="G136" s="31" t="n">
        <v>272.7</v>
      </c>
      <c r="H136" s="31" t="n">
        <v>0.52</v>
      </c>
      <c r="I136" s="31" t="n">
        <v>748277</v>
      </c>
      <c r="J136" s="31" t="inlineStr">
        <is>
          <t>544029</t>
        </is>
      </c>
    </row>
    <row r="137">
      <c r="A137" s="31" t="inlineStr">
        <is>
          <t>WSTCSTPAPR</t>
        </is>
      </c>
      <c r="B137" s="31" t="inlineStr">
        <is>
          <t>West Coast Paper Mills Limited</t>
        </is>
      </c>
      <c r="C137" s="31" t="inlineStr">
        <is>
          <t>building materials</t>
        </is>
      </c>
      <c r="D137" s="31" t="inlineStr">
        <is>
          <t>paper</t>
        </is>
      </c>
      <c r="E137" s="31" t="inlineStr">
        <is>
          <t>smallcap</t>
        </is>
      </c>
      <c r="F137" s="31" t="n">
        <v>4690.13</v>
      </c>
      <c r="G137" s="31" t="n">
        <v>713.8</v>
      </c>
      <c r="H137" s="31" t="n">
        <v>0.52</v>
      </c>
      <c r="I137" s="31" t="n">
        <v>271781</v>
      </c>
      <c r="J137" s="31" t="inlineStr">
        <is>
          <t>500444</t>
        </is>
      </c>
    </row>
    <row r="138">
      <c r="A138" s="31" t="inlineStr">
        <is>
          <t>KILITCH</t>
        </is>
      </c>
      <c r="B138" s="31" t="inlineStr">
        <is>
          <t>Kilitch Drugs (india) Limited</t>
        </is>
      </c>
      <c r="C138" s="31" t="inlineStr">
        <is>
          <t>healthcare</t>
        </is>
      </c>
      <c r="D138" s="31" t="inlineStr">
        <is>
          <t>pharmaceuticals - indian - formulations</t>
        </is>
      </c>
      <c r="E138" s="31" t="inlineStr">
        <is>
          <t>smallcap</t>
        </is>
      </c>
      <c r="F138" s="31" t="n">
        <v>646.89</v>
      </c>
      <c r="G138" s="31" t="n">
        <v>185.97</v>
      </c>
      <c r="H138" s="31" t="n">
        <v>0.51</v>
      </c>
      <c r="I138" s="31" t="n">
        <v>22611</v>
      </c>
      <c r="J138" s="31" t="inlineStr">
        <is>
          <t>524500</t>
        </is>
      </c>
    </row>
    <row r="139">
      <c r="A139" s="31" t="inlineStr">
        <is>
          <t>UNITEDPOLY</t>
        </is>
      </c>
      <c r="B139" s="31" t="inlineStr">
        <is>
          <t>United Polyfab Gujarat Ltd</t>
        </is>
      </c>
      <c r="C139" s="31" t="inlineStr">
        <is>
          <t>textiles</t>
        </is>
      </c>
      <c r="D139" s="31" t="inlineStr">
        <is>
          <t>textiles - products</t>
        </is>
      </c>
      <c r="E139" s="31" t="inlineStr">
        <is>
          <t>smallcap</t>
        </is>
      </c>
      <c r="F139" s="31" t="n">
        <v>988.52</v>
      </c>
      <c r="G139" s="31" t="n">
        <v>43.28</v>
      </c>
      <c r="H139" s="31" t="n">
        <v>0.49</v>
      </c>
      <c r="I139" s="31" t="n">
        <v>144169</v>
      </c>
      <c r="J139" s="31" t="inlineStr">
        <is>
          <t>533024</t>
        </is>
      </c>
    </row>
    <row r="140">
      <c r="A140" s="31" t="inlineStr">
        <is>
          <t>IDEA</t>
        </is>
      </c>
      <c r="B140" s="31" t="inlineStr">
        <is>
          <t>Vodafone Idea Ltd</t>
        </is>
      </c>
      <c r="C140" s="31" t="inlineStr">
        <is>
          <t>telecom-service</t>
        </is>
      </c>
      <c r="D140" s="31" t="inlineStr">
        <is>
          <t>telecommunications - service provider</t>
        </is>
      </c>
      <c r="E140" s="31" t="inlineStr">
        <is>
          <t>largecap</t>
        </is>
      </c>
      <c r="F140" s="31" t="n">
        <v>161431.12</v>
      </c>
      <c r="G140" s="31" t="n">
        <v>14.97</v>
      </c>
      <c r="H140" s="31" t="n">
        <v>0.47</v>
      </c>
      <c r="I140" s="31" t="n">
        <v>547907103</v>
      </c>
      <c r="J140" s="31" t="inlineStr">
        <is>
          <t>532822</t>
        </is>
      </c>
    </row>
    <row r="141">
      <c r="A141" s="31" t="inlineStr">
        <is>
          <t>TEGA</t>
        </is>
      </c>
      <c r="B141" s="31" t="inlineStr">
        <is>
          <t>Tega Industries Ltd</t>
        </is>
      </c>
      <c r="C141" s="31" t="inlineStr">
        <is>
          <t>industrials</t>
        </is>
      </c>
      <c r="D141" s="31" t="inlineStr">
        <is>
          <t>engineering</t>
        </is>
      </c>
      <c r="E141" s="31" t="inlineStr">
        <is>
          <t>midcap</t>
        </is>
      </c>
      <c r="F141" s="31" t="n">
        <v>12933.98</v>
      </c>
      <c r="G141" s="31" t="n">
        <v>1729.1</v>
      </c>
      <c r="H141" s="31" t="n">
        <v>0.44</v>
      </c>
      <c r="I141" s="31" t="n">
        <v>278676</v>
      </c>
      <c r="J141" s="31" t="inlineStr">
        <is>
          <t>543413</t>
        </is>
      </c>
    </row>
    <row r="142">
      <c r="A142" s="31" t="inlineStr">
        <is>
          <t>REDINGTON</t>
        </is>
      </c>
      <c r="B142" s="31" t="inlineStr">
        <is>
          <t>Redington (india) Limited</t>
        </is>
      </c>
      <c r="C142" s="31" t="inlineStr">
        <is>
          <t>services</t>
        </is>
      </c>
      <c r="D142" s="31" t="inlineStr">
        <is>
          <t>trading</t>
        </is>
      </c>
      <c r="E142" s="31" t="inlineStr">
        <is>
          <t>largecap</t>
        </is>
      </c>
      <c r="F142" s="31" t="n">
        <v>30645.56</v>
      </c>
      <c r="G142" s="31" t="n">
        <v>393.7</v>
      </c>
      <c r="H142" s="31" t="n">
        <v>0.43</v>
      </c>
      <c r="I142" s="31" t="n">
        <v>7473984</v>
      </c>
      <c r="J142" s="31" t="inlineStr">
        <is>
          <t>532805</t>
        </is>
      </c>
    </row>
    <row r="143">
      <c r="A143" s="31" t="inlineStr">
        <is>
          <t>MOREPENLAB</t>
        </is>
      </c>
      <c r="B143" s="31" t="inlineStr">
        <is>
          <t>Morepen Laboratories Limited</t>
        </is>
      </c>
      <c r="C143" s="31" t="inlineStr">
        <is>
          <t>healthcare</t>
        </is>
      </c>
      <c r="D143" s="31" t="inlineStr">
        <is>
          <t>pharmaceuticals - indian - bulk drugs &amp; formln</t>
        </is>
      </c>
      <c r="E143" s="31" t="inlineStr">
        <is>
          <t>midcap</t>
        </is>
      </c>
      <c r="F143" s="31" t="n">
        <v>6316.81</v>
      </c>
      <c r="G143" s="31" t="n">
        <v>115.78</v>
      </c>
      <c r="H143" s="31" t="n">
        <v>0.43</v>
      </c>
      <c r="I143" s="31" t="n">
        <v>15303804</v>
      </c>
      <c r="J143" s="31" t="inlineStr">
        <is>
          <t>500288</t>
        </is>
      </c>
    </row>
    <row r="144">
      <c r="A144" s="31" t="inlineStr">
        <is>
          <t>RBLBANK</t>
        </is>
      </c>
      <c r="B144" s="31" t="inlineStr">
        <is>
          <t>Rbl Bank Limited</t>
        </is>
      </c>
      <c r="C144" s="31" t="inlineStr">
        <is>
          <t>bank</t>
        </is>
      </c>
      <c r="D144" s="31" t="inlineStr">
        <is>
          <t>banks - private sector</t>
        </is>
      </c>
      <c r="E144" s="31" t="inlineStr">
        <is>
          <t>largecap</t>
        </is>
      </c>
      <c r="F144" s="31" t="n">
        <v>63614.76</v>
      </c>
      <c r="G144" s="31" t="n">
        <v>412.55</v>
      </c>
      <c r="H144" s="31" t="n">
        <v>0.43</v>
      </c>
      <c r="I144" s="31" t="n">
        <v>3209425</v>
      </c>
      <c r="J144" s="31" t="inlineStr">
        <is>
          <t>540065</t>
        </is>
      </c>
    </row>
    <row r="145">
      <c r="A145" s="31" t="inlineStr">
        <is>
          <t>ETERNAL</t>
        </is>
      </c>
      <c r="B145" s="31" t="inlineStr">
        <is>
          <t>Eternal Ltd</t>
        </is>
      </c>
      <c r="C145" s="31" t="inlineStr">
        <is>
          <t>i.t</t>
        </is>
      </c>
      <c r="D145" s="31" t="inlineStr">
        <is>
          <t>miscellaneous</t>
        </is>
      </c>
      <c r="E145" s="31" t="inlineStr">
        <is>
          <t>largecap</t>
        </is>
      </c>
      <c r="F145" s="31" t="n">
        <v>310837.79</v>
      </c>
      <c r="G145" s="31" t="n">
        <v>323.5</v>
      </c>
      <c r="H145" s="31" t="n">
        <v>0.43</v>
      </c>
      <c r="I145" s="31" t="n">
        <v>22712054</v>
      </c>
      <c r="J145" s="31" t="inlineStr">
        <is>
          <t>543320</t>
        </is>
      </c>
    </row>
    <row r="146">
      <c r="A146" s="31" t="inlineStr">
        <is>
          <t>SMCGLOBAL</t>
        </is>
      </c>
      <c r="B146" s="31" t="inlineStr">
        <is>
          <t>SMC Global Securities Ltd</t>
        </is>
      </c>
      <c r="C146" s="31" t="inlineStr">
        <is>
          <t>financials</t>
        </is>
      </c>
      <c r="D146" s="31" t="inlineStr">
        <is>
          <t>finance &amp; investments</t>
        </is>
      </c>
      <c r="E146" s="31" t="inlineStr">
        <is>
          <t>smallcap</t>
        </is>
      </c>
      <c r="F146" s="31" t="n">
        <v>1793.3</v>
      </c>
      <c r="G146" s="31" t="n">
        <v>86</v>
      </c>
      <c r="H146" s="31" t="n">
        <v>0.42</v>
      </c>
      <c r="I146" s="31" t="n">
        <v>3491875</v>
      </c>
      <c r="J146" s="31" t="inlineStr">
        <is>
          <t>543263</t>
        </is>
      </c>
    </row>
    <row r="147">
      <c r="A147" s="31" t="inlineStr">
        <is>
          <t>GODREJAGRO</t>
        </is>
      </c>
      <c r="B147" s="31" t="inlineStr">
        <is>
          <t>Godrej Agrovet Ltd</t>
        </is>
      </c>
      <c r="C147" s="31" t="inlineStr">
        <is>
          <t>fmcg</t>
        </is>
      </c>
      <c r="D147" s="31" t="inlineStr">
        <is>
          <t>food - processing - indian</t>
        </is>
      </c>
      <c r="E147" s="31" t="inlineStr">
        <is>
          <t>midcap</t>
        </is>
      </c>
      <c r="F147" s="31" t="n">
        <v>12946.79</v>
      </c>
      <c r="G147" s="31" t="n">
        <v>675.85</v>
      </c>
      <c r="H147" s="31" t="n">
        <v>0.42</v>
      </c>
      <c r="I147" s="31" t="n">
        <v>217886</v>
      </c>
      <c r="J147" s="31" t="inlineStr">
        <is>
          <t>540743</t>
        </is>
      </c>
    </row>
    <row r="148">
      <c r="A148" s="31" t="inlineStr">
        <is>
          <t>UNIPARTS</t>
        </is>
      </c>
      <c r="B148" s="31" t="inlineStr">
        <is>
          <t>Uniparts India Ltd</t>
        </is>
      </c>
      <c r="C148" s="31" t="inlineStr">
        <is>
          <t>industrials</t>
        </is>
      </c>
      <c r="D148" s="31" t="inlineStr">
        <is>
          <t>engineering</t>
        </is>
      </c>
      <c r="E148" s="31" t="inlineStr">
        <is>
          <t>smallcap</t>
        </is>
      </c>
      <c r="F148" s="31" t="n">
        <v>4035.12</v>
      </c>
      <c r="G148" s="31" t="n">
        <v>897.45</v>
      </c>
      <c r="H148" s="31" t="n">
        <v>0.4</v>
      </c>
      <c r="I148" s="31" t="n">
        <v>168282</v>
      </c>
      <c r="J148" s="31" t="inlineStr">
        <is>
          <t>543689</t>
        </is>
      </c>
    </row>
    <row r="149">
      <c r="A149" s="31" t="inlineStr">
        <is>
          <t>FINCABLES</t>
        </is>
      </c>
      <c r="B149" s="31" t="inlineStr">
        <is>
          <t>Finolex Cables Limited</t>
        </is>
      </c>
      <c r="C149" s="31" t="inlineStr">
        <is>
          <t>industrials</t>
        </is>
      </c>
      <c r="D149" s="31" t="inlineStr">
        <is>
          <t>cables - power</t>
        </is>
      </c>
      <c r="E149" s="31" t="inlineStr">
        <is>
          <t>largecap</t>
        </is>
      </c>
      <c r="F149" s="31" t="n">
        <v>21692.92</v>
      </c>
      <c r="G149" s="31" t="n">
        <v>1424</v>
      </c>
      <c r="H149" s="31" t="n">
        <v>0.39</v>
      </c>
      <c r="I149" s="31" t="n">
        <v>3358636</v>
      </c>
      <c r="J149" s="31" t="inlineStr">
        <is>
          <t>500144</t>
        </is>
      </c>
    </row>
    <row r="150">
      <c r="A150" s="31" t="inlineStr">
        <is>
          <t>ANANDRATHI</t>
        </is>
      </c>
      <c r="B150" s="31" t="inlineStr">
        <is>
          <t>Anand Rathi Wealth Ltd</t>
        </is>
      </c>
      <c r="C150" s="31" t="inlineStr">
        <is>
          <t>financials</t>
        </is>
      </c>
      <c r="D150" s="31" t="inlineStr">
        <is>
          <t>finance &amp; investments</t>
        </is>
      </c>
      <c r="E150" s="31" t="inlineStr">
        <is>
          <t>largecap</t>
        </is>
      </c>
      <c r="F150" s="31" t="n">
        <v>36570.59</v>
      </c>
      <c r="G150" s="31" t="n">
        <v>2211</v>
      </c>
      <c r="H150" s="31" t="n">
        <v>0.39</v>
      </c>
      <c r="I150" s="31" t="n">
        <v>175283</v>
      </c>
      <c r="J150" s="31" t="inlineStr">
        <is>
          <t>543415</t>
        </is>
      </c>
    </row>
    <row r="151">
      <c r="A151" s="31" t="inlineStr">
        <is>
          <t>BHEL</t>
        </is>
      </c>
      <c r="B151" s="31" t="inlineStr">
        <is>
          <t>Bharat Heavy Electricals Limited</t>
        </is>
      </c>
      <c r="C151" s="31" t="inlineStr">
        <is>
          <t>industrials</t>
        </is>
      </c>
      <c r="D151" s="31" t="inlineStr">
        <is>
          <t>electric equipment</t>
        </is>
      </c>
      <c r="E151" s="31" t="inlineStr">
        <is>
          <t>largecap</t>
        </is>
      </c>
      <c r="F151" s="31" t="n">
        <v>149554.62</v>
      </c>
      <c r="G151" s="31" t="n">
        <v>431</v>
      </c>
      <c r="H151" s="31" t="n">
        <v>0.35</v>
      </c>
      <c r="I151" s="31" t="n">
        <v>6548117</v>
      </c>
      <c r="J151" s="31" t="inlineStr">
        <is>
          <t>500103</t>
        </is>
      </c>
    </row>
    <row r="152">
      <c r="A152" s="31" t="inlineStr">
        <is>
          <t>CEIGALL</t>
        </is>
      </c>
      <c r="B152" s="31" t="inlineStr">
        <is>
          <t>Ceigall India Ltd</t>
        </is>
      </c>
      <c r="C152" s="31" t="inlineStr">
        <is>
          <t>realty</t>
        </is>
      </c>
      <c r="D152" s="31" t="inlineStr">
        <is>
          <t>construction</t>
        </is>
      </c>
      <c r="E152" s="31" t="inlineStr">
        <is>
          <t>midcap</t>
        </is>
      </c>
      <c r="F152" s="31" t="n">
        <v>6604.11</v>
      </c>
      <c r="G152" s="31" t="n">
        <v>380.4</v>
      </c>
      <c r="H152" s="31" t="n">
        <v>0.34</v>
      </c>
      <c r="I152" s="31" t="n">
        <v>266487</v>
      </c>
      <c r="J152" s="31" t="inlineStr">
        <is>
          <t>544223</t>
        </is>
      </c>
    </row>
    <row r="153">
      <c r="A153" s="31" t="inlineStr">
        <is>
          <t>SHALPAINTS</t>
        </is>
      </c>
      <c r="B153" s="31" t="inlineStr">
        <is>
          <t>Shalimar Paints Limited</t>
        </is>
      </c>
      <c r="C153" s="31" t="inlineStr">
        <is>
          <t>building materials</t>
        </is>
      </c>
      <c r="D153" s="31" t="inlineStr">
        <is>
          <t>paints / varnishes</t>
        </is>
      </c>
      <c r="E153" s="31" t="inlineStr">
        <is>
          <t>smallcap</t>
        </is>
      </c>
      <c r="F153" s="31" t="n">
        <v>715.23</v>
      </c>
      <c r="G153" s="31" t="n">
        <v>85.73</v>
      </c>
      <c r="H153" s="31" t="n">
        <v>0.34</v>
      </c>
      <c r="I153" s="31" t="n">
        <v>139971</v>
      </c>
      <c r="J153" s="31" t="inlineStr">
        <is>
          <t>509874</t>
        </is>
      </c>
    </row>
    <row r="154">
      <c r="A154" s="31" t="inlineStr">
        <is>
          <t>SHANTIGOLD</t>
        </is>
      </c>
      <c r="B154" s="31" t="inlineStr">
        <is>
          <t>Shanti Gold International Ltd</t>
        </is>
      </c>
      <c r="C154" s="31" t="inlineStr">
        <is>
          <t>consumer discretionary</t>
        </is>
      </c>
      <c r="D154" s="31" t="inlineStr">
        <is>
          <t>diamond cutting / jewellery</t>
        </is>
      </c>
      <c r="E154" s="31" t="inlineStr">
        <is>
          <t>smallcap</t>
        </is>
      </c>
      <c r="F154" s="31" t="n">
        <v>1974.43</v>
      </c>
      <c r="G154" s="31" t="n">
        <v>258.17</v>
      </c>
      <c r="H154" s="31" t="n">
        <v>0.34</v>
      </c>
      <c r="I154" s="31" t="n">
        <v>1074560</v>
      </c>
      <c r="J154" s="31" t="inlineStr">
        <is>
          <t>544459</t>
        </is>
      </c>
    </row>
    <row r="155">
      <c r="A155" s="31" t="inlineStr">
        <is>
          <t>KPIL</t>
        </is>
      </c>
      <c r="B155" s="31" t="inlineStr">
        <is>
          <t>Kalpataru Projects International Ltd</t>
        </is>
      </c>
      <c r="C155" s="31" t="inlineStr">
        <is>
          <t>realty</t>
        </is>
      </c>
      <c r="D155" s="31" t="inlineStr">
        <is>
          <t>transmisson line towers / equipment</t>
        </is>
      </c>
      <c r="E155" s="31" t="inlineStr">
        <is>
          <t>largecap</t>
        </is>
      </c>
      <c r="F155" s="31" t="n">
        <v>24454.63</v>
      </c>
      <c r="G155" s="31" t="n">
        <v>1435.7</v>
      </c>
      <c r="H155" s="31" t="n">
        <v>0.26</v>
      </c>
      <c r="I155" s="31" t="n">
        <v>107494</v>
      </c>
      <c r="J155" s="31" t="inlineStr">
        <is>
          <t>522287</t>
        </is>
      </c>
    </row>
    <row r="156">
      <c r="A156" s="31" t="inlineStr">
        <is>
          <t>EBGNG</t>
        </is>
      </c>
      <c r="B156" s="31" t="inlineStr">
        <is>
          <t>GNG Electronics Ltd</t>
        </is>
      </c>
      <c r="C156" s="31" t="inlineStr">
        <is>
          <t>services</t>
        </is>
      </c>
      <c r="D156" s="31" t="inlineStr">
        <is>
          <t>trading</t>
        </is>
      </c>
      <c r="E156" s="31" t="inlineStr">
        <is>
          <t>midcap</t>
        </is>
      </c>
      <c r="F156" s="31" t="n">
        <v>7729.41</v>
      </c>
      <c r="G156" s="31" t="n">
        <v>679.65</v>
      </c>
      <c r="H156" s="31" t="n">
        <v>0.25</v>
      </c>
      <c r="I156" s="31" t="n">
        <v>518414</v>
      </c>
      <c r="J156" s="31" t="inlineStr">
        <is>
          <t>544455</t>
        </is>
      </c>
    </row>
    <row r="157">
      <c r="A157" s="31" t="inlineStr">
        <is>
          <t>NITINSPIN</t>
        </is>
      </c>
      <c r="B157" s="31" t="inlineStr">
        <is>
          <t>Nitin Spinners Limited</t>
        </is>
      </c>
      <c r="C157" s="31" t="inlineStr">
        <is>
          <t>textiles</t>
        </is>
      </c>
      <c r="D157" s="31" t="inlineStr">
        <is>
          <t>textiles - cotton/blended</t>
        </is>
      </c>
      <c r="E157" s="31" t="inlineStr">
        <is>
          <t>smallcap</t>
        </is>
      </c>
      <c r="F157" s="31" t="n">
        <v>3651.49</v>
      </c>
      <c r="G157" s="31" t="n">
        <v>651.05</v>
      </c>
      <c r="H157" s="31" t="n">
        <v>0.24</v>
      </c>
      <c r="I157" s="31" t="n">
        <v>63163</v>
      </c>
      <c r="J157" s="31" t="inlineStr">
        <is>
          <t>532698</t>
        </is>
      </c>
    </row>
    <row r="158">
      <c r="A158" s="31" t="inlineStr">
        <is>
          <t>ASIANENE</t>
        </is>
      </c>
      <c r="B158" s="31" t="inlineStr">
        <is>
          <t>Asian Energy Services Ltd</t>
        </is>
      </c>
      <c r="C158" s="31" t="inlineStr">
        <is>
          <t>energy</t>
        </is>
      </c>
      <c r="D158" s="31" t="inlineStr">
        <is>
          <t>oil drilling / allied services</t>
        </is>
      </c>
      <c r="E158" s="31" t="inlineStr">
        <is>
          <t>smallcap</t>
        </is>
      </c>
      <c r="F158" s="31" t="n">
        <v>2596.58</v>
      </c>
      <c r="G158" s="31" t="n">
        <v>535.1</v>
      </c>
      <c r="H158" s="31" t="n">
        <v>0.22</v>
      </c>
      <c r="I158" s="31" t="n">
        <v>492430</v>
      </c>
      <c r="J158" s="31" t="inlineStr">
        <is>
          <t>530355</t>
        </is>
      </c>
    </row>
    <row r="159">
      <c r="A159" s="31" t="inlineStr">
        <is>
          <t>VIJAYA</t>
        </is>
      </c>
      <c r="B159" s="31" t="inlineStr">
        <is>
          <t>Vijaya Diagnostic Centre Ltd</t>
        </is>
      </c>
      <c r="C159" s="31" t="inlineStr">
        <is>
          <t>healthcare</t>
        </is>
      </c>
      <c r="D159" s="31" t="inlineStr">
        <is>
          <t>healthcare</t>
        </is>
      </c>
      <c r="E159" s="31" t="inlineStr">
        <is>
          <t>midcap</t>
        </is>
      </c>
      <c r="F159" s="31" t="n">
        <v>15422.16</v>
      </c>
      <c r="G159" s="31" t="n">
        <v>1502</v>
      </c>
      <c r="H159" s="31" t="n">
        <v>0.21</v>
      </c>
      <c r="I159" s="31" t="n">
        <v>98574</v>
      </c>
      <c r="J159" s="31" t="inlineStr">
        <is>
          <t>543350</t>
        </is>
      </c>
    </row>
    <row r="160">
      <c r="A160" s="31" t="inlineStr">
        <is>
          <t>JSWINFRA</t>
        </is>
      </c>
      <c r="B160" s="31" t="inlineStr">
        <is>
          <t>JSW Infrastructure Ltd</t>
        </is>
      </c>
      <c r="C160" s="31" t="inlineStr">
        <is>
          <t>transportation</t>
        </is>
      </c>
      <c r="D160" s="31" t="inlineStr">
        <is>
          <t>miscellaneous</t>
        </is>
      </c>
      <c r="E160" s="31" t="inlineStr">
        <is>
          <t>largecap</t>
        </is>
      </c>
      <c r="F160" s="31" t="n">
        <v>79790.89999999999</v>
      </c>
      <c r="G160" s="31" t="n">
        <v>343.15</v>
      </c>
      <c r="H160" s="31" t="n">
        <v>0.2</v>
      </c>
      <c r="I160" s="31" t="n">
        <v>2957954</v>
      </c>
      <c r="J160" s="31" t="inlineStr">
        <is>
          <t>543994</t>
        </is>
      </c>
    </row>
    <row r="161">
      <c r="A161" s="31" t="inlineStr">
        <is>
          <t>AJAXENGG</t>
        </is>
      </c>
      <c r="B161" s="31" t="inlineStr">
        <is>
          <t>Ajax Engineering Ltd</t>
        </is>
      </c>
      <c r="C161" s="31" t="inlineStr">
        <is>
          <t>industrials</t>
        </is>
      </c>
      <c r="D161" s="31" t="inlineStr">
        <is>
          <t>engineering</t>
        </is>
      </c>
      <c r="E161" s="31" t="inlineStr">
        <is>
          <t>midcap</t>
        </is>
      </c>
      <c r="F161" s="31" t="n">
        <v>6744.28</v>
      </c>
      <c r="G161" s="31" t="n">
        <v>590.6</v>
      </c>
      <c r="H161" s="31" t="n">
        <v>0.19</v>
      </c>
      <c r="I161" s="31" t="n">
        <v>71818</v>
      </c>
      <c r="J161" s="31" t="inlineStr">
        <is>
          <t>544356</t>
        </is>
      </c>
    </row>
    <row r="162">
      <c r="A162" s="31" t="inlineStr">
        <is>
          <t>TIMKEN</t>
        </is>
      </c>
      <c r="B162" s="31" t="inlineStr">
        <is>
          <t>Timken India Limited</t>
        </is>
      </c>
      <c r="C162" s="31" t="inlineStr">
        <is>
          <t>industrials</t>
        </is>
      </c>
      <c r="D162" s="31" t="inlineStr">
        <is>
          <t>bearings</t>
        </is>
      </c>
      <c r="E162" s="31" t="inlineStr">
        <is>
          <t>largecap</t>
        </is>
      </c>
      <c r="F162" s="31" t="n">
        <v>24801.12</v>
      </c>
      <c r="G162" s="31" t="n">
        <v>3302.4</v>
      </c>
      <c r="H162" s="31" t="n">
        <v>0.16</v>
      </c>
      <c r="I162" s="31" t="n">
        <v>43706</v>
      </c>
      <c r="J162" s="31" t="inlineStr">
        <is>
          <t>522113</t>
        </is>
      </c>
    </row>
    <row r="163">
      <c r="A163" s="31" t="inlineStr">
        <is>
          <t>SUNDARMFIN</t>
        </is>
      </c>
      <c r="B163" s="31" t="inlineStr">
        <is>
          <t>Sundaram Finance Limited</t>
        </is>
      </c>
      <c r="C163" s="31" t="inlineStr">
        <is>
          <t>financials</t>
        </is>
      </c>
      <c r="D163" s="31" t="inlineStr">
        <is>
          <t>finance &amp; investments</t>
        </is>
      </c>
      <c r="E163" s="31" t="inlineStr">
        <is>
          <t>largecap</t>
        </is>
      </c>
      <c r="F163" s="31" t="n">
        <v>52252.15</v>
      </c>
      <c r="G163" s="31" t="n">
        <v>4710.7</v>
      </c>
      <c r="H163" s="31" t="n">
        <v>0.16</v>
      </c>
      <c r="I163" s="31" t="n">
        <v>25632</v>
      </c>
      <c r="J163" s="31" t="inlineStr">
        <is>
          <t>590071</t>
        </is>
      </c>
    </row>
    <row r="164">
      <c r="A164" s="31" t="inlineStr">
        <is>
          <t>DICIND</t>
        </is>
      </c>
      <c r="B164" s="31" t="inlineStr">
        <is>
          <t>Dic India Limited</t>
        </is>
      </c>
      <c r="C164" s="31" t="inlineStr">
        <is>
          <t>chemicals</t>
        </is>
      </c>
      <c r="D164" s="31" t="inlineStr">
        <is>
          <t>chemicals</t>
        </is>
      </c>
      <c r="E164" s="31" t="inlineStr">
        <is>
          <t>smallcap</t>
        </is>
      </c>
      <c r="F164" s="31" t="n">
        <v>551.89</v>
      </c>
      <c r="G164" s="31" t="n">
        <v>602.1</v>
      </c>
      <c r="H164" s="31" t="n">
        <v>0.14</v>
      </c>
      <c r="I164" s="31" t="n">
        <v>2447</v>
      </c>
      <c r="J164" s="31" t="inlineStr">
        <is>
          <t>500089</t>
        </is>
      </c>
    </row>
    <row r="165">
      <c r="A165" s="31" t="inlineStr">
        <is>
          <t>MSTCLTD</t>
        </is>
      </c>
      <c r="B165" s="31" t="inlineStr">
        <is>
          <t>MSTC Ltd</t>
        </is>
      </c>
      <c r="C165" s="31" t="inlineStr">
        <is>
          <t>i.t</t>
        </is>
      </c>
      <c r="D165" s="31" t="inlineStr">
        <is>
          <t>trading</t>
        </is>
      </c>
      <c r="E165" s="31" t="inlineStr">
        <is>
          <t>midcap</t>
        </is>
      </c>
      <c r="F165" s="31" t="n">
        <v>5192.35</v>
      </c>
      <c r="G165" s="31" t="n">
        <v>738.55</v>
      </c>
      <c r="H165" s="31" t="n">
        <v>0.14</v>
      </c>
      <c r="I165" s="31" t="n">
        <v>311849</v>
      </c>
      <c r="J165" s="31" t="inlineStr">
        <is>
          <t>542597</t>
        </is>
      </c>
    </row>
    <row r="166">
      <c r="A166" s="31" t="inlineStr">
        <is>
          <t>MAXESTATES</t>
        </is>
      </c>
      <c r="B166" s="31" t="inlineStr">
        <is>
          <t>Max Estates Ltd</t>
        </is>
      </c>
      <c r="C166" s="31" t="inlineStr">
        <is>
          <t>realty</t>
        </is>
      </c>
      <c r="D166" s="31" t="inlineStr">
        <is>
          <t>construction</t>
        </is>
      </c>
      <c r="E166" s="31" t="inlineStr">
        <is>
          <t>midcap</t>
        </is>
      </c>
      <c r="F166" s="31" t="n">
        <v>9151.76</v>
      </c>
      <c r="G166" s="31" t="n">
        <v>560.45</v>
      </c>
      <c r="H166" s="31" t="n">
        <v>0.13</v>
      </c>
      <c r="I166" s="31" t="n">
        <v>105077</v>
      </c>
      <c r="J166" s="31" t="inlineStr">
        <is>
          <t>544008</t>
        </is>
      </c>
    </row>
    <row r="167">
      <c r="A167" s="31" t="inlineStr">
        <is>
          <t>GRAPHITE</t>
        </is>
      </c>
      <c r="B167" s="31" t="inlineStr">
        <is>
          <t>Graphite India Limited</t>
        </is>
      </c>
      <c r="C167" s="31" t="inlineStr">
        <is>
          <t>industrials</t>
        </is>
      </c>
      <c r="D167" s="31" t="inlineStr">
        <is>
          <t>electrodes - graphites</t>
        </is>
      </c>
      <c r="E167" s="31" t="inlineStr">
        <is>
          <t>midcap</t>
        </is>
      </c>
      <c r="F167" s="31" t="n">
        <v>16114.58</v>
      </c>
      <c r="G167" s="31" t="n">
        <v>825.8</v>
      </c>
      <c r="H167" s="31" t="n">
        <v>0.12</v>
      </c>
      <c r="I167" s="31" t="n">
        <v>3972340</v>
      </c>
      <c r="J167" s="31" t="inlineStr">
        <is>
          <t>509488</t>
        </is>
      </c>
    </row>
    <row r="168">
      <c r="A168" s="31" t="inlineStr">
        <is>
          <t>MTARTECH</t>
        </is>
      </c>
      <c r="B168" s="31" t="inlineStr">
        <is>
          <t>MTAR Technologies Ltd</t>
        </is>
      </c>
      <c r="C168" s="31" t="inlineStr">
        <is>
          <t>aerospace &amp; defence</t>
        </is>
      </c>
      <c r="D168" s="31" t="inlineStr">
        <is>
          <t>engineering</t>
        </is>
      </c>
      <c r="E168" s="31" t="inlineStr">
        <is>
          <t>largecap</t>
        </is>
      </c>
      <c r="F168" s="31" t="n">
        <v>22469.88</v>
      </c>
      <c r="G168" s="31" t="n">
        <v>7312.5</v>
      </c>
      <c r="H168" s="31" t="n">
        <v>0.1</v>
      </c>
      <c r="I168" s="31" t="n">
        <v>53464</v>
      </c>
      <c r="J168" s="31" t="inlineStr">
        <is>
          <t>543270</t>
        </is>
      </c>
    </row>
    <row r="169">
      <c r="A169" s="31" t="inlineStr">
        <is>
          <t>GVT&amp;D</t>
        </is>
      </c>
      <c r="B169" s="31" t="inlineStr">
        <is>
          <t>GE Vernova T&amp;D India Ltd</t>
        </is>
      </c>
      <c r="C169" s="31" t="inlineStr">
        <is>
          <t>industrials</t>
        </is>
      </c>
      <c r="D169" s="31" t="inlineStr">
        <is>
          <t>electric equipment</t>
        </is>
      </c>
      <c r="E169" s="31" t="inlineStr">
        <is>
          <t>largecap</t>
        </is>
      </c>
      <c r="F169" s="31" t="n">
        <v>116373.15</v>
      </c>
      <c r="G169" s="31" t="n">
        <v>4548.1</v>
      </c>
      <c r="H169" s="31" t="n">
        <v>0.07000000000000001</v>
      </c>
      <c r="I169" s="31" t="n">
        <v>588462</v>
      </c>
      <c r="J169" s="31" t="inlineStr">
        <is>
          <t>522275</t>
        </is>
      </c>
    </row>
    <row r="170">
      <c r="A170" s="31" t="inlineStr">
        <is>
          <t>KSL</t>
        </is>
      </c>
      <c r="B170" s="31" t="inlineStr">
        <is>
          <t>Kalyani Steels Limited</t>
        </is>
      </c>
      <c r="C170" s="31" t="inlineStr">
        <is>
          <t>metals &amp; mining</t>
        </is>
      </c>
      <c r="D170" s="31" t="inlineStr">
        <is>
          <t>steel - medium / small</t>
        </is>
      </c>
      <c r="E170" s="31" t="inlineStr">
        <is>
          <t>smallcap</t>
        </is>
      </c>
      <c r="F170" s="31" t="n">
        <v>4226.49</v>
      </c>
      <c r="G170" s="31" t="n">
        <v>968.75</v>
      </c>
      <c r="H170" s="31" t="n">
        <v>0.06</v>
      </c>
      <c r="I170" s="31" t="n">
        <v>204430</v>
      </c>
      <c r="J170" s="31" t="inlineStr">
        <is>
          <t>500235</t>
        </is>
      </c>
    </row>
    <row r="171">
      <c r="A171" s="31" t="inlineStr">
        <is>
          <t>COMSYN</t>
        </is>
      </c>
      <c r="B171" s="31" t="inlineStr">
        <is>
          <t>Commercial Syn Bags Ltd</t>
        </is>
      </c>
      <c r="C171" s="31" t="inlineStr">
        <is>
          <t>industrials</t>
        </is>
      </c>
      <c r="D171" s="31" t="inlineStr">
        <is>
          <t>packaging</t>
        </is>
      </c>
      <c r="E171" s="31" t="inlineStr">
        <is>
          <t>smallcap</t>
        </is>
      </c>
      <c r="F171" s="31" t="n">
        <v>1206.14</v>
      </c>
      <c r="G171" s="31" t="n">
        <v>299.15</v>
      </c>
      <c r="H171" s="31" t="n">
        <v>0.05</v>
      </c>
      <c r="I171" s="31" t="n">
        <v>71613</v>
      </c>
      <c r="J171" s="31" t="inlineStr">
        <is>
          <t>539986</t>
        </is>
      </c>
    </row>
    <row r="172">
      <c r="A172" s="31" t="inlineStr">
        <is>
          <t>FOSECOIND</t>
        </is>
      </c>
      <c r="B172" s="31" t="inlineStr">
        <is>
          <t>Foseco India Limited</t>
        </is>
      </c>
      <c r="C172" s="31" t="inlineStr">
        <is>
          <t>chemicals</t>
        </is>
      </c>
      <c r="D172" s="31" t="inlineStr">
        <is>
          <t>chemicals</t>
        </is>
      </c>
      <c r="E172" s="31" t="inlineStr">
        <is>
          <t>smallcap</t>
        </is>
      </c>
      <c r="F172" s="31" t="n">
        <v>4668.58</v>
      </c>
      <c r="G172" s="31" t="n">
        <v>6194.5</v>
      </c>
      <c r="H172" s="31" t="n">
        <v>0.01</v>
      </c>
      <c r="I172" s="31" t="n">
        <v>9080</v>
      </c>
      <c r="J172" s="31" t="inlineStr">
        <is>
          <t>500150</t>
        </is>
      </c>
    </row>
    <row r="173">
      <c r="A173" s="31" t="inlineStr">
        <is>
          <t>PANACHE</t>
        </is>
      </c>
      <c r="B173" s="31" t="inlineStr">
        <is>
          <t>Panache Digilife Ltd</t>
        </is>
      </c>
      <c r="C173" s="31" t="inlineStr">
        <is>
          <t>i.t</t>
        </is>
      </c>
      <c r="D173" s="31" t="inlineStr">
        <is>
          <t>computers - hardware</t>
        </is>
      </c>
      <c r="E173" s="31" t="inlineStr">
        <is>
          <t>smallcap</t>
        </is>
      </c>
      <c r="F173" s="31" t="n">
        <v>831.13</v>
      </c>
      <c r="G173" s="31" t="n">
        <v>519</v>
      </c>
      <c r="H173" s="31" t="n">
        <v>0</v>
      </c>
      <c r="I173" s="31" t="n">
        <v>2302</v>
      </c>
      <c r="J173" s="31" t="inlineStr">
        <is>
          <t>538424</t>
        </is>
      </c>
    </row>
    <row r="174">
      <c r="A174" s="31" t="inlineStr">
        <is>
          <t>PNBHOUSING</t>
        </is>
      </c>
      <c r="B174" s="31" t="inlineStr">
        <is>
          <t>Pnb Housing Finance Limited</t>
        </is>
      </c>
      <c r="C174" s="31" t="inlineStr">
        <is>
          <t>financials</t>
        </is>
      </c>
      <c r="D174" s="31" t="inlineStr">
        <is>
          <t>finance - housing</t>
        </is>
      </c>
      <c r="E174" s="31" t="inlineStr">
        <is>
          <t>largecap</t>
        </is>
      </c>
      <c r="F174" s="31" t="n">
        <v>30723.55</v>
      </c>
      <c r="G174" s="31" t="n">
        <v>1178.9</v>
      </c>
      <c r="H174" s="31" t="n">
        <v>-0.01</v>
      </c>
      <c r="I174" s="31" t="n">
        <v>1152599</v>
      </c>
      <c r="J174" s="31" t="inlineStr">
        <is>
          <t>540173</t>
        </is>
      </c>
    </row>
    <row r="175">
      <c r="A175" s="31" t="inlineStr">
        <is>
          <t>WINDLAS</t>
        </is>
      </c>
      <c r="B175" s="31" t="inlineStr">
        <is>
          <t>Windlas Biotech Ltd</t>
        </is>
      </c>
      <c r="C175" s="31" t="inlineStr">
        <is>
          <t>healthcare</t>
        </is>
      </c>
      <c r="D175" s="31" t="inlineStr">
        <is>
          <t>pharmaceuticals - indian - formulations</t>
        </is>
      </c>
      <c r="E175" s="31" t="inlineStr">
        <is>
          <t>smallcap</t>
        </is>
      </c>
      <c r="F175" s="31" t="n">
        <v>2330.66</v>
      </c>
      <c r="G175" s="31" t="n">
        <v>1129.25</v>
      </c>
      <c r="H175" s="31" t="n">
        <v>-0.01</v>
      </c>
      <c r="I175" s="31" t="n">
        <v>66749</v>
      </c>
      <c r="J175" s="31" t="inlineStr">
        <is>
          <t>543329</t>
        </is>
      </c>
    </row>
    <row r="176">
      <c r="A176" s="31" t="inlineStr">
        <is>
          <t>DIFFNKG</t>
        </is>
      </c>
      <c r="B176" s="31" t="inlineStr">
        <is>
          <t>Diffusion Engineers Ltd</t>
        </is>
      </c>
      <c r="C176" s="31" t="inlineStr">
        <is>
          <t>industrials</t>
        </is>
      </c>
      <c r="D176" s="31" t="inlineStr">
        <is>
          <t>electrodes - welding equipment</t>
        </is>
      </c>
      <c r="E176" s="31" t="inlineStr">
        <is>
          <t>smallcap</t>
        </is>
      </c>
      <c r="F176" s="31" t="n">
        <v>1682.5</v>
      </c>
      <c r="G176" s="31" t="n">
        <v>449.5</v>
      </c>
      <c r="H176" s="31" t="n">
        <v>-0.01</v>
      </c>
      <c r="I176" s="31" t="n">
        <v>124277</v>
      </c>
      <c r="J176" s="31" t="inlineStr">
        <is>
          <t>544264</t>
        </is>
      </c>
    </row>
    <row r="177">
      <c r="A177" s="31" t="inlineStr">
        <is>
          <t>AEROFLEX</t>
        </is>
      </c>
      <c r="B177" s="31" t="inlineStr">
        <is>
          <t>Aeroflex Industries Ltd</t>
        </is>
      </c>
      <c r="C177" s="31" t="inlineStr">
        <is>
          <t>metals &amp; mining</t>
        </is>
      </c>
      <c r="D177" s="31" t="inlineStr">
        <is>
          <t>steel - medium / small</t>
        </is>
      </c>
      <c r="E177" s="31" t="inlineStr">
        <is>
          <t>midcap</t>
        </is>
      </c>
      <c r="F177" s="31" t="n">
        <v>7466.1</v>
      </c>
      <c r="G177" s="31" t="n">
        <v>563.95</v>
      </c>
      <c r="H177" s="31" t="n">
        <v>-0.04</v>
      </c>
      <c r="I177" s="31" t="n">
        <v>1042637</v>
      </c>
      <c r="J177" s="31" t="inlineStr">
        <is>
          <t>543972</t>
        </is>
      </c>
    </row>
    <row r="178">
      <c r="A178" s="31" t="inlineStr">
        <is>
          <t>JUBLPHARMA</t>
        </is>
      </c>
      <c r="B178" s="31" t="inlineStr">
        <is>
          <t>Jubilant Pharmova Ltd</t>
        </is>
      </c>
      <c r="C178" s="31" t="inlineStr">
        <is>
          <t>healthcare</t>
        </is>
      </c>
      <c r="D178" s="31" t="inlineStr">
        <is>
          <t>pharmaceuticals - indian - bulk drugs</t>
        </is>
      </c>
      <c r="E178" s="31" t="inlineStr">
        <is>
          <t>midcap</t>
        </is>
      </c>
      <c r="F178" s="31" t="n">
        <v>16336.67</v>
      </c>
      <c r="G178" s="31" t="n">
        <v>1025.2</v>
      </c>
      <c r="H178" s="31" t="n">
        <v>-0.04</v>
      </c>
      <c r="I178" s="31" t="n">
        <v>230939</v>
      </c>
      <c r="J178" s="31" t="inlineStr">
        <is>
          <t>530019</t>
        </is>
      </c>
    </row>
    <row r="179">
      <c r="A179" s="31" t="inlineStr">
        <is>
          <t>UNIVPHOTO</t>
        </is>
      </c>
      <c r="B179" s="31" t="inlineStr">
        <is>
          <t>Universus Photo Imagings Ltd</t>
        </is>
      </c>
      <c r="C179" s="31" t="inlineStr">
        <is>
          <t>consumer discretionary</t>
        </is>
      </c>
      <c r="D179" s="31" t="inlineStr">
        <is>
          <t>photographic and allied products</t>
        </is>
      </c>
      <c r="E179" s="31" t="inlineStr">
        <is>
          <t>smallcap</t>
        </is>
      </c>
      <c r="F179" s="31" t="n">
        <v>591.66</v>
      </c>
      <c r="G179" s="31" t="n">
        <v>540.15</v>
      </c>
      <c r="H179" s="31" t="n">
        <v>-0.06</v>
      </c>
      <c r="I179" s="31" t="n">
        <v>889</v>
      </c>
      <c r="J179" s="31" t="inlineStr">
        <is>
          <t>542933</t>
        </is>
      </c>
    </row>
    <row r="180">
      <c r="A180" s="31" t="inlineStr">
        <is>
          <t>PNB</t>
        </is>
      </c>
      <c r="B180" s="31" t="inlineStr">
        <is>
          <t>Punjab National Bank Ltd</t>
        </is>
      </c>
      <c r="C180" s="31" t="inlineStr">
        <is>
          <t>bank</t>
        </is>
      </c>
      <c r="D180" s="31" t="inlineStr">
        <is>
          <t>banks - public sector</t>
        </is>
      </c>
      <c r="E180" s="31" t="inlineStr">
        <is>
          <t>largecap</t>
        </is>
      </c>
      <c r="F180" s="31" t="n">
        <v>134295.04</v>
      </c>
      <c r="G180" s="31" t="n">
        <v>116.75</v>
      </c>
      <c r="H180" s="31" t="n">
        <v>-0.09</v>
      </c>
      <c r="I180" s="31" t="n">
        <v>11479971</v>
      </c>
      <c r="J180" s="31" t="inlineStr">
        <is>
          <t>532461</t>
        </is>
      </c>
    </row>
    <row r="181">
      <c r="A181" s="31" t="inlineStr">
        <is>
          <t>CPPLUS</t>
        </is>
      </c>
      <c r="B181" s="31" t="inlineStr">
        <is>
          <t>Aditya Infotech Ltd</t>
        </is>
      </c>
      <c r="C181" s="31" t="inlineStr">
        <is>
          <t>consumer discretionary</t>
        </is>
      </c>
      <c r="D181" s="31" t="inlineStr">
        <is>
          <t>trading</t>
        </is>
      </c>
      <c r="E181" s="31" t="inlineStr">
        <is>
          <t>largecap</t>
        </is>
      </c>
      <c r="F181" s="31" t="n">
        <v>45126.13</v>
      </c>
      <c r="G181" s="31" t="n">
        <v>3825.5</v>
      </c>
      <c r="H181" s="31" t="n">
        <v>-0.09</v>
      </c>
      <c r="I181" s="31" t="n">
        <v>161471</v>
      </c>
      <c r="J181" s="31" t="inlineStr">
        <is>
          <t>544466</t>
        </is>
      </c>
    </row>
    <row r="182">
      <c r="A182" s="31" t="inlineStr">
        <is>
          <t>IPCALAB</t>
        </is>
      </c>
      <c r="B182" s="31" t="inlineStr">
        <is>
          <t>Ipca Laboratories Limited</t>
        </is>
      </c>
      <c r="C182" s="31" t="inlineStr">
        <is>
          <t>healthcare</t>
        </is>
      </c>
      <c r="D182" s="31" t="inlineStr">
        <is>
          <t>pharmaceuticals - indian - bulk drugs &amp; formln</t>
        </is>
      </c>
      <c r="E182" s="31" t="inlineStr">
        <is>
          <t>largecap</t>
        </is>
      </c>
      <c r="F182" s="31" t="n">
        <v>50002.56</v>
      </c>
      <c r="G182" s="31" t="n">
        <v>1968.5</v>
      </c>
      <c r="H182" s="31" t="n">
        <v>-0.12</v>
      </c>
      <c r="I182" s="31" t="n">
        <v>176417</v>
      </c>
      <c r="J182" s="31" t="inlineStr">
        <is>
          <t>524494</t>
        </is>
      </c>
    </row>
    <row r="183">
      <c r="A183" s="31" t="inlineStr">
        <is>
          <t>ATHERENERG</t>
        </is>
      </c>
      <c r="B183" s="31" t="inlineStr">
        <is>
          <t>Ather Energy Ltd</t>
        </is>
      </c>
      <c r="C183" s="31" t="inlineStr">
        <is>
          <t>auto</t>
        </is>
      </c>
      <c r="D183" s="31" t="inlineStr">
        <is>
          <t>automobiles - scooters and 3 - wheelers</t>
        </is>
      </c>
      <c r="E183" s="31" t="inlineStr">
        <is>
          <t>largecap</t>
        </is>
      </c>
      <c r="F183" s="31" t="n">
        <v>65357.8</v>
      </c>
      <c r="G183" s="31" t="n">
        <v>1656</v>
      </c>
      <c r="H183" s="31" t="n">
        <v>-0.14</v>
      </c>
      <c r="I183" s="31" t="n">
        <v>4881695</v>
      </c>
      <c r="J183" s="31" t="inlineStr">
        <is>
          <t>544397</t>
        </is>
      </c>
    </row>
    <row r="184">
      <c r="A184" s="31" t="inlineStr">
        <is>
          <t>ANTHEM</t>
        </is>
      </c>
      <c r="B184" s="31" t="inlineStr">
        <is>
          <t>Anthem Biosciences Ltd</t>
        </is>
      </c>
      <c r="C184" s="31" t="inlineStr">
        <is>
          <t>healthcare</t>
        </is>
      </c>
      <c r="D184" s="31" t="inlineStr">
        <is>
          <t>pharmaceuticals - indian - bulk drugs &amp; formln</t>
        </is>
      </c>
      <c r="E184" s="31" t="inlineStr">
        <is>
          <t>largecap</t>
        </is>
      </c>
      <c r="F184" s="31" t="n">
        <v>53087.75</v>
      </c>
      <c r="G184" s="31" t="n">
        <v>940.9</v>
      </c>
      <c r="H184" s="31" t="n">
        <v>-0.15</v>
      </c>
      <c r="I184" s="31" t="n">
        <v>844305</v>
      </c>
      <c r="J184" s="31" t="inlineStr">
        <is>
          <t>544449</t>
        </is>
      </c>
    </row>
    <row r="185">
      <c r="A185" s="31" t="inlineStr">
        <is>
          <t>VINDHYATEL</t>
        </is>
      </c>
      <c r="B185" s="31" t="inlineStr">
        <is>
          <t>Vindhya Telelinks Limited</t>
        </is>
      </c>
      <c r="C185" s="31" t="inlineStr">
        <is>
          <t>realty</t>
        </is>
      </c>
      <c r="D185" s="31" t="inlineStr">
        <is>
          <t>construction</t>
        </is>
      </c>
      <c r="E185" s="31" t="inlineStr">
        <is>
          <t>smallcap</t>
        </is>
      </c>
      <c r="F185" s="31" t="n">
        <v>3339.93</v>
      </c>
      <c r="G185" s="31" t="n">
        <v>2813.5</v>
      </c>
      <c r="H185" s="31" t="n">
        <v>-0.17</v>
      </c>
      <c r="I185" s="31" t="n">
        <v>64033</v>
      </c>
      <c r="J185" s="31" t="inlineStr">
        <is>
          <t>517015</t>
        </is>
      </c>
    </row>
    <row r="186">
      <c r="A186" s="31" t="inlineStr">
        <is>
          <t>MAHABANK</t>
        </is>
      </c>
      <c r="B186" s="31" t="inlineStr">
        <is>
          <t>Bank Of Maharashtra Ltd</t>
        </is>
      </c>
      <c r="C186" s="31" t="inlineStr">
        <is>
          <t>bank</t>
        </is>
      </c>
      <c r="D186" s="31" t="inlineStr">
        <is>
          <t>banks - public sector</t>
        </is>
      </c>
      <c r="E186" s="31" t="inlineStr">
        <is>
          <t>largecap</t>
        </is>
      </c>
      <c r="F186" s="31" t="n">
        <v>64878.27</v>
      </c>
      <c r="G186" s="31" t="n">
        <v>84.2</v>
      </c>
      <c r="H186" s="31" t="n">
        <v>-0.18</v>
      </c>
      <c r="I186" s="31" t="n">
        <v>21676225</v>
      </c>
      <c r="J186" s="31" t="inlineStr">
        <is>
          <t>532525</t>
        </is>
      </c>
    </row>
    <row r="187">
      <c r="A187" s="31" t="inlineStr">
        <is>
          <t>ADANIPORTS</t>
        </is>
      </c>
      <c r="B187" s="31" t="inlineStr">
        <is>
          <t>Adani Ports And Special Economic Zone Limited</t>
        </is>
      </c>
      <c r="C187" s="31" t="inlineStr">
        <is>
          <t>transportation</t>
        </is>
      </c>
      <c r="D187" s="31" t="inlineStr">
        <is>
          <t>miscellaneous</t>
        </is>
      </c>
      <c r="E187" s="31" t="inlineStr">
        <is>
          <t>largecap</t>
        </is>
      </c>
      <c r="F187" s="31" t="n">
        <v>407339.97</v>
      </c>
      <c r="G187" s="31" t="n">
        <v>1764.6</v>
      </c>
      <c r="H187" s="31" t="n">
        <v>-0.19</v>
      </c>
      <c r="I187" s="31" t="n">
        <v>1674823</v>
      </c>
      <c r="J187" s="31" t="inlineStr">
        <is>
          <t>532921</t>
        </is>
      </c>
    </row>
    <row r="188">
      <c r="A188" s="31" t="inlineStr">
        <is>
          <t>KIRLFER</t>
        </is>
      </c>
      <c r="B188" s="31" t="inlineStr">
        <is>
          <t>Kirloskar Ferrous Industries Ltd</t>
        </is>
      </c>
      <c r="C188" s="31" t="inlineStr">
        <is>
          <t>metals &amp; mining</t>
        </is>
      </c>
      <c r="D188" s="31" t="inlineStr">
        <is>
          <t>steel - large</t>
        </is>
      </c>
      <c r="E188" s="31" t="inlineStr">
        <is>
          <t>midcap</t>
        </is>
      </c>
      <c r="F188" s="31" t="n">
        <v>7690.3</v>
      </c>
      <c r="G188" s="31" t="n">
        <v>465.1</v>
      </c>
      <c r="H188" s="31" t="n">
        <v>-0.21</v>
      </c>
      <c r="I188" s="31" t="n">
        <v>91717</v>
      </c>
      <c r="J188" s="31" t="inlineStr">
        <is>
          <t>500245</t>
        </is>
      </c>
    </row>
    <row r="189">
      <c r="A189" s="31" t="inlineStr">
        <is>
          <t>JKPAPER</t>
        </is>
      </c>
      <c r="B189" s="31" t="inlineStr">
        <is>
          <t>Jk Paper Limited</t>
        </is>
      </c>
      <c r="C189" s="31" t="inlineStr">
        <is>
          <t>building materials</t>
        </is>
      </c>
      <c r="D189" s="31" t="inlineStr">
        <is>
          <t>paper</t>
        </is>
      </c>
      <c r="E189" s="31" t="inlineStr">
        <is>
          <t>midcap</t>
        </is>
      </c>
      <c r="F189" s="31" t="n">
        <v>7527.45</v>
      </c>
      <c r="G189" s="31" t="n">
        <v>414.25</v>
      </c>
      <c r="H189" s="31" t="n">
        <v>-0.22</v>
      </c>
      <c r="I189" s="31" t="n">
        <v>395550</v>
      </c>
      <c r="J189" s="31" t="inlineStr">
        <is>
          <t>532162</t>
        </is>
      </c>
    </row>
    <row r="190">
      <c r="A190" s="31" t="inlineStr">
        <is>
          <t>THEJO</t>
        </is>
      </c>
      <c r="B190" s="31" t="inlineStr">
        <is>
          <t>Thejo Engineering Ltd</t>
        </is>
      </c>
      <c r="C190" s="31" t="inlineStr">
        <is>
          <t>industrials</t>
        </is>
      </c>
      <c r="D190" s="31" t="inlineStr">
        <is>
          <t>engineering</t>
        </is>
      </c>
      <c r="E190" s="31" t="inlineStr">
        <is>
          <t>smallcap</t>
        </is>
      </c>
      <c r="F190" s="31" t="n">
        <v>2383.63</v>
      </c>
      <c r="G190" s="31" t="n">
        <v>2192.6</v>
      </c>
      <c r="H190" s="31" t="n">
        <v>-0.22</v>
      </c>
      <c r="I190" s="31" t="n">
        <v>19444</v>
      </c>
      <c r="J190" s="31" t="inlineStr">
        <is>
          <t>500492</t>
        </is>
      </c>
    </row>
    <row r="191">
      <c r="A191" s="31" t="inlineStr">
        <is>
          <t>ALIVUS</t>
        </is>
      </c>
      <c r="B191" s="31" t="inlineStr">
        <is>
          <t>Alivus Life Sciences Ltd</t>
        </is>
      </c>
      <c r="C191" s="31" t="inlineStr">
        <is>
          <t>healthcare</t>
        </is>
      </c>
      <c r="D191" s="31" t="inlineStr">
        <is>
          <t>pharmaceuticals - indian - bulk drugs &amp; formln</t>
        </is>
      </c>
      <c r="E191" s="31" t="inlineStr">
        <is>
          <t>midcap</t>
        </is>
      </c>
      <c r="F191" s="31" t="n">
        <v>17062.81</v>
      </c>
      <c r="G191" s="31" t="n">
        <v>1386.8</v>
      </c>
      <c r="H191" s="31" t="n">
        <v>-0.24</v>
      </c>
      <c r="I191" s="31" t="n">
        <v>74367</v>
      </c>
      <c r="J191" s="31" t="inlineStr">
        <is>
          <t>543322</t>
        </is>
      </c>
    </row>
    <row r="192">
      <c r="A192" s="31" t="inlineStr">
        <is>
          <t>KOPRAN</t>
        </is>
      </c>
      <c r="B192" s="31" t="inlineStr">
        <is>
          <t>Kopran Limited</t>
        </is>
      </c>
      <c r="C192" s="31" t="inlineStr">
        <is>
          <t>healthcare</t>
        </is>
      </c>
      <c r="D192" s="31" t="inlineStr">
        <is>
          <t>pharmaceuticals - indian - bulk drugs &amp; formln</t>
        </is>
      </c>
      <c r="E192" s="31" t="inlineStr">
        <is>
          <t>smallcap</t>
        </is>
      </c>
      <c r="F192" s="31" t="n">
        <v>1138.67</v>
      </c>
      <c r="G192" s="31" t="n">
        <v>235.26</v>
      </c>
      <c r="H192" s="31" t="n">
        <v>-0.24</v>
      </c>
      <c r="I192" s="31" t="n">
        <v>399882</v>
      </c>
      <c r="J192" s="31" t="inlineStr">
        <is>
          <t>524280</t>
        </is>
      </c>
    </row>
    <row r="193">
      <c r="A193" s="31" t="inlineStr">
        <is>
          <t>STEELXIND</t>
        </is>
      </c>
      <c r="B193" s="31" t="inlineStr">
        <is>
          <t>Steel Exchange India Ltd</t>
        </is>
      </c>
      <c r="C193" s="31" t="inlineStr">
        <is>
          <t>metals &amp; mining</t>
        </is>
      </c>
      <c r="D193" s="31" t="inlineStr">
        <is>
          <t>steel - medium / small</t>
        </is>
      </c>
      <c r="E193" s="31" t="inlineStr">
        <is>
          <t>smallcap</t>
        </is>
      </c>
      <c r="F193" s="31" t="n">
        <v>1552.31</v>
      </c>
      <c r="G193" s="31" t="n">
        <v>12.14</v>
      </c>
      <c r="H193" s="31" t="n">
        <v>-0.25</v>
      </c>
      <c r="I193" s="31" t="n">
        <v>11073848</v>
      </c>
      <c r="J193" s="31" t="inlineStr">
        <is>
          <t>534748</t>
        </is>
      </c>
    </row>
    <row r="194">
      <c r="A194" s="31" t="inlineStr">
        <is>
          <t>NRBBEARING</t>
        </is>
      </c>
      <c r="B194" s="31" t="inlineStr">
        <is>
          <t>Nrb Bearing Limited</t>
        </is>
      </c>
      <c r="C194" s="31" t="inlineStr">
        <is>
          <t>industrials</t>
        </is>
      </c>
      <c r="D194" s="31" t="inlineStr">
        <is>
          <t>bearings</t>
        </is>
      </c>
      <c r="E194" s="31" t="inlineStr">
        <is>
          <t>midcap</t>
        </is>
      </c>
      <c r="F194" s="31" t="n">
        <v>5000.72</v>
      </c>
      <c r="G194" s="31" t="n">
        <v>514.65</v>
      </c>
      <c r="H194" s="31" t="n">
        <v>-0.25</v>
      </c>
      <c r="I194" s="31" t="n">
        <v>700202</v>
      </c>
      <c r="J194" s="31" t="inlineStr">
        <is>
          <t>530367</t>
        </is>
      </c>
    </row>
    <row r="195">
      <c r="A195" s="31" t="inlineStr">
        <is>
          <t>LGBBROSLTD</t>
        </is>
      </c>
      <c r="B195" s="31" t="inlineStr">
        <is>
          <t>Lg Balakrishnan &amp; Bros Limited</t>
        </is>
      </c>
      <c r="C195" s="31" t="inlineStr">
        <is>
          <t>auto</t>
        </is>
      </c>
      <c r="D195" s="31" t="inlineStr">
        <is>
          <t>bearings</t>
        </is>
      </c>
      <c r="E195" s="31" t="inlineStr">
        <is>
          <t>midcap</t>
        </is>
      </c>
      <c r="F195" s="31" t="n">
        <v>5470.83</v>
      </c>
      <c r="G195" s="31" t="n">
        <v>1711</v>
      </c>
      <c r="H195" s="31" t="n">
        <v>-0.26</v>
      </c>
      <c r="I195" s="31" t="n">
        <v>21366</v>
      </c>
      <c r="J195" s="31" t="inlineStr">
        <is>
          <t>500250</t>
        </is>
      </c>
    </row>
    <row r="196">
      <c r="A196" s="31" t="inlineStr">
        <is>
          <t>FLUOROCHEM</t>
        </is>
      </c>
      <c r="B196" s="31" t="inlineStr">
        <is>
          <t>Gujarat Fluorochemicals Ltd</t>
        </is>
      </c>
      <c r="C196" s="31" t="inlineStr">
        <is>
          <t>chemicals</t>
        </is>
      </c>
      <c r="D196" s="31" t="inlineStr">
        <is>
          <t>chemicals</t>
        </is>
      </c>
      <c r="E196" s="31" t="inlineStr">
        <is>
          <t>largecap</t>
        </is>
      </c>
      <c r="F196" s="31" t="n">
        <v>52577.51</v>
      </c>
      <c r="G196" s="31" t="n">
        <v>4773.2</v>
      </c>
      <c r="H196" s="31" t="n">
        <v>-0.27</v>
      </c>
      <c r="I196" s="31" t="n">
        <v>130082</v>
      </c>
      <c r="J196" s="31" t="inlineStr">
        <is>
          <t>542812</t>
        </is>
      </c>
    </row>
    <row r="197">
      <c r="A197" s="31" t="inlineStr">
        <is>
          <t>BEML</t>
        </is>
      </c>
      <c r="B197" s="31" t="inlineStr">
        <is>
          <t>Beml Limited</t>
        </is>
      </c>
      <c r="C197" s="31" t="inlineStr">
        <is>
          <t>aerospace &amp; defence</t>
        </is>
      </c>
      <c r="D197" s="31" t="inlineStr">
        <is>
          <t>engineering</t>
        </is>
      </c>
      <c r="E197" s="31" t="inlineStr">
        <is>
          <t>midcap</t>
        </is>
      </c>
      <c r="F197" s="31" t="n">
        <v>16899.34</v>
      </c>
      <c r="G197" s="31" t="n">
        <v>2023.4</v>
      </c>
      <c r="H197" s="31" t="n">
        <v>-0.28</v>
      </c>
      <c r="I197" s="31" t="n">
        <v>230934</v>
      </c>
      <c r="J197" s="31" t="inlineStr">
        <is>
          <t>500048</t>
        </is>
      </c>
    </row>
    <row r="198">
      <c r="A198" s="31" t="inlineStr">
        <is>
          <t>PITTIENG</t>
        </is>
      </c>
      <c r="B198" s="31" t="inlineStr">
        <is>
          <t>Pitti Engineering Ltd</t>
        </is>
      </c>
      <c r="C198" s="31" t="inlineStr">
        <is>
          <t>industrials</t>
        </is>
      </c>
      <c r="D198" s="31" t="inlineStr">
        <is>
          <t>engineering</t>
        </is>
      </c>
      <c r="E198" s="31" t="inlineStr">
        <is>
          <t>smallcap</t>
        </is>
      </c>
      <c r="F198" s="31" t="n">
        <v>4410.74</v>
      </c>
      <c r="G198" s="31" t="n">
        <v>1167.9</v>
      </c>
      <c r="H198" s="31" t="n">
        <v>-0.3</v>
      </c>
      <c r="I198" s="31" t="n">
        <v>128175</v>
      </c>
      <c r="J198" s="31" t="inlineStr">
        <is>
          <t>513519</t>
        </is>
      </c>
    </row>
    <row r="199">
      <c r="A199" s="31" t="inlineStr">
        <is>
          <t>MARKSANS</t>
        </is>
      </c>
      <c r="B199" s="31" t="inlineStr">
        <is>
          <t>Marksans Pharma Limited</t>
        </is>
      </c>
      <c r="C199" s="31" t="inlineStr">
        <is>
          <t>healthcare</t>
        </is>
      </c>
      <c r="D199" s="31" t="inlineStr">
        <is>
          <t>pharmaceuticals - indian - formulations</t>
        </is>
      </c>
      <c r="E199" s="31" t="inlineStr">
        <is>
          <t>midcap</t>
        </is>
      </c>
      <c r="F199" s="31" t="n">
        <v>14972.53</v>
      </c>
      <c r="G199" s="31" t="n">
        <v>329.4</v>
      </c>
      <c r="H199" s="31" t="n">
        <v>-0.3</v>
      </c>
      <c r="I199" s="31" t="n">
        <v>1631814</v>
      </c>
      <c r="J199" s="31" t="inlineStr">
        <is>
          <t>524404</t>
        </is>
      </c>
    </row>
    <row r="200">
      <c r="A200" s="31" t="inlineStr">
        <is>
          <t>KAMDHENU</t>
        </is>
      </c>
      <c r="B200" s="31" t="inlineStr">
        <is>
          <t>Kamdhenu Limited</t>
        </is>
      </c>
      <c r="C200" s="31" t="inlineStr">
        <is>
          <t>metals &amp; mining</t>
        </is>
      </c>
      <c r="D200" s="31" t="inlineStr">
        <is>
          <t>steel - medium / small</t>
        </is>
      </c>
      <c r="E200" s="31" t="inlineStr">
        <is>
          <t>smallcap</t>
        </is>
      </c>
      <c r="F200" s="31" t="n">
        <v>1105.55</v>
      </c>
      <c r="G200" s="31" t="n">
        <v>39.09</v>
      </c>
      <c r="H200" s="31" t="n">
        <v>-0.33</v>
      </c>
      <c r="I200" s="31" t="n">
        <v>860023</v>
      </c>
      <c r="J200" s="31" t="inlineStr">
        <is>
          <t>532741</t>
        </is>
      </c>
    </row>
    <row r="201">
      <c r="A201" s="31" t="inlineStr">
        <is>
          <t>DCBBANK</t>
        </is>
      </c>
      <c r="B201" s="31" t="inlineStr">
        <is>
          <t>Dcb Bank Limited</t>
        </is>
      </c>
      <c r="C201" s="31" t="inlineStr">
        <is>
          <t>bank</t>
        </is>
      </c>
      <c r="D201" s="31" t="inlineStr">
        <is>
          <t>banks - private sector</t>
        </is>
      </c>
      <c r="E201" s="31" t="inlineStr">
        <is>
          <t>midcap</t>
        </is>
      </c>
      <c r="F201" s="31" t="n">
        <v>7315.34</v>
      </c>
      <c r="G201" s="31" t="n">
        <v>226.37</v>
      </c>
      <c r="H201" s="31" t="n">
        <v>-0.33</v>
      </c>
      <c r="I201" s="31" t="n">
        <v>1245963</v>
      </c>
      <c r="J201" s="31" t="inlineStr">
        <is>
          <t>532772</t>
        </is>
      </c>
    </row>
    <row r="202">
      <c r="A202" s="31" t="inlineStr">
        <is>
          <t>SKYGOLD</t>
        </is>
      </c>
      <c r="B202" s="31" t="inlineStr">
        <is>
          <t>Sky Gold Ltd</t>
        </is>
      </c>
      <c r="C202" s="31" t="inlineStr">
        <is>
          <t>consumer discretionary</t>
        </is>
      </c>
      <c r="D202" s="31" t="inlineStr">
        <is>
          <t>diamond cutting / jewellery</t>
        </is>
      </c>
      <c r="E202" s="31" t="inlineStr">
        <is>
          <t>midcap</t>
        </is>
      </c>
      <c r="F202" s="31" t="n">
        <v>12859.18</v>
      </c>
      <c r="G202" s="31" t="n">
        <v>827.4</v>
      </c>
      <c r="H202" s="31" t="n">
        <v>-0.35</v>
      </c>
      <c r="I202" s="31" t="n">
        <v>436603</v>
      </c>
      <c r="J202" s="31" t="inlineStr">
        <is>
          <t>541967</t>
        </is>
      </c>
    </row>
    <row r="203">
      <c r="A203" s="31" t="inlineStr">
        <is>
          <t>SOLARINDS</t>
        </is>
      </c>
      <c r="B203" s="31" t="inlineStr">
        <is>
          <t>Solar Industries India Limited</t>
        </is>
      </c>
      <c r="C203" s="31" t="inlineStr">
        <is>
          <t>aerospace &amp; defence</t>
        </is>
      </c>
      <c r="D203" s="31" t="inlineStr">
        <is>
          <t>chemicals</t>
        </is>
      </c>
      <c r="E203" s="31" t="inlineStr">
        <is>
          <t>largecap</t>
        </is>
      </c>
      <c r="F203" s="31" t="n">
        <v>202426.25</v>
      </c>
      <c r="G203" s="31" t="n">
        <v>22290</v>
      </c>
      <c r="H203" s="31" t="n">
        <v>-0.36</v>
      </c>
      <c r="I203" s="31" t="n">
        <v>148838</v>
      </c>
      <c r="J203" s="31" t="inlineStr">
        <is>
          <t>532725</t>
        </is>
      </c>
    </row>
    <row r="204">
      <c r="A204" s="31" t="inlineStr">
        <is>
          <t>SAILIFE</t>
        </is>
      </c>
      <c r="B204" s="31" t="inlineStr">
        <is>
          <t>Sai Life Sciences Ltd</t>
        </is>
      </c>
      <c r="C204" s="31" t="inlineStr">
        <is>
          <t>healthcare</t>
        </is>
      </c>
      <c r="D204" s="31" t="inlineStr">
        <is>
          <t>pharmaceuticals - indian - bulk drugs &amp; formln</t>
        </is>
      </c>
      <c r="E204" s="31" t="inlineStr">
        <is>
          <t>largecap</t>
        </is>
      </c>
      <c r="F204" s="31" t="n">
        <v>33776.83</v>
      </c>
      <c r="G204" s="31" t="n">
        <v>1585</v>
      </c>
      <c r="H204" s="31" t="n">
        <v>-0.38</v>
      </c>
      <c r="I204" s="31" t="n">
        <v>1170229</v>
      </c>
      <c r="J204" s="31" t="inlineStr">
        <is>
          <t>544306</t>
        </is>
      </c>
    </row>
    <row r="205">
      <c r="A205" s="31" t="inlineStr">
        <is>
          <t>RATNAMANI</t>
        </is>
      </c>
      <c r="B205" s="31" t="inlineStr">
        <is>
          <t>Ratnamani Metals &amp; Tubes Limited</t>
        </is>
      </c>
      <c r="C205" s="31" t="inlineStr">
        <is>
          <t>industrials</t>
        </is>
      </c>
      <c r="D205" s="31" t="inlineStr">
        <is>
          <t>steel - medium / small</t>
        </is>
      </c>
      <c r="E205" s="31" t="inlineStr">
        <is>
          <t>midcap</t>
        </is>
      </c>
      <c r="F205" s="31" t="n">
        <v>19786.97</v>
      </c>
      <c r="G205" s="31" t="n">
        <v>2811.4</v>
      </c>
      <c r="H205" s="31" t="n">
        <v>-0.41</v>
      </c>
      <c r="I205" s="31" t="n">
        <v>71947</v>
      </c>
      <c r="J205" s="31" t="inlineStr">
        <is>
          <t>520111</t>
        </is>
      </c>
    </row>
    <row r="206">
      <c r="A206" s="31" t="inlineStr">
        <is>
          <t>CENTUM</t>
        </is>
      </c>
      <c r="B206" s="31" t="inlineStr">
        <is>
          <t>Centum Electronics Limited</t>
        </is>
      </c>
      <c r="C206" s="31" t="inlineStr">
        <is>
          <t>aerospace &amp; defence</t>
        </is>
      </c>
      <c r="D206" s="31" t="inlineStr">
        <is>
          <t>electronics - components</t>
        </is>
      </c>
      <c r="E206" s="31" t="inlineStr">
        <is>
          <t>midcap</t>
        </is>
      </c>
      <c r="F206" s="31" t="n">
        <v>6214.14</v>
      </c>
      <c r="G206" s="31" t="n">
        <v>4192</v>
      </c>
      <c r="H206" s="31" t="n">
        <v>-0.44</v>
      </c>
      <c r="I206" s="31" t="n">
        <v>27427</v>
      </c>
      <c r="J206" s="31" t="inlineStr">
        <is>
          <t>517544</t>
        </is>
      </c>
    </row>
    <row r="207">
      <c r="A207" s="31" t="inlineStr">
        <is>
          <t>KINGFA</t>
        </is>
      </c>
      <c r="B207" s="31" t="inlineStr">
        <is>
          <t>Kingfa Science &amp; Technology (india) Limited</t>
        </is>
      </c>
      <c r="C207" s="31" t="inlineStr">
        <is>
          <t>plastic products</t>
        </is>
      </c>
      <c r="D207" s="31" t="inlineStr">
        <is>
          <t>plastics products</t>
        </is>
      </c>
      <c r="E207" s="31" t="inlineStr">
        <is>
          <t>midcap</t>
        </is>
      </c>
      <c r="F207" s="31" t="n">
        <v>8439.120000000001</v>
      </c>
      <c r="G207" s="31" t="n">
        <v>6197</v>
      </c>
      <c r="H207" s="31" t="n">
        <v>-0.49</v>
      </c>
      <c r="I207" s="31" t="n">
        <v>15424</v>
      </c>
      <c r="J207" s="31" t="inlineStr">
        <is>
          <t>524019</t>
        </is>
      </c>
    </row>
    <row r="208">
      <c r="A208" s="31" t="inlineStr">
        <is>
          <t>TNPL</t>
        </is>
      </c>
      <c r="B208" s="31" t="inlineStr">
        <is>
          <t>Tamil Nadu Newsprint &amp; Papers Limited</t>
        </is>
      </c>
      <c r="C208" s="31" t="inlineStr">
        <is>
          <t>building materials</t>
        </is>
      </c>
      <c r="D208" s="31" t="inlineStr">
        <is>
          <t>paper</t>
        </is>
      </c>
      <c r="E208" s="31" t="inlineStr">
        <is>
          <t>smallcap</t>
        </is>
      </c>
      <c r="F208" s="31" t="n">
        <v>1066.05</v>
      </c>
      <c r="G208" s="31" t="n">
        <v>153.27</v>
      </c>
      <c r="H208" s="31" t="n">
        <v>-0.49</v>
      </c>
      <c r="I208" s="31" t="n">
        <v>185071</v>
      </c>
      <c r="J208" s="31" t="inlineStr">
        <is>
          <t>531426</t>
        </is>
      </c>
    </row>
    <row r="209">
      <c r="A209" s="31" t="inlineStr">
        <is>
          <t>CRISIL</t>
        </is>
      </c>
      <c r="B209" s="31" t="inlineStr">
        <is>
          <t>Crisil Limited</t>
        </is>
      </c>
      <c r="C209" s="31" t="inlineStr">
        <is>
          <t>financials</t>
        </is>
      </c>
      <c r="D209" s="31" t="inlineStr">
        <is>
          <t>miscellaneous</t>
        </is>
      </c>
      <c r="E209" s="31" t="inlineStr">
        <is>
          <t>largecap</t>
        </is>
      </c>
      <c r="F209" s="31" t="n">
        <v>34529.8</v>
      </c>
      <c r="G209" s="31" t="n">
        <v>4697.9</v>
      </c>
      <c r="H209" s="31" t="n">
        <v>-0.5</v>
      </c>
      <c r="I209" s="31" t="n">
        <v>24019</v>
      </c>
      <c r="J209" s="31" t="inlineStr">
        <is>
          <t>500092</t>
        </is>
      </c>
    </row>
    <row r="210">
      <c r="A210" s="31" t="inlineStr">
        <is>
          <t>RANEHOLDIN</t>
        </is>
      </c>
      <c r="B210" s="31" t="inlineStr">
        <is>
          <t>Rane Holdings Limited</t>
        </is>
      </c>
      <c r="C210" s="31" t="inlineStr">
        <is>
          <t>financials</t>
        </is>
      </c>
      <c r="D210" s="31" t="inlineStr">
        <is>
          <t>finance &amp; investments</t>
        </is>
      </c>
      <c r="E210" s="31" t="inlineStr">
        <is>
          <t>smallcap</t>
        </is>
      </c>
      <c r="F210" s="31" t="n">
        <v>2434.08</v>
      </c>
      <c r="G210" s="31" t="n">
        <v>1696.2</v>
      </c>
      <c r="H210" s="31" t="n">
        <v>-0.5</v>
      </c>
      <c r="I210" s="31" t="n">
        <v>6389</v>
      </c>
      <c r="J210" s="31" t="inlineStr">
        <is>
          <t>505800</t>
        </is>
      </c>
    </row>
    <row r="211">
      <c r="A211" s="31" t="inlineStr">
        <is>
          <t>KRBL</t>
        </is>
      </c>
      <c r="B211" s="31" t="inlineStr">
        <is>
          <t>Krbl Limited</t>
        </is>
      </c>
      <c r="C211" s="31" t="inlineStr">
        <is>
          <t>fmcg</t>
        </is>
      </c>
      <c r="D211" s="31" t="inlineStr">
        <is>
          <t>food - processing - indian</t>
        </is>
      </c>
      <c r="E211" s="31" t="inlineStr">
        <is>
          <t>midcap</t>
        </is>
      </c>
      <c r="F211" s="31" t="n">
        <v>9687.76</v>
      </c>
      <c r="G211" s="31" t="n">
        <v>421.05</v>
      </c>
      <c r="H211" s="31" t="n">
        <v>-0.52</v>
      </c>
      <c r="I211" s="31" t="n">
        <v>377861</v>
      </c>
      <c r="J211" s="31" t="inlineStr">
        <is>
          <t>530813</t>
        </is>
      </c>
    </row>
    <row r="212">
      <c r="A212" s="31" t="inlineStr">
        <is>
          <t>AVTNPL</t>
        </is>
      </c>
      <c r="B212" s="31" t="inlineStr">
        <is>
          <t>Avt Natural Products Limited</t>
        </is>
      </c>
      <c r="C212" s="31" t="inlineStr">
        <is>
          <t>fmcg</t>
        </is>
      </c>
      <c r="D212" s="31" t="inlineStr">
        <is>
          <t>solvent extraction</t>
        </is>
      </c>
      <c r="E212" s="31" t="inlineStr">
        <is>
          <t>smallcap</t>
        </is>
      </c>
      <c r="F212" s="31" t="n">
        <v>1379.69</v>
      </c>
      <c r="G212" s="31" t="n">
        <v>90.13</v>
      </c>
      <c r="H212" s="31" t="n">
        <v>-0.52</v>
      </c>
      <c r="I212" s="31" t="n">
        <v>180833</v>
      </c>
      <c r="J212" s="31" t="inlineStr">
        <is>
          <t>519105</t>
        </is>
      </c>
    </row>
    <row r="213">
      <c r="A213" s="31" t="inlineStr">
        <is>
          <t>SYRMA</t>
        </is>
      </c>
      <c r="B213" s="31" t="inlineStr">
        <is>
          <t>Syrma SGS Technology Ltd</t>
        </is>
      </c>
      <c r="C213" s="31" t="inlineStr">
        <is>
          <t>consumer discretionary</t>
        </is>
      </c>
      <c r="D213" s="31" t="inlineStr">
        <is>
          <t>electronics - components</t>
        </is>
      </c>
      <c r="E213" s="31" t="inlineStr">
        <is>
          <t>largecap</t>
        </is>
      </c>
      <c r="F213" s="31" t="n">
        <v>30829.74</v>
      </c>
      <c r="G213" s="31" t="n">
        <v>1589.3</v>
      </c>
      <c r="H213" s="31" t="n">
        <v>-0.59</v>
      </c>
      <c r="I213" s="31" t="n">
        <v>638884</v>
      </c>
      <c r="J213" s="31" t="inlineStr">
        <is>
          <t>543573</t>
        </is>
      </c>
    </row>
    <row r="214">
      <c r="A214" s="31" t="inlineStr">
        <is>
          <t>RGL</t>
        </is>
      </c>
      <c r="B214" s="31" t="inlineStr">
        <is>
          <t>Renaissance Global Ltd</t>
        </is>
      </c>
      <c r="C214" s="31" t="inlineStr">
        <is>
          <t>consumer discretionary</t>
        </is>
      </c>
      <c r="D214" s="31" t="inlineStr">
        <is>
          <t>diamond cutting / jewellery</t>
        </is>
      </c>
      <c r="E214" s="31" t="inlineStr">
        <is>
          <t>smallcap</t>
        </is>
      </c>
      <c r="F214" s="31" t="n">
        <v>1680.1</v>
      </c>
      <c r="G214" s="31" t="n">
        <v>155.49</v>
      </c>
      <c r="H214" s="31" t="n">
        <v>-0.63</v>
      </c>
      <c r="I214" s="31" t="n">
        <v>1372451</v>
      </c>
      <c r="J214" s="31" t="inlineStr">
        <is>
          <t>532923</t>
        </is>
      </c>
    </row>
    <row r="215">
      <c r="A215" s="31" t="inlineStr">
        <is>
          <t>CONSOFINVT</t>
        </is>
      </c>
      <c r="B215" s="31" t="inlineStr">
        <is>
          <t>Consolidated Finvest &amp; Holdings Limited</t>
        </is>
      </c>
      <c r="C215" s="31" t="inlineStr">
        <is>
          <t>financials</t>
        </is>
      </c>
      <c r="D215" s="31" t="inlineStr">
        <is>
          <t>finance &amp; investments</t>
        </is>
      </c>
      <c r="E215" s="31" t="inlineStr">
        <is>
          <t>smallcap</t>
        </is>
      </c>
      <c r="F215" s="31" t="n">
        <v>981.11</v>
      </c>
      <c r="G215" s="31" t="n">
        <v>301.5</v>
      </c>
      <c r="H215" s="31" t="n">
        <v>-0.66</v>
      </c>
      <c r="I215" s="31" t="n">
        <v>2225</v>
      </c>
      <c r="J215" s="31" t="inlineStr">
        <is>
          <t>500226</t>
        </is>
      </c>
    </row>
    <row r="216">
      <c r="A216" s="31" t="inlineStr">
        <is>
          <t>NEOGEN</t>
        </is>
      </c>
      <c r="B216" s="31" t="inlineStr">
        <is>
          <t>Neogen Chemicals Ltd</t>
        </is>
      </c>
      <c r="C216" s="31" t="inlineStr">
        <is>
          <t>chemicals</t>
        </is>
      </c>
      <c r="D216" s="31" t="inlineStr">
        <is>
          <t>chemicals</t>
        </is>
      </c>
      <c r="E216" s="31" t="inlineStr">
        <is>
          <t>midcap</t>
        </is>
      </c>
      <c r="F216" s="31" t="n">
        <v>6541.21</v>
      </c>
      <c r="G216" s="31" t="n">
        <v>2373</v>
      </c>
      <c r="H216" s="31" t="n">
        <v>-0.67</v>
      </c>
      <c r="I216" s="31" t="n">
        <v>409164</v>
      </c>
      <c r="J216" s="31" t="inlineStr">
        <is>
          <t>542665</t>
        </is>
      </c>
    </row>
    <row r="217">
      <c r="A217" s="31" t="inlineStr">
        <is>
          <t>MCX</t>
        </is>
      </c>
      <c r="B217" s="31" t="inlineStr">
        <is>
          <t>Multi Commodity Exchange Of India Limited</t>
        </is>
      </c>
      <c r="C217" s="31" t="inlineStr">
        <is>
          <t>financials</t>
        </is>
      </c>
      <c r="D217" s="31" t="inlineStr">
        <is>
          <t>miscellaneous</t>
        </is>
      </c>
      <c r="E217" s="31" t="inlineStr">
        <is>
          <t>largecap</t>
        </is>
      </c>
      <c r="F217" s="31" t="n">
        <v>84147.31</v>
      </c>
      <c r="G217" s="31" t="n">
        <v>3276</v>
      </c>
      <c r="H217" s="31" t="n">
        <v>-0.73</v>
      </c>
      <c r="I217" s="31" t="n">
        <v>1686562</v>
      </c>
      <c r="J217" s="31" t="inlineStr">
        <is>
          <t>534091</t>
        </is>
      </c>
    </row>
    <row r="218">
      <c r="A218" s="31" t="inlineStr">
        <is>
          <t>INDNIPPON</t>
        </is>
      </c>
      <c r="B218" s="31" t="inlineStr">
        <is>
          <t>India Nippon Electricals Limited</t>
        </is>
      </c>
      <c r="C218" s="31" t="inlineStr">
        <is>
          <t>auto</t>
        </is>
      </c>
      <c r="D218" s="31" t="inlineStr">
        <is>
          <t>auto ancillaries</t>
        </is>
      </c>
      <c r="E218" s="31" t="inlineStr">
        <is>
          <t>smallcap</t>
        </is>
      </c>
      <c r="F218" s="31" t="n">
        <v>3096.87</v>
      </c>
      <c r="G218" s="31" t="n">
        <v>1358.9</v>
      </c>
      <c r="H218" s="31" t="n">
        <v>-0.74</v>
      </c>
      <c r="I218" s="31" t="n">
        <v>274425</v>
      </c>
      <c r="J218" s="31" t="inlineStr">
        <is>
          <t>532240</t>
        </is>
      </c>
    </row>
    <row r="219">
      <c r="A219" s="31" t="inlineStr">
        <is>
          <t>RELIGARE</t>
        </is>
      </c>
      <c r="B219" s="31" t="inlineStr">
        <is>
          <t>Religare Enterprises Limited</t>
        </is>
      </c>
      <c r="C219" s="31" t="inlineStr">
        <is>
          <t>financials</t>
        </is>
      </c>
      <c r="D219" s="31" t="inlineStr">
        <is>
          <t>finance &amp; investments</t>
        </is>
      </c>
      <c r="E219" s="31" t="inlineStr">
        <is>
          <t>midcap</t>
        </is>
      </c>
      <c r="F219" s="31" t="n">
        <v>8830.450000000001</v>
      </c>
      <c r="G219" s="31" t="n">
        <v>256.81</v>
      </c>
      <c r="H219" s="31" t="n">
        <v>-0.76</v>
      </c>
      <c r="I219" s="31" t="n">
        <v>416095</v>
      </c>
      <c r="J219" s="31" t="inlineStr">
        <is>
          <t>532915</t>
        </is>
      </c>
    </row>
    <row r="220">
      <c r="A220" s="31" t="inlineStr">
        <is>
          <t>DOLPHIN</t>
        </is>
      </c>
      <c r="B220" s="31" t="inlineStr">
        <is>
          <t>Dolphin Offshore Enterprises (India) Ltd</t>
        </is>
      </c>
      <c r="C220" s="31" t="inlineStr">
        <is>
          <t>energy</t>
        </is>
      </c>
      <c r="D220" s="31" t="inlineStr">
        <is>
          <t>oil drilling / allied services</t>
        </is>
      </c>
      <c r="E220" s="31" t="inlineStr">
        <is>
          <t>smallcap</t>
        </is>
      </c>
      <c r="F220" s="31" t="n">
        <v>2616.3</v>
      </c>
      <c r="G220" s="31" t="n">
        <v>649</v>
      </c>
      <c r="H220" s="31" t="n">
        <v>-0.76</v>
      </c>
      <c r="I220" s="31" t="n">
        <v>66808</v>
      </c>
      <c r="J220" s="31" t="inlineStr">
        <is>
          <t>522261</t>
        </is>
      </c>
    </row>
    <row r="221">
      <c r="A221" s="31" t="inlineStr">
        <is>
          <t>GIPCL</t>
        </is>
      </c>
      <c r="B221" s="31" t="inlineStr">
        <is>
          <t>Gujarat Industries Power Company Limited</t>
        </is>
      </c>
      <c r="C221" s="31" t="inlineStr">
        <is>
          <t>power &amp; utilities</t>
        </is>
      </c>
      <c r="D221" s="31" t="inlineStr">
        <is>
          <t>power generation and supply</t>
        </is>
      </c>
      <c r="E221" s="31" t="inlineStr">
        <is>
          <t>smallcap</t>
        </is>
      </c>
      <c r="F221" s="31" t="n">
        <v>3124.5</v>
      </c>
      <c r="G221" s="31" t="n">
        <v>199.72</v>
      </c>
      <c r="H221" s="31" t="n">
        <v>-0.78</v>
      </c>
      <c r="I221" s="31" t="n">
        <v>428319</v>
      </c>
      <c r="J221" s="31" t="inlineStr">
        <is>
          <t>517300</t>
        </is>
      </c>
    </row>
    <row r="222">
      <c r="A222" s="31" t="inlineStr">
        <is>
          <t>JSL</t>
        </is>
      </c>
      <c r="B222" s="31" t="inlineStr">
        <is>
          <t>Jindal Stainless Limited</t>
        </is>
      </c>
      <c r="C222" s="31" t="inlineStr">
        <is>
          <t>metals &amp; mining</t>
        </is>
      </c>
      <c r="D222" s="31" t="inlineStr">
        <is>
          <t>steel - large</t>
        </is>
      </c>
      <c r="E222" s="31" t="inlineStr">
        <is>
          <t>largecap</t>
        </is>
      </c>
      <c r="F222" s="31" t="n">
        <v>62833.14</v>
      </c>
      <c r="G222" s="31" t="n">
        <v>756.1</v>
      </c>
      <c r="H222" s="31" t="n">
        <v>-0.79</v>
      </c>
      <c r="I222" s="31" t="n">
        <v>1619515</v>
      </c>
      <c r="J222" s="31" t="inlineStr">
        <is>
          <t>532508</t>
        </is>
      </c>
    </row>
    <row r="223">
      <c r="A223" s="31" t="inlineStr">
        <is>
          <t>SSWL</t>
        </is>
      </c>
      <c r="B223" s="31" t="inlineStr">
        <is>
          <t>Steel Strips Wheels Limited</t>
        </is>
      </c>
      <c r="C223" s="31" t="inlineStr">
        <is>
          <t>auto</t>
        </is>
      </c>
      <c r="D223" s="31" t="inlineStr">
        <is>
          <t>auto ancillaries</t>
        </is>
      </c>
      <c r="E223" s="31" t="inlineStr">
        <is>
          <t>midcap</t>
        </is>
      </c>
      <c r="F223" s="31" t="n">
        <v>5872.26</v>
      </c>
      <c r="G223" s="31" t="n">
        <v>370.65</v>
      </c>
      <c r="H223" s="31" t="n">
        <v>-0.79</v>
      </c>
      <c r="I223" s="31" t="n">
        <v>1219997</v>
      </c>
      <c r="J223" s="31" t="inlineStr">
        <is>
          <t>513262</t>
        </is>
      </c>
    </row>
    <row r="224">
      <c r="A224" s="31" t="inlineStr">
        <is>
          <t>BIL</t>
        </is>
      </c>
      <c r="B224" s="31" t="inlineStr">
        <is>
          <t>Bhartiya International Limited</t>
        </is>
      </c>
      <c r="C224" s="31" t="inlineStr">
        <is>
          <t>consumer discretionary</t>
        </is>
      </c>
      <c r="D224" s="31" t="inlineStr">
        <is>
          <t>leather / leather products</t>
        </is>
      </c>
      <c r="E224" s="31" t="inlineStr">
        <is>
          <t>smallcap</t>
        </is>
      </c>
      <c r="F224" s="31" t="n">
        <v>1450.6</v>
      </c>
      <c r="G224" s="31" t="n">
        <v>1073</v>
      </c>
      <c r="H224" s="31" t="n">
        <v>-0.8</v>
      </c>
      <c r="I224" s="31" t="n">
        <v>17520</v>
      </c>
      <c r="J224" s="31" t="inlineStr">
        <is>
          <t>526666</t>
        </is>
      </c>
    </row>
    <row r="225">
      <c r="A225" s="31" t="inlineStr">
        <is>
          <t>BOSCHLTD</t>
        </is>
      </c>
      <c r="B225" s="31" t="inlineStr">
        <is>
          <t>Bosch Limited</t>
        </is>
      </c>
      <c r="C225" s="31" t="inlineStr">
        <is>
          <t>auto</t>
        </is>
      </c>
      <c r="D225" s="31" t="inlineStr">
        <is>
          <t>auto ancillaries</t>
        </is>
      </c>
      <c r="E225" s="31" t="inlineStr">
        <is>
          <t>largecap</t>
        </is>
      </c>
      <c r="F225" s="31" t="n">
        <v>143867.23</v>
      </c>
      <c r="G225" s="31" t="n">
        <v>48385</v>
      </c>
      <c r="H225" s="31" t="n">
        <v>-0.8</v>
      </c>
      <c r="I225" s="31" t="n">
        <v>19898</v>
      </c>
      <c r="J225" s="31" t="inlineStr">
        <is>
          <t>500530</t>
        </is>
      </c>
    </row>
    <row r="226">
      <c r="A226" s="31" t="inlineStr">
        <is>
          <t>RAMRAT</t>
        </is>
      </c>
      <c r="B226" s="31" t="inlineStr">
        <is>
          <t>Ram Ratna Wires Ltd</t>
        </is>
      </c>
      <c r="C226" s="31" t="inlineStr">
        <is>
          <t>metals &amp; mining</t>
        </is>
      </c>
      <c r="D226" s="31" t="inlineStr">
        <is>
          <t>mining / minerals / metals</t>
        </is>
      </c>
      <c r="E226" s="31" t="inlineStr">
        <is>
          <t>midcap</t>
        </is>
      </c>
      <c r="F226" s="31" t="n">
        <v>5010.51</v>
      </c>
      <c r="G226" s="31" t="n">
        <v>532.4</v>
      </c>
      <c r="H226" s="31" t="n">
        <v>-0.8100000000000001</v>
      </c>
      <c r="I226" s="31" t="n">
        <v>107590</v>
      </c>
      <c r="J226" s="31" t="inlineStr">
        <is>
          <t>522281</t>
        </is>
      </c>
    </row>
    <row r="227">
      <c r="A227" s="31" t="inlineStr">
        <is>
          <t>GLAND</t>
        </is>
      </c>
      <c r="B227" s="31" t="inlineStr">
        <is>
          <t>Gland Pharma Ltd</t>
        </is>
      </c>
      <c r="C227" s="31" t="inlineStr">
        <is>
          <t>healthcare</t>
        </is>
      </c>
      <c r="D227" s="31" t="inlineStr">
        <is>
          <t>pharmaceuticals - indian - formulations</t>
        </is>
      </c>
      <c r="E227" s="31" t="inlineStr">
        <is>
          <t>largecap</t>
        </is>
      </c>
      <c r="F227" s="31" t="n">
        <v>48611.97</v>
      </c>
      <c r="G227" s="31" t="n">
        <v>2922.3</v>
      </c>
      <c r="H227" s="31" t="n">
        <v>-0.83</v>
      </c>
      <c r="I227" s="31" t="n">
        <v>389004</v>
      </c>
      <c r="J227" s="31" t="inlineStr">
        <is>
          <t>543245</t>
        </is>
      </c>
    </row>
    <row r="228">
      <c r="A228" s="31" t="inlineStr">
        <is>
          <t>PFOCUS</t>
        </is>
      </c>
      <c r="B228" s="31" t="inlineStr">
        <is>
          <t>Prime Focus Limited</t>
        </is>
      </c>
      <c r="C228" s="31" t="inlineStr">
        <is>
          <t>realty</t>
        </is>
      </c>
      <c r="D228" s="31" t="inlineStr">
        <is>
          <t>miscellaneous</t>
        </is>
      </c>
      <c r="E228" s="31" t="inlineStr">
        <is>
          <t>largecap</t>
        </is>
      </c>
      <c r="F228" s="31" t="n">
        <v>24346.86</v>
      </c>
      <c r="G228" s="31" t="n">
        <v>310.85</v>
      </c>
      <c r="H228" s="31" t="n">
        <v>-0.86</v>
      </c>
      <c r="I228" s="31" t="n">
        <v>313377</v>
      </c>
      <c r="J228" s="31" t="inlineStr">
        <is>
          <t>532748</t>
        </is>
      </c>
    </row>
    <row r="229">
      <c r="A229" s="31" t="inlineStr">
        <is>
          <t>GMMPFAUDLR</t>
        </is>
      </c>
      <c r="B229" s="31" t="inlineStr">
        <is>
          <t>GMM Pfaudler Ltd</t>
        </is>
      </c>
      <c r="C229" s="31" t="inlineStr">
        <is>
          <t>industrials</t>
        </is>
      </c>
      <c r="D229" s="31" t="inlineStr">
        <is>
          <t>engineering</t>
        </is>
      </c>
      <c r="E229" s="31" t="inlineStr">
        <is>
          <t>midcap</t>
        </is>
      </c>
      <c r="F229" s="31" t="n">
        <v>5930.76</v>
      </c>
      <c r="G229" s="31" t="n">
        <v>1307.9</v>
      </c>
      <c r="H229" s="31" t="n">
        <v>-0.86</v>
      </c>
      <c r="I229" s="31" t="n">
        <v>261557</v>
      </c>
      <c r="J229" s="31" t="inlineStr">
        <is>
          <t>505255</t>
        </is>
      </c>
    </row>
    <row r="230">
      <c r="A230" s="31" t="inlineStr">
        <is>
          <t>ASIANHOTNR</t>
        </is>
      </c>
      <c r="B230" s="31" t="inlineStr">
        <is>
          <t>Asian Hotels (north) Limited</t>
        </is>
      </c>
      <c r="C230" s="31" t="inlineStr">
        <is>
          <t>services</t>
        </is>
      </c>
      <c r="D230" s="31" t="inlineStr">
        <is>
          <t>hotels</t>
        </is>
      </c>
      <c r="E230" s="31" t="inlineStr">
        <is>
          <t>smallcap</t>
        </is>
      </c>
      <c r="F230" s="31" t="n">
        <v>1629.23</v>
      </c>
      <c r="G230" s="31" t="n">
        <v>378.8</v>
      </c>
      <c r="H230" s="31" t="n">
        <v>-0.88</v>
      </c>
      <c r="I230" s="31" t="n">
        <v>26340</v>
      </c>
      <c r="J230" s="31" t="inlineStr">
        <is>
          <t>500023</t>
        </is>
      </c>
    </row>
    <row r="231">
      <c r="A231" s="31" t="inlineStr">
        <is>
          <t>MAITHANALL</t>
        </is>
      </c>
      <c r="B231" s="31" t="inlineStr">
        <is>
          <t>Maithan Alloys Limited</t>
        </is>
      </c>
      <c r="C231" s="31" t="inlineStr">
        <is>
          <t>metals &amp; mining</t>
        </is>
      </c>
      <c r="D231" s="31" t="inlineStr">
        <is>
          <t>mining / minerals / metals</t>
        </is>
      </c>
      <c r="E231" s="31" t="inlineStr">
        <is>
          <t>smallcap</t>
        </is>
      </c>
      <c r="F231" s="31" t="n">
        <v>3073.02</v>
      </c>
      <c r="G231" s="31" t="n">
        <v>1045.85</v>
      </c>
      <c r="H231" s="31" t="n">
        <v>-0.92</v>
      </c>
      <c r="I231" s="31" t="n">
        <v>91972</v>
      </c>
      <c r="J231" s="31" t="inlineStr">
        <is>
          <t>590078</t>
        </is>
      </c>
    </row>
    <row r="232">
      <c r="A232" s="31" t="inlineStr">
        <is>
          <t>SFL</t>
        </is>
      </c>
      <c r="B232" s="31" t="inlineStr">
        <is>
          <t>Sheela Foam Limited</t>
        </is>
      </c>
      <c r="C232" s="31" t="inlineStr">
        <is>
          <t>consumer discretionary</t>
        </is>
      </c>
      <c r="D232" s="31" t="inlineStr">
        <is>
          <t>miscellaneous</t>
        </is>
      </c>
      <c r="E232" s="31" t="inlineStr">
        <is>
          <t>midcap</t>
        </is>
      </c>
      <c r="F232" s="31" t="n">
        <v>7621.85</v>
      </c>
      <c r="G232" s="31" t="n">
        <v>691.55</v>
      </c>
      <c r="H232" s="31" t="n">
        <v>-0.92</v>
      </c>
      <c r="I232" s="31" t="n">
        <v>216987</v>
      </c>
      <c r="J232" s="31" t="inlineStr">
        <is>
          <t>540203</t>
        </is>
      </c>
    </row>
    <row r="233">
      <c r="A233" s="31" t="inlineStr">
        <is>
          <t>PCJEWELLER</t>
        </is>
      </c>
      <c r="B233" s="31" t="inlineStr">
        <is>
          <t>Pc Jeweller Limited</t>
        </is>
      </c>
      <c r="C233" s="31" t="inlineStr">
        <is>
          <t>consumer discretionary</t>
        </is>
      </c>
      <c r="D233" s="31" t="inlineStr">
        <is>
          <t>diamond cutting / jewellery</t>
        </is>
      </c>
      <c r="E233" s="31" t="inlineStr">
        <is>
          <t>midcap</t>
        </is>
      </c>
      <c r="F233" s="31" t="n">
        <v>13429.67</v>
      </c>
      <c r="G233" s="31" t="n">
        <v>13.7</v>
      </c>
      <c r="H233" s="31" t="n">
        <v>-0.9399999999999999</v>
      </c>
      <c r="I233" s="31" t="n">
        <v>420161544</v>
      </c>
      <c r="J233" s="31" t="inlineStr">
        <is>
          <t>534809</t>
        </is>
      </c>
    </row>
    <row r="234">
      <c r="A234" s="31" t="inlineStr">
        <is>
          <t>SHREEPUSHK</t>
        </is>
      </c>
      <c r="B234" s="31" t="inlineStr">
        <is>
          <t>Shree Pushkar Chemicals &amp; Fertilisers Limited</t>
        </is>
      </c>
      <c r="C234" s="31" t="inlineStr">
        <is>
          <t>chemicals</t>
        </is>
      </c>
      <c r="D234" s="31" t="inlineStr">
        <is>
          <t>dyes and pigments</t>
        </is>
      </c>
      <c r="E234" s="31" t="inlineStr">
        <is>
          <t>smallcap</t>
        </is>
      </c>
      <c r="F234" s="31" t="n">
        <v>1589.72</v>
      </c>
      <c r="G234" s="31" t="n">
        <v>486.9</v>
      </c>
      <c r="H234" s="31" t="n">
        <v>-0.96</v>
      </c>
      <c r="I234" s="31" t="n">
        <v>157309</v>
      </c>
      <c r="J234" s="31" t="inlineStr">
        <is>
          <t>539334</t>
        </is>
      </c>
    </row>
    <row r="235">
      <c r="A235" s="31" t="inlineStr">
        <is>
          <t>WELINV</t>
        </is>
      </c>
      <c r="B235" s="31" t="inlineStr">
        <is>
          <t>Welspun Investments And Commercials Limited</t>
        </is>
      </c>
      <c r="C235" s="31" t="inlineStr">
        <is>
          <t>financials</t>
        </is>
      </c>
      <c r="D235" s="31" t="inlineStr">
        <is>
          <t>finance &amp; investments</t>
        </is>
      </c>
      <c r="E235" s="31" t="inlineStr">
        <is>
          <t>smallcap</t>
        </is>
      </c>
      <c r="F235" s="31" t="n">
        <v>856.97</v>
      </c>
      <c r="G235" s="31" t="n">
        <v>2322</v>
      </c>
      <c r="H235" s="31" t="n">
        <v>-0.98</v>
      </c>
      <c r="I235" s="31" t="n">
        <v>236</v>
      </c>
      <c r="J235" s="31" t="inlineStr">
        <is>
          <t>533252</t>
        </is>
      </c>
    </row>
    <row r="236">
      <c r="A236" s="31" t="inlineStr">
        <is>
          <t>PASUPTAC</t>
        </is>
      </c>
      <c r="B236" s="31" t="inlineStr">
        <is>
          <t>Pasupati Acrylon Ltd</t>
        </is>
      </c>
      <c r="C236" s="31" t="inlineStr">
        <is>
          <t>textiles</t>
        </is>
      </c>
      <c r="D236" s="31" t="inlineStr">
        <is>
          <t>textiles - manmade</t>
        </is>
      </c>
      <c r="E236" s="31" t="inlineStr">
        <is>
          <t>smallcap</t>
        </is>
      </c>
      <c r="F236" s="31" t="n">
        <v>603.97</v>
      </c>
      <c r="G236" s="31" t="n">
        <v>67.08</v>
      </c>
      <c r="H236" s="31" t="n">
        <v>-1</v>
      </c>
      <c r="I236" s="31" t="n">
        <v>32213</v>
      </c>
      <c r="J236" s="31" t="inlineStr">
        <is>
          <t>500456</t>
        </is>
      </c>
    </row>
    <row r="237">
      <c r="A237" s="31" t="inlineStr">
        <is>
          <t>JTLIND</t>
        </is>
      </c>
      <c r="B237" s="31" t="inlineStr">
        <is>
          <t>JTL Industries Ltd</t>
        </is>
      </c>
      <c r="C237" s="31" t="inlineStr">
        <is>
          <t>metals &amp; mining</t>
        </is>
      </c>
      <c r="D237" s="31" t="inlineStr">
        <is>
          <t>steel - medium / small</t>
        </is>
      </c>
      <c r="E237" s="31" t="inlineStr">
        <is>
          <t>smallcap</t>
        </is>
      </c>
      <c r="F237" s="31" t="n">
        <v>3522.01</v>
      </c>
      <c r="G237" s="31" t="n">
        <v>88.68000000000001</v>
      </c>
      <c r="H237" s="31" t="n">
        <v>-1.03</v>
      </c>
      <c r="I237" s="31" t="n">
        <v>2156849</v>
      </c>
      <c r="J237" s="31" t="inlineStr">
        <is>
          <t>534600</t>
        </is>
      </c>
    </row>
    <row r="238">
      <c r="A238" s="31" t="inlineStr">
        <is>
          <t>SHYAMMETL</t>
        </is>
      </c>
      <c r="B238" s="31" t="inlineStr">
        <is>
          <t>Shyam Metalics &amp; Energy Ltd</t>
        </is>
      </c>
      <c r="C238" s="31" t="inlineStr">
        <is>
          <t>metals &amp; mining</t>
        </is>
      </c>
      <c r="D238" s="31" t="inlineStr">
        <is>
          <t>steel - large</t>
        </is>
      </c>
      <c r="E238" s="31" t="inlineStr">
        <is>
          <t>largecap</t>
        </is>
      </c>
      <c r="F238" s="31" t="n">
        <v>30316.51</v>
      </c>
      <c r="G238" s="31" t="n">
        <v>1074.8</v>
      </c>
      <c r="H238" s="31" t="n">
        <v>-1.04</v>
      </c>
      <c r="I238" s="31" t="n">
        <v>224493</v>
      </c>
      <c r="J238" s="31" t="inlineStr">
        <is>
          <t>543299</t>
        </is>
      </c>
    </row>
    <row r="239">
      <c r="A239" s="31" t="inlineStr">
        <is>
          <t>ARTEMISMED</t>
        </is>
      </c>
      <c r="B239" s="31" t="inlineStr">
        <is>
          <t>Artemis Medicare Services Ltd</t>
        </is>
      </c>
      <c r="C239" s="31" t="inlineStr">
        <is>
          <t>healthcare</t>
        </is>
      </c>
      <c r="D239" s="31" t="inlineStr">
        <is>
          <t>healthcare</t>
        </is>
      </c>
      <c r="E239" s="31" t="inlineStr">
        <is>
          <t>midcap</t>
        </is>
      </c>
      <c r="F239" s="31" t="n">
        <v>5517.76</v>
      </c>
      <c r="G239" s="31" t="n">
        <v>344.9</v>
      </c>
      <c r="H239" s="31" t="n">
        <v>-1.05</v>
      </c>
      <c r="I239" s="31" t="n">
        <v>347172</v>
      </c>
      <c r="J239" s="31" t="inlineStr">
        <is>
          <t>542919</t>
        </is>
      </c>
    </row>
    <row r="240">
      <c r="A240" s="31" t="inlineStr">
        <is>
          <t>MGEL</t>
        </is>
      </c>
      <c r="B240" s="31" t="inlineStr">
        <is>
          <t>Mangalam Global Enterprise Ltd</t>
        </is>
      </c>
      <c r="C240" s="31" t="inlineStr">
        <is>
          <t>services</t>
        </is>
      </c>
      <c r="D240" s="31" t="inlineStr">
        <is>
          <t>trading</t>
        </is>
      </c>
      <c r="E240" s="31" t="inlineStr">
        <is>
          <t>smallcap</t>
        </is>
      </c>
      <c r="F240" s="31" t="n">
        <v>528.28</v>
      </c>
      <c r="G240" s="31" t="n">
        <v>15.86</v>
      </c>
      <c r="H240" s="31" t="n">
        <v>-1.06</v>
      </c>
      <c r="I240" s="31" t="n">
        <v>337674</v>
      </c>
      <c r="J240" s="31" t="inlineStr">
        <is>
          <t>535349</t>
        </is>
      </c>
    </row>
    <row r="241">
      <c r="A241" s="31" t="inlineStr">
        <is>
          <t>DEEPINDS</t>
        </is>
      </c>
      <c r="B241" s="31" t="inlineStr">
        <is>
          <t>Deep Industries Ltd</t>
        </is>
      </c>
      <c r="C241" s="31" t="inlineStr">
        <is>
          <t>energy</t>
        </is>
      </c>
      <c r="D241" s="31" t="inlineStr">
        <is>
          <t>oil drilling / allied services</t>
        </is>
      </c>
      <c r="E241" s="31" t="inlineStr">
        <is>
          <t>midcap</t>
        </is>
      </c>
      <c r="F241" s="31" t="n">
        <v>5009.92</v>
      </c>
      <c r="G241" s="31" t="n">
        <v>774.4</v>
      </c>
      <c r="H241" s="31" t="n">
        <v>-1.07</v>
      </c>
      <c r="I241" s="31" t="n">
        <v>513815</v>
      </c>
      <c r="J241" s="31" t="inlineStr">
        <is>
          <t>543288</t>
        </is>
      </c>
    </row>
    <row r="242">
      <c r="A242" s="31" t="inlineStr">
        <is>
          <t>SAMBHV</t>
        </is>
      </c>
      <c r="B242" s="31" t="inlineStr">
        <is>
          <t>Sambhv Steel Tubes Ltd</t>
        </is>
      </c>
      <c r="C242" s="31" t="inlineStr">
        <is>
          <t>metals &amp; mining</t>
        </is>
      </c>
      <c r="D242" s="31" t="inlineStr">
        <is>
          <t>steel - medium / small</t>
        </is>
      </c>
      <c r="E242" s="31" t="inlineStr">
        <is>
          <t>smallcap</t>
        </is>
      </c>
      <c r="F242" s="31" t="n">
        <v>3904.69</v>
      </c>
      <c r="G242" s="31" t="n">
        <v>131.08</v>
      </c>
      <c r="H242" s="31" t="n">
        <v>-1.08</v>
      </c>
      <c r="I242" s="31" t="n">
        <v>1936674</v>
      </c>
      <c r="J242" s="31" t="inlineStr">
        <is>
          <t>544430</t>
        </is>
      </c>
    </row>
    <row r="243">
      <c r="A243" s="31" t="inlineStr">
        <is>
          <t>NEULANDLAB</t>
        </is>
      </c>
      <c r="B243" s="31" t="inlineStr">
        <is>
          <t>Neuland Laboratories Limited</t>
        </is>
      </c>
      <c r="C243" s="31" t="inlineStr">
        <is>
          <t>healthcare</t>
        </is>
      </c>
      <c r="D243" s="31" t="inlineStr">
        <is>
          <t>pharmaceuticals - indian - bulk drugs</t>
        </is>
      </c>
      <c r="E243" s="31" t="inlineStr">
        <is>
          <t>largecap</t>
        </is>
      </c>
      <c r="F243" s="31" t="n">
        <v>30535.14</v>
      </c>
      <c r="G243" s="31" t="n">
        <v>23535</v>
      </c>
      <c r="H243" s="31" t="n">
        <v>-1.11</v>
      </c>
      <c r="I243" s="31" t="n">
        <v>43901</v>
      </c>
      <c r="J243" s="31" t="inlineStr">
        <is>
          <t>524558</t>
        </is>
      </c>
    </row>
    <row r="244">
      <c r="A244" s="31" t="inlineStr">
        <is>
          <t>RADHIKAJWE</t>
        </is>
      </c>
      <c r="B244" s="31" t="inlineStr">
        <is>
          <t>Radhika Jeweltech Ltd</t>
        </is>
      </c>
      <c r="C244" s="31" t="inlineStr">
        <is>
          <t>consumer discretionary</t>
        </is>
      </c>
      <c r="D244" s="31" t="inlineStr">
        <is>
          <t>diamond cutting / jewellery</t>
        </is>
      </c>
      <c r="E244" s="31" t="inlineStr">
        <is>
          <t>smallcap</t>
        </is>
      </c>
      <c r="F244" s="31" t="n">
        <v>992.97</v>
      </c>
      <c r="G244" s="31" t="n">
        <v>83.20999999999999</v>
      </c>
      <c r="H244" s="31" t="n">
        <v>-1.12</v>
      </c>
      <c r="I244" s="31" t="n">
        <v>1473665</v>
      </c>
      <c r="J244" s="31" t="inlineStr">
        <is>
          <t>540125</t>
        </is>
      </c>
    </row>
    <row r="245">
      <c r="A245" s="31" t="inlineStr">
        <is>
          <t>YATHARTH</t>
        </is>
      </c>
      <c r="B245" s="31" t="inlineStr">
        <is>
          <t>Yatharth Hospital &amp; Trauma Care Services Ltd</t>
        </is>
      </c>
      <c r="C245" s="31" t="inlineStr">
        <is>
          <t>healthcare</t>
        </is>
      </c>
      <c r="D245" s="31" t="inlineStr">
        <is>
          <t>healthcare</t>
        </is>
      </c>
      <c r="E245" s="31" t="inlineStr">
        <is>
          <t>midcap</t>
        </is>
      </c>
      <c r="F245" s="31" t="n">
        <v>9415.75</v>
      </c>
      <c r="G245" s="31" t="n">
        <v>966.3</v>
      </c>
      <c r="H245" s="31" t="n">
        <v>-1.12</v>
      </c>
      <c r="I245" s="31" t="n">
        <v>128509</v>
      </c>
      <c r="J245" s="31" t="inlineStr">
        <is>
          <t>543950</t>
        </is>
      </c>
    </row>
    <row r="246">
      <c r="A246" s="31" t="inlineStr">
        <is>
          <t>ENGINERSIN</t>
        </is>
      </c>
      <c r="B246" s="31" t="inlineStr">
        <is>
          <t>Engineers India Limited</t>
        </is>
      </c>
      <c r="C246" s="31" t="inlineStr">
        <is>
          <t>realty</t>
        </is>
      </c>
      <c r="D246" s="31" t="inlineStr">
        <is>
          <t>engineering - turnkey services</t>
        </is>
      </c>
      <c r="E246" s="31" t="inlineStr">
        <is>
          <t>midcap</t>
        </is>
      </c>
      <c r="F246" s="31" t="n">
        <v>15290.36</v>
      </c>
      <c r="G246" s="31" t="n">
        <v>268.95</v>
      </c>
      <c r="H246" s="31" t="n">
        <v>-1.14</v>
      </c>
      <c r="I246" s="31" t="n">
        <v>1652427</v>
      </c>
      <c r="J246" s="31" t="inlineStr">
        <is>
          <t>532178</t>
        </is>
      </c>
    </row>
    <row r="247">
      <c r="A247" s="31" t="inlineStr">
        <is>
          <t>NAZARA</t>
        </is>
      </c>
      <c r="B247" s="31" t="inlineStr">
        <is>
          <t>Nazara Technologies Ltd</t>
        </is>
      </c>
      <c r="C247" s="31" t="inlineStr">
        <is>
          <t>i.t</t>
        </is>
      </c>
      <c r="D247" s="31" t="inlineStr">
        <is>
          <t>telecommunications - service provider</t>
        </is>
      </c>
      <c r="E247" s="31" t="inlineStr">
        <is>
          <t>midcap</t>
        </is>
      </c>
      <c r="F247" s="31" t="n">
        <v>14412.64</v>
      </c>
      <c r="G247" s="31" t="n">
        <v>370.3</v>
      </c>
      <c r="H247" s="31" t="n">
        <v>-1.16</v>
      </c>
      <c r="I247" s="31" t="n">
        <v>1148490</v>
      </c>
      <c r="J247" s="31" t="inlineStr">
        <is>
          <t>543280</t>
        </is>
      </c>
    </row>
    <row r="248">
      <c r="A248" s="31" t="inlineStr">
        <is>
          <t>IGPL</t>
        </is>
      </c>
      <c r="B248" s="31" t="inlineStr">
        <is>
          <t>Ig Petrochemicals Limited</t>
        </is>
      </c>
      <c r="C248" s="31" t="inlineStr">
        <is>
          <t>chemicals</t>
        </is>
      </c>
      <c r="D248" s="31" t="inlineStr">
        <is>
          <t>chemicals</t>
        </is>
      </c>
      <c r="E248" s="31" t="inlineStr">
        <is>
          <t>smallcap</t>
        </is>
      </c>
      <c r="F248" s="31" t="n">
        <v>1704.49</v>
      </c>
      <c r="G248" s="31" t="n">
        <v>547.05</v>
      </c>
      <c r="H248" s="31" t="n">
        <v>-1.17</v>
      </c>
      <c r="I248" s="31" t="n">
        <v>58951</v>
      </c>
      <c r="J248" s="31" t="inlineStr">
        <is>
          <t>500199</t>
        </is>
      </c>
    </row>
    <row r="249">
      <c r="A249" s="31" t="inlineStr">
        <is>
          <t>TFCILTD</t>
        </is>
      </c>
      <c r="B249" s="31" t="inlineStr">
        <is>
          <t>Tourism Finance Corporation Of India Limited</t>
        </is>
      </c>
      <c r="C249" s="31" t="inlineStr">
        <is>
          <t>financials</t>
        </is>
      </c>
      <c r="D249" s="31" t="inlineStr">
        <is>
          <t>finance - term-lending institutions</t>
        </is>
      </c>
      <c r="E249" s="31" t="inlineStr">
        <is>
          <t>midcap</t>
        </is>
      </c>
      <c r="F249" s="31" t="n">
        <v>6628.45</v>
      </c>
      <c r="G249" s="31" t="n">
        <v>141.49</v>
      </c>
      <c r="H249" s="31" t="n">
        <v>-1.17</v>
      </c>
      <c r="I249" s="31" t="n">
        <v>6496168</v>
      </c>
      <c r="J249" s="31" t="inlineStr">
        <is>
          <t>526650</t>
        </is>
      </c>
    </row>
    <row r="250">
      <c r="A250" s="31" t="inlineStr">
        <is>
          <t>SPLPETRO</t>
        </is>
      </c>
      <c r="B250" s="31" t="inlineStr">
        <is>
          <t>Supreme Petrochem Ltd</t>
        </is>
      </c>
      <c r="C250" s="31" t="inlineStr">
        <is>
          <t>energy</t>
        </is>
      </c>
      <c r="D250" s="31" t="inlineStr">
        <is>
          <t>petrochemicals</t>
        </is>
      </c>
      <c r="E250" s="31" t="inlineStr">
        <is>
          <t>midcap</t>
        </is>
      </c>
      <c r="F250" s="31" t="n">
        <v>15572.64</v>
      </c>
      <c r="G250" s="31" t="n">
        <v>818.35</v>
      </c>
      <c r="H250" s="31" t="n">
        <v>-1.18</v>
      </c>
      <c r="I250" s="31" t="n">
        <v>176561</v>
      </c>
      <c r="J250" s="31" t="inlineStr">
        <is>
          <t>500405</t>
        </is>
      </c>
    </row>
    <row r="251">
      <c r="A251" s="31" t="inlineStr">
        <is>
          <t>MANINDS</t>
        </is>
      </c>
      <c r="B251" s="31" t="inlineStr">
        <is>
          <t>Man Industries (india) Limited</t>
        </is>
      </c>
      <c r="C251" s="31" t="inlineStr">
        <is>
          <t>metals &amp; mining</t>
        </is>
      </c>
      <c r="D251" s="31" t="inlineStr">
        <is>
          <t>steel - medium / small</t>
        </is>
      </c>
      <c r="E251" s="31" t="inlineStr">
        <is>
          <t>midcap</t>
        </is>
      </c>
      <c r="F251" s="31" t="n">
        <v>6574.21</v>
      </c>
      <c r="G251" s="31" t="n">
        <v>866.1</v>
      </c>
      <c r="H251" s="31" t="n">
        <v>-1.18</v>
      </c>
      <c r="I251" s="31" t="n">
        <v>4525404</v>
      </c>
      <c r="J251" s="31" t="inlineStr">
        <is>
          <t>513269</t>
        </is>
      </c>
    </row>
    <row r="252">
      <c r="A252" s="31" t="inlineStr">
        <is>
          <t>GPTHEALTH</t>
        </is>
      </c>
      <c r="B252" s="31" t="inlineStr">
        <is>
          <t>GPT Healthcare Ltd</t>
        </is>
      </c>
      <c r="C252" s="31" t="inlineStr">
        <is>
          <t>healthcare</t>
        </is>
      </c>
      <c r="D252" s="31" t="inlineStr">
        <is>
          <t>healthcare</t>
        </is>
      </c>
      <c r="E252" s="31" t="inlineStr">
        <is>
          <t>smallcap</t>
        </is>
      </c>
      <c r="F252" s="31" t="n">
        <v>1323.46</v>
      </c>
      <c r="G252" s="31" t="n">
        <v>159.38</v>
      </c>
      <c r="H252" s="31" t="n">
        <v>-1.18</v>
      </c>
      <c r="I252" s="31" t="n">
        <v>97541</v>
      </c>
      <c r="J252" s="31" t="inlineStr">
        <is>
          <t>544131</t>
        </is>
      </c>
    </row>
    <row r="253">
      <c r="A253" s="31" t="inlineStr">
        <is>
          <t>PRABHA</t>
        </is>
      </c>
      <c r="B253" s="31" t="inlineStr">
        <is>
          <t>Prabha Energy Ltd</t>
        </is>
      </c>
      <c r="C253" s="31" t="inlineStr">
        <is>
          <t>energy</t>
        </is>
      </c>
      <c r="D253" s="31" t="inlineStr">
        <is>
          <t>oil drilling / allied services</t>
        </is>
      </c>
      <c r="E253" s="31" t="inlineStr">
        <is>
          <t>smallcap</t>
        </is>
      </c>
      <c r="F253" s="31" t="n">
        <v>3628.85</v>
      </c>
      <c r="G253" s="31" t="n">
        <v>244.64</v>
      </c>
      <c r="H253" s="31" t="n">
        <v>-1.19</v>
      </c>
      <c r="I253" s="31" t="n">
        <v>816981</v>
      </c>
      <c r="J253" s="31" t="inlineStr">
        <is>
          <t>544379</t>
        </is>
      </c>
    </row>
    <row r="254">
      <c r="A254" s="31" t="inlineStr">
        <is>
          <t>BECTORFOOD</t>
        </is>
      </c>
      <c r="B254" s="31" t="inlineStr">
        <is>
          <t>Mrs Bectors Food Specialities Ltd</t>
        </is>
      </c>
      <c r="C254" s="31" t="inlineStr">
        <is>
          <t>fmcg</t>
        </is>
      </c>
      <c r="D254" s="31" t="inlineStr">
        <is>
          <t>food - processing - indian</t>
        </is>
      </c>
      <c r="E254" s="31" t="inlineStr">
        <is>
          <t>midcap</t>
        </is>
      </c>
      <c r="F254" s="31" t="n">
        <v>7534.78</v>
      </c>
      <c r="G254" s="31" t="n">
        <v>242.5</v>
      </c>
      <c r="H254" s="31" t="n">
        <v>-1.2</v>
      </c>
      <c r="I254" s="31" t="n">
        <v>903250</v>
      </c>
      <c r="J254" s="31" t="inlineStr">
        <is>
          <t>543253</t>
        </is>
      </c>
    </row>
    <row r="255">
      <c r="A255" s="31" t="inlineStr">
        <is>
          <t>DIVISLAB</t>
        </is>
      </c>
      <c r="B255" s="31" t="inlineStr">
        <is>
          <t>Divi's Laboratories Limited</t>
        </is>
      </c>
      <c r="C255" s="31" t="inlineStr">
        <is>
          <t>healthcare</t>
        </is>
      </c>
      <c r="D255" s="31" t="inlineStr">
        <is>
          <t>pharmaceuticals - indian - bulk drugs</t>
        </is>
      </c>
      <c r="E255" s="31" t="inlineStr">
        <is>
          <t>largecap</t>
        </is>
      </c>
      <c r="F255" s="31" t="n">
        <v>250562.52</v>
      </c>
      <c r="G255" s="31" t="n">
        <v>9322</v>
      </c>
      <c r="H255" s="31" t="n">
        <v>-1.23</v>
      </c>
      <c r="I255" s="31" t="n">
        <v>516756</v>
      </c>
      <c r="J255" s="31" t="inlineStr">
        <is>
          <t>532488</t>
        </is>
      </c>
    </row>
    <row r="256">
      <c r="A256" s="31" t="inlineStr">
        <is>
          <t>SURAKSHA</t>
        </is>
      </c>
      <c r="B256" s="31" t="inlineStr">
        <is>
          <t>Suraksha Diagnostic Ltd</t>
        </is>
      </c>
      <c r="C256" s="31" t="inlineStr">
        <is>
          <t>healthcare</t>
        </is>
      </c>
      <c r="D256" s="31" t="inlineStr">
        <is>
          <t>healthcare</t>
        </is>
      </c>
      <c r="E256" s="31" t="inlineStr">
        <is>
          <t>smallcap</t>
        </is>
      </c>
      <c r="F256" s="31" t="n">
        <v>1707.47</v>
      </c>
      <c r="G256" s="31" t="n">
        <v>323.75</v>
      </c>
      <c r="H256" s="31" t="n">
        <v>-1.25</v>
      </c>
      <c r="I256" s="31" t="n">
        <v>50564</v>
      </c>
      <c r="J256" s="31" t="inlineStr">
        <is>
          <t>544293</t>
        </is>
      </c>
    </row>
    <row r="257">
      <c r="A257" s="31" t="inlineStr">
        <is>
          <t>NILKAMAL</t>
        </is>
      </c>
      <c r="B257" s="31" t="inlineStr">
        <is>
          <t>Nilkamal Limited</t>
        </is>
      </c>
      <c r="C257" s="31" t="inlineStr">
        <is>
          <t>plastic products</t>
        </is>
      </c>
      <c r="D257" s="31" t="inlineStr">
        <is>
          <t>plastics products</t>
        </is>
      </c>
      <c r="E257" s="31" t="inlineStr">
        <is>
          <t>smallcap</t>
        </is>
      </c>
      <c r="F257" s="31" t="n">
        <v>3100.01</v>
      </c>
      <c r="G257" s="31" t="n">
        <v>2050.8</v>
      </c>
      <c r="H257" s="31" t="n">
        <v>-1.28</v>
      </c>
      <c r="I257" s="31" t="n">
        <v>24037</v>
      </c>
      <c r="J257" s="31" t="inlineStr">
        <is>
          <t>523385</t>
        </is>
      </c>
    </row>
    <row r="258">
      <c r="A258" s="31" t="inlineStr">
        <is>
          <t>GANESHBE</t>
        </is>
      </c>
      <c r="B258" s="31" t="inlineStr">
        <is>
          <t>Ganesh Benzoplast Ltd</t>
        </is>
      </c>
      <c r="C258" s="31" t="inlineStr">
        <is>
          <t>miscellaneous</t>
        </is>
      </c>
      <c r="D258" s="31" t="inlineStr">
        <is>
          <t>miscellaneous</t>
        </is>
      </c>
      <c r="E258" s="31" t="inlineStr">
        <is>
          <t>smallcap</t>
        </is>
      </c>
      <c r="F258" s="31" t="n">
        <v>959.98</v>
      </c>
      <c r="G258" s="31" t="n">
        <v>131.63</v>
      </c>
      <c r="H258" s="31" t="n">
        <v>-1.29</v>
      </c>
      <c r="I258" s="31" t="n">
        <v>118200</v>
      </c>
      <c r="J258" s="31" t="inlineStr">
        <is>
          <t>500153</t>
        </is>
      </c>
    </row>
    <row r="259">
      <c r="A259" s="31" t="inlineStr">
        <is>
          <t>HINDOILEXP</t>
        </is>
      </c>
      <c r="B259" s="31" t="inlineStr">
        <is>
          <t>Hindustan Oil Exploration Company Limited</t>
        </is>
      </c>
      <c r="C259" s="31" t="inlineStr">
        <is>
          <t>energy</t>
        </is>
      </c>
      <c r="D259" s="31" t="inlineStr">
        <is>
          <t>oil drilling / allied services</t>
        </is>
      </c>
      <c r="E259" s="31" t="inlineStr">
        <is>
          <t>smallcap</t>
        </is>
      </c>
      <c r="F259" s="31" t="n">
        <v>2481.68</v>
      </c>
      <c r="G259" s="31" t="n">
        <v>185.22</v>
      </c>
      <c r="H259" s="31" t="n">
        <v>-1.3</v>
      </c>
      <c r="I259" s="31" t="n">
        <v>1154009</v>
      </c>
      <c r="J259" s="31" t="inlineStr">
        <is>
          <t>500186</t>
        </is>
      </c>
    </row>
    <row r="260">
      <c r="A260" s="31" t="inlineStr">
        <is>
          <t>COALINDIA</t>
        </is>
      </c>
      <c r="B260" s="31" t="inlineStr">
        <is>
          <t>Coal India Limited</t>
        </is>
      </c>
      <c r="C260" s="31" t="inlineStr">
        <is>
          <t>metals &amp; mining</t>
        </is>
      </c>
      <c r="D260" s="31" t="inlineStr">
        <is>
          <t>mining / minerals / metals</t>
        </is>
      </c>
      <c r="E260" s="31" t="inlineStr">
        <is>
          <t>largecap</t>
        </is>
      </c>
      <c r="F260" s="31" t="n">
        <v>266229.86</v>
      </c>
      <c r="G260" s="31" t="n">
        <v>426.4</v>
      </c>
      <c r="H260" s="31" t="n">
        <v>-1.3</v>
      </c>
      <c r="I260" s="31" t="n">
        <v>3868222</v>
      </c>
      <c r="J260" s="31" t="inlineStr">
        <is>
          <t>533278</t>
        </is>
      </c>
    </row>
    <row r="261">
      <c r="A261" s="31" t="inlineStr">
        <is>
          <t>INDIQUBE</t>
        </is>
      </c>
      <c r="B261" s="31" t="inlineStr">
        <is>
          <t>Indiqube Spaces Ltd</t>
        </is>
      </c>
      <c r="C261" s="31" t="inlineStr">
        <is>
          <t>co-working</t>
        </is>
      </c>
      <c r="D261" s="31" t="inlineStr">
        <is>
          <t>miscellaneous</t>
        </is>
      </c>
      <c r="E261" s="31" t="inlineStr">
        <is>
          <t>smallcap</t>
        </is>
      </c>
      <c r="F261" s="31" t="n">
        <v>4357.82</v>
      </c>
      <c r="G261" s="31" t="n">
        <v>202.87</v>
      </c>
      <c r="H261" s="31" t="n">
        <v>-1.31</v>
      </c>
      <c r="I261" s="31" t="n">
        <v>14391</v>
      </c>
      <c r="J261" s="31" t="inlineStr">
        <is>
          <t>544454</t>
        </is>
      </c>
    </row>
    <row r="262">
      <c r="A262" s="31" t="inlineStr">
        <is>
          <t>NORTHARC</t>
        </is>
      </c>
      <c r="B262" s="31" t="inlineStr">
        <is>
          <t>Northern ARC Capital Ltd</t>
        </is>
      </c>
      <c r="C262" s="31" t="inlineStr">
        <is>
          <t>financials</t>
        </is>
      </c>
      <c r="D262" s="31" t="inlineStr">
        <is>
          <t>finance &amp; investments</t>
        </is>
      </c>
      <c r="E262" s="31" t="inlineStr">
        <is>
          <t>smallcap</t>
        </is>
      </c>
      <c r="F262" s="31" t="n">
        <v>4996.25</v>
      </c>
      <c r="G262" s="31" t="n">
        <v>305.1</v>
      </c>
      <c r="H262" s="31" t="n">
        <v>-1.31</v>
      </c>
      <c r="I262" s="31" t="n">
        <v>699849</v>
      </c>
      <c r="J262" s="31" t="n"/>
    </row>
    <row r="263">
      <c r="A263" s="31" t="inlineStr">
        <is>
          <t>IRISDOREME</t>
        </is>
      </c>
      <c r="B263" s="31" t="inlineStr">
        <is>
          <t>Iris Clothings Ltd</t>
        </is>
      </c>
      <c r="C263" s="31" t="inlineStr">
        <is>
          <t>consumer discretionary</t>
        </is>
      </c>
      <c r="D263" s="31" t="inlineStr">
        <is>
          <t>textiles - products</t>
        </is>
      </c>
      <c r="E263" s="31" t="inlineStr">
        <is>
          <t>smallcap</t>
        </is>
      </c>
      <c r="F263" s="31" t="n">
        <v>1185.57</v>
      </c>
      <c r="G263" s="31" t="n">
        <v>61.47</v>
      </c>
      <c r="H263" s="31" t="n">
        <v>-1.32</v>
      </c>
      <c r="I263" s="31" t="n">
        <v>437736</v>
      </c>
      <c r="J263" s="31" t="inlineStr">
        <is>
          <t>535123</t>
        </is>
      </c>
    </row>
    <row r="264">
      <c r="A264" s="31" t="inlineStr">
        <is>
          <t>NRL</t>
        </is>
      </c>
      <c r="B264" s="31" t="inlineStr">
        <is>
          <t>Nupur Recyclers Ltd</t>
        </is>
      </c>
      <c r="C264" s="31" t="inlineStr">
        <is>
          <t>services</t>
        </is>
      </c>
      <c r="D264" s="31" t="inlineStr">
        <is>
          <t>trading</t>
        </is>
      </c>
      <c r="E264" s="31" t="inlineStr">
        <is>
          <t>smallcap</t>
        </is>
      </c>
      <c r="F264" s="31" t="n">
        <v>931.33</v>
      </c>
      <c r="G264" s="31" t="n">
        <v>133.06</v>
      </c>
      <c r="H264" s="31" t="n">
        <v>-1.32</v>
      </c>
      <c r="I264" s="31" t="n">
        <v>39928</v>
      </c>
      <c r="J264" s="31" t="inlineStr">
        <is>
          <t>535413</t>
        </is>
      </c>
    </row>
    <row r="265">
      <c r="A265" s="31" t="inlineStr">
        <is>
          <t>WELSPUNLIV</t>
        </is>
      </c>
      <c r="B265" s="31" t="inlineStr">
        <is>
          <t>Welspun Living Ltd</t>
        </is>
      </c>
      <c r="C265" s="31" t="inlineStr">
        <is>
          <t>textiles</t>
        </is>
      </c>
      <c r="D265" s="31" t="inlineStr">
        <is>
          <t>textiles - products</t>
        </is>
      </c>
      <c r="E265" s="31" t="inlineStr">
        <is>
          <t>midcap</t>
        </is>
      </c>
      <c r="F265" s="31" t="n">
        <v>19887.04</v>
      </c>
      <c r="G265" s="31" t="n">
        <v>207.68</v>
      </c>
      <c r="H265" s="31" t="n">
        <v>-1.34</v>
      </c>
      <c r="I265" s="31" t="n">
        <v>2653493</v>
      </c>
      <c r="J265" s="31" t="inlineStr">
        <is>
          <t>514162</t>
        </is>
      </c>
    </row>
    <row r="266">
      <c r="A266" s="31" t="inlineStr">
        <is>
          <t>GHCLTEXTIL</t>
        </is>
      </c>
      <c r="B266" s="31" t="inlineStr">
        <is>
          <t>GHCL Textiles Ltd</t>
        </is>
      </c>
      <c r="C266" s="31" t="inlineStr">
        <is>
          <t>textiles</t>
        </is>
      </c>
      <c r="D266" s="31" t="inlineStr">
        <is>
          <t>textiles - spinning - synthetic / blended</t>
        </is>
      </c>
      <c r="E266" s="31" t="inlineStr">
        <is>
          <t>smallcap</t>
        </is>
      </c>
      <c r="F266" s="31" t="n">
        <v>1266.89</v>
      </c>
      <c r="G266" s="31" t="n">
        <v>130.76</v>
      </c>
      <c r="H266" s="31" t="n">
        <v>-1.34</v>
      </c>
      <c r="I266" s="31" t="n">
        <v>509572</v>
      </c>
      <c r="J266" s="31" t="inlineStr">
        <is>
          <t>543918</t>
        </is>
      </c>
    </row>
    <row r="267">
      <c r="A267" s="31" t="inlineStr">
        <is>
          <t>VISHNU</t>
        </is>
      </c>
      <c r="B267" s="31" t="inlineStr">
        <is>
          <t>Vishnu Chemicals Limited</t>
        </is>
      </c>
      <c r="C267" s="31" t="inlineStr">
        <is>
          <t>chemicals</t>
        </is>
      </c>
      <c r="D267" s="31" t="inlineStr">
        <is>
          <t>chemicals</t>
        </is>
      </c>
      <c r="E267" s="31" t="inlineStr">
        <is>
          <t>smallcap</t>
        </is>
      </c>
      <c r="F267" s="31" t="n">
        <v>4872.28</v>
      </c>
      <c r="G267" s="31" t="n">
        <v>713.95</v>
      </c>
      <c r="H267" s="31" t="n">
        <v>-1.36</v>
      </c>
      <c r="I267" s="31" t="n">
        <v>101468</v>
      </c>
      <c r="J267" s="31" t="inlineStr">
        <is>
          <t>516072</t>
        </is>
      </c>
    </row>
    <row r="268">
      <c r="A268" s="31" t="inlineStr">
        <is>
          <t>MENONBE</t>
        </is>
      </c>
      <c r="B268" s="31" t="inlineStr">
        <is>
          <t>Menon Bearings Limited</t>
        </is>
      </c>
      <c r="C268" s="31" t="inlineStr">
        <is>
          <t>auto</t>
        </is>
      </c>
      <c r="D268" s="31" t="inlineStr">
        <is>
          <t>auto ancillaries</t>
        </is>
      </c>
      <c r="E268" s="31" t="inlineStr">
        <is>
          <t>smallcap</t>
        </is>
      </c>
      <c r="F268" s="31" t="n">
        <v>1690.45</v>
      </c>
      <c r="G268" s="31" t="n">
        <v>297.5</v>
      </c>
      <c r="H268" s="31" t="n">
        <v>-1.38</v>
      </c>
      <c r="I268" s="31" t="n">
        <v>49421</v>
      </c>
      <c r="J268" s="31" t="inlineStr">
        <is>
          <t>523828</t>
        </is>
      </c>
    </row>
    <row r="269">
      <c r="A269" s="31" t="inlineStr">
        <is>
          <t>TMB</t>
        </is>
      </c>
      <c r="B269" s="31" t="inlineStr">
        <is>
          <t>Tamilnad Mercantile Bank Ltd</t>
        </is>
      </c>
      <c r="C269" s="31" t="inlineStr">
        <is>
          <t>bank</t>
        </is>
      </c>
      <c r="D269" s="31" t="inlineStr">
        <is>
          <t>banks - private sector</t>
        </is>
      </c>
      <c r="E269" s="31" t="inlineStr">
        <is>
          <t>midcap</t>
        </is>
      </c>
      <c r="F269" s="31" t="n">
        <v>14626.13</v>
      </c>
      <c r="G269" s="31" t="n">
        <v>910.9</v>
      </c>
      <c r="H269" s="31" t="n">
        <v>-1.38</v>
      </c>
      <c r="I269" s="31" t="n">
        <v>89596</v>
      </c>
      <c r="J269" s="31" t="inlineStr">
        <is>
          <t>543596</t>
        </is>
      </c>
    </row>
    <row r="270">
      <c r="A270" s="31" t="inlineStr">
        <is>
          <t>VARROC</t>
        </is>
      </c>
      <c r="B270" s="31" t="inlineStr">
        <is>
          <t>Varroc Engineering Ltd</t>
        </is>
      </c>
      <c r="C270" s="31" t="inlineStr">
        <is>
          <t>auto</t>
        </is>
      </c>
      <c r="D270" s="31" t="inlineStr">
        <is>
          <t>auto ancillaries</t>
        </is>
      </c>
      <c r="E270" s="31" t="inlineStr">
        <is>
          <t>midcap</t>
        </is>
      </c>
      <c r="F270" s="31" t="n">
        <v>13512.43</v>
      </c>
      <c r="G270" s="31" t="n">
        <v>872</v>
      </c>
      <c r="H270" s="31" t="n">
        <v>-1.4</v>
      </c>
      <c r="I270" s="31" t="n">
        <v>482620</v>
      </c>
      <c r="J270" s="31" t="inlineStr">
        <is>
          <t>541578</t>
        </is>
      </c>
    </row>
    <row r="271">
      <c r="A271" s="31" t="inlineStr">
        <is>
          <t>IL&amp;FSENGG</t>
        </is>
      </c>
      <c r="B271" s="31" t="inlineStr">
        <is>
          <t>Il&amp;fs Engineering And Construction Company Limited</t>
        </is>
      </c>
      <c r="C271" s="31" t="inlineStr">
        <is>
          <t>realty</t>
        </is>
      </c>
      <c r="D271" s="31" t="inlineStr">
        <is>
          <t>construction</t>
        </is>
      </c>
      <c r="E271" s="31" t="inlineStr">
        <is>
          <t>smallcap</t>
        </is>
      </c>
      <c r="F271" s="31" t="n">
        <v>512.55</v>
      </c>
      <c r="G271" s="31" t="n">
        <v>38.54</v>
      </c>
      <c r="H271" s="31" t="n">
        <v>-1.41</v>
      </c>
      <c r="I271" s="31" t="n">
        <v>62188</v>
      </c>
      <c r="J271" s="31" t="inlineStr">
        <is>
          <t>532907</t>
        </is>
      </c>
    </row>
    <row r="272">
      <c r="A272" s="31" t="inlineStr">
        <is>
          <t>KOVAI</t>
        </is>
      </c>
      <c r="B272" s="31" t="inlineStr">
        <is>
          <t>Kovai Medical Center &amp; Hospital Ltd</t>
        </is>
      </c>
      <c r="C272" s="31" t="inlineStr">
        <is>
          <t>healthcare</t>
        </is>
      </c>
      <c r="D272" s="31" t="inlineStr">
        <is>
          <t>healthcare</t>
        </is>
      </c>
      <c r="E272" s="31" t="inlineStr">
        <is>
          <t>midcap</t>
        </is>
      </c>
      <c r="F272" s="31" t="n">
        <v>6884.87</v>
      </c>
      <c r="G272" s="31" t="n">
        <v>6203.5</v>
      </c>
      <c r="H272" s="31" t="n">
        <v>-1.41</v>
      </c>
      <c r="I272" s="31" t="n">
        <v>4574</v>
      </c>
      <c r="J272" s="31" t="inlineStr">
        <is>
          <t>523323</t>
        </is>
      </c>
    </row>
    <row r="273">
      <c r="A273" s="31" t="inlineStr">
        <is>
          <t>MANORAMA</t>
        </is>
      </c>
      <c r="B273" s="31" t="inlineStr">
        <is>
          <t>Manorama Industries Ltd</t>
        </is>
      </c>
      <c r="C273" s="31" t="inlineStr">
        <is>
          <t>fmcg</t>
        </is>
      </c>
      <c r="D273" s="31" t="inlineStr">
        <is>
          <t>food - processing - indian</t>
        </is>
      </c>
      <c r="E273" s="31" t="inlineStr">
        <is>
          <t>midcap</t>
        </is>
      </c>
      <c r="F273" s="31" t="n">
        <v>12449.23</v>
      </c>
      <c r="G273" s="31" t="n">
        <v>2055.7</v>
      </c>
      <c r="H273" s="31" t="n">
        <v>-1.41</v>
      </c>
      <c r="I273" s="31" t="n">
        <v>120283</v>
      </c>
      <c r="J273" s="31" t="inlineStr">
        <is>
          <t>541974</t>
        </is>
      </c>
    </row>
    <row r="274">
      <c r="A274" s="31" t="inlineStr">
        <is>
          <t>JASH</t>
        </is>
      </c>
      <c r="B274" s="31" t="inlineStr">
        <is>
          <t>Jash Engineering Ltd</t>
        </is>
      </c>
      <c r="C274" s="31" t="inlineStr">
        <is>
          <t>industrials</t>
        </is>
      </c>
      <c r="D274" s="31" t="inlineStr">
        <is>
          <t>engineering</t>
        </is>
      </c>
      <c r="E274" s="31" t="inlineStr">
        <is>
          <t>smallcap</t>
        </is>
      </c>
      <c r="F274" s="31" t="n">
        <v>3295.24</v>
      </c>
      <c r="G274" s="31" t="n">
        <v>514.05</v>
      </c>
      <c r="H274" s="31" t="n">
        <v>-1.42</v>
      </c>
      <c r="I274" s="31" t="n">
        <v>90550</v>
      </c>
      <c r="J274" s="31" t="inlineStr">
        <is>
          <t>535019</t>
        </is>
      </c>
    </row>
    <row r="275">
      <c r="A275" s="31" t="inlineStr">
        <is>
          <t>ORIENTCER</t>
        </is>
      </c>
      <c r="B275" s="31" t="inlineStr">
        <is>
          <t>Orient Ceratech Ltd</t>
        </is>
      </c>
      <c r="C275" s="31" t="inlineStr">
        <is>
          <t>building materials</t>
        </is>
      </c>
      <c r="D275" s="31" t="inlineStr">
        <is>
          <t>refractories / intermediates</t>
        </is>
      </c>
      <c r="E275" s="31" t="inlineStr">
        <is>
          <t>smallcap</t>
        </is>
      </c>
      <c r="F275" s="31" t="n">
        <v>558.48</v>
      </c>
      <c r="G275" s="31" t="n">
        <v>46.01</v>
      </c>
      <c r="H275" s="31" t="n">
        <v>-1.44</v>
      </c>
      <c r="I275" s="31" t="n">
        <v>58539</v>
      </c>
      <c r="J275" s="31" t="inlineStr">
        <is>
          <t>504879</t>
        </is>
      </c>
    </row>
    <row r="276">
      <c r="A276" s="31" t="inlineStr">
        <is>
          <t>CAPLIPOINT</t>
        </is>
      </c>
      <c r="B276" s="31" t="inlineStr">
        <is>
          <t>Caplin Point Laboratories Limited</t>
        </is>
      </c>
      <c r="C276" s="31" t="inlineStr">
        <is>
          <t>healthcare</t>
        </is>
      </c>
      <c r="D276" s="31" t="inlineStr">
        <is>
          <t>pharmaceuticals - indian - formulations</t>
        </is>
      </c>
      <c r="E276" s="31" t="inlineStr">
        <is>
          <t>largecap</t>
        </is>
      </c>
      <c r="F276" s="31" t="n">
        <v>21248.31</v>
      </c>
      <c r="G276" s="31" t="n">
        <v>2754.9</v>
      </c>
      <c r="H276" s="31" t="n">
        <v>-1.45</v>
      </c>
      <c r="I276" s="31" t="n">
        <v>103090</v>
      </c>
      <c r="J276" s="31" t="inlineStr">
        <is>
          <t>524742</t>
        </is>
      </c>
    </row>
    <row r="277">
      <c r="A277" s="31" t="inlineStr">
        <is>
          <t>SHANTIGEAR</t>
        </is>
      </c>
      <c r="B277" s="31" t="inlineStr">
        <is>
          <t>Shanthi Gears Limited</t>
        </is>
      </c>
      <c r="C277" s="31" t="inlineStr">
        <is>
          <t>industrials</t>
        </is>
      </c>
      <c r="D277" s="31" t="inlineStr">
        <is>
          <t>engineering</t>
        </is>
      </c>
      <c r="E277" s="31" t="inlineStr">
        <is>
          <t>midcap</t>
        </is>
      </c>
      <c r="F277" s="31" t="n">
        <v>5565.35</v>
      </c>
      <c r="G277" s="31" t="n">
        <v>714.95</v>
      </c>
      <c r="H277" s="31" t="n">
        <v>-1.45</v>
      </c>
      <c r="I277" s="31" t="n">
        <v>146091</v>
      </c>
      <c r="J277" s="31" t="inlineStr">
        <is>
          <t>522034</t>
        </is>
      </c>
    </row>
    <row r="278">
      <c r="A278" s="31" t="inlineStr">
        <is>
          <t>VINCOFE</t>
        </is>
      </c>
      <c r="B278" s="31" t="inlineStr">
        <is>
          <t>Vintage Coffee &amp; Beverages Ltd</t>
        </is>
      </c>
      <c r="C278" s="31" t="inlineStr">
        <is>
          <t>consumer discretionary</t>
        </is>
      </c>
      <c r="D278" s="31" t="inlineStr">
        <is>
          <t>trading</t>
        </is>
      </c>
      <c r="E278" s="31" t="inlineStr">
        <is>
          <t>smallcap</t>
        </is>
      </c>
      <c r="F278" s="31" t="n">
        <v>2577.67</v>
      </c>
      <c r="G278" s="31" t="n">
        <v>174.35</v>
      </c>
      <c r="H278" s="31" t="n">
        <v>-1.46</v>
      </c>
      <c r="I278" s="31" t="n">
        <v>1851750</v>
      </c>
      <c r="J278" s="31" t="inlineStr">
        <is>
          <t>538920</t>
        </is>
      </c>
    </row>
    <row r="279">
      <c r="A279" s="31" t="inlineStr">
        <is>
          <t>TVSSRICHAK</t>
        </is>
      </c>
      <c r="B279" s="31" t="inlineStr">
        <is>
          <t>Tvs Srichakra Limited</t>
        </is>
      </c>
      <c r="C279" s="31" t="inlineStr">
        <is>
          <t>auto</t>
        </is>
      </c>
      <c r="D279" s="31" t="inlineStr">
        <is>
          <t>tyres</t>
        </is>
      </c>
      <c r="E279" s="31" t="inlineStr">
        <is>
          <t>smallcap</t>
        </is>
      </c>
      <c r="F279" s="31" t="n">
        <v>3998.89</v>
      </c>
      <c r="G279" s="31" t="n">
        <v>5146</v>
      </c>
      <c r="H279" s="31" t="n">
        <v>-1.46</v>
      </c>
      <c r="I279" s="31" t="n">
        <v>9142</v>
      </c>
      <c r="J279" s="31" t="inlineStr">
        <is>
          <t>509243</t>
        </is>
      </c>
    </row>
    <row r="280">
      <c r="A280" s="31" t="inlineStr">
        <is>
          <t>WELENT</t>
        </is>
      </c>
      <c r="B280" s="31" t="inlineStr">
        <is>
          <t>Welspun Enterprises Limited</t>
        </is>
      </c>
      <c r="C280" s="31" t="inlineStr">
        <is>
          <t>realty</t>
        </is>
      </c>
      <c r="D280" s="31" t="inlineStr">
        <is>
          <t>construction</t>
        </is>
      </c>
      <c r="E280" s="31" t="inlineStr">
        <is>
          <t>midcap</t>
        </is>
      </c>
      <c r="F280" s="31" t="n">
        <v>11044.73</v>
      </c>
      <c r="G280" s="31" t="n">
        <v>786.2</v>
      </c>
      <c r="H280" s="31" t="n">
        <v>-1.47</v>
      </c>
      <c r="I280" s="31" t="n">
        <v>250248</v>
      </c>
      <c r="J280" s="31" t="inlineStr">
        <is>
          <t>532553</t>
        </is>
      </c>
    </row>
    <row r="281">
      <c r="A281" s="31" t="inlineStr">
        <is>
          <t>NOVARTIND</t>
        </is>
      </c>
      <c r="B281" s="31" t="inlineStr">
        <is>
          <t>Novartis India Ltd</t>
        </is>
      </c>
      <c r="C281" s="31" t="inlineStr">
        <is>
          <t>healthcare</t>
        </is>
      </c>
      <c r="D281" s="31" t="inlineStr">
        <is>
          <t>pharmaceuticals - multinational</t>
        </is>
      </c>
      <c r="E281" s="31" t="inlineStr">
        <is>
          <t>midcap</t>
        </is>
      </c>
      <c r="F281" s="31" t="n">
        <v>5995.42</v>
      </c>
      <c r="G281" s="31" t="n">
        <v>2391.3</v>
      </c>
      <c r="H281" s="31" t="n">
        <v>-1.52</v>
      </c>
      <c r="I281" s="31" t="n">
        <v>454582</v>
      </c>
      <c r="J281" s="31" t="inlineStr">
        <is>
          <t>500672</t>
        </is>
      </c>
    </row>
    <row r="282">
      <c r="A282" s="31" t="inlineStr">
        <is>
          <t>CRAFTSMAN</t>
        </is>
      </c>
      <c r="B282" s="31" t="inlineStr">
        <is>
          <t>Craftsman Automation Ltd</t>
        </is>
      </c>
      <c r="C282" s="31" t="inlineStr">
        <is>
          <t>auto</t>
        </is>
      </c>
      <c r="D282" s="31" t="inlineStr">
        <is>
          <t>auto ancillaries</t>
        </is>
      </c>
      <c r="E282" s="31" t="inlineStr">
        <is>
          <t>largecap</t>
        </is>
      </c>
      <c r="F282" s="31" t="n">
        <v>30995.62</v>
      </c>
      <c r="G282" s="31" t="n">
        <v>11669</v>
      </c>
      <c r="H282" s="31" t="n">
        <v>-1.54</v>
      </c>
      <c r="I282" s="31" t="n">
        <v>53409</v>
      </c>
      <c r="J282" s="31" t="inlineStr">
        <is>
          <t>543276</t>
        </is>
      </c>
    </row>
    <row r="283">
      <c r="A283" s="31" t="inlineStr">
        <is>
          <t>MANALIPETC</t>
        </is>
      </c>
      <c r="B283" s="31" t="inlineStr">
        <is>
          <t>Manali Petrochemicals Limited</t>
        </is>
      </c>
      <c r="C283" s="31" t="inlineStr">
        <is>
          <t>energy</t>
        </is>
      </c>
      <c r="D283" s="31" t="inlineStr">
        <is>
          <t>petrochemicals</t>
        </is>
      </c>
      <c r="E283" s="31" t="inlineStr">
        <is>
          <t>smallcap</t>
        </is>
      </c>
      <c r="F283" s="31" t="n">
        <v>1483.84</v>
      </c>
      <c r="G283" s="31" t="n">
        <v>84.93000000000001</v>
      </c>
      <c r="H283" s="31" t="n">
        <v>-1.55</v>
      </c>
      <c r="I283" s="31" t="n">
        <v>2153198</v>
      </c>
      <c r="J283" s="31" t="inlineStr">
        <is>
          <t>500268</t>
        </is>
      </c>
    </row>
    <row r="284">
      <c r="A284" s="31" t="inlineStr">
        <is>
          <t>CYIENT</t>
        </is>
      </c>
      <c r="B284" s="31" t="inlineStr">
        <is>
          <t>Cyient Limited</t>
        </is>
      </c>
      <c r="C284" s="31" t="inlineStr">
        <is>
          <t>i.t</t>
        </is>
      </c>
      <c r="D284" s="31" t="inlineStr">
        <is>
          <t>computers - software - medium / small</t>
        </is>
      </c>
      <c r="E284" s="31" t="inlineStr">
        <is>
          <t>midcap</t>
        </is>
      </c>
      <c r="F284" s="31" t="n">
        <v>11274.41</v>
      </c>
      <c r="G284" s="31" t="n">
        <v>1059.4</v>
      </c>
      <c r="H284" s="31" t="n">
        <v>-1.58</v>
      </c>
      <c r="I284" s="31" t="n">
        <v>308753</v>
      </c>
      <c r="J284" s="31" t="inlineStr">
        <is>
          <t>532175</t>
        </is>
      </c>
    </row>
    <row r="285">
      <c r="A285" s="31" t="inlineStr">
        <is>
          <t>FCL</t>
        </is>
      </c>
      <c r="B285" s="31" t="inlineStr">
        <is>
          <t>Fineotex Chemical Limited</t>
        </is>
      </c>
      <c r="C285" s="31" t="inlineStr">
        <is>
          <t>chemicals</t>
        </is>
      </c>
      <c r="D285" s="31" t="inlineStr">
        <is>
          <t>chemicals</t>
        </is>
      </c>
      <c r="E285" s="31" t="inlineStr">
        <is>
          <t>midcap</t>
        </is>
      </c>
      <c r="F285" s="31" t="n">
        <v>6836.78</v>
      </c>
      <c r="G285" s="31" t="n">
        <v>57.72</v>
      </c>
      <c r="H285" s="31" t="n">
        <v>-1.69</v>
      </c>
      <c r="I285" s="31" t="n">
        <v>23377217</v>
      </c>
      <c r="J285" s="31" t="inlineStr">
        <is>
          <t>533333</t>
        </is>
      </c>
    </row>
    <row r="286">
      <c r="A286" s="31" t="inlineStr">
        <is>
          <t>SUPRIYA</t>
        </is>
      </c>
      <c r="B286" s="31" t="inlineStr">
        <is>
          <t>Supriya Lifescience Ltd</t>
        </is>
      </c>
      <c r="C286" s="31" t="inlineStr">
        <is>
          <t>healthcare</t>
        </is>
      </c>
      <c r="D286" s="31" t="inlineStr">
        <is>
          <t>pharmaceuticals - indian - bulk drugs &amp; formln</t>
        </is>
      </c>
      <c r="E286" s="31" t="inlineStr">
        <is>
          <t>midcap</t>
        </is>
      </c>
      <c r="F286" s="31" t="n">
        <v>7383.89</v>
      </c>
      <c r="G286" s="31" t="n">
        <v>901.75</v>
      </c>
      <c r="H286" s="31" t="n">
        <v>-1.71</v>
      </c>
      <c r="I286" s="31" t="n">
        <v>208583</v>
      </c>
      <c r="J286" s="31" t="inlineStr">
        <is>
          <t>543434</t>
        </is>
      </c>
    </row>
    <row r="287">
      <c r="A287" s="31" t="inlineStr">
        <is>
          <t>GUJTHEM</t>
        </is>
      </c>
      <c r="B287" s="31" t="inlineStr">
        <is>
          <t>Gujarat Themis Biosyn Ltd</t>
        </is>
      </c>
      <c r="C287" s="31" t="inlineStr">
        <is>
          <t>healthcare</t>
        </is>
      </c>
      <c r="D287" s="31" t="inlineStr">
        <is>
          <t>pharmaceuticals - indian - bulk drugs</t>
        </is>
      </c>
      <c r="E287" s="31" t="inlineStr">
        <is>
          <t>smallcap</t>
        </is>
      </c>
      <c r="F287" s="31" t="n">
        <v>4686.6</v>
      </c>
      <c r="G287" s="31" t="n">
        <v>422.65</v>
      </c>
      <c r="H287" s="31" t="n">
        <v>-1.73</v>
      </c>
      <c r="I287" s="31" t="n">
        <v>390855</v>
      </c>
      <c r="J287" s="31" t="inlineStr">
        <is>
          <t>506879</t>
        </is>
      </c>
    </row>
    <row r="288">
      <c r="A288" s="31" t="inlineStr">
        <is>
          <t>INNOVACAP</t>
        </is>
      </c>
      <c r="B288" s="31" t="inlineStr">
        <is>
          <t>Innova Captab Ltd</t>
        </is>
      </c>
      <c r="C288" s="31" t="inlineStr">
        <is>
          <t>healthcare</t>
        </is>
      </c>
      <c r="D288" s="31" t="inlineStr">
        <is>
          <t>pharmaceuticals - indian - bulk drugs &amp; formln</t>
        </is>
      </c>
      <c r="E288" s="31" t="inlineStr">
        <is>
          <t>midcap</t>
        </is>
      </c>
      <c r="F288" s="31" t="n">
        <v>6680.44</v>
      </c>
      <c r="G288" s="31" t="n">
        <v>1147.2</v>
      </c>
      <c r="H288" s="31" t="n">
        <v>-1.73</v>
      </c>
      <c r="I288" s="31" t="n">
        <v>44230</v>
      </c>
      <c r="J288" s="31" t="inlineStr">
        <is>
          <t>544067</t>
        </is>
      </c>
    </row>
    <row r="289">
      <c r="A289" s="31" t="inlineStr">
        <is>
          <t>JINDALSAW</t>
        </is>
      </c>
      <c r="B289" s="31" t="inlineStr">
        <is>
          <t>Jindal Saw Limited</t>
        </is>
      </c>
      <c r="C289" s="31" t="inlineStr">
        <is>
          <t>industrials</t>
        </is>
      </c>
      <c r="D289" s="31" t="inlineStr">
        <is>
          <t>steel - large</t>
        </is>
      </c>
      <c r="E289" s="31" t="inlineStr">
        <is>
          <t>largecap</t>
        </is>
      </c>
      <c r="F289" s="31" t="n">
        <v>20304.39</v>
      </c>
      <c r="G289" s="31" t="n">
        <v>311.95</v>
      </c>
      <c r="H289" s="31" t="n">
        <v>-1.75</v>
      </c>
      <c r="I289" s="31" t="n">
        <v>1875374</v>
      </c>
      <c r="J289" s="31" t="inlineStr">
        <is>
          <t>500378</t>
        </is>
      </c>
    </row>
    <row r="290">
      <c r="A290" s="31" t="inlineStr">
        <is>
          <t>EMIL</t>
        </is>
      </c>
      <c r="B290" s="31" t="inlineStr">
        <is>
          <t>Electronics Mart India Ltd</t>
        </is>
      </c>
      <c r="C290" s="31" t="inlineStr">
        <is>
          <t>consumer discretionary</t>
        </is>
      </c>
      <c r="D290" s="31" t="inlineStr">
        <is>
          <t>trading</t>
        </is>
      </c>
      <c r="E290" s="31" t="inlineStr">
        <is>
          <t>midcap</t>
        </is>
      </c>
      <c r="F290" s="31" t="n">
        <v>7380.25</v>
      </c>
      <c r="G290" s="31" t="n">
        <v>188.38</v>
      </c>
      <c r="H290" s="31" t="n">
        <v>-1.79</v>
      </c>
      <c r="I290" s="31" t="n">
        <v>2336802</v>
      </c>
      <c r="J290" s="31" t="inlineStr">
        <is>
          <t>543626</t>
        </is>
      </c>
    </row>
    <row r="291">
      <c r="A291" s="31" t="inlineStr">
        <is>
          <t>NAVINFLUOR</t>
        </is>
      </c>
      <c r="B291" s="31" t="inlineStr">
        <is>
          <t>Navin Fluorine International Limited</t>
        </is>
      </c>
      <c r="C291" s="31" t="inlineStr">
        <is>
          <t>chemicals</t>
        </is>
      </c>
      <c r="D291" s="31" t="inlineStr">
        <is>
          <t>chemicals</t>
        </is>
      </c>
      <c r="E291" s="31" t="inlineStr">
        <is>
          <t>largecap</t>
        </is>
      </c>
      <c r="F291" s="31" t="n">
        <v>44625.87</v>
      </c>
      <c r="G291" s="31" t="n">
        <v>8543.5</v>
      </c>
      <c r="H291" s="31" t="n">
        <v>-1.8</v>
      </c>
      <c r="I291" s="31" t="n">
        <v>86538</v>
      </c>
      <c r="J291" s="31" t="inlineStr">
        <is>
          <t>532504</t>
        </is>
      </c>
    </row>
    <row r="292">
      <c r="A292" s="31" t="inlineStr">
        <is>
          <t>PPL</t>
        </is>
      </c>
      <c r="B292" s="31" t="inlineStr">
        <is>
          <t>Prakash Pipes Ltd</t>
        </is>
      </c>
      <c r="C292" s="31" t="inlineStr">
        <is>
          <t>plastic products</t>
        </is>
      </c>
      <c r="D292" s="31" t="inlineStr">
        <is>
          <t>plastics products</t>
        </is>
      </c>
      <c r="E292" s="31" t="inlineStr">
        <is>
          <t>smallcap</t>
        </is>
      </c>
      <c r="F292" s="31" t="n">
        <v>695.78</v>
      </c>
      <c r="G292" s="31" t="n">
        <v>285.55</v>
      </c>
      <c r="H292" s="31" t="n">
        <v>-1.84</v>
      </c>
      <c r="I292" s="31" t="n">
        <v>32412</v>
      </c>
      <c r="J292" s="31" t="inlineStr">
        <is>
          <t>542684</t>
        </is>
      </c>
    </row>
    <row r="293">
      <c r="A293" s="31" t="inlineStr">
        <is>
          <t>WOCKPHARMA</t>
        </is>
      </c>
      <c r="B293" s="31" t="inlineStr">
        <is>
          <t>Wockhardt Limited</t>
        </is>
      </c>
      <c r="C293" s="31" t="inlineStr">
        <is>
          <t>healthcare</t>
        </is>
      </c>
      <c r="D293" s="31" t="inlineStr">
        <is>
          <t>pharmaceuticals - indian - bulk drugs &amp; formln</t>
        </is>
      </c>
      <c r="E293" s="31" t="inlineStr">
        <is>
          <t>largecap</t>
        </is>
      </c>
      <c r="F293" s="31" t="n">
        <v>36083.01</v>
      </c>
      <c r="G293" s="31" t="n">
        <v>2179.4</v>
      </c>
      <c r="H293" s="31" t="n">
        <v>-1.86</v>
      </c>
      <c r="I293" s="31" t="n">
        <v>1109909</v>
      </c>
      <c r="J293" s="31" t="inlineStr">
        <is>
          <t>532300</t>
        </is>
      </c>
    </row>
    <row r="294">
      <c r="A294" s="31" t="inlineStr">
        <is>
          <t>JYOTICNC</t>
        </is>
      </c>
      <c r="B294" s="31" t="inlineStr">
        <is>
          <t>Jyoti CNC Automation Ltd</t>
        </is>
      </c>
      <c r="C294" s="31" t="inlineStr">
        <is>
          <t>industrials</t>
        </is>
      </c>
      <c r="D294" s="31" t="inlineStr">
        <is>
          <t>engineering</t>
        </is>
      </c>
      <c r="E294" s="31" t="inlineStr">
        <is>
          <t>largecap</t>
        </is>
      </c>
      <c r="F294" s="31" t="n">
        <v>22831</v>
      </c>
      <c r="G294" s="31" t="n">
        <v>985</v>
      </c>
      <c r="H294" s="31" t="n">
        <v>-1.88</v>
      </c>
      <c r="I294" s="31" t="n">
        <v>692249</v>
      </c>
      <c r="J294" s="31" t="inlineStr">
        <is>
          <t>544081</t>
        </is>
      </c>
    </row>
    <row r="295">
      <c r="A295" s="31" t="inlineStr">
        <is>
          <t>PVP</t>
        </is>
      </c>
      <c r="B295" s="31" t="inlineStr">
        <is>
          <t>Pvp Ventures Limited</t>
        </is>
      </c>
      <c r="C295" s="31" t="inlineStr">
        <is>
          <t>realty</t>
        </is>
      </c>
      <c r="D295" s="31" t="inlineStr">
        <is>
          <t>construction</t>
        </is>
      </c>
      <c r="E295" s="31" t="inlineStr">
        <is>
          <t>smallcap</t>
        </is>
      </c>
      <c r="F295" s="31" t="n">
        <v>1721.27</v>
      </c>
      <c r="G295" s="31" t="n">
        <v>64.81999999999999</v>
      </c>
      <c r="H295" s="31" t="n">
        <v>-1.94</v>
      </c>
      <c r="I295" s="31" t="n">
        <v>1157979</v>
      </c>
      <c r="J295" s="31" t="inlineStr">
        <is>
          <t>517556</t>
        </is>
      </c>
    </row>
    <row r="296">
      <c r="A296" s="31" t="inlineStr">
        <is>
          <t>ACUTAAS</t>
        </is>
      </c>
      <c r="B296" s="31" t="inlineStr">
        <is>
          <t>Acutaas Chemicals Ltd</t>
        </is>
      </c>
      <c r="C296" s="31" t="inlineStr">
        <is>
          <t>healthcare</t>
        </is>
      </c>
      <c r="D296" s="31" t="inlineStr">
        <is>
          <t>pharmaceuticals - indian - bulk drugs</t>
        </is>
      </c>
      <c r="E296" s="31" t="inlineStr">
        <is>
          <t>largecap</t>
        </is>
      </c>
      <c r="F296" s="31" t="n">
        <v>28257</v>
      </c>
      <c r="G296" s="31" t="n">
        <v>3383.7</v>
      </c>
      <c r="H296" s="31" t="n">
        <v>-1.96</v>
      </c>
      <c r="I296" s="31" t="n">
        <v>325242</v>
      </c>
      <c r="J296" s="31" t="inlineStr">
        <is>
          <t>543349</t>
        </is>
      </c>
    </row>
    <row r="297">
      <c r="A297" s="31" t="inlineStr">
        <is>
          <t>AGI</t>
        </is>
      </c>
      <c r="B297" s="31" t="inlineStr">
        <is>
          <t>AGI Greenpac Ltd</t>
        </is>
      </c>
      <c r="C297" s="31" t="inlineStr">
        <is>
          <t>industrials</t>
        </is>
      </c>
      <c r="D297" s="31" t="inlineStr">
        <is>
          <t>packaging</t>
        </is>
      </c>
      <c r="E297" s="31" t="inlineStr">
        <is>
          <t>midcap</t>
        </is>
      </c>
      <c r="F297" s="31" t="n">
        <v>5033.78</v>
      </c>
      <c r="G297" s="31" t="n">
        <v>762.65</v>
      </c>
      <c r="H297" s="31" t="n">
        <v>-1.98</v>
      </c>
      <c r="I297" s="31" t="n">
        <v>80322</v>
      </c>
      <c r="J297" s="31" t="inlineStr">
        <is>
          <t>500187</t>
        </is>
      </c>
    </row>
    <row r="298">
      <c r="A298" s="31" t="inlineStr">
        <is>
          <t>BAFNAPH</t>
        </is>
      </c>
      <c r="B298" s="31" t="inlineStr">
        <is>
          <t>Bafna Pharmaceuticals Ltd</t>
        </is>
      </c>
      <c r="C298" s="31" t="inlineStr">
        <is>
          <t>healthcare</t>
        </is>
      </c>
      <c r="D298" s="31" t="inlineStr">
        <is>
          <t>pharmaceuticals - indian - formulations</t>
        </is>
      </c>
      <c r="E298" s="31" t="inlineStr">
        <is>
          <t>smallcap</t>
        </is>
      </c>
      <c r="F298" s="31" t="n">
        <v>727.67</v>
      </c>
      <c r="G298" s="31" t="n">
        <v>301.45</v>
      </c>
      <c r="H298" s="31" t="n">
        <v>-2</v>
      </c>
      <c r="I298" s="31" t="n">
        <v>11743</v>
      </c>
      <c r="J298" s="31" t="inlineStr">
        <is>
          <t>532989</t>
        </is>
      </c>
    </row>
    <row r="299">
      <c r="A299" s="31" t="inlineStr">
        <is>
          <t>AXISCADES</t>
        </is>
      </c>
      <c r="B299" s="31" t="inlineStr">
        <is>
          <t>AXISCADES Technologies Ltd</t>
        </is>
      </c>
      <c r="C299" s="31" t="inlineStr">
        <is>
          <t>aerospace &amp; defence</t>
        </is>
      </c>
      <c r="D299" s="31" t="inlineStr">
        <is>
          <t>computers - software - medium / small</t>
        </is>
      </c>
      <c r="E299" s="31" t="inlineStr">
        <is>
          <t>midcap</t>
        </is>
      </c>
      <c r="F299" s="31" t="n">
        <v>7952.02</v>
      </c>
      <c r="G299" s="31" t="n">
        <v>1831.8</v>
      </c>
      <c r="H299" s="31" t="n">
        <v>-2.03</v>
      </c>
      <c r="I299" s="31" t="n">
        <v>131542</v>
      </c>
      <c r="J299" s="31" t="inlineStr">
        <is>
          <t>532395</t>
        </is>
      </c>
    </row>
    <row r="300">
      <c r="A300" s="31" t="inlineStr">
        <is>
          <t>MOLDTECH</t>
        </is>
      </c>
      <c r="B300" s="31" t="inlineStr">
        <is>
          <t>Mold-tek Technologies Limited</t>
        </is>
      </c>
      <c r="C300" s="31" t="inlineStr">
        <is>
          <t>realty</t>
        </is>
      </c>
      <c r="D300" s="31" t="inlineStr">
        <is>
          <t>engineering - turnkey services</t>
        </is>
      </c>
      <c r="E300" s="31" t="inlineStr">
        <is>
          <t>smallcap</t>
        </is>
      </c>
      <c r="F300" s="31" t="n">
        <v>609.78</v>
      </c>
      <c r="G300" s="31" t="n">
        <v>207.39</v>
      </c>
      <c r="H300" s="31" t="n">
        <v>-2.03</v>
      </c>
      <c r="I300" s="31" t="n">
        <v>46074</v>
      </c>
      <c r="J300" s="31" t="inlineStr">
        <is>
          <t>526263</t>
        </is>
      </c>
    </row>
    <row r="301">
      <c r="A301" s="31" t="inlineStr">
        <is>
          <t>ALEMBICLTD</t>
        </is>
      </c>
      <c r="B301" s="31" t="inlineStr">
        <is>
          <t>Alembic Limited</t>
        </is>
      </c>
      <c r="C301" s="31" t="inlineStr">
        <is>
          <t>realty</t>
        </is>
      </c>
      <c r="D301" s="31" t="inlineStr">
        <is>
          <t>construction</t>
        </is>
      </c>
      <c r="E301" s="31" t="inlineStr">
        <is>
          <t>smallcap</t>
        </is>
      </c>
      <c r="F301" s="31" t="n">
        <v>2734.73</v>
      </c>
      <c r="G301" s="31" t="n">
        <v>104.33</v>
      </c>
      <c r="H301" s="31" t="n">
        <v>-2.04</v>
      </c>
      <c r="I301" s="31" t="n">
        <v>698680</v>
      </c>
      <c r="J301" s="31" t="inlineStr">
        <is>
          <t>506235</t>
        </is>
      </c>
    </row>
    <row r="302">
      <c r="A302" s="31" t="inlineStr">
        <is>
          <t>CYIENTDLM</t>
        </is>
      </c>
      <c r="B302" s="31" t="inlineStr">
        <is>
          <t>Cyient DLM Ltd</t>
        </is>
      </c>
      <c r="C302" s="31" t="inlineStr">
        <is>
          <t>aerospace &amp; defence</t>
        </is>
      </c>
      <c r="D302" s="31" t="inlineStr">
        <is>
          <t>electronics - components</t>
        </is>
      </c>
      <c r="E302" s="31" t="inlineStr">
        <is>
          <t>midcap</t>
        </is>
      </c>
      <c r="F302" s="31" t="n">
        <v>7329.47</v>
      </c>
      <c r="G302" s="31" t="n">
        <v>904.4</v>
      </c>
      <c r="H302" s="31" t="n">
        <v>-2.05</v>
      </c>
      <c r="I302" s="31" t="n">
        <v>506275</v>
      </c>
      <c r="J302" s="31" t="inlineStr">
        <is>
          <t>543933</t>
        </is>
      </c>
    </row>
    <row r="303">
      <c r="A303" s="31" t="inlineStr">
        <is>
          <t>OIL</t>
        </is>
      </c>
      <c r="B303" s="31" t="inlineStr">
        <is>
          <t>Oil India Limited</t>
        </is>
      </c>
      <c r="C303" s="31" t="inlineStr">
        <is>
          <t>energy</t>
        </is>
      </c>
      <c r="D303" s="31" t="inlineStr">
        <is>
          <t>oil drilling / allied services</t>
        </is>
      </c>
      <c r="E303" s="31" t="inlineStr">
        <is>
          <t>largecap</t>
        </is>
      </c>
      <c r="F303" s="31" t="n">
        <v>81379.19</v>
      </c>
      <c r="G303" s="31" t="n">
        <v>489.8</v>
      </c>
      <c r="H303" s="31" t="n">
        <v>-2.1</v>
      </c>
      <c r="I303" s="31" t="n">
        <v>5273521</v>
      </c>
      <c r="J303" s="31" t="inlineStr">
        <is>
          <t>533106</t>
        </is>
      </c>
    </row>
    <row r="304">
      <c r="A304" s="31" t="inlineStr">
        <is>
          <t>INOXINDIA</t>
        </is>
      </c>
      <c r="B304" s="31" t="inlineStr">
        <is>
          <t>Inox India Ltd</t>
        </is>
      </c>
      <c r="C304" s="31" t="inlineStr">
        <is>
          <t>industrials</t>
        </is>
      </c>
      <c r="D304" s="31" t="inlineStr">
        <is>
          <t>packaging</t>
        </is>
      </c>
      <c r="E304" s="31" t="inlineStr">
        <is>
          <t>largecap</t>
        </is>
      </c>
      <c r="F304" s="31" t="n">
        <v>20837.48</v>
      </c>
      <c r="G304" s="31" t="n">
        <v>2246.6</v>
      </c>
      <c r="H304" s="31" t="n">
        <v>-2.14</v>
      </c>
      <c r="I304" s="31" t="n">
        <v>245450</v>
      </c>
      <c r="J304" s="31" t="inlineStr">
        <is>
          <t>544046</t>
        </is>
      </c>
    </row>
    <row r="305">
      <c r="A305" s="31" t="inlineStr">
        <is>
          <t>QPOWER</t>
        </is>
      </c>
      <c r="B305" s="31" t="inlineStr">
        <is>
          <t>Quality Power Electrical Equipments Ltd</t>
        </is>
      </c>
      <c r="C305" s="31" t="inlineStr">
        <is>
          <t>industrials</t>
        </is>
      </c>
      <c r="D305" s="31" t="inlineStr">
        <is>
          <t>electric equipment</t>
        </is>
      </c>
      <c r="E305" s="31" t="inlineStr">
        <is>
          <t>midcap</t>
        </is>
      </c>
      <c r="F305" s="31" t="n">
        <v>11292.9</v>
      </c>
      <c r="G305" s="31" t="n">
        <v>1426.5</v>
      </c>
      <c r="H305" s="31" t="n">
        <v>-2.17</v>
      </c>
      <c r="I305" s="31" t="n">
        <v>364591</v>
      </c>
      <c r="J305" s="31" t="inlineStr">
        <is>
          <t>544367</t>
        </is>
      </c>
    </row>
    <row r="306">
      <c r="A306" s="31" t="inlineStr">
        <is>
          <t>BHAGYANGR</t>
        </is>
      </c>
      <c r="B306" s="31" t="inlineStr">
        <is>
          <t>Bhagyanagar India</t>
        </is>
      </c>
      <c r="C306" s="31" t="inlineStr">
        <is>
          <t>power &amp; utilities</t>
        </is>
      </c>
      <c r="D306" s="31" t="inlineStr">
        <is>
          <t>power generation and supply</t>
        </is>
      </c>
      <c r="E306" s="31" t="inlineStr">
        <is>
          <t>smallcap</t>
        </is>
      </c>
      <c r="F306" s="31" t="n">
        <v>1447.72</v>
      </c>
      <c r="G306" s="31" t="n">
        <v>422.55</v>
      </c>
      <c r="H306" s="31" t="n">
        <v>-2.23</v>
      </c>
      <c r="I306" s="31" t="n">
        <v>540725</v>
      </c>
      <c r="J306" s="31" t="inlineStr">
        <is>
          <t>512296</t>
        </is>
      </c>
    </row>
    <row r="307">
      <c r="A307" s="31" t="inlineStr">
        <is>
          <t>SBCL</t>
        </is>
      </c>
      <c r="B307" s="31" t="inlineStr">
        <is>
          <t>Shivalik Bimetal Controls Ltd</t>
        </is>
      </c>
      <c r="C307" s="31" t="inlineStr">
        <is>
          <t>metals &amp; mining</t>
        </is>
      </c>
      <c r="D307" s="31" t="inlineStr">
        <is>
          <t>mining / minerals / metals</t>
        </is>
      </c>
      <c r="E307" s="31" t="inlineStr">
        <is>
          <t>midcap</t>
        </is>
      </c>
      <c r="F307" s="31" t="n">
        <v>6405.59</v>
      </c>
      <c r="G307" s="31" t="n">
        <v>1087</v>
      </c>
      <c r="H307" s="31" t="n">
        <v>-2.25</v>
      </c>
      <c r="I307" s="31" t="n">
        <v>165852</v>
      </c>
      <c r="J307" s="31" t="inlineStr">
        <is>
          <t>513097</t>
        </is>
      </c>
    </row>
    <row r="308">
      <c r="A308" s="31" t="inlineStr">
        <is>
          <t>MODISONLTD</t>
        </is>
      </c>
      <c r="B308" s="31" t="inlineStr">
        <is>
          <t>Modison Ltd</t>
        </is>
      </c>
      <c r="C308" s="31" t="inlineStr">
        <is>
          <t>industrials</t>
        </is>
      </c>
      <c r="D308" s="31" t="inlineStr">
        <is>
          <t>electric equipment</t>
        </is>
      </c>
      <c r="E308" s="31" t="inlineStr">
        <is>
          <t>smallcap</t>
        </is>
      </c>
      <c r="F308" s="31" t="n">
        <v>1670.53</v>
      </c>
      <c r="G308" s="31" t="n">
        <v>503.05</v>
      </c>
      <c r="H308" s="31" t="n">
        <v>-2.28</v>
      </c>
      <c r="I308" s="31" t="n">
        <v>92092</v>
      </c>
      <c r="J308" s="31" t="inlineStr">
        <is>
          <t>506261</t>
        </is>
      </c>
    </row>
    <row r="309">
      <c r="A309" s="31" t="inlineStr">
        <is>
          <t>GCSL</t>
        </is>
      </c>
      <c r="B309" s="31" t="inlineStr">
        <is>
          <t>Gretex Corporate Services Ltd</t>
        </is>
      </c>
      <c r="C309" s="31" t="inlineStr">
        <is>
          <t>financials</t>
        </is>
      </c>
      <c r="D309" s="31" t="inlineStr">
        <is>
          <t>finance &amp; investments</t>
        </is>
      </c>
      <c r="E309" s="31" t="inlineStr">
        <is>
          <t>smallcap</t>
        </is>
      </c>
      <c r="F309" s="31" t="n">
        <v>1485.32</v>
      </c>
      <c r="G309" s="31" t="n">
        <v>600.7</v>
      </c>
      <c r="H309" s="31" t="n">
        <v>-2.29</v>
      </c>
      <c r="I309" s="31" t="n">
        <v>862249</v>
      </c>
      <c r="J309" s="31" t="inlineStr">
        <is>
          <t>543324</t>
        </is>
      </c>
    </row>
    <row r="310">
      <c r="A310" s="31" t="inlineStr">
        <is>
          <t>CGCL</t>
        </is>
      </c>
      <c r="B310" s="31" t="inlineStr">
        <is>
          <t>Capri Global Capital Limited</t>
        </is>
      </c>
      <c r="C310" s="31" t="inlineStr">
        <is>
          <t>financials</t>
        </is>
      </c>
      <c r="D310" s="31" t="inlineStr">
        <is>
          <t>finance &amp; investments</t>
        </is>
      </c>
      <c r="E310" s="31" t="inlineStr">
        <is>
          <t>largecap</t>
        </is>
      </c>
      <c r="F310" s="31" t="n">
        <v>26194.64</v>
      </c>
      <c r="G310" s="31" t="n">
        <v>266</v>
      </c>
      <c r="H310" s="31" t="n">
        <v>-2.3</v>
      </c>
      <c r="I310" s="31" t="n">
        <v>1958467</v>
      </c>
      <c r="J310" s="31" t="inlineStr">
        <is>
          <t>531595</t>
        </is>
      </c>
    </row>
    <row r="311">
      <c r="A311" s="31" t="inlineStr">
        <is>
          <t>ORIENTBELL</t>
        </is>
      </c>
      <c r="B311" s="31" t="inlineStr">
        <is>
          <t>Orient Bell Limited</t>
        </is>
      </c>
      <c r="C311" s="31" t="inlineStr">
        <is>
          <t>building materials</t>
        </is>
      </c>
      <c r="D311" s="31" t="inlineStr">
        <is>
          <t>ceramics - tiles / sanitaryware</t>
        </is>
      </c>
      <c r="E311" s="31" t="inlineStr">
        <is>
          <t>smallcap</t>
        </is>
      </c>
      <c r="F311" s="31" t="n">
        <v>606.0700000000001</v>
      </c>
      <c r="G311" s="31" t="n">
        <v>401.95</v>
      </c>
      <c r="H311" s="31" t="n">
        <v>-2.44</v>
      </c>
      <c r="I311" s="31" t="n">
        <v>22419</v>
      </c>
      <c r="J311" s="31" t="inlineStr">
        <is>
          <t>530365</t>
        </is>
      </c>
    </row>
    <row r="312">
      <c r="A312" s="31" t="inlineStr">
        <is>
          <t>SARDAEN</t>
        </is>
      </c>
      <c r="B312" s="31" t="inlineStr">
        <is>
          <t>Sarda Energy &amp; Minerals Limited</t>
        </is>
      </c>
      <c r="C312" s="31" t="inlineStr">
        <is>
          <t>metals &amp; mining</t>
        </is>
      </c>
      <c r="D312" s="31" t="inlineStr">
        <is>
          <t>steel - medium / small</t>
        </is>
      </c>
      <c r="E312" s="31" t="inlineStr">
        <is>
          <t>midcap</t>
        </is>
      </c>
      <c r="F312" s="31" t="n">
        <v>18931.68</v>
      </c>
      <c r="G312" s="31" t="n">
        <v>524.15</v>
      </c>
      <c r="H312" s="31" t="n">
        <v>-2.44</v>
      </c>
      <c r="I312" s="31" t="n">
        <v>374526</v>
      </c>
      <c r="J312" s="31" t="inlineStr">
        <is>
          <t>504614</t>
        </is>
      </c>
    </row>
    <row r="313">
      <c r="A313" s="31" t="inlineStr">
        <is>
          <t>RBZJEWEL</t>
        </is>
      </c>
      <c r="B313" s="31" t="inlineStr">
        <is>
          <t>RBZ Jewellers Ltd</t>
        </is>
      </c>
      <c r="C313" s="31" t="inlineStr">
        <is>
          <t>consumer discretionary</t>
        </is>
      </c>
      <c r="D313" s="31" t="inlineStr">
        <is>
          <t>diamond cutting / jewellery</t>
        </is>
      </c>
      <c r="E313" s="31" t="inlineStr">
        <is>
          <t>smallcap</t>
        </is>
      </c>
      <c r="F313" s="31" t="n">
        <v>714.6799999999999</v>
      </c>
      <c r="G313" s="31" t="n">
        <v>174.19</v>
      </c>
      <c r="H313" s="31" t="n">
        <v>-2.51</v>
      </c>
      <c r="I313" s="31" t="n">
        <v>110293</v>
      </c>
      <c r="J313" s="31" t="inlineStr">
        <is>
          <t>544060</t>
        </is>
      </c>
    </row>
    <row r="314">
      <c r="A314" s="31" t="inlineStr">
        <is>
          <t>ZYDUSWELL</t>
        </is>
      </c>
      <c r="B314" s="31" t="inlineStr">
        <is>
          <t>Zydus Wellness Limited</t>
        </is>
      </c>
      <c r="C314" s="31" t="inlineStr">
        <is>
          <t>fmcg</t>
        </is>
      </c>
      <c r="D314" s="31" t="inlineStr">
        <is>
          <t>food - processing - indian</t>
        </is>
      </c>
      <c r="E314" s="31" t="inlineStr">
        <is>
          <t>midcap</t>
        </is>
      </c>
      <c r="F314" s="31" t="n">
        <v>18017.44</v>
      </c>
      <c r="G314" s="31" t="n">
        <v>552</v>
      </c>
      <c r="H314" s="31" t="n">
        <v>-2.53</v>
      </c>
      <c r="I314" s="31" t="n">
        <v>210690</v>
      </c>
      <c r="J314" s="31" t="inlineStr">
        <is>
          <t>531335</t>
        </is>
      </c>
    </row>
    <row r="315">
      <c r="A315" s="31" t="inlineStr">
        <is>
          <t>STAR</t>
        </is>
      </c>
      <c r="B315" s="31" t="inlineStr">
        <is>
          <t>Strides Shasun Limited</t>
        </is>
      </c>
      <c r="C315" s="31" t="inlineStr">
        <is>
          <t>healthcare</t>
        </is>
      </c>
      <c r="D315" s="31" t="inlineStr">
        <is>
          <t>pharmaceuticals - indian - bulk drugs &amp; formln</t>
        </is>
      </c>
      <c r="E315" s="31" t="inlineStr">
        <is>
          <t>midcap</t>
        </is>
      </c>
      <c r="F315" s="31" t="n">
        <v>11217.42</v>
      </c>
      <c r="G315" s="31" t="n">
        <v>1183.4</v>
      </c>
      <c r="H315" s="31" t="n">
        <v>-2.76</v>
      </c>
      <c r="I315" s="31" t="n">
        <v>161625</v>
      </c>
      <c r="J315" s="31" t="inlineStr">
        <is>
          <t>532531</t>
        </is>
      </c>
    </row>
    <row r="316">
      <c r="A316" s="31" t="inlineStr">
        <is>
          <t>UFLEX</t>
        </is>
      </c>
      <c r="B316" s="31" t="inlineStr">
        <is>
          <t>Uflex Limited</t>
        </is>
      </c>
      <c r="C316" s="31" t="inlineStr">
        <is>
          <t>industrials</t>
        </is>
      </c>
      <c r="D316" s="31" t="inlineStr">
        <is>
          <t>packaging</t>
        </is>
      </c>
      <c r="E316" s="31" t="inlineStr">
        <is>
          <t>smallcap</t>
        </is>
      </c>
      <c r="F316" s="31" t="n">
        <v>4856.94</v>
      </c>
      <c r="G316" s="31" t="n">
        <v>653.45</v>
      </c>
      <c r="H316" s="31" t="n">
        <v>-2.85</v>
      </c>
      <c r="I316" s="31" t="n">
        <v>184116</v>
      </c>
      <c r="J316" s="31" t="inlineStr">
        <is>
          <t>500148</t>
        </is>
      </c>
    </row>
    <row r="317">
      <c r="A317" s="31" t="inlineStr">
        <is>
          <t>THEMISMED</t>
        </is>
      </c>
      <c r="B317" s="31" t="inlineStr">
        <is>
          <t>Themis Medicare Limited</t>
        </is>
      </c>
      <c r="C317" s="31" t="inlineStr">
        <is>
          <t>healthcare</t>
        </is>
      </c>
      <c r="D317" s="31" t="inlineStr">
        <is>
          <t>pharmaceuticals - indian - bulk drugs &amp; formln</t>
        </is>
      </c>
      <c r="E317" s="31" t="inlineStr">
        <is>
          <t>smallcap</t>
        </is>
      </c>
      <c r="F317" s="31" t="n">
        <v>1216.37</v>
      </c>
      <c r="G317" s="31" t="n">
        <v>128.25</v>
      </c>
      <c r="H317" s="31" t="n">
        <v>-2.89</v>
      </c>
      <c r="I317" s="31" t="n">
        <v>110605</v>
      </c>
      <c r="J317" s="31" t="inlineStr">
        <is>
          <t>530199</t>
        </is>
      </c>
    </row>
    <row r="318">
      <c r="A318" s="31" t="inlineStr">
        <is>
          <t>NOCIL</t>
        </is>
      </c>
      <c r="B318" s="31" t="inlineStr">
        <is>
          <t>Nocil Limited</t>
        </is>
      </c>
      <c r="C318" s="31" t="inlineStr">
        <is>
          <t>chemicals</t>
        </is>
      </c>
      <c r="D318" s="31" t="inlineStr">
        <is>
          <t>chemicals</t>
        </is>
      </c>
      <c r="E318" s="31" t="inlineStr">
        <is>
          <t>smallcap</t>
        </is>
      </c>
      <c r="F318" s="31" t="n">
        <v>3262.16</v>
      </c>
      <c r="G318" s="31" t="n">
        <v>189.65</v>
      </c>
      <c r="H318" s="31" t="n">
        <v>-2.9</v>
      </c>
      <c r="I318" s="31" t="n">
        <v>1202651</v>
      </c>
      <c r="J318" s="31" t="inlineStr">
        <is>
          <t>500730</t>
        </is>
      </c>
    </row>
    <row r="319">
      <c r="A319" s="31" t="inlineStr">
        <is>
          <t>SHREEJISPG</t>
        </is>
      </c>
      <c r="B319" s="31" t="inlineStr">
        <is>
          <t>Shreeji Shipping Global Ltd</t>
        </is>
      </c>
      <c r="C319" s="31" t="inlineStr">
        <is>
          <t>transportation</t>
        </is>
      </c>
      <c r="D319" s="31" t="inlineStr">
        <is>
          <t>shipping</t>
        </is>
      </c>
      <c r="E319" s="31" t="inlineStr">
        <is>
          <t>midcap</t>
        </is>
      </c>
      <c r="F319" s="31" t="n">
        <v>11617.7</v>
      </c>
      <c r="G319" s="31" t="n">
        <v>691.75</v>
      </c>
      <c r="H319" s="31" t="n">
        <v>-2.99</v>
      </c>
      <c r="I319" s="31" t="n">
        <v>919480</v>
      </c>
      <c r="J319" s="31" t="inlineStr">
        <is>
          <t>544490</t>
        </is>
      </c>
    </row>
    <row r="320">
      <c r="A320" s="31" t="inlineStr">
        <is>
          <t>KANORICHEM</t>
        </is>
      </c>
      <c r="B320" s="31" t="inlineStr">
        <is>
          <t>Kanoria Chemicals &amp; Industries Limited</t>
        </is>
      </c>
      <c r="C320" s="31" t="inlineStr">
        <is>
          <t>chemicals</t>
        </is>
      </c>
      <c r="D320" s="31" t="inlineStr">
        <is>
          <t>chemicals</t>
        </is>
      </c>
      <c r="E320" s="31" t="inlineStr">
        <is>
          <t>smallcap</t>
        </is>
      </c>
      <c r="F320" s="31" t="n">
        <v>765.25</v>
      </c>
      <c r="G320" s="31" t="n">
        <v>169.64</v>
      </c>
      <c r="H320" s="31" t="n">
        <v>-3.14</v>
      </c>
      <c r="I320" s="31" t="n">
        <v>85705</v>
      </c>
      <c r="J320" s="31" t="inlineStr">
        <is>
          <t>506525</t>
        </is>
      </c>
    </row>
    <row r="321">
      <c r="A321" s="31" t="inlineStr">
        <is>
          <t>EDELWEISS</t>
        </is>
      </c>
      <c r="B321" s="31" t="inlineStr">
        <is>
          <t>Edelweiss Financial Services Limited</t>
        </is>
      </c>
      <c r="C321" s="31" t="inlineStr">
        <is>
          <t>financials</t>
        </is>
      </c>
      <c r="D321" s="31" t="inlineStr">
        <is>
          <t>finance &amp; investments</t>
        </is>
      </c>
      <c r="E321" s="31" t="inlineStr">
        <is>
          <t>midcap</t>
        </is>
      </c>
      <c r="F321" s="31" t="n">
        <v>12942.87</v>
      </c>
      <c r="G321" s="31" t="n">
        <v>132.43</v>
      </c>
      <c r="H321" s="31" t="n">
        <v>-3.15</v>
      </c>
      <c r="I321" s="31" t="n">
        <v>9724312</v>
      </c>
      <c r="J321" s="31" t="inlineStr">
        <is>
          <t>532922</t>
        </is>
      </c>
    </row>
    <row r="322">
      <c r="A322" s="31" t="inlineStr">
        <is>
          <t>TNPETRO</t>
        </is>
      </c>
      <c r="B322" s="31" t="inlineStr">
        <is>
          <t>Tamilnadu Petroproducts Limited</t>
        </is>
      </c>
      <c r="C322" s="31" t="inlineStr">
        <is>
          <t>energy</t>
        </is>
      </c>
      <c r="D322" s="31" t="inlineStr">
        <is>
          <t>petrochemicals</t>
        </is>
      </c>
      <c r="E322" s="31" t="inlineStr">
        <is>
          <t>smallcap</t>
        </is>
      </c>
      <c r="F322" s="31" t="n">
        <v>1197.88</v>
      </c>
      <c r="G322" s="31" t="n">
        <v>128.9</v>
      </c>
      <c r="H322" s="31" t="n">
        <v>-3.18</v>
      </c>
      <c r="I322" s="31" t="n">
        <v>5650401</v>
      </c>
      <c r="J322" s="31" t="inlineStr">
        <is>
          <t>500777</t>
        </is>
      </c>
    </row>
    <row r="323">
      <c r="A323" s="31" t="inlineStr">
        <is>
          <t>CHENNPETRO</t>
        </is>
      </c>
      <c r="B323" s="31" t="inlineStr">
        <is>
          <t>Chennai Petroleum Corporation Limited</t>
        </is>
      </c>
      <c r="C323" s="31" t="inlineStr">
        <is>
          <t>energy</t>
        </is>
      </c>
      <c r="D323" s="31" t="inlineStr">
        <is>
          <t>refineries</t>
        </is>
      </c>
      <c r="E323" s="31" t="inlineStr">
        <is>
          <t>largecap</t>
        </is>
      </c>
      <c r="F323" s="31" t="n">
        <v>24218.95</v>
      </c>
      <c r="G323" s="31" t="n">
        <v>1572.9</v>
      </c>
      <c r="H323" s="31" t="n">
        <v>-3.29</v>
      </c>
      <c r="I323" s="31" t="n">
        <v>2916939</v>
      </c>
      <c r="J323" s="31" t="inlineStr">
        <is>
          <t>500110</t>
        </is>
      </c>
    </row>
    <row r="324">
      <c r="A324" s="31" t="inlineStr">
        <is>
          <t>IKIO</t>
        </is>
      </c>
      <c r="B324" s="31" t="inlineStr">
        <is>
          <t>IKIO Lighting Ltd</t>
        </is>
      </c>
      <c r="C324" s="31" t="inlineStr">
        <is>
          <t>consumer discretionary</t>
        </is>
      </c>
      <c r="D324" s="31" t="inlineStr">
        <is>
          <t>electric equipment</t>
        </is>
      </c>
      <c r="E324" s="31" t="inlineStr">
        <is>
          <t>smallcap</t>
        </is>
      </c>
      <c r="F324" s="31" t="n">
        <v>1790.83</v>
      </c>
      <c r="G324" s="31" t="n">
        <v>223.87</v>
      </c>
      <c r="H324" s="31" t="n">
        <v>-3.39</v>
      </c>
      <c r="I324" s="31" t="n">
        <v>1450380</v>
      </c>
      <c r="J324" s="31" t="inlineStr">
        <is>
          <t>543923</t>
        </is>
      </c>
    </row>
    <row r="325">
      <c r="A325" s="31" t="inlineStr">
        <is>
          <t>MIDHANI</t>
        </is>
      </c>
      <c r="B325" s="31" t="inlineStr">
        <is>
          <t>Mishra Dhatu Nigam Ltd</t>
        </is>
      </c>
      <c r="C325" s="31" t="inlineStr">
        <is>
          <t>aerospace &amp; defence</t>
        </is>
      </c>
      <c r="D325" s="31" t="inlineStr">
        <is>
          <t>steel - medium / small</t>
        </is>
      </c>
      <c r="E325" s="31" t="inlineStr">
        <is>
          <t>midcap</t>
        </is>
      </c>
      <c r="F325" s="31" t="n">
        <v>8680.4</v>
      </c>
      <c r="G325" s="31" t="n">
        <v>447.4</v>
      </c>
      <c r="H325" s="31" t="n">
        <v>-3.44</v>
      </c>
      <c r="I325" s="31" t="n">
        <v>1941042</v>
      </c>
      <c r="J325" s="31" t="inlineStr">
        <is>
          <t>541195</t>
        </is>
      </c>
    </row>
    <row r="326">
      <c r="A326" s="31" t="inlineStr">
        <is>
          <t>RML</t>
        </is>
      </c>
      <c r="B326" s="31" t="inlineStr">
        <is>
          <t>Rane (madras) Limited</t>
        </is>
      </c>
      <c r="C326" s="31" t="inlineStr">
        <is>
          <t>auto</t>
        </is>
      </c>
      <c r="D326" s="31" t="inlineStr">
        <is>
          <t>auto ancillaries</t>
        </is>
      </c>
      <c r="E326" s="31" t="inlineStr">
        <is>
          <t>smallcap</t>
        </is>
      </c>
      <c r="F326" s="31" t="n">
        <v>3893.8</v>
      </c>
      <c r="G326" s="31" t="n">
        <v>1360</v>
      </c>
      <c r="H326" s="31" t="n">
        <v>-3.47</v>
      </c>
      <c r="I326" s="31" t="n">
        <v>72216</v>
      </c>
      <c r="J326" s="31" t="inlineStr">
        <is>
          <t>532661</t>
        </is>
      </c>
    </row>
    <row r="327">
      <c r="A327" s="31" t="inlineStr">
        <is>
          <t>WHEELS</t>
        </is>
      </c>
      <c r="B327" s="31" t="inlineStr">
        <is>
          <t>Wheels India Limited</t>
        </is>
      </c>
      <c r="C327" s="31" t="inlineStr">
        <is>
          <t>auto</t>
        </is>
      </c>
      <c r="D327" s="31" t="inlineStr">
        <is>
          <t>auto ancillaries</t>
        </is>
      </c>
      <c r="E327" s="31" t="inlineStr">
        <is>
          <t>midcap</t>
        </is>
      </c>
      <c r="F327" s="31" t="n">
        <v>5651.36</v>
      </c>
      <c r="G327" s="31" t="n">
        <v>2230.1</v>
      </c>
      <c r="H327" s="31" t="n">
        <v>-3.58</v>
      </c>
      <c r="I327" s="31" t="n">
        <v>386291</v>
      </c>
      <c r="J327" s="31" t="inlineStr">
        <is>
          <t>590073</t>
        </is>
      </c>
    </row>
    <row r="328">
      <c r="A328" s="31" t="inlineStr">
        <is>
          <t>WELCORP</t>
        </is>
      </c>
      <c r="B328" s="31" t="inlineStr">
        <is>
          <t>Welspun Corp Limited</t>
        </is>
      </c>
      <c r="C328" s="31" t="inlineStr">
        <is>
          <t>industrials</t>
        </is>
      </c>
      <c r="D328" s="31" t="inlineStr">
        <is>
          <t>steel - large</t>
        </is>
      </c>
      <c r="E328" s="31" t="inlineStr">
        <is>
          <t>largecap</t>
        </is>
      </c>
      <c r="F328" s="31" t="n">
        <v>73252.02</v>
      </c>
      <c r="G328" s="31" t="n">
        <v>2676.6</v>
      </c>
      <c r="H328" s="31" t="n">
        <v>-3.61</v>
      </c>
      <c r="I328" s="31" t="n">
        <v>1221515</v>
      </c>
      <c r="J328" s="31" t="inlineStr">
        <is>
          <t>532144</t>
        </is>
      </c>
    </row>
    <row r="329">
      <c r="A329" s="31" t="inlineStr">
        <is>
          <t>MAHASTEEL</t>
        </is>
      </c>
      <c r="B329" s="31" t="inlineStr">
        <is>
          <t>Mahamaya Steel Industries Limited</t>
        </is>
      </c>
      <c r="C329" s="31" t="inlineStr">
        <is>
          <t>metals &amp; mining</t>
        </is>
      </c>
      <c r="D329" s="31" t="inlineStr">
        <is>
          <t>steel - medium / small</t>
        </is>
      </c>
      <c r="E329" s="31" t="inlineStr">
        <is>
          <t>smallcap</t>
        </is>
      </c>
      <c r="F329" s="31" t="n">
        <v>2188.4</v>
      </c>
      <c r="G329" s="31" t="n">
        <v>1276.1</v>
      </c>
      <c r="H329" s="31" t="n">
        <v>-4.17</v>
      </c>
      <c r="I329" s="31" t="n">
        <v>4655</v>
      </c>
      <c r="J329" s="31" t="inlineStr">
        <is>
          <t>513554</t>
        </is>
      </c>
    </row>
    <row r="330">
      <c r="A330" s="31" t="inlineStr">
        <is>
          <t>JINDWORLD</t>
        </is>
      </c>
      <c r="B330" s="31" t="inlineStr">
        <is>
          <t>Jindal Worldwide Limited</t>
        </is>
      </c>
      <c r="C330" s="31" t="inlineStr">
        <is>
          <t>textiles</t>
        </is>
      </c>
      <c r="D330" s="31" t="inlineStr">
        <is>
          <t>textiles - products</t>
        </is>
      </c>
      <c r="E330" s="31" t="inlineStr">
        <is>
          <t>midcap</t>
        </is>
      </c>
      <c r="F330" s="31" t="n">
        <v>5578.48</v>
      </c>
      <c r="G330" s="31" t="n">
        <v>52.88</v>
      </c>
      <c r="H330" s="31" t="n">
        <v>-4.96</v>
      </c>
      <c r="I330" s="31" t="n">
        <v>14626067</v>
      </c>
      <c r="J330" s="31" t="inlineStr">
        <is>
          <t>531543</t>
        </is>
      </c>
    </row>
    <row r="331">
      <c r="A331" s="31" t="inlineStr">
        <is>
          <t>JAYAGROGN</t>
        </is>
      </c>
      <c r="B331" s="31" t="inlineStr">
        <is>
          <t>Jayant Agro Organics Limited</t>
        </is>
      </c>
      <c r="C331" s="31" t="inlineStr">
        <is>
          <t>chemicals</t>
        </is>
      </c>
      <c r="D331" s="31" t="inlineStr">
        <is>
          <t>chemicals</t>
        </is>
      </c>
      <c r="E331" s="31" t="inlineStr">
        <is>
          <t>smallcap</t>
        </is>
      </c>
      <c r="F331" s="31" t="n">
        <v>774.54</v>
      </c>
      <c r="G331" s="31" t="n">
        <v>244.13</v>
      </c>
      <c r="H331" s="31" t="n">
        <v>-5.44</v>
      </c>
      <c r="I331" s="31" t="n">
        <v>47854</v>
      </c>
      <c r="J331" s="31" t="inlineStr">
        <is>
          <t>524330</t>
        </is>
      </c>
    </row>
    <row r="332">
      <c r="A332" s="31" t="inlineStr">
        <is>
          <t>MVGJL</t>
        </is>
      </c>
      <c r="B332" s="31" t="inlineStr">
        <is>
          <t>Manoj Vaibhav Gems N Jewellers Ltd</t>
        </is>
      </c>
      <c r="C332" s="31" t="inlineStr">
        <is>
          <t>consumer discretionary</t>
        </is>
      </c>
      <c r="D332" s="31" t="inlineStr">
        <is>
          <t>diamond cutting / jewellery</t>
        </is>
      </c>
      <c r="E332" s="31" t="inlineStr">
        <is>
          <t>smallcap</t>
        </is>
      </c>
      <c r="F332" s="31" t="n">
        <v>1019.84</v>
      </c>
      <c r="G332" s="31" t="n">
        <v>197.37</v>
      </c>
      <c r="H332" s="31" t="n">
        <v>-5.47</v>
      </c>
      <c r="I332" s="31" t="n">
        <v>332881</v>
      </c>
      <c r="J332" s="31" t="inlineStr">
        <is>
          <t>543995</t>
        </is>
      </c>
    </row>
    <row r="333">
      <c r="A333" s="31" t="inlineStr">
        <is>
          <t>KENNAMET</t>
        </is>
      </c>
      <c r="B333" s="31" t="inlineStr">
        <is>
          <t>Kennametal India Ltd</t>
        </is>
      </c>
      <c r="C333" s="31" t="inlineStr">
        <is>
          <t>industrials</t>
        </is>
      </c>
      <c r="D333" s="31" t="inlineStr">
        <is>
          <t>castings &amp; forgings</t>
        </is>
      </c>
      <c r="E333" s="31" t="inlineStr">
        <is>
          <t>midcap</t>
        </is>
      </c>
      <c r="F333" s="31" t="n">
        <v>11050.44</v>
      </c>
      <c r="G333" s="31" t="n">
        <v>4682.4</v>
      </c>
      <c r="H333" s="31" t="n">
        <v>-6.87</v>
      </c>
      <c r="I333" s="31" t="n">
        <v>70326</v>
      </c>
      <c r="J333" s="31" t="inlineStr">
        <is>
          <t>505890</t>
        </is>
      </c>
    </row>
    <row r="334">
      <c r="A334" s="31" t="inlineStr">
        <is>
          <t>RATNAVEER</t>
        </is>
      </c>
      <c r="B334" s="31" t="inlineStr">
        <is>
          <t>Ratnaveer Precision Engineering Ltd</t>
        </is>
      </c>
      <c r="C334" s="31" t="inlineStr">
        <is>
          <t>metals &amp; mining</t>
        </is>
      </c>
      <c r="D334" s="31" t="inlineStr">
        <is>
          <t>steel - medium / small</t>
        </is>
      </c>
      <c r="E334" s="31" t="inlineStr">
        <is>
          <t>smallcap</t>
        </is>
      </c>
      <c r="F334" s="31" t="n">
        <v>2218.51</v>
      </c>
      <c r="G334" s="31" t="n">
        <v>288.3</v>
      </c>
      <c r="H334" s="31" t="n">
        <v>-7.18</v>
      </c>
      <c r="I334" s="31" t="n">
        <v>4371239</v>
      </c>
      <c r="J334" s="31" t="inlineStr">
        <is>
          <t>543978</t>
        </is>
      </c>
    </row>
    <row r="335">
      <c r="A335" s="31" t="inlineStr">
        <is>
          <t>IOLCP</t>
        </is>
      </c>
      <c r="B335" s="31" t="inlineStr">
        <is>
          <t>Iol Chemicals And Pharmaceuticals Limited</t>
        </is>
      </c>
      <c r="C335" s="31" t="inlineStr">
        <is>
          <t>healthcare</t>
        </is>
      </c>
      <c r="D335" s="31" t="inlineStr">
        <is>
          <t>pharmaceuticals - indian - bulk drugs &amp; formln</t>
        </is>
      </c>
      <c r="E335" s="31" t="inlineStr">
        <is>
          <t>midcap</t>
        </is>
      </c>
      <c r="F335" s="31" t="n">
        <v>6206.05</v>
      </c>
      <c r="G335" s="31" t="n">
        <v>194.31</v>
      </c>
      <c r="H335" s="31" t="n">
        <v>-8.1</v>
      </c>
      <c r="I335" s="31" t="n">
        <v>5129124</v>
      </c>
      <c r="J335" s="31" t="inlineStr">
        <is>
          <t>524164</t>
        </is>
      </c>
    </row>
    <row r="336">
      <c r="A336" s="31" t="inlineStr">
        <is>
          <t>SREEL</t>
        </is>
      </c>
      <c r="B336" s="31" t="inlineStr">
        <is>
          <t>Sreeleathers Limited</t>
        </is>
      </c>
      <c r="C336" s="31" t="inlineStr">
        <is>
          <t>consumer discretionary</t>
        </is>
      </c>
      <c r="D336" s="31" t="inlineStr">
        <is>
          <t>trading</t>
        </is>
      </c>
      <c r="E336" s="31" t="inlineStr">
        <is>
          <t>smallcap</t>
        </is>
      </c>
      <c r="F336" s="31" t="n">
        <v>857.4299999999999</v>
      </c>
      <c r="G336" s="31" t="n">
        <v>333.27</v>
      </c>
      <c r="H336" s="31" t="n">
        <v>-10</v>
      </c>
      <c r="I336" s="31" t="n">
        <v>129115</v>
      </c>
      <c r="J336" s="31" t="inlineStr">
        <is>
          <t>535601</t>
        </is>
      </c>
    </row>
  </sheetData>
  <autoFilter ref="A1:J3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BIRLACABLE</t>
        </is>
      </c>
      <c r="E2" s="31" t="inlineStr">
        <is>
          <t>Birla Cable Limited</t>
        </is>
      </c>
      <c r="F2" s="31" t="inlineStr">
        <is>
          <t>Cables - Telecom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31</v>
      </c>
      <c r="K2" s="31" t="n">
        <v>30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PAISALO</t>
        </is>
      </c>
      <c r="E3" s="31" t="inlineStr">
        <is>
          <t>Paisalo Digital Ltd</t>
        </is>
      </c>
      <c r="F3" s="31" t="inlineStr">
        <is>
          <t>Finance - Capital Markets - Brokers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20</v>
      </c>
      <c r="K3" s="31" t="n">
        <v>8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WABAG</t>
        </is>
      </c>
      <c r="E4" s="31" t="inlineStr">
        <is>
          <t>Va Tech Wabag Limited</t>
        </is>
      </c>
      <c r="F4" s="31" t="inlineStr">
        <is>
          <t>Water Treatment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20</v>
      </c>
      <c r="K4" s="31" t="n">
        <v>7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GRANULES</t>
        </is>
      </c>
      <c r="E5" s="31" t="inlineStr">
        <is>
          <t>Granules India Limited</t>
        </is>
      </c>
      <c r="F5" s="31" t="inlineStr">
        <is>
          <t>Pharma - API &amp; CRAMS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23</v>
      </c>
      <c r="K5" s="31" t="n">
        <v>8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KABRAEXTRU</t>
        </is>
      </c>
      <c r="E6" s="31" t="inlineStr">
        <is>
          <t>Kabra Extrusion Technik Limited</t>
        </is>
      </c>
      <c r="F6" s="31" t="inlineStr">
        <is>
          <t>Capital Goods - Engineering Heavy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22</v>
      </c>
      <c r="K6" s="31" t="n">
        <v>30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EBGNG</t>
        </is>
      </c>
      <c r="E7" s="31" t="inlineStr">
        <is>
          <t>GNG Electronics Ltd</t>
        </is>
      </c>
      <c r="F7" s="31" t="inlineStr">
        <is>
          <t>New age - Platform - E-Retail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21</v>
      </c>
      <c r="K7" s="31" t="n">
        <v>18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SPECTRUM</t>
        </is>
      </c>
      <c r="E8" s="31" t="inlineStr">
        <is>
          <t>Spectrum Electrical Industries Ltd</t>
        </is>
      </c>
      <c r="F8" s="31" t="inlineStr">
        <is>
          <t>Capital Goods - Electric General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20</v>
      </c>
      <c r="K8" s="31" t="n">
        <v>14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LAURUSLABS</t>
        </is>
      </c>
      <c r="E9" s="31" t="inlineStr">
        <is>
          <t>Laurus Labs Limited</t>
        </is>
      </c>
      <c r="F9" s="31" t="inlineStr">
        <is>
          <t>Pharma - API &amp; CRAMS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23</v>
      </c>
      <c r="K9" s="31" t="n">
        <v>29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STLTECH</t>
        </is>
      </c>
      <c r="E10" s="31" t="inlineStr">
        <is>
          <t>Sterlite Technologies Limited</t>
        </is>
      </c>
      <c r="F10" s="31" t="inlineStr">
        <is>
          <t>Cables - Telecom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24</v>
      </c>
      <c r="K10" s="31" t="n">
        <v>30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INDNIPPON</t>
        </is>
      </c>
      <c r="E11" s="31" t="inlineStr">
        <is>
          <t>India Nippon Electricals Limited</t>
        </is>
      </c>
      <c r="F11" s="31" t="inlineStr">
        <is>
          <t>Auto Ancillaries - Engine Parts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21</v>
      </c>
      <c r="K11" s="31" t="n">
        <v>8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REDINGTON</t>
        </is>
      </c>
      <c r="E12" s="31" t="inlineStr">
        <is>
          <t>Redington (india) Limited</t>
        </is>
      </c>
      <c r="F12" s="31" t="inlineStr">
        <is>
          <t>Computer - Hardware</t>
        </is>
      </c>
      <c r="G12" s="31" t="n">
        <v>2</v>
      </c>
      <c r="H12" s="31" t="inlineStr">
        <is>
          <t>52W Breakout</t>
        </is>
      </c>
      <c r="I12" s="31" t="inlineStr">
        <is>
          <t>Yes</t>
        </is>
      </c>
      <c r="J12" s="31" t="n">
        <v>17</v>
      </c>
      <c r="K12" s="31" t="n">
        <v>30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CGCL</t>
        </is>
      </c>
      <c r="E13" s="31" t="inlineStr">
        <is>
          <t>Capri Global Capital Limited</t>
        </is>
      </c>
      <c r="F13" s="31" t="inlineStr">
        <is>
          <t>Finance &amp; Investments - Gold Loan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25</v>
      </c>
      <c r="K13" s="31" t="n">
        <v>15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AVTNPL</t>
        </is>
      </c>
      <c r="E14" s="31" t="inlineStr">
        <is>
          <t>Avt Natural Products Limited</t>
        </is>
      </c>
      <c r="F14" s="31" t="inlineStr">
        <is>
          <t>Agricultural Processing - Maize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24</v>
      </c>
      <c r="K14" s="31" t="n">
        <v>24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VINCOFE</t>
        </is>
      </c>
      <c r="E15" s="31" t="inlineStr">
        <is>
          <t>Vintage Coffee &amp; Beverages Ltd</t>
        </is>
      </c>
      <c r="F15" s="31" t="inlineStr">
        <is>
          <t>FMCG - Coffee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24</v>
      </c>
      <c r="K15" s="31" t="n">
        <v>16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SYRMA</t>
        </is>
      </c>
      <c r="E16" s="31" t="inlineStr">
        <is>
          <t>Syrma SGS Technology Ltd</t>
        </is>
      </c>
      <c r="F16" s="31" t="inlineStr">
        <is>
          <t>Consumer Electronics - EMS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21</v>
      </c>
      <c r="K16" s="31" t="n">
        <v>22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GAYAPROJ</t>
        </is>
      </c>
      <c r="E17" s="31" t="inlineStr">
        <is>
          <t>Gayatri Projects Limited</t>
        </is>
      </c>
      <c r="F17" s="31" t="inlineStr">
        <is>
          <t>Construction - Civil/Turnkey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32</v>
      </c>
      <c r="K17" s="31" t="n">
        <v>16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TBZ</t>
        </is>
      </c>
      <c r="E18" s="31" t="inlineStr">
        <is>
          <t>Tribhovandas Bhimji Zaveri Limited</t>
        </is>
      </c>
      <c r="F18" s="31" t="inlineStr">
        <is>
          <t>Diamond, Gems &amp; Jewellery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26</v>
      </c>
      <c r="K18" s="31" t="n">
        <v>23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RML</t>
        </is>
      </c>
      <c r="E19" s="31" t="inlineStr">
        <is>
          <t>Rane (madras) Limited</t>
        </is>
      </c>
      <c r="F19" s="31" t="inlineStr">
        <is>
          <t>Auto Ancillaries - Gears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23</v>
      </c>
      <c r="K19" s="31" t="n">
        <v>8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CONFIPET</t>
        </is>
      </c>
      <c r="E20" s="31" t="inlineStr">
        <is>
          <t>Confidence Petroleum India Ltd</t>
        </is>
      </c>
      <c r="F20" s="31" t="inlineStr">
        <is>
          <t>LPG Bottling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20</v>
      </c>
      <c r="K20" s="31" t="n">
        <v>19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SWANDEF</t>
        </is>
      </c>
      <c r="E21" s="31" t="inlineStr">
        <is>
          <t>Swan Defence and Heavy Industries Ltd</t>
        </is>
      </c>
      <c r="F21" s="31" t="inlineStr">
        <is>
          <t>Ship - Docks/Breaking/Repairs</t>
        </is>
      </c>
      <c r="G21" s="31" t="n">
        <v>2</v>
      </c>
      <c r="H21" s="31" t="inlineStr">
        <is>
          <t>52W Breakout</t>
        </is>
      </c>
      <c r="I21" s="31" t="inlineStr">
        <is>
          <t>Yes</t>
        </is>
      </c>
      <c r="J21" s="31" t="n">
        <v>10</v>
      </c>
      <c r="K21" s="31" t="n">
        <v>15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TFCILTD</t>
        </is>
      </c>
      <c r="E22" s="31" t="inlineStr">
        <is>
          <t>Tourism Finance Corporation Of India Limited</t>
        </is>
      </c>
      <c r="F22" s="31" t="inlineStr">
        <is>
          <t>Finance - PSU Lending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20</v>
      </c>
      <c r="K22" s="31" t="n">
        <v>30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VENKEYS</t>
        </is>
      </c>
      <c r="E23" s="31" t="inlineStr">
        <is>
          <t>Venky's (india) Limited</t>
        </is>
      </c>
      <c r="F23" s="31" t="inlineStr">
        <is>
          <t>FMCG - Animal/Polutry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24</v>
      </c>
      <c r="K23" s="31" t="n">
        <v>21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SHAREINDIA</t>
        </is>
      </c>
      <c r="E24" s="31" t="inlineStr">
        <is>
          <t>Share India Securities Ltd</t>
        </is>
      </c>
      <c r="F24" s="31" t="inlineStr">
        <is>
          <t>Finance - Capital Markets - Brokers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20</v>
      </c>
      <c r="K24" s="31" t="n">
        <v>6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RPEL</t>
        </is>
      </c>
      <c r="E25" s="31" t="inlineStr">
        <is>
          <t>Raghav Productivity Enhancers Ltd</t>
        </is>
      </c>
      <c r="F25" s="31" t="inlineStr">
        <is>
          <t>Steel Products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21</v>
      </c>
      <c r="K25" s="31" t="n">
        <v>24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AEGISLOG</t>
        </is>
      </c>
      <c r="E26" s="31" t="inlineStr">
        <is>
          <t>Aegis Logistics Ltd</t>
        </is>
      </c>
      <c r="F26" s="31" t="inlineStr">
        <is>
          <t>Logistics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25</v>
      </c>
      <c r="K26" s="31" t="n">
        <v>10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SSWL</t>
        </is>
      </c>
      <c r="E27" s="31" t="inlineStr">
        <is>
          <t>Steel Strips Wheels Limited</t>
        </is>
      </c>
      <c r="F27" s="31" t="inlineStr">
        <is>
          <t>Auto Ancillaries - Wheels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19</v>
      </c>
      <c r="K27" s="31" t="n">
        <v>24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KINGFA</t>
        </is>
      </c>
      <c r="E28" s="31" t="inlineStr">
        <is>
          <t>Kingfa Science &amp; Technology (india) Limited</t>
        </is>
      </c>
      <c r="F28" s="31" t="inlineStr">
        <is>
          <t>Plastics - Plastic &amp; Plastic Products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21</v>
      </c>
      <c r="K28" s="31" t="n">
        <v>28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MENONBE</t>
        </is>
      </c>
      <c r="E29" s="31" t="inlineStr">
        <is>
          <t>Menon Bearings Limited</t>
        </is>
      </c>
      <c r="F29" s="31" t="inlineStr">
        <is>
          <t>Auto Ancillaries - Bearings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20</v>
      </c>
      <c r="K29" s="31" t="n">
        <v>30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BHAGYANGR</t>
        </is>
      </c>
      <c r="E30" s="31" t="inlineStr">
        <is>
          <t>Bhagyanagar India</t>
        </is>
      </c>
      <c r="F30" s="31" t="inlineStr">
        <is>
          <t>Recycling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23</v>
      </c>
      <c r="K30" s="31" t="n">
        <v>4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KPIL</t>
        </is>
      </c>
      <c r="E31" s="31" t="inlineStr">
        <is>
          <t>Kalpataru Projects International Ltd</t>
        </is>
      </c>
      <c r="F31" s="31" t="inlineStr">
        <is>
          <t>Infra - Power - Generation/Distribution</t>
        </is>
      </c>
      <c r="G31" s="31" t="n">
        <v>2</v>
      </c>
      <c r="H31" s="31" t="inlineStr">
        <is>
          <t>52W Breakout</t>
        </is>
      </c>
      <c r="I31" s="31" t="inlineStr">
        <is>
          <t>Yes</t>
        </is>
      </c>
      <c r="J31" s="31" t="n">
        <v>9</v>
      </c>
      <c r="K31" s="31" t="n">
        <v>23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INDSWFTLAB</t>
        </is>
      </c>
      <c r="E32" s="31" t="inlineStr">
        <is>
          <t>Ind-swift Laboratories Limited</t>
        </is>
      </c>
      <c r="F32" s="31" t="inlineStr">
        <is>
          <t>Pharma - API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21</v>
      </c>
      <c r="K32" s="31" t="n">
        <v>29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SOLARINDS</t>
        </is>
      </c>
      <c r="E33" s="31" t="inlineStr">
        <is>
          <t>Solar Industries India Limited</t>
        </is>
      </c>
      <c r="F33" s="31" t="inlineStr">
        <is>
          <t>Industrial Explosives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20</v>
      </c>
      <c r="K33" s="31" t="n">
        <v>28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PCJEWELLER</t>
        </is>
      </c>
      <c r="E34" s="31" t="inlineStr">
        <is>
          <t>Pc Jeweller Limited</t>
        </is>
      </c>
      <c r="F34" s="31" t="inlineStr">
        <is>
          <t>Diamond, Gems &amp; Jewellery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24</v>
      </c>
      <c r="K34" s="31" t="n">
        <v>5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MODISONLTD</t>
        </is>
      </c>
      <c r="E35" s="31" t="inlineStr">
        <is>
          <t>Modison Ltd</t>
        </is>
      </c>
      <c r="F35" s="31" t="inlineStr">
        <is>
          <t>Capital Goods - Electric General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26</v>
      </c>
      <c r="K35" s="31" t="n">
        <v>25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AHCL</t>
        </is>
      </c>
      <c r="E36" s="31" t="inlineStr">
        <is>
          <t>Anlon Healthcare Ltd</t>
        </is>
      </c>
      <c r="F36" s="31" t="inlineStr">
        <is>
          <t>Pharmaceuticals Bulk Drugs &amp; Formulation</t>
        </is>
      </c>
      <c r="G36" s="31" t="n">
        <v>2</v>
      </c>
      <c r="H36" s="31" t="inlineStr">
        <is>
          <t>52W Breakout</t>
        </is>
      </c>
      <c r="I36" s="31" t="inlineStr">
        <is>
          <t>Yes</t>
        </is>
      </c>
      <c r="J36" s="31" t="n">
        <v>17</v>
      </c>
      <c r="K36" s="31" t="n">
        <v>4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UNIPARTS</t>
        </is>
      </c>
      <c r="E37" s="31" t="inlineStr">
        <is>
          <t>Uniparts India Ltd</t>
        </is>
      </c>
      <c r="F37" s="31" t="inlineStr">
        <is>
          <t>Castings, Forgings &amp; Fastners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22</v>
      </c>
      <c r="K37" s="31" t="n">
        <v>30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LOTUSDEV</t>
        </is>
      </c>
      <c r="E38" s="31" t="inlineStr">
        <is>
          <t>Sri Lotus Developers &amp; Realty Ltd</t>
        </is>
      </c>
      <c r="F38" s="31" t="inlineStr">
        <is>
          <t>Construction - Factories/Offices/Commercial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25</v>
      </c>
      <c r="K38" s="31" t="n">
        <v>12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SETL</t>
        </is>
      </c>
      <c r="E39" s="31" t="inlineStr">
        <is>
          <t>Standard Enginnering Technology Ltd</t>
        </is>
      </c>
      <c r="F39" s="31" t="inlineStr">
        <is>
          <t>Engineering - Heavy - Glass - lined Equipment</t>
        </is>
      </c>
      <c r="G39" s="31" t="n">
        <v>2</v>
      </c>
      <c r="H39" s="31" t="inlineStr">
        <is>
          <t>52W Breakout</t>
        </is>
      </c>
      <c r="I39" s="31" t="inlineStr">
        <is>
          <t>Yes</t>
        </is>
      </c>
      <c r="J39" s="31" t="n">
        <v>14</v>
      </c>
      <c r="K39" s="31" t="n">
        <v>30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MOREPENLAB</t>
        </is>
      </c>
      <c r="E40" s="31" t="inlineStr">
        <is>
          <t>Morepen Laboratories Limited</t>
        </is>
      </c>
      <c r="F40" s="31" t="inlineStr">
        <is>
          <t>Pharma - API &amp; CRAMS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20</v>
      </c>
      <c r="K40" s="31" t="n">
        <v>29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MANORAMA</t>
        </is>
      </c>
      <c r="E41" s="31" t="inlineStr">
        <is>
          <t>Manorama Industries Ltd</t>
        </is>
      </c>
      <c r="F41" s="31" t="inlineStr">
        <is>
          <t>FMCG - Chocolate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19</v>
      </c>
      <c r="K41" s="31" t="n">
        <v>23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SHILPAMED</t>
        </is>
      </c>
      <c r="E42" s="31" t="inlineStr">
        <is>
          <t>Shilpa Medicare Limited</t>
        </is>
      </c>
      <c r="F42" s="31" t="inlineStr">
        <is>
          <t>Pharma - API &amp; CRAMS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21</v>
      </c>
      <c r="K42" s="31" t="n">
        <v>30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DIACABS</t>
        </is>
      </c>
      <c r="E43" s="31" t="inlineStr">
        <is>
          <t>Diamond Power Infrastructure Ltd</t>
        </is>
      </c>
      <c r="F43" s="31" t="inlineStr">
        <is>
          <t>Cables - Power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20</v>
      </c>
      <c r="K43" s="31" t="n">
        <v>23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WHEELS</t>
        </is>
      </c>
      <c r="E44" s="31" t="inlineStr">
        <is>
          <t>Wheels India Limited</t>
        </is>
      </c>
      <c r="F44" s="31" t="inlineStr">
        <is>
          <t>Auto Ancillaries - Wheels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21</v>
      </c>
      <c r="K44" s="31" t="n">
        <v>16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FCL</t>
        </is>
      </c>
      <c r="E45" s="31" t="inlineStr">
        <is>
          <t>Fineotex Chemical Limited</t>
        </is>
      </c>
      <c r="F45" s="31" t="inlineStr">
        <is>
          <t>Speciality Chemicals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23</v>
      </c>
      <c r="K45" s="31" t="n">
        <v>27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FINCABLES</t>
        </is>
      </c>
      <c r="E46" s="31" t="inlineStr">
        <is>
          <t>Finolex Cables Limited</t>
        </is>
      </c>
      <c r="F46" s="31" t="inlineStr">
        <is>
          <t>Cables - Telecom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25</v>
      </c>
      <c r="K46" s="31" t="n">
        <v>22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WSTCSTPAPR</t>
        </is>
      </c>
      <c r="E47" s="31" t="inlineStr">
        <is>
          <t>West Coast Paper Mills Limited</t>
        </is>
      </c>
      <c r="F47" s="31" t="inlineStr">
        <is>
          <t>Paper</t>
        </is>
      </c>
      <c r="G47" s="31" t="n">
        <v>2</v>
      </c>
      <c r="H47" s="31" t="inlineStr">
        <is>
          <t>52W Breakout</t>
        </is>
      </c>
      <c r="I47" s="31" t="inlineStr">
        <is>
          <t>Yes</t>
        </is>
      </c>
      <c r="J47" s="31" t="n">
        <v>17</v>
      </c>
      <c r="K47" s="31" t="n">
        <v>30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SAKAR</t>
        </is>
      </c>
      <c r="E48" s="31" t="inlineStr">
        <is>
          <t>Sakar Healthcare Ltd</t>
        </is>
      </c>
      <c r="F48" s="31" t="inlineStr">
        <is>
          <t>Hospitals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27</v>
      </c>
      <c r="K48" s="31" t="n">
        <v>18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SOLARA</t>
        </is>
      </c>
      <c r="E49" s="31" t="inlineStr">
        <is>
          <t>Solara Active Pharma Sciences Ltd</t>
        </is>
      </c>
      <c r="F49" s="31" t="inlineStr">
        <is>
          <t>Pharma - API &amp; CRAMS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19</v>
      </c>
      <c r="K49" s="31" t="n">
        <v>17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QUADFUTURE</t>
        </is>
      </c>
      <c r="E50" s="31" t="inlineStr">
        <is>
          <t>Quadrant Future Tek Ltd</t>
        </is>
      </c>
      <c r="F50" s="31" t="inlineStr">
        <is>
          <t>Railways - Kavach/Springs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19</v>
      </c>
      <c r="K50" s="31" t="n">
        <v>16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KENNAMET</t>
        </is>
      </c>
      <c r="E51" s="31" t="inlineStr">
        <is>
          <t>Kennametal India Ltd</t>
        </is>
      </c>
      <c r="F51" s="31" t="inlineStr">
        <is>
          <t>Castings, Forgings &amp; Fastners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21</v>
      </c>
      <c r="K51" s="31" t="n">
        <v>30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AVALON</t>
        </is>
      </c>
      <c r="E52" s="31" t="inlineStr">
        <is>
          <t>Avalon Technologies Ltd</t>
        </is>
      </c>
      <c r="F52" s="31" t="inlineStr">
        <is>
          <t>Consumer Electronics - EMS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22</v>
      </c>
      <c r="K52" s="31" t="n">
        <v>28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SKYGOLD</t>
        </is>
      </c>
      <c r="E53" s="31" t="inlineStr">
        <is>
          <t>Sky Gold Ltd</t>
        </is>
      </c>
      <c r="F53" s="31" t="inlineStr">
        <is>
          <t>Diamond, Gems &amp; Jewellery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28</v>
      </c>
      <c r="K53" s="31" t="n">
        <v>26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INDORAMA</t>
        </is>
      </c>
      <c r="E54" s="31" t="inlineStr">
        <is>
          <t>Indo Rama Synthetics (india) Limited</t>
        </is>
      </c>
      <c r="F54" s="31" t="inlineStr">
        <is>
          <t>Textiles - Spinning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20</v>
      </c>
      <c r="K54" s="31" t="n">
        <v>21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VALIANTORG</t>
        </is>
      </c>
      <c r="E55" s="31" t="inlineStr">
        <is>
          <t>Valiant Organics Ltd</t>
        </is>
      </c>
      <c r="F55" s="31" t="inlineStr">
        <is>
          <t>Chemicals - Organic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20</v>
      </c>
      <c r="K55" s="31" t="n">
        <v>9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RGL</t>
        </is>
      </c>
      <c r="E56" s="31" t="inlineStr">
        <is>
          <t>Renaissance Global Ltd</t>
        </is>
      </c>
      <c r="F56" s="31" t="inlineStr">
        <is>
          <t>Lab Grown Diamonds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19</v>
      </c>
      <c r="K56" s="31" t="n">
        <v>24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BHEL</t>
        </is>
      </c>
      <c r="E57" s="31" t="inlineStr">
        <is>
          <t>Bharat Heavy Electricals Limited</t>
        </is>
      </c>
      <c r="F57" s="31" t="inlineStr">
        <is>
          <t>Capital Goods - Engineering Heavy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22</v>
      </c>
      <c r="K57" s="31" t="n">
        <v>12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GANDHAR</t>
        </is>
      </c>
      <c r="E58" s="31" t="inlineStr">
        <is>
          <t>Gandhar Oil Refinery (India) Ltd</t>
        </is>
      </c>
      <c r="F58" s="31" t="inlineStr">
        <is>
          <t>Refineries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24</v>
      </c>
      <c r="K58" s="31" t="n">
        <v>25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BODALCHEM</t>
        </is>
      </c>
      <c r="E59" s="31" t="inlineStr">
        <is>
          <t>Bodal Chemicals Limited</t>
        </is>
      </c>
      <c r="F59" s="31" t="inlineStr">
        <is>
          <t>Dyes &amp; Pigments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31</v>
      </c>
      <c r="K59" s="31" t="n">
        <v>22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TVSSRICHAK</t>
        </is>
      </c>
      <c r="E60" s="31" t="inlineStr">
        <is>
          <t>Tvs Srichakra Limited</t>
        </is>
      </c>
      <c r="F60" s="31" t="inlineStr">
        <is>
          <t>Tyres &amp; Tubes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21</v>
      </c>
      <c r="K60" s="31" t="n">
        <v>21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STLNETWORK</t>
        </is>
      </c>
      <c r="E61" s="31" t="inlineStr">
        <is>
          <t>STL Networks Ltd</t>
        </is>
      </c>
      <c r="F61" s="31" t="inlineStr">
        <is>
          <t>Telecommunications - Service Provider</t>
        </is>
      </c>
      <c r="G61" s="31" t="n">
        <v>2</v>
      </c>
      <c r="H61" s="31" t="inlineStr">
        <is>
          <t>52W Breakout</t>
        </is>
      </c>
      <c r="I61" s="31" t="inlineStr">
        <is>
          <t>Yes</t>
        </is>
      </c>
      <c r="J61" s="31" t="n">
        <v>10</v>
      </c>
      <c r="K61" s="31" t="n">
        <v>3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RISHABH</t>
        </is>
      </c>
      <c r="E62" s="31" t="inlineStr">
        <is>
          <t>Rishabh Instruments Ltd</t>
        </is>
      </c>
      <c r="F62" s="31" t="inlineStr">
        <is>
          <t>Capital Goods - Electric General</t>
        </is>
      </c>
      <c r="G62" s="31" t="n">
        <v>2</v>
      </c>
      <c r="H62" s="31" t="inlineStr">
        <is>
          <t>52W Breakout</t>
        </is>
      </c>
      <c r="I62" s="31" t="inlineStr">
        <is>
          <t>Yes</t>
        </is>
      </c>
      <c r="J62" s="31" t="n">
        <v>16</v>
      </c>
      <c r="K62" s="31" t="n">
        <v>28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GCSL</t>
        </is>
      </c>
      <c r="E63" s="31" t="inlineStr">
        <is>
          <t>Gretex Corporate Services Ltd</t>
        </is>
      </c>
      <c r="F63" s="31" t="inlineStr">
        <is>
          <t>Finance &amp; Investments - Others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20</v>
      </c>
      <c r="K63" s="31" t="n">
        <v>2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MMP</t>
        </is>
      </c>
      <c r="E64" s="31" t="inlineStr">
        <is>
          <t>MMP Industries Ltd</t>
        </is>
      </c>
      <c r="F64" s="31" t="inlineStr">
        <is>
          <t>Aluminium Products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26</v>
      </c>
      <c r="K64" s="31" t="n">
        <v>30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BHAGERIA</t>
        </is>
      </c>
      <c r="E65" s="31" t="inlineStr">
        <is>
          <t>Bhageria Industries Limited</t>
        </is>
      </c>
      <c r="F65" s="31" t="inlineStr">
        <is>
          <t>Dyes &amp; Pigments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25</v>
      </c>
      <c r="K65" s="31" t="n">
        <v>17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NRAIL</t>
        </is>
      </c>
      <c r="E66" s="31" t="inlineStr">
        <is>
          <t>N R Agarwal Industries Ltd</t>
        </is>
      </c>
      <c r="F66" s="31" t="inlineStr">
        <is>
          <t>Paper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22</v>
      </c>
      <c r="K66" s="31" t="n">
        <v>20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AEROFLEX</t>
        </is>
      </c>
      <c r="E67" s="31" t="inlineStr">
        <is>
          <t>Aeroflex Industries Ltd</t>
        </is>
      </c>
      <c r="F67" s="31" t="inlineStr">
        <is>
          <t>Stainless Steel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19</v>
      </c>
      <c r="K67" s="31" t="n">
        <v>23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SIGMAADV</t>
        </is>
      </c>
      <c r="E68" s="31" t="inlineStr">
        <is>
          <t>Sigma Advanced System Ltd</t>
        </is>
      </c>
      <c r="F68" s="31" t="inlineStr">
        <is>
          <t>Aerospace &amp; Defence - Equipments</t>
        </is>
      </c>
      <c r="G68" s="31" t="n">
        <v>2</v>
      </c>
      <c r="H68" s="31" t="inlineStr">
        <is>
          <t>52W Breakout</t>
        </is>
      </c>
      <c r="I68" s="31" t="inlineStr">
        <is>
          <t>Yes</t>
        </is>
      </c>
      <c r="J68" s="31" t="n">
        <v>15</v>
      </c>
      <c r="K68" s="31" t="n">
        <v>28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ENTERO</t>
        </is>
      </c>
      <c r="E69" s="31" t="inlineStr">
        <is>
          <t>Entero Healthcare Solutions Ltd</t>
        </is>
      </c>
      <c r="F69" s="31" t="inlineStr">
        <is>
          <t>Pharmacy Distribution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22</v>
      </c>
      <c r="K69" s="31" t="n">
        <v>26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CUPID</t>
        </is>
      </c>
      <c r="E70" s="31" t="inlineStr">
        <is>
          <t>Cupid Limited</t>
        </is>
      </c>
      <c r="F70" s="31" t="inlineStr">
        <is>
          <t>Contraceptives/Protectives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20</v>
      </c>
      <c r="K70" s="31" t="n">
        <v>29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CRAFTSMAN</t>
        </is>
      </c>
      <c r="E71" s="31" t="inlineStr">
        <is>
          <t>Craftsman Automation Ltd</t>
        </is>
      </c>
      <c r="F71" s="31" t="inlineStr">
        <is>
          <t>Auto &amp; Auto Ancl - CV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23</v>
      </c>
      <c r="K71" s="31" t="n">
        <v>29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FOSECOIND</t>
        </is>
      </c>
      <c r="E72" s="31" t="inlineStr">
        <is>
          <t>Foseco India Limited</t>
        </is>
      </c>
      <c r="F72" s="31" t="inlineStr">
        <is>
          <t>Chemicals - Organic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20</v>
      </c>
      <c r="K72" s="31" t="n">
        <v>23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CHENNPETRO</t>
        </is>
      </c>
      <c r="E73" s="31" t="inlineStr">
        <is>
          <t>Chennai Petroleum Corporation Limited</t>
        </is>
      </c>
      <c r="F73" s="31" t="inlineStr">
        <is>
          <t>Refineries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25</v>
      </c>
      <c r="K73" s="31" t="n">
        <v>26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ANTELOPUS</t>
        </is>
      </c>
      <c r="E74" s="31" t="inlineStr">
        <is>
          <t>Antelopus Selan Energy Ltd</t>
        </is>
      </c>
      <c r="F74" s="31" t="inlineStr">
        <is>
          <t>Oil Drilling &amp; Exploration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31</v>
      </c>
      <c r="K74" s="31" t="n">
        <v>11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SMLMAH</t>
        </is>
      </c>
      <c r="E75" s="31" t="inlineStr">
        <is>
          <t>SML Mahindra Ltd</t>
        </is>
      </c>
      <c r="F75" s="31" t="inlineStr">
        <is>
          <t>Auto - Bus/LCVs</t>
        </is>
      </c>
      <c r="G75" s="31" t="n">
        <v>2</v>
      </c>
      <c r="H75" s="31" t="inlineStr">
        <is>
          <t>52W Breakout</t>
        </is>
      </c>
      <c r="I75" s="31" t="inlineStr">
        <is>
          <t>Yes</t>
        </is>
      </c>
      <c r="J75" s="31" t="n">
        <v>18</v>
      </c>
      <c r="K75" s="31" t="n">
        <v>29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DOLPHIN</t>
        </is>
      </c>
      <c r="E76" s="31" t="inlineStr">
        <is>
          <t>Dolphin Offshore Enterprises (India) Ltd</t>
        </is>
      </c>
      <c r="F76" s="31" t="inlineStr">
        <is>
          <t>Oil Drilling &amp; Exploration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19</v>
      </c>
      <c r="K76" s="31" t="n">
        <v>30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SMSPHARMA</t>
        </is>
      </c>
      <c r="E77" s="31" t="inlineStr">
        <is>
          <t>Sms Pharmaceuticals Limited</t>
        </is>
      </c>
      <c r="F77" s="31" t="inlineStr">
        <is>
          <t>Pharma - API &amp; CRAMS</t>
        </is>
      </c>
      <c r="G77" s="31" t="n">
        <v>2</v>
      </c>
      <c r="H77" s="31" t="inlineStr">
        <is>
          <t>52W Breakout</t>
        </is>
      </c>
      <c r="I77" s="31" t="inlineStr">
        <is>
          <t>Yes</t>
        </is>
      </c>
      <c r="J77" s="31" t="n">
        <v>16</v>
      </c>
      <c r="K77" s="31" t="n">
        <v>6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SAMBHV</t>
        </is>
      </c>
      <c r="E78" s="31" t="inlineStr">
        <is>
          <t>Sambhv Steel Tubes Ltd</t>
        </is>
      </c>
      <c r="F78" s="31" t="inlineStr">
        <is>
          <t>Steel - Tubes/Pipes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19</v>
      </c>
      <c r="K78" s="31" t="n">
        <v>20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PAYTM</t>
        </is>
      </c>
      <c r="E79" s="31" t="inlineStr">
        <is>
          <t>One 97 Communications Ltd</t>
        </is>
      </c>
      <c r="F79" s="31" t="inlineStr">
        <is>
          <t>E-Commerce - Platform - Utility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21</v>
      </c>
      <c r="K79" s="31" t="n">
        <v>30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PTCIL</t>
        </is>
      </c>
      <c r="E80" s="31" t="inlineStr">
        <is>
          <t>PTC Industries Ltd</t>
        </is>
      </c>
      <c r="F80" s="31" t="inlineStr">
        <is>
          <t>Castings - Steel/Alloy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22</v>
      </c>
      <c r="K80" s="31" t="n">
        <v>30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MANINDS</t>
        </is>
      </c>
      <c r="E81" s="31" t="inlineStr">
        <is>
          <t>Man Industries (india) Limited</t>
        </is>
      </c>
      <c r="F81" s="31" t="inlineStr">
        <is>
          <t>Steel - Tubes/Pipes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25</v>
      </c>
      <c r="K81" s="31" t="n">
        <v>24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MARKSANS</t>
        </is>
      </c>
      <c r="E82" s="31" t="inlineStr">
        <is>
          <t>Marksans Pharma Limited</t>
        </is>
      </c>
      <c r="F82" s="31" t="inlineStr">
        <is>
          <t>Pharma - Formulators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20</v>
      </c>
      <c r="K82" s="31" t="n">
        <v>29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BIL</t>
        </is>
      </c>
      <c r="E83" s="31" t="inlineStr">
        <is>
          <t>Bhartiya International Limited</t>
        </is>
      </c>
      <c r="F83" s="31" t="inlineStr">
        <is>
          <t>Textiles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20</v>
      </c>
      <c r="K83" s="31" t="n">
        <v>29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MANAKSTEEL</t>
        </is>
      </c>
      <c r="E84" s="31" t="inlineStr">
        <is>
          <t>Manaksia Steels Limited</t>
        </is>
      </c>
      <c r="F84" s="31" t="inlineStr">
        <is>
          <t>Steel</t>
        </is>
      </c>
      <c r="G84" s="31" t="n">
        <v>2</v>
      </c>
      <c r="H84" s="31" t="inlineStr">
        <is>
          <t>52W Breakout</t>
        </is>
      </c>
      <c r="I84" s="31" t="inlineStr">
        <is>
          <t>Yes</t>
        </is>
      </c>
      <c r="J84" s="31" t="n">
        <v>5</v>
      </c>
      <c r="K84" s="31" t="n">
        <v>28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TNPETRO</t>
        </is>
      </c>
      <c r="E85" s="31" t="inlineStr">
        <is>
          <t>Tamilnadu Petroproducts Limited</t>
        </is>
      </c>
      <c r="F85" s="31" t="inlineStr">
        <is>
          <t>Petrochem - Others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21</v>
      </c>
      <c r="K85" s="31" t="n">
        <v>23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HATSUN</t>
        </is>
      </c>
      <c r="E86" s="31" t="inlineStr">
        <is>
          <t>Hatsun Agro Product Limited</t>
        </is>
      </c>
      <c r="F86" s="31" t="inlineStr">
        <is>
          <t>FMCG - Dairy Products</t>
        </is>
      </c>
      <c r="G86" s="31" t="n">
        <v>2</v>
      </c>
      <c r="H86" s="31" t="inlineStr">
        <is>
          <t>52W Breakout</t>
        </is>
      </c>
      <c r="I86" s="31" t="inlineStr">
        <is>
          <t>Yes</t>
        </is>
      </c>
      <c r="J86" s="31" t="n">
        <v>17</v>
      </c>
      <c r="K86" s="31" t="n">
        <v>23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DEEPINDS</t>
        </is>
      </c>
      <c r="E87" s="31" t="inlineStr">
        <is>
          <t>Deep Industries Ltd</t>
        </is>
      </c>
      <c r="F87" s="31" t="inlineStr">
        <is>
          <t>Oil Drilling &amp; Exploration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19</v>
      </c>
      <c r="K87" s="31" t="n">
        <v>30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SHANTIGEAR</t>
        </is>
      </c>
      <c r="E88" s="31" t="inlineStr">
        <is>
          <t>Shanthi Gears Limited</t>
        </is>
      </c>
      <c r="F88" s="31" t="inlineStr">
        <is>
          <t>Auto Ancillaries - Gears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19</v>
      </c>
      <c r="K88" s="31" t="n">
        <v>15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MAHSEAMLES</t>
        </is>
      </c>
      <c r="E89" s="31" t="inlineStr">
        <is>
          <t>Maharashtra Seamless Limited</t>
        </is>
      </c>
      <c r="F89" s="31" t="inlineStr">
        <is>
          <t>Steel - Tubes/Pipes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20</v>
      </c>
      <c r="K89" s="31" t="n">
        <v>24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GMMPFAUDLR</t>
        </is>
      </c>
      <c r="E90" s="31" t="inlineStr">
        <is>
          <t>GMM Pfaudler Ltd</t>
        </is>
      </c>
      <c r="F90" s="31" t="inlineStr">
        <is>
          <t>Glass - Others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22</v>
      </c>
      <c r="K90" s="31" t="n">
        <v>9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SBC</t>
        </is>
      </c>
      <c r="E91" s="31" t="inlineStr">
        <is>
          <t>SBC Exports Ltd</t>
        </is>
      </c>
      <c r="F91" s="31" t="inlineStr">
        <is>
          <t>Textiles - Readymade Apparel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22</v>
      </c>
      <c r="K91" s="31" t="n">
        <v>13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PRABHA</t>
        </is>
      </c>
      <c r="E92" s="31" t="inlineStr">
        <is>
          <t>Prabha Energy Ltd</t>
        </is>
      </c>
      <c r="F92" s="31" t="inlineStr">
        <is>
          <t>Oil Exploration/Allied Services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28</v>
      </c>
      <c r="K92" s="31" t="n">
        <v>9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GIPCL</t>
        </is>
      </c>
      <c r="E93" s="31" t="inlineStr">
        <is>
          <t>Gujarat Industries Power Company Limited</t>
        </is>
      </c>
      <c r="F93" s="31" t="inlineStr">
        <is>
          <t>Power - Generation/Distribution</t>
        </is>
      </c>
      <c r="G93" s="31" t="n">
        <v>2</v>
      </c>
      <c r="H93" s="31" t="inlineStr">
        <is>
          <t>No</t>
        </is>
      </c>
      <c r="I93" s="31" t="inlineStr">
        <is>
          <t>Yes</t>
        </is>
      </c>
      <c r="J93" s="31" t="n">
        <v>19</v>
      </c>
      <c r="K93" s="31" t="n">
        <v>25</v>
      </c>
    </row>
  </sheetData>
  <autoFilter ref="A1:K93"/>
  <conditionalFormatting sqref="G2:G9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3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0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IF(B2=0,"",RANK(B2,$B$2:$B$304,0))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VINDHYATEL</t>
        </is>
      </c>
      <c r="D2" s="31" t="inlineStr">
        <is>
          <t>Vindhya Telelinks Limited</t>
        </is>
      </c>
      <c r="E2" s="31" t="inlineStr">
        <is>
          <t>realty</t>
        </is>
      </c>
      <c r="F2" s="31" t="inlineStr">
        <is>
          <t>construction</t>
        </is>
      </c>
      <c r="G2" s="31" t="inlineStr">
        <is>
          <t>smallcap</t>
        </is>
      </c>
      <c r="H2" s="32" t="n">
        <v>3339.93</v>
      </c>
      <c r="I2" s="32" t="n">
        <v>2813.5</v>
      </c>
      <c r="J2" s="32" t="n">
        <v>-0.17</v>
      </c>
      <c r="K2" s="32" t="n">
        <v>64033</v>
      </c>
      <c r="L2" s="31" t="n">
        <v>92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72.56999999999999</v>
      </c>
      <c r="P2" s="32" t="n">
        <v>52.18</v>
      </c>
      <c r="Q2" s="32" t="n">
        <v>2046.17</v>
      </c>
      <c r="R2" s="31" t="inlineStr">
        <is>
          <t>Near 52W High Breakout</t>
        </is>
      </c>
      <c r="S2" s="31" t="inlineStr">
        <is>
          <t>Nifty Realty</t>
        </is>
      </c>
      <c r="T2" s="32" t="n">
        <v>-10.74</v>
      </c>
      <c r="U2" s="32" t="n">
        <v>79.12</v>
      </c>
      <c r="V2" s="32" t="n">
        <v>100.68</v>
      </c>
      <c r="W2" s="32" t="n">
        <v>45.63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IF(B3=0,"",RANK(B3,$B$2:$B$304,0))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INDNIPPON</t>
        </is>
      </c>
      <c r="D3" s="31" t="inlineStr">
        <is>
          <t>India Nippon Electricals Limited</t>
        </is>
      </c>
      <c r="E3" s="31" t="inlineStr">
        <is>
          <t>auto</t>
        </is>
      </c>
      <c r="F3" s="31" t="inlineStr">
        <is>
          <t>auto ancillaries</t>
        </is>
      </c>
      <c r="G3" s="31" t="inlineStr">
        <is>
          <t>smallcap</t>
        </is>
      </c>
      <c r="H3" s="32" t="n">
        <v>3096.87</v>
      </c>
      <c r="I3" s="32" t="n">
        <v>1358.9</v>
      </c>
      <c r="J3" s="32" t="n">
        <v>-0.74</v>
      </c>
      <c r="K3" s="32" t="n">
        <v>274425</v>
      </c>
      <c r="L3" s="31" t="n">
        <v>81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74.61</v>
      </c>
      <c r="P3" s="32" t="n">
        <v>46.15</v>
      </c>
      <c r="Q3" s="32" t="n">
        <v>1017.67</v>
      </c>
      <c r="R3" s="31" t="inlineStr">
        <is>
          <t>Volume Spike &amp; Near 52W High Breakout</t>
        </is>
      </c>
      <c r="S3" s="31" t="inlineStr">
        <is>
          <t>Nifty Auto</t>
        </is>
      </c>
      <c r="T3" s="32" t="n">
        <v>14.81</v>
      </c>
      <c r="U3" s="32" t="n">
        <v>78.81</v>
      </c>
      <c r="V3" s="32" t="n">
        <v>55.74</v>
      </c>
      <c r="W3" s="32" t="n">
        <v>32.07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IF(B4=0,"",RANK(B4,$B$2:$B$304,0))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BIRLACABLE</t>
        </is>
      </c>
      <c r="D4" s="31" t="inlineStr">
        <is>
          <t>Birla Cable Limited</t>
        </is>
      </c>
      <c r="E4" s="31" t="inlineStr">
        <is>
          <t>industrials</t>
        </is>
      </c>
      <c r="F4" s="31" t="inlineStr">
        <is>
          <t>cables - telephone</t>
        </is>
      </c>
      <c r="G4" s="31" t="inlineStr">
        <is>
          <t>smallcap</t>
        </is>
      </c>
      <c r="H4" s="32" t="n">
        <v>1123.95</v>
      </c>
      <c r="I4" s="32" t="n">
        <v>392.35</v>
      </c>
      <c r="J4" s="32" t="n">
        <v>4.72</v>
      </c>
      <c r="K4" s="32" t="n">
        <v>996485</v>
      </c>
      <c r="L4" s="31" t="n">
        <v>96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80.65000000000001</v>
      </c>
      <c r="P4" s="32" t="n">
        <v>51.15</v>
      </c>
      <c r="Q4" s="32" t="n">
        <v>289.7</v>
      </c>
      <c r="R4" s="31" t="inlineStr">
        <is>
          <t>Volume Spike &amp; Near 52W High Breakout</t>
        </is>
      </c>
      <c r="S4" s="31" t="inlineStr">
        <is>
          <t>Nifty Infra</t>
        </is>
      </c>
      <c r="T4" s="32" t="n">
        <v>0.12</v>
      </c>
      <c r="U4" s="32" t="n">
        <v>130.61</v>
      </c>
      <c r="V4" s="32" t="n">
        <v>130.34</v>
      </c>
      <c r="W4" s="32" t="n">
        <v>60.22</v>
      </c>
      <c r="X4" s="31" t="inlineStr">
        <is>
          <t>Cyclical in an Upturn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IF(B5=0,"",RANK(B5,$B$2:$B$304,0))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TALBROAUTO</t>
        </is>
      </c>
      <c r="D5" s="31" t="inlineStr">
        <is>
          <t>Talbros Automotive Components Limited</t>
        </is>
      </c>
      <c r="E5" s="31" t="inlineStr">
        <is>
          <t>auto</t>
        </is>
      </c>
      <c r="F5" s="31" t="inlineStr">
        <is>
          <t>auto ancillaries</t>
        </is>
      </c>
      <c r="G5" s="31" t="inlineStr">
        <is>
          <t>smallcap</t>
        </is>
      </c>
      <c r="H5" s="32" t="n">
        <v>2593.82</v>
      </c>
      <c r="I5" s="32" t="n">
        <v>423.75</v>
      </c>
      <c r="J5" s="32" t="n">
        <v>0.84</v>
      </c>
      <c r="K5" s="32" t="n">
        <v>164443</v>
      </c>
      <c r="L5" s="31" t="n">
        <v>66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66.45</v>
      </c>
      <c r="P5" s="32" t="n">
        <v>43.93</v>
      </c>
      <c r="Q5" s="32" t="n">
        <v>339.76</v>
      </c>
      <c r="R5" s="31" t="inlineStr">
        <is>
          <t>Volume Spike &amp; Near 52W High Breakout</t>
        </is>
      </c>
      <c r="S5" s="31" t="inlineStr">
        <is>
          <t>Nifty Auto</t>
        </is>
      </c>
      <c r="T5" s="32" t="n">
        <v>14.81</v>
      </c>
      <c r="U5" s="32" t="n">
        <v>50.26</v>
      </c>
      <c r="V5" s="32" t="n">
        <v>30.88</v>
      </c>
      <c r="W5" s="32" t="n">
        <v>21.2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IF(B6=0,"",RANK(B6,$B$2:$B$304,0))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REDINGTON</t>
        </is>
      </c>
      <c r="D6" s="31" t="inlineStr">
        <is>
          <t>Redington (india) Limited</t>
        </is>
      </c>
      <c r="E6" s="31" t="inlineStr">
        <is>
          <t>services</t>
        </is>
      </c>
      <c r="F6" s="31" t="inlineStr">
        <is>
          <t>trading</t>
        </is>
      </c>
      <c r="G6" s="31" t="inlineStr">
        <is>
          <t>largecap</t>
        </is>
      </c>
      <c r="H6" s="32" t="n">
        <v>30645.56</v>
      </c>
      <c r="I6" s="32" t="n">
        <v>393.7</v>
      </c>
      <c r="J6" s="32" t="n">
        <v>0.43</v>
      </c>
      <c r="K6" s="32" t="n">
        <v>7473984</v>
      </c>
      <c r="L6" s="31" t="n">
        <v>77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74.31</v>
      </c>
      <c r="P6" s="32" t="n">
        <v>44.86</v>
      </c>
      <c r="Q6" s="32" t="n">
        <v>307.24</v>
      </c>
      <c r="R6" s="31" t="inlineStr">
        <is>
          <t>Near 52W High Breakout</t>
        </is>
      </c>
      <c r="S6" s="31" t="inlineStr">
        <is>
          <t>Nifty 50</t>
        </is>
      </c>
      <c r="T6" s="32" t="n">
        <v>-6.83</v>
      </c>
      <c r="U6" s="32" t="n">
        <v>65.03</v>
      </c>
      <c r="V6" s="32" t="n">
        <v>77.13</v>
      </c>
      <c r="W6" s="32" t="n">
        <v>28.03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IF(B7=0,"",RANK(B7,$B$2:$B$304,0))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MSTCLTD</t>
        </is>
      </c>
      <c r="D7" s="31" t="inlineStr">
        <is>
          <t>MSTC Ltd</t>
        </is>
      </c>
      <c r="E7" s="31" t="inlineStr">
        <is>
          <t>i.t</t>
        </is>
      </c>
      <c r="F7" s="31" t="inlineStr">
        <is>
          <t>trading</t>
        </is>
      </c>
      <c r="G7" s="31" t="inlineStr">
        <is>
          <t>midcap</t>
        </is>
      </c>
      <c r="H7" s="32" t="n">
        <v>5192.35</v>
      </c>
      <c r="I7" s="32" t="n">
        <v>738.55</v>
      </c>
      <c r="J7" s="32" t="n">
        <v>0.14</v>
      </c>
      <c r="K7" s="32" t="n">
        <v>311849</v>
      </c>
      <c r="L7" s="31" t="n">
        <v>46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67.2</v>
      </c>
      <c r="P7" s="32" t="n">
        <v>47.19</v>
      </c>
      <c r="Q7" s="32" t="n">
        <v>551.12</v>
      </c>
      <c r="R7" s="31" t="inlineStr">
        <is>
          <t>Near 52W High Breakout</t>
        </is>
      </c>
      <c r="S7" s="31" t="inlineStr">
        <is>
          <t>Nifty IT</t>
        </is>
      </c>
      <c r="T7" s="32" t="n">
        <v>-19.91</v>
      </c>
      <c r="U7" s="32" t="n">
        <v>42.27</v>
      </c>
      <c r="V7" s="32" t="n">
        <v>77.63</v>
      </c>
      <c r="W7" s="32" t="n">
        <v>15.17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IF(B8=0,"",RANK(B8,$B$2:$B$304,0))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VISHNU</t>
        </is>
      </c>
      <c r="D8" s="31" t="inlineStr">
        <is>
          <t>Vishnu Chemicals Limited</t>
        </is>
      </c>
      <c r="E8" s="31" t="inlineStr">
        <is>
          <t>chemicals</t>
        </is>
      </c>
      <c r="F8" s="31" t="inlineStr">
        <is>
          <t>chemicals</t>
        </is>
      </c>
      <c r="G8" s="31" t="inlineStr">
        <is>
          <t>smallcap</t>
        </is>
      </c>
      <c r="H8" s="32" t="n">
        <v>4872.28</v>
      </c>
      <c r="I8" s="32" t="n">
        <v>713.95</v>
      </c>
      <c r="J8" s="32" t="n">
        <v>-1.36</v>
      </c>
      <c r="K8" s="32" t="n">
        <v>101468</v>
      </c>
      <c r="L8" s="31" t="n">
        <v>38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71.34</v>
      </c>
      <c r="P8" s="32" t="n">
        <v>45.03</v>
      </c>
      <c r="Q8" s="32" t="n">
        <v>576.85</v>
      </c>
      <c r="R8" s="31" t="inlineStr">
        <is>
          <t>Near 52W High Breakout</t>
        </is>
      </c>
      <c r="S8" s="31" t="inlineStr">
        <is>
          <t>Nifty 50</t>
        </is>
      </c>
      <c r="T8" s="32" t="n">
        <v>-6.83</v>
      </c>
      <c r="U8" s="32" t="n">
        <v>44.19</v>
      </c>
      <c r="V8" s="32" t="n">
        <v>54.76</v>
      </c>
      <c r="W8" s="32" t="n">
        <v>12.16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IF(B9=0,"",RANK(B9,$B$2:$B$304,0))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ORIENTBELL</t>
        </is>
      </c>
      <c r="D9" s="31" t="inlineStr">
        <is>
          <t>Orient Bell Limited</t>
        </is>
      </c>
      <c r="E9" s="31" t="inlineStr">
        <is>
          <t>building materials</t>
        </is>
      </c>
      <c r="F9" s="31" t="inlineStr">
        <is>
          <t>ceramics - tiles / sanitaryware</t>
        </is>
      </c>
      <c r="G9" s="31" t="inlineStr">
        <is>
          <t>smallcap</t>
        </is>
      </c>
      <c r="H9" s="32" t="n">
        <v>606.0700000000001</v>
      </c>
      <c r="I9" s="32" t="n">
        <v>401.95</v>
      </c>
      <c r="J9" s="32" t="n">
        <v>-2.44</v>
      </c>
      <c r="K9" s="32" t="n">
        <v>22419</v>
      </c>
      <c r="L9" s="31" t="n">
        <v>48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67.93000000000001</v>
      </c>
      <c r="P9" s="32" t="n">
        <v>42.23</v>
      </c>
      <c r="Q9" s="32" t="n">
        <v>323.22</v>
      </c>
      <c r="R9" s="31" t="inlineStr">
        <is>
          <t>Near 52W High Breakout</t>
        </is>
      </c>
      <c r="S9" s="31" t="inlineStr">
        <is>
          <t>Nifty Infra</t>
        </is>
      </c>
      <c r="T9" s="32" t="n">
        <v>0.12</v>
      </c>
      <c r="U9" s="32" t="n">
        <v>31.47</v>
      </c>
      <c r="V9" s="32" t="n">
        <v>31.32</v>
      </c>
      <c r="W9" s="32" t="n">
        <v>15.85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IF(B10=0,"",RANK(B10,$B$2:$B$304,0))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EMCURE</t>
        </is>
      </c>
      <c r="D10" s="31" t="inlineStr">
        <is>
          <t>Emcure Pharmaceuticals Ltd</t>
        </is>
      </c>
      <c r="E10" s="31" t="inlineStr">
        <is>
          <t>healthcare</t>
        </is>
      </c>
      <c r="F10" s="31" t="inlineStr">
        <is>
          <t>pharmaceuticals - indian - bulk drugs &amp; formln</t>
        </is>
      </c>
      <c r="G10" s="31" t="inlineStr">
        <is>
          <t>largecap</t>
        </is>
      </c>
      <c r="H10" s="32" t="n">
        <v>37230.42</v>
      </c>
      <c r="I10" s="32" t="n">
        <v>1978.9</v>
      </c>
      <c r="J10" s="32" t="n">
        <v>0.82</v>
      </c>
      <c r="K10" s="32" t="n">
        <v>122389</v>
      </c>
      <c r="L10" s="31" t="n">
        <v>33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66.54000000000001</v>
      </c>
      <c r="P10" s="32" t="n">
        <v>60.13</v>
      </c>
      <c r="Q10" s="32" t="n">
        <v>1629.05</v>
      </c>
      <c r="R10" s="31" t="inlineStr">
        <is>
          <t>Near 52W High Breakout</t>
        </is>
      </c>
      <c r="S10" s="31" t="inlineStr">
        <is>
          <t>Nifty Pharma</t>
        </is>
      </c>
      <c r="T10" s="32" t="n">
        <v>18.76</v>
      </c>
      <c r="U10" s="32" t="n">
        <v>46.99</v>
      </c>
      <c r="V10" s="32" t="n">
        <v>23.77</v>
      </c>
      <c r="W10" s="32" t="n">
        <v>11.15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IF(B11=0,"",RANK(B11,$B$2:$B$304,0))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AUROPHARMA</t>
        </is>
      </c>
      <c r="D11" s="31" t="inlineStr">
        <is>
          <t>Aurobindo Pharma Limited</t>
        </is>
      </c>
      <c r="E11" s="31" t="inlineStr">
        <is>
          <t>healthcare</t>
        </is>
      </c>
      <c r="F11" s="31" t="inlineStr">
        <is>
          <t>pharmaceuticals - indian - bulk drugs &amp; formln</t>
        </is>
      </c>
      <c r="G11" s="31" t="inlineStr">
        <is>
          <t>largecap</t>
        </is>
      </c>
      <c r="H11" s="32" t="n">
        <v>95996.05</v>
      </c>
      <c r="I11" s="32" t="n">
        <v>1679.8</v>
      </c>
      <c r="J11" s="32" t="n">
        <v>0.68</v>
      </c>
      <c r="K11" s="32" t="n">
        <v>494251</v>
      </c>
      <c r="L11" s="31" t="n">
        <v>37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70.90000000000001</v>
      </c>
      <c r="P11" s="32" t="n">
        <v>41.85</v>
      </c>
      <c r="Q11" s="32" t="n">
        <v>1450.15</v>
      </c>
      <c r="R11" s="31" t="inlineStr">
        <is>
          <t>Near 52W High Breakout</t>
        </is>
      </c>
      <c r="S11" s="31" t="inlineStr">
        <is>
          <t>Nifty Pharma</t>
        </is>
      </c>
      <c r="T11" s="32" t="n">
        <v>18.76</v>
      </c>
      <c r="U11" s="32" t="n">
        <v>53.49</v>
      </c>
      <c r="V11" s="32" t="n">
        <v>29.24</v>
      </c>
      <c r="W11" s="32" t="n">
        <v>11.88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IF(B12=0,"",RANK(B12,$B$2:$B$304,0))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IPCALAB</t>
        </is>
      </c>
      <c r="D12" s="31" t="inlineStr">
        <is>
          <t>Ipca Laboratories Limited</t>
        </is>
      </c>
      <c r="E12" s="31" t="inlineStr">
        <is>
          <t>healthcare</t>
        </is>
      </c>
      <c r="F12" s="31" t="inlineStr">
        <is>
          <t>pharmaceuticals - indian - bulk drugs &amp; formln</t>
        </is>
      </c>
      <c r="G12" s="31" t="inlineStr">
        <is>
          <t>largecap</t>
        </is>
      </c>
      <c r="H12" s="32" t="n">
        <v>50002.56</v>
      </c>
      <c r="I12" s="32" t="n">
        <v>1968.5</v>
      </c>
      <c r="J12" s="32" t="n">
        <v>-0.12</v>
      </c>
      <c r="K12" s="32" t="n">
        <v>176417</v>
      </c>
      <c r="L12" s="31" t="n">
        <v>44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69.47</v>
      </c>
      <c r="P12" s="32" t="n">
        <v>42.99</v>
      </c>
      <c r="Q12" s="32" t="n">
        <v>1608.52</v>
      </c>
      <c r="R12" s="31" t="inlineStr">
        <is>
          <t>Near 52W High Breakout</t>
        </is>
      </c>
      <c r="S12" s="31" t="inlineStr">
        <is>
          <t>Nifty Pharma</t>
        </is>
      </c>
      <c r="T12" s="32" t="n">
        <v>18.76</v>
      </c>
      <c r="U12" s="32" t="n">
        <v>50.24</v>
      </c>
      <c r="V12" s="32" t="n">
        <v>26.51</v>
      </c>
      <c r="W12" s="32" t="n">
        <v>13.79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IF(B13=0,"",RANK(B13,$B$2:$B$304,0))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AVTNPL</t>
        </is>
      </c>
      <c r="D13" s="31" t="inlineStr">
        <is>
          <t>Avt Natural Products Limited</t>
        </is>
      </c>
      <c r="E13" s="31" t="inlineStr">
        <is>
          <t>fmcg</t>
        </is>
      </c>
      <c r="F13" s="31" t="inlineStr">
        <is>
          <t>solvent extraction</t>
        </is>
      </c>
      <c r="G13" s="31" t="inlineStr">
        <is>
          <t>smallcap</t>
        </is>
      </c>
      <c r="H13" s="32" t="n">
        <v>1379.69</v>
      </c>
      <c r="I13" s="32" t="n">
        <v>90.13</v>
      </c>
      <c r="J13" s="32" t="n">
        <v>-0.52</v>
      </c>
      <c r="K13" s="32" t="n">
        <v>180833</v>
      </c>
      <c r="L13" s="31" t="n">
        <v>36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73.89</v>
      </c>
      <c r="P13" s="32" t="n">
        <v>42.71</v>
      </c>
      <c r="Q13" s="32" t="n">
        <v>72.45</v>
      </c>
      <c r="R13" s="31" t="inlineStr">
        <is>
          <t>Near 52W High Breakout</t>
        </is>
      </c>
      <c r="S13" s="31" t="inlineStr">
        <is>
          <t>Nifty FMCG</t>
        </is>
      </c>
      <c r="T13" s="32" t="n">
        <v>-17.45</v>
      </c>
      <c r="U13" s="32" t="n">
        <v>19.94</v>
      </c>
      <c r="V13" s="32" t="n">
        <v>45.3</v>
      </c>
      <c r="W13" s="32" t="n">
        <v>11.84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B2C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IF(B14=0,"",RANK(B14,$B$2:$B$304,0))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TBZ</t>
        </is>
      </c>
      <c r="D14" s="31" t="inlineStr">
        <is>
          <t>Tribhovandas Bhimji Zaveri Limited</t>
        </is>
      </c>
      <c r="E14" s="31" t="inlineStr">
        <is>
          <t>consumer discretionary</t>
        </is>
      </c>
      <c r="F14" s="31" t="inlineStr">
        <is>
          <t>diamond cutting / jewellery</t>
        </is>
      </c>
      <c r="G14" s="31" t="inlineStr">
        <is>
          <t>smallcap</t>
        </is>
      </c>
      <c r="H14" s="32" t="n">
        <v>3344.87</v>
      </c>
      <c r="I14" s="32" t="n">
        <v>526.3</v>
      </c>
      <c r="J14" s="32" t="n">
        <v>5</v>
      </c>
      <c r="K14" s="32" t="n">
        <v>2734893</v>
      </c>
      <c r="L14" s="31" t="n">
        <v>98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89.81999999999999</v>
      </c>
      <c r="P14" s="32" t="n">
        <v>52.68</v>
      </c>
      <c r="Q14" s="32" t="n">
        <v>392.33</v>
      </c>
      <c r="R14" s="31" t="inlineStr">
        <is>
          <t>Near 52W High Breakout</t>
        </is>
      </c>
      <c r="S14" s="31" t="inlineStr">
        <is>
          <t>Nifty 50</t>
        </is>
      </c>
      <c r="T14" s="32" t="n">
        <v>-6.83</v>
      </c>
      <c r="U14" s="32" t="n">
        <v>183.6</v>
      </c>
      <c r="V14" s="32" t="n">
        <v>204.4</v>
      </c>
      <c r="W14" s="32" t="n">
        <v>76.87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Between 0.7 to 1.2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IF(B15=0,"",RANK(B15,$B$2:$B$304,0))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GAYAPROJ</t>
        </is>
      </c>
      <c r="D15" s="31" t="inlineStr">
        <is>
          <t>Gayatri Projects Limited</t>
        </is>
      </c>
      <c r="E15" s="31" t="inlineStr">
        <is>
          <t>realty</t>
        </is>
      </c>
      <c r="F15" s="31" t="inlineStr">
        <is>
          <t>construction</t>
        </is>
      </c>
      <c r="G15" s="31" t="inlineStr">
        <is>
          <t>smallcap</t>
        </is>
      </c>
      <c r="H15" s="32" t="n">
        <v>1151.46</v>
      </c>
      <c r="I15" s="32" t="n">
        <v>26.03</v>
      </c>
      <c r="J15" s="32" t="n">
        <v>4.96</v>
      </c>
      <c r="K15" s="32" t="n">
        <v>2686464</v>
      </c>
      <c r="L15" s="31" t="n">
        <v>83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73.05</v>
      </c>
      <c r="P15" s="32" t="n">
        <v>29.33</v>
      </c>
      <c r="Q15" s="32" t="n">
        <v>19.48</v>
      </c>
      <c r="R15" s="31" t="inlineStr">
        <is>
          <t>Volume Spike &amp; Near 52W High Breakout</t>
        </is>
      </c>
      <c r="S15" s="31" t="inlineStr">
        <is>
          <t>Nifty Realty</t>
        </is>
      </c>
      <c r="T15" s="32" t="n">
        <v>-10.74</v>
      </c>
      <c r="U15" s="32" t="n">
        <v>206.24</v>
      </c>
      <c r="V15" s="32" t="n">
        <v>243.08</v>
      </c>
      <c r="W15" s="32" t="n">
        <v>33.72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IF(B16=0,"",RANK(B16,$B$2:$B$304,0))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SWANDEF</t>
        </is>
      </c>
      <c r="D16" s="31" t="inlineStr">
        <is>
          <t>Swan Defence and Heavy Industries Ltd</t>
        </is>
      </c>
      <c r="E16" s="31" t="inlineStr">
        <is>
          <t>transportation</t>
        </is>
      </c>
      <c r="F16" s="31" t="inlineStr">
        <is>
          <t>miscellaneous</t>
        </is>
      </c>
      <c r="G16" s="31" t="inlineStr">
        <is>
          <t>midcap</t>
        </is>
      </c>
      <c r="H16" s="32" t="n">
        <v>14028.2</v>
      </c>
      <c r="I16" s="32" t="n">
        <v>2727.9</v>
      </c>
      <c r="J16" s="32" t="n">
        <v>2.44</v>
      </c>
      <c r="K16" s="32" t="n">
        <v>20275</v>
      </c>
      <c r="L16" s="31" t="n">
        <v>95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68.45</v>
      </c>
      <c r="P16" s="32" t="n">
        <v>55.49</v>
      </c>
      <c r="Q16" s="32" t="n">
        <v>2070.47</v>
      </c>
      <c r="R16" s="31" t="inlineStr">
        <is>
          <t>Near 52W High Breakout</t>
        </is>
      </c>
      <c r="S16" s="31" t="inlineStr">
        <is>
          <t>Nifty 50</t>
        </is>
      </c>
      <c r="T16" s="32" t="n">
        <v>-6.83</v>
      </c>
      <c r="U16" s="32" t="n">
        <v>421.09</v>
      </c>
      <c r="V16" s="32" t="n">
        <v>459.3</v>
      </c>
      <c r="W16" s="32" t="n">
        <v>57.44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More than 1.2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IF(B17=0,"",RANK(B17,$B$2:$B$304,0))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CONFIPET</t>
        </is>
      </c>
      <c r="D17" s="31" t="inlineStr">
        <is>
          <t>Confidence Petroleum India Ltd</t>
        </is>
      </c>
      <c r="E17" s="31" t="inlineStr">
        <is>
          <t>miscellaneous</t>
        </is>
      </c>
      <c r="F17" s="31" t="inlineStr">
        <is>
          <t>miscellaneous</t>
        </is>
      </c>
      <c r="G17" s="31" t="inlineStr">
        <is>
          <t>smallcap</t>
        </is>
      </c>
      <c r="H17" s="32" t="n">
        <v>2918.41</v>
      </c>
      <c r="I17" s="32" t="n">
        <v>89.22</v>
      </c>
      <c r="J17" s="32" t="n">
        <v>1.57</v>
      </c>
      <c r="K17" s="32" t="n">
        <v>4722048</v>
      </c>
      <c r="L17" s="31" t="n">
        <v>80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71.36</v>
      </c>
      <c r="P17" s="32" t="n">
        <v>61.02</v>
      </c>
      <c r="Q17" s="32" t="n">
        <v>62.87</v>
      </c>
      <c r="R17" s="31" t="inlineStr">
        <is>
          <t>Volume Spike &amp; Near 52W High Breakout</t>
        </is>
      </c>
      <c r="S17" s="31" t="inlineStr">
        <is>
          <t>Nifty Energy</t>
        </is>
      </c>
      <c r="T17" s="32" t="n">
        <v>7.62</v>
      </c>
      <c r="U17" s="32" t="n">
        <v>71.28</v>
      </c>
      <c r="V17" s="32" t="n">
        <v>59.16</v>
      </c>
      <c r="W17" s="32" t="n">
        <v>30.72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IF(B18=0,"",RANK(B18,$B$2:$B$304,0))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ATHERENERG</t>
        </is>
      </c>
      <c r="D18" s="31" t="inlineStr">
        <is>
          <t>Ather Energy Ltd</t>
        </is>
      </c>
      <c r="E18" s="31" t="inlineStr">
        <is>
          <t>auto</t>
        </is>
      </c>
      <c r="F18" s="31" t="inlineStr">
        <is>
          <t>automobiles - scooters and 3 - wheelers</t>
        </is>
      </c>
      <c r="G18" s="31" t="inlineStr">
        <is>
          <t>largecap</t>
        </is>
      </c>
      <c r="H18" s="32" t="n">
        <v>65357.8</v>
      </c>
      <c r="I18" s="32" t="n">
        <v>1656</v>
      </c>
      <c r="J18" s="32" t="n">
        <v>-0.14</v>
      </c>
      <c r="K18" s="32" t="n">
        <v>4881695</v>
      </c>
      <c r="L18" s="31" t="n">
        <v>97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78.91</v>
      </c>
      <c r="P18" s="32" t="n">
        <v>67.47</v>
      </c>
      <c r="Q18" s="32" t="n">
        <v>1285.84</v>
      </c>
      <c r="R18" s="31" t="inlineStr">
        <is>
          <t>Near 52W High Breakout</t>
        </is>
      </c>
      <c r="S18" s="31" t="inlineStr">
        <is>
          <t>Nifty Auto</t>
        </is>
      </c>
      <c r="T18" s="32" t="n">
        <v>14.81</v>
      </c>
      <c r="U18" s="32" t="n">
        <v>395.36</v>
      </c>
      <c r="V18" s="32" t="n">
        <v>331.45</v>
      </c>
      <c r="W18" s="32" t="n">
        <v>63.29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IF(B19=0,"",RANK(B19,$B$2:$B$304,0))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SYRMA</t>
        </is>
      </c>
      <c r="D19" s="31" t="inlineStr">
        <is>
          <t>Syrma SGS Technology Ltd</t>
        </is>
      </c>
      <c r="E19" s="31" t="inlineStr">
        <is>
          <t>consumer discretionary</t>
        </is>
      </c>
      <c r="F19" s="31" t="inlineStr">
        <is>
          <t>electronics - components</t>
        </is>
      </c>
      <c r="G19" s="31" t="inlineStr">
        <is>
          <t>largecap</t>
        </is>
      </c>
      <c r="H19" s="32" t="n">
        <v>30829.74</v>
      </c>
      <c r="I19" s="32" t="n">
        <v>1589.3</v>
      </c>
      <c r="J19" s="32" t="n">
        <v>-0.59</v>
      </c>
      <c r="K19" s="32" t="n">
        <v>638884</v>
      </c>
      <c r="L19" s="31" t="n">
        <v>69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72.36</v>
      </c>
      <c r="P19" s="32" t="n">
        <v>60.74</v>
      </c>
      <c r="Q19" s="32" t="n">
        <v>1248.01</v>
      </c>
      <c r="R19" s="31" t="inlineStr">
        <is>
          <t>Near 52W High Breakout</t>
        </is>
      </c>
      <c r="S19" s="31" t="inlineStr">
        <is>
          <t>Nifty 50</t>
        </is>
      </c>
      <c r="T19" s="32" t="n">
        <v>-6.83</v>
      </c>
      <c r="U19" s="32" t="n">
        <v>93.11</v>
      </c>
      <c r="V19" s="32" t="n">
        <v>107.28</v>
      </c>
      <c r="W19" s="32" t="n">
        <v>22.75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IF(B20=0,"",RANK(B20,$B$2:$B$304,0))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KANORICHEM</t>
        </is>
      </c>
      <c r="D20" s="31" t="inlineStr">
        <is>
          <t>Kanoria Chemicals &amp; Industries Limited</t>
        </is>
      </c>
      <c r="E20" s="31" t="inlineStr">
        <is>
          <t>chemicals</t>
        </is>
      </c>
      <c r="F20" s="31" t="inlineStr">
        <is>
          <t>chemicals</t>
        </is>
      </c>
      <c r="G20" s="31" t="inlineStr">
        <is>
          <t>smallcap</t>
        </is>
      </c>
      <c r="H20" s="32" t="n">
        <v>765.25</v>
      </c>
      <c r="I20" s="32" t="n">
        <v>169.64</v>
      </c>
      <c r="J20" s="32" t="n">
        <v>-3.14</v>
      </c>
      <c r="K20" s="32" t="n">
        <v>85705</v>
      </c>
      <c r="L20" s="31" t="n">
        <v>86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74.3</v>
      </c>
      <c r="P20" s="32" t="n">
        <v>66.14</v>
      </c>
      <c r="Q20" s="32" t="n">
        <v>124.84</v>
      </c>
      <c r="R20" s="31" t="inlineStr">
        <is>
          <t>Volume Spike &amp; Near 52W High Breakout</t>
        </is>
      </c>
      <c r="S20" s="31" t="inlineStr">
        <is>
          <t>Nifty 50</t>
        </is>
      </c>
      <c r="T20" s="32" t="n">
        <v>-6.83</v>
      </c>
      <c r="U20" s="32" t="n">
        <v>100.66</v>
      </c>
      <c r="V20" s="32" t="n">
        <v>115.38</v>
      </c>
      <c r="W20" s="32" t="n">
        <v>36.02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IF(B21=0,"",RANK(B21,$B$2:$B$304,0))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RML</t>
        </is>
      </c>
      <c r="D21" s="31" t="inlineStr">
        <is>
          <t>Rane (madras) Limited</t>
        </is>
      </c>
      <c r="E21" s="31" t="inlineStr">
        <is>
          <t>auto</t>
        </is>
      </c>
      <c r="F21" s="31" t="inlineStr">
        <is>
          <t>auto ancillaries</t>
        </is>
      </c>
      <c r="G21" s="31" t="inlineStr">
        <is>
          <t>smallcap</t>
        </is>
      </c>
      <c r="H21" s="32" t="n">
        <v>3893.8</v>
      </c>
      <c r="I21" s="32" t="n">
        <v>1360</v>
      </c>
      <c r="J21" s="32" t="n">
        <v>-3.47</v>
      </c>
      <c r="K21" s="32" t="n">
        <v>72216</v>
      </c>
      <c r="L21" s="31" t="n">
        <v>80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69.38</v>
      </c>
      <c r="P21" s="32" t="n">
        <v>53.01</v>
      </c>
      <c r="Q21" s="32" t="n">
        <v>1021.69</v>
      </c>
      <c r="R21" s="31" t="inlineStr">
        <is>
          <t>Near 52W High Breakout</t>
        </is>
      </c>
      <c r="S21" s="31" t="inlineStr">
        <is>
          <t>Nifty Auto</t>
        </is>
      </c>
      <c r="T21" s="32" t="n">
        <v>14.81</v>
      </c>
      <c r="U21" s="32" t="n">
        <v>63.33</v>
      </c>
      <c r="V21" s="32" t="n">
        <v>42.26</v>
      </c>
      <c r="W21" s="32" t="n">
        <v>31.5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Between 0.7 to 1.2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IF(B22=0,"",RANK(B22,$B$2:$B$304,0))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VENKEYS</t>
        </is>
      </c>
      <c r="D22" s="31" t="inlineStr">
        <is>
          <t>Venky's (india) Limited</t>
        </is>
      </c>
      <c r="E22" s="31" t="inlineStr">
        <is>
          <t>fmcg</t>
        </is>
      </c>
      <c r="F22" s="31" t="inlineStr">
        <is>
          <t>miscellaneous</t>
        </is>
      </c>
      <c r="G22" s="31" t="inlineStr">
        <is>
          <t>smallcap</t>
        </is>
      </c>
      <c r="H22" s="32" t="n">
        <v>2404.29</v>
      </c>
      <c r="I22" s="32" t="n">
        <v>1787.2</v>
      </c>
      <c r="J22" s="32" t="n">
        <v>4.72</v>
      </c>
      <c r="K22" s="32" t="n">
        <v>254979</v>
      </c>
      <c r="L22" s="31" t="n">
        <v>21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68.53</v>
      </c>
      <c r="P22" s="32" t="n">
        <v>41.28</v>
      </c>
      <c r="Q22" s="32" t="n">
        <v>1430</v>
      </c>
      <c r="R22" s="31" t="inlineStr">
        <is>
          <t>Near 52W High Breakout</t>
        </is>
      </c>
      <c r="S22" s="31" t="inlineStr">
        <is>
          <t>Nifty FMCG</t>
        </is>
      </c>
      <c r="T22" s="32" t="n">
        <v>-17.45</v>
      </c>
      <c r="U22" s="32" t="n">
        <v>17.12</v>
      </c>
      <c r="V22" s="32" t="n">
        <v>41.88</v>
      </c>
      <c r="W22" s="32" t="n">
        <v>7.16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B2C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IF(B23=0,"",RANK(B23,$B$2:$B$304,0))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INNOVACAP</t>
        </is>
      </c>
      <c r="D23" s="31" t="inlineStr">
        <is>
          <t>Innova Captab Ltd</t>
        </is>
      </c>
      <c r="E23" s="31" t="inlineStr">
        <is>
          <t>healthcare</t>
        </is>
      </c>
      <c r="F23" s="31" t="inlineStr">
        <is>
          <t>pharmaceuticals - indian - bulk drugs &amp; formln</t>
        </is>
      </c>
      <c r="G23" s="31" t="inlineStr">
        <is>
          <t>midcap</t>
        </is>
      </c>
      <c r="H23" s="32" t="n">
        <v>6680.44</v>
      </c>
      <c r="I23" s="32" t="n">
        <v>1147.2</v>
      </c>
      <c r="J23" s="32" t="n">
        <v>-1.73</v>
      </c>
      <c r="K23" s="32" t="n">
        <v>44230</v>
      </c>
      <c r="L23" s="31" t="n">
        <v>35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71.77</v>
      </c>
      <c r="P23" s="32" t="n">
        <v>63.62</v>
      </c>
      <c r="Q23" s="32" t="n">
        <v>927.9</v>
      </c>
      <c r="R23" s="31" t="inlineStr">
        <is>
          <t>Near 52W High Breakout</t>
        </is>
      </c>
      <c r="S23" s="31" t="inlineStr">
        <is>
          <t>Nifty Pharma</t>
        </is>
      </c>
      <c r="T23" s="32" t="n">
        <v>18.76</v>
      </c>
      <c r="U23" s="32" t="n">
        <v>33.85</v>
      </c>
      <c r="V23" s="32" t="n">
        <v>12.71</v>
      </c>
      <c r="W23" s="32" t="n">
        <v>11.73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IF(B24=0,"",RANK(B24,$B$2:$B$304,0))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RPEL</t>
        </is>
      </c>
      <c r="D24" s="31" t="inlineStr">
        <is>
          <t>Raghav Productivity Enhancers Ltd</t>
        </is>
      </c>
      <c r="E24" s="31" t="inlineStr">
        <is>
          <t>building materials</t>
        </is>
      </c>
      <c r="F24" s="31" t="inlineStr">
        <is>
          <t>refractories / intermediates</t>
        </is>
      </c>
      <c r="G24" s="31" t="inlineStr">
        <is>
          <t>midcap</t>
        </is>
      </c>
      <c r="H24" s="32" t="n">
        <v>8006.49</v>
      </c>
      <c r="I24" s="32" t="n">
        <v>1845.2</v>
      </c>
      <c r="J24" s="32" t="n">
        <v>5.83</v>
      </c>
      <c r="K24" s="32" t="n">
        <v>171393</v>
      </c>
      <c r="L24" s="31" t="n">
        <v>97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85.26000000000001</v>
      </c>
      <c r="P24" s="32" t="n">
        <v>63.86</v>
      </c>
      <c r="Q24" s="32" t="n">
        <v>1419.63</v>
      </c>
      <c r="R24" s="31" t="inlineStr">
        <is>
          <t>Volume Spike &amp; Near 52W High Breakout</t>
        </is>
      </c>
      <c r="S24" s="31" t="inlineStr">
        <is>
          <t>Nifty Infra</t>
        </is>
      </c>
      <c r="T24" s="32" t="n">
        <v>0.12</v>
      </c>
      <c r="U24" s="32" t="n">
        <v>179.45</v>
      </c>
      <c r="V24" s="32" t="n">
        <v>179.12</v>
      </c>
      <c r="W24" s="32" t="n">
        <v>69.31999999999999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IF(B25=0,"",RANK(B25,$B$2:$B$304,0))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AEGISLOG</t>
        </is>
      </c>
      <c r="D25" s="31" t="inlineStr">
        <is>
          <t>Aegis Logistics Ltd</t>
        </is>
      </c>
      <c r="E25" s="31" t="inlineStr">
        <is>
          <t>services</t>
        </is>
      </c>
      <c r="F25" s="31" t="inlineStr">
        <is>
          <t>trading</t>
        </is>
      </c>
      <c r="G25" s="31" t="inlineStr">
        <is>
          <t>largecap</t>
        </is>
      </c>
      <c r="H25" s="32" t="n">
        <v>45896.76</v>
      </c>
      <c r="I25" s="32" t="n">
        <v>1353.6</v>
      </c>
      <c r="J25" s="32" t="n">
        <v>3.52</v>
      </c>
      <c r="K25" s="32" t="n">
        <v>1216825</v>
      </c>
      <c r="L25" s="31" t="n">
        <v>75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65.13</v>
      </c>
      <c r="P25" s="32" t="n">
        <v>60.84</v>
      </c>
      <c r="Q25" s="32" t="n">
        <v>1024.2</v>
      </c>
      <c r="R25" s="31" t="inlineStr">
        <is>
          <t>Near 52W High Breakout</t>
        </is>
      </c>
      <c r="S25" s="31" t="inlineStr">
        <is>
          <t>Nifty 50</t>
        </is>
      </c>
      <c r="T25" s="32" t="n">
        <v>-6.83</v>
      </c>
      <c r="U25" s="32" t="n">
        <v>93.78</v>
      </c>
      <c r="V25" s="32" t="n">
        <v>107.99</v>
      </c>
      <c r="W25" s="32" t="n">
        <v>26.43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IF(B26=0,"",RANK(B26,$B$2:$B$304,0))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KROSS</t>
        </is>
      </c>
      <c r="D26" s="31" t="inlineStr">
        <is>
          <t>Kross Ltd</t>
        </is>
      </c>
      <c r="E26" s="31" t="inlineStr">
        <is>
          <t>auto</t>
        </is>
      </c>
      <c r="F26" s="31" t="inlineStr">
        <is>
          <t>auto ancillaries</t>
        </is>
      </c>
      <c r="G26" s="31" t="inlineStr">
        <is>
          <t>smallcap</t>
        </is>
      </c>
      <c r="H26" s="32" t="n">
        <v>1493.65</v>
      </c>
      <c r="I26" s="32" t="n">
        <v>239.07</v>
      </c>
      <c r="J26" s="32" t="n">
        <v>3.25</v>
      </c>
      <c r="K26" s="32" t="n">
        <v>2135648</v>
      </c>
      <c r="L26" s="31" t="n">
        <v>35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66.19</v>
      </c>
      <c r="P26" s="32" t="n">
        <v>27.36</v>
      </c>
      <c r="Q26" s="32" t="n">
        <v>182.52</v>
      </c>
      <c r="R26" s="31" t="inlineStr">
        <is>
          <t>Volume Spike &amp; Near 52W High Breakout</t>
        </is>
      </c>
      <c r="S26" s="31" t="inlineStr">
        <is>
          <t>Nifty Auto</t>
        </is>
      </c>
      <c r="T26" s="32" t="n">
        <v>14.81</v>
      </c>
      <c r="U26" s="32" t="n">
        <v>28.17</v>
      </c>
      <c r="V26" s="32" t="n">
        <v>11.63</v>
      </c>
      <c r="W26" s="32" t="n">
        <v>11.66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IF(B27=0,"",RANK(B27,$B$2:$B$304,0))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WABAG</t>
        </is>
      </c>
      <c r="D27" s="31" t="inlineStr">
        <is>
          <t>Va Tech Wabag Limited</t>
        </is>
      </c>
      <c r="E27" s="31" t="inlineStr">
        <is>
          <t>realty</t>
        </is>
      </c>
      <c r="F27" s="31" t="inlineStr">
        <is>
          <t>engineering - turnkey services</t>
        </is>
      </c>
      <c r="G27" s="31" t="inlineStr">
        <is>
          <t>midcap</t>
        </is>
      </c>
      <c r="H27" s="32" t="n">
        <v>13791.63</v>
      </c>
      <c r="I27" s="32" t="n">
        <v>2277.9</v>
      </c>
      <c r="J27" s="32" t="n">
        <v>2.99</v>
      </c>
      <c r="K27" s="32" t="n">
        <v>2231415</v>
      </c>
      <c r="L27" s="31" t="n">
        <v>66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69.42</v>
      </c>
      <c r="P27" s="32" t="n">
        <v>37.23</v>
      </c>
      <c r="Q27" s="32" t="n">
        <v>1755</v>
      </c>
      <c r="R27" s="31" t="inlineStr">
        <is>
          <t>Volume Spike &amp; Near 52W High Breakout</t>
        </is>
      </c>
      <c r="S27" s="31" t="inlineStr">
        <is>
          <t>Nifty Realty</t>
        </is>
      </c>
      <c r="T27" s="32" t="n">
        <v>-10.74</v>
      </c>
      <c r="U27" s="32" t="n">
        <v>40.96</v>
      </c>
      <c r="V27" s="32" t="n">
        <v>57.92</v>
      </c>
      <c r="W27" s="32" t="n">
        <v>21.77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IF(B28=0,"",RANK(B28,$B$2:$B$304,0))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ARIES</t>
        </is>
      </c>
      <c r="D28" s="31" t="inlineStr">
        <is>
          <t>Aries Agro Limited</t>
        </is>
      </c>
      <c r="E28" s="31" t="inlineStr">
        <is>
          <t>chemicals</t>
        </is>
      </c>
      <c r="F28" s="31" t="inlineStr">
        <is>
          <t>fertilizers</t>
        </is>
      </c>
      <c r="G28" s="31" t="inlineStr">
        <is>
          <t>smallcap</t>
        </is>
      </c>
      <c r="H28" s="32" t="n">
        <v>609.38</v>
      </c>
      <c r="I28" s="32" t="n">
        <v>475.6</v>
      </c>
      <c r="J28" s="32" t="n">
        <v>1.49</v>
      </c>
      <c r="K28" s="32" t="n">
        <v>24528</v>
      </c>
      <c r="L28" s="31" t="n">
        <v>41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71.5</v>
      </c>
      <c r="P28" s="32" t="n">
        <v>24.7</v>
      </c>
      <c r="Q28" s="32" t="n">
        <v>385.86</v>
      </c>
      <c r="R28" s="31" t="inlineStr">
        <is>
          <t>Near 52W High Breakout</t>
        </is>
      </c>
      <c r="S28" s="31" t="inlineStr">
        <is>
          <t>Nifty 50</t>
        </is>
      </c>
      <c r="T28" s="32" t="n">
        <v>-6.83</v>
      </c>
      <c r="U28" s="32" t="n">
        <v>13.85</v>
      </c>
      <c r="V28" s="32" t="n">
        <v>22.2</v>
      </c>
      <c r="W28" s="32" t="n">
        <v>12.85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IF(B29=0,"",RANK(B29,$B$2:$B$304,0))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APARINDS</t>
        </is>
      </c>
      <c r="D29" s="31" t="inlineStr">
        <is>
          <t>Apar Industries Limited</t>
        </is>
      </c>
      <c r="E29" s="31" t="inlineStr">
        <is>
          <t>industrials</t>
        </is>
      </c>
      <c r="F29" s="31" t="inlineStr">
        <is>
          <t>electric equipment</t>
        </is>
      </c>
      <c r="G29" s="31" t="inlineStr">
        <is>
          <t>largecap</t>
        </is>
      </c>
      <c r="H29" s="32" t="n">
        <v>72615.00999999999</v>
      </c>
      <c r="I29" s="32" t="n">
        <v>17500</v>
      </c>
      <c r="J29" s="32" t="n">
        <v>0.91</v>
      </c>
      <c r="K29" s="32" t="n">
        <v>169196</v>
      </c>
      <c r="L29" s="31" t="n">
        <v>65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72.14</v>
      </c>
      <c r="P29" s="32" t="n">
        <v>44.47</v>
      </c>
      <c r="Q29" s="32" t="n">
        <v>13569.09</v>
      </c>
      <c r="R29" s="31" t="inlineStr">
        <is>
          <t>Near 52W High Breakout</t>
        </is>
      </c>
      <c r="S29" s="31" t="inlineStr">
        <is>
          <t>Nifty 500</t>
        </is>
      </c>
      <c r="T29" s="32" t="n">
        <v>-1.4</v>
      </c>
      <c r="U29" s="32" t="n">
        <v>103.49</v>
      </c>
      <c r="V29" s="32" t="n">
        <v>106.37</v>
      </c>
      <c r="W29" s="32" t="n">
        <v>20.85</v>
      </c>
      <c r="X29" s="31" t="inlineStr">
        <is>
          <t>Cyclical in an Upturn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IF(B30=0,"",RANK(B30,$B$2:$B$304,0))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CEIGALL</t>
        </is>
      </c>
      <c r="D30" s="31" t="inlineStr">
        <is>
          <t>Ceigall India Ltd</t>
        </is>
      </c>
      <c r="E30" s="31" t="inlineStr">
        <is>
          <t>realty</t>
        </is>
      </c>
      <c r="F30" s="31" t="inlineStr">
        <is>
          <t>construction</t>
        </is>
      </c>
      <c r="G30" s="31" t="inlineStr">
        <is>
          <t>midcap</t>
        </is>
      </c>
      <c r="H30" s="32" t="n">
        <v>6604.11</v>
      </c>
      <c r="I30" s="32" t="n">
        <v>380.4</v>
      </c>
      <c r="J30" s="32" t="n">
        <v>0.34</v>
      </c>
      <c r="K30" s="32" t="n">
        <v>266487</v>
      </c>
      <c r="L30" s="31" t="n">
        <v>34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64.42</v>
      </c>
      <c r="P30" s="32" t="n">
        <v>31.13</v>
      </c>
      <c r="Q30" s="32" t="n">
        <v>299.82</v>
      </c>
      <c r="R30" s="31" t="inlineStr">
        <is>
          <t>Near 52W High Breakout</t>
        </is>
      </c>
      <c r="S30" s="31" t="inlineStr">
        <is>
          <t>Nifty Realty</t>
        </is>
      </c>
      <c r="T30" s="32" t="n">
        <v>-10.74</v>
      </c>
      <c r="U30" s="32" t="n">
        <v>44.45</v>
      </c>
      <c r="V30" s="32" t="n">
        <v>61.83</v>
      </c>
      <c r="W30" s="32" t="n">
        <v>11.34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IF(B31=0,"",RANK(B31,$B$2:$B$304,0))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SHANTIGOLD</t>
        </is>
      </c>
      <c r="D31" s="31" t="inlineStr">
        <is>
          <t>Shanti Gold International Ltd</t>
        </is>
      </c>
      <c r="E31" s="31" t="inlineStr">
        <is>
          <t>consumer discretionary</t>
        </is>
      </c>
      <c r="F31" s="31" t="inlineStr">
        <is>
          <t>diamond cutting / jewellery</t>
        </is>
      </c>
      <c r="G31" s="31" t="inlineStr">
        <is>
          <t>smallcap</t>
        </is>
      </c>
      <c r="H31" s="32" t="n">
        <v>1974.43</v>
      </c>
      <c r="I31" s="32" t="n">
        <v>258.17</v>
      </c>
      <c r="J31" s="32" t="n">
        <v>0.34</v>
      </c>
      <c r="K31" s="32" t="n">
        <v>1074560</v>
      </c>
      <c r="L31" s="31" t="n">
        <v>19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62.76</v>
      </c>
      <c r="P31" s="32" t="n">
        <v>36.81</v>
      </c>
      <c r="Q31" s="32" t="n">
        <v>198.29</v>
      </c>
      <c r="R31" s="31" t="inlineStr">
        <is>
          <t>Near 52W High Breakout</t>
        </is>
      </c>
      <c r="S31" s="31" t="inlineStr">
        <is>
          <t>Nifty 50</t>
        </is>
      </c>
      <c r="T31" s="32" t="n">
        <v>-6.83</v>
      </c>
      <c r="U31" s="32" t="n">
        <v>15.46</v>
      </c>
      <c r="V31" s="32" t="n">
        <v>23.92</v>
      </c>
      <c r="W31" s="32" t="n">
        <v>6.52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IF(B32=0,"",RANK(B32,$B$2:$B$304,0))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KPIL</t>
        </is>
      </c>
      <c r="D32" s="31" t="inlineStr">
        <is>
          <t>Kalpataru Projects International Ltd</t>
        </is>
      </c>
      <c r="E32" s="31" t="inlineStr">
        <is>
          <t>realty</t>
        </is>
      </c>
      <c r="F32" s="31" t="inlineStr">
        <is>
          <t>transmisson line towers / equipment</t>
        </is>
      </c>
      <c r="G32" s="31" t="inlineStr">
        <is>
          <t>largecap</t>
        </is>
      </c>
      <c r="H32" s="32" t="n">
        <v>24454.63</v>
      </c>
      <c r="I32" s="32" t="n">
        <v>1435.7</v>
      </c>
      <c r="J32" s="32" t="n">
        <v>0.26</v>
      </c>
      <c r="K32" s="32" t="n">
        <v>107494</v>
      </c>
      <c r="L32" s="31" t="n">
        <v>25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66.90000000000001</v>
      </c>
      <c r="P32" s="32" t="n">
        <v>34.5</v>
      </c>
      <c r="Q32" s="32" t="n">
        <v>1197.12</v>
      </c>
      <c r="R32" s="31" t="inlineStr">
        <is>
          <t>Near 52W High Breakout</t>
        </is>
      </c>
      <c r="S32" s="31" t="inlineStr">
        <is>
          <t>Nifty Realty</t>
        </is>
      </c>
      <c r="T32" s="32" t="n">
        <v>-10.74</v>
      </c>
      <c r="U32" s="32" t="n">
        <v>25.63</v>
      </c>
      <c r="V32" s="32" t="n">
        <v>40.74</v>
      </c>
      <c r="W32" s="32" t="n">
        <v>8.48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IF(B33=0,"",RANK(B33,$B$2:$B$304,0))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KINGFA</t>
        </is>
      </c>
      <c r="D33" s="31" t="inlineStr">
        <is>
          <t>Kingfa Science &amp; Technology (india) Limited</t>
        </is>
      </c>
      <c r="E33" s="31" t="inlineStr">
        <is>
          <t>plastic products</t>
        </is>
      </c>
      <c r="F33" s="31" t="inlineStr">
        <is>
          <t>plastics products</t>
        </is>
      </c>
      <c r="G33" s="31" t="inlineStr">
        <is>
          <t>midcap</t>
        </is>
      </c>
      <c r="H33" s="32" t="n">
        <v>8439.120000000001</v>
      </c>
      <c r="I33" s="32" t="n">
        <v>6197</v>
      </c>
      <c r="J33" s="32" t="n">
        <v>-0.49</v>
      </c>
      <c r="K33" s="32" t="n">
        <v>15424</v>
      </c>
      <c r="L33" s="31" t="n">
        <v>55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72.8</v>
      </c>
      <c r="P33" s="32" t="n">
        <v>36.44</v>
      </c>
      <c r="Q33" s="32" t="n">
        <v>5001.23</v>
      </c>
      <c r="R33" s="31" t="inlineStr">
        <is>
          <t>Near 52W High Breakout</t>
        </is>
      </c>
      <c r="S33" s="31" t="inlineStr">
        <is>
          <t>Nifty Infra</t>
        </is>
      </c>
      <c r="T33" s="32" t="n">
        <v>0.12</v>
      </c>
      <c r="U33" s="32" t="n">
        <v>71.55</v>
      </c>
      <c r="V33" s="32" t="n">
        <v>71.34999999999999</v>
      </c>
      <c r="W33" s="32" t="n">
        <v>18.05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IF(B34=0,"",RANK(B34,$B$2:$B$304,0))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SSWL</t>
        </is>
      </c>
      <c r="D34" s="31" t="inlineStr">
        <is>
          <t>Steel Strips Wheels Limited</t>
        </is>
      </c>
      <c r="E34" s="31" t="inlineStr">
        <is>
          <t>auto</t>
        </is>
      </c>
      <c r="F34" s="31" t="inlineStr">
        <is>
          <t>auto ancillaries</t>
        </is>
      </c>
      <c r="G34" s="31" t="inlineStr">
        <is>
          <t>midcap</t>
        </is>
      </c>
      <c r="H34" s="32" t="n">
        <v>5872.26</v>
      </c>
      <c r="I34" s="32" t="n">
        <v>370.65</v>
      </c>
      <c r="J34" s="32" t="n">
        <v>-0.79</v>
      </c>
      <c r="K34" s="32" t="n">
        <v>1219997</v>
      </c>
      <c r="L34" s="31" t="n">
        <v>78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79.26000000000001</v>
      </c>
      <c r="P34" s="32" t="n">
        <v>41.97</v>
      </c>
      <c r="Q34" s="32" t="n">
        <v>295.72</v>
      </c>
      <c r="R34" s="31" t="inlineStr">
        <is>
          <t>Near 52W High Breakout</t>
        </is>
      </c>
      <c r="S34" s="31" t="inlineStr">
        <is>
          <t>Nifty Auto</t>
        </is>
      </c>
      <c r="T34" s="32" t="n">
        <v>14.81</v>
      </c>
      <c r="U34" s="32" t="n">
        <v>54.76</v>
      </c>
      <c r="V34" s="32" t="n">
        <v>34.79</v>
      </c>
      <c r="W34" s="32" t="n">
        <v>29.16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IF(B35=0,"",RANK(B35,$B$2:$B$304,0))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NILKAMAL</t>
        </is>
      </c>
      <c r="D35" s="31" t="inlineStr">
        <is>
          <t>Nilkamal Limited</t>
        </is>
      </c>
      <c r="E35" s="31" t="inlineStr">
        <is>
          <t>plastic products</t>
        </is>
      </c>
      <c r="F35" s="31" t="inlineStr">
        <is>
          <t>plastics products</t>
        </is>
      </c>
      <c r="G35" s="31" t="inlineStr">
        <is>
          <t>smallcap</t>
        </is>
      </c>
      <c r="H35" s="32" t="n">
        <v>3100.01</v>
      </c>
      <c r="I35" s="32" t="n">
        <v>2050.8</v>
      </c>
      <c r="J35" s="32" t="n">
        <v>-1.28</v>
      </c>
      <c r="K35" s="32" t="n">
        <v>24037</v>
      </c>
      <c r="L35" s="31" t="n">
        <v>67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76.89</v>
      </c>
      <c r="P35" s="32" t="n">
        <v>48.87</v>
      </c>
      <c r="Q35" s="32" t="n">
        <v>1688.2</v>
      </c>
      <c r="R35" s="31" t="inlineStr">
        <is>
          <t>Near 52W High Breakout</t>
        </is>
      </c>
      <c r="S35" s="31" t="inlineStr">
        <is>
          <t>Nifty 50</t>
        </is>
      </c>
      <c r="T35" s="32" t="n">
        <v>-6.83</v>
      </c>
      <c r="U35" s="32" t="n">
        <v>34.59</v>
      </c>
      <c r="V35" s="32" t="n">
        <v>44.47</v>
      </c>
      <c r="W35" s="32" t="n">
        <v>21.84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IF(B36=0,"",RANK(B36,$B$2:$B$304,0))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NRL</t>
        </is>
      </c>
      <c r="D36" s="31" t="inlineStr">
        <is>
          <t>Nupur Recyclers Ltd</t>
        </is>
      </c>
      <c r="E36" s="31" t="inlineStr">
        <is>
          <t>services</t>
        </is>
      </c>
      <c r="F36" s="31" t="inlineStr">
        <is>
          <t>trading</t>
        </is>
      </c>
      <c r="G36" s="31" t="inlineStr">
        <is>
          <t>smallcap</t>
        </is>
      </c>
      <c r="H36" s="32" t="n">
        <v>931.33</v>
      </c>
      <c r="I36" s="32" t="n">
        <v>133.06</v>
      </c>
      <c r="J36" s="32" t="n">
        <v>-1.32</v>
      </c>
      <c r="K36" s="32" t="n">
        <v>39928</v>
      </c>
      <c r="L36" s="31" t="n">
        <v>84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88.81</v>
      </c>
      <c r="P36" s="32" t="n">
        <v>68.59</v>
      </c>
      <c r="Q36" s="32" t="n">
        <v>110.66</v>
      </c>
      <c r="R36" s="31" t="inlineStr">
        <is>
          <t>Near 52W High Breakout</t>
        </is>
      </c>
      <c r="S36" s="31" t="inlineStr">
        <is>
          <t>Nifty 50</t>
        </is>
      </c>
      <c r="T36" s="32" t="n">
        <v>-6.83</v>
      </c>
      <c r="U36" s="32" t="n">
        <v>85.06</v>
      </c>
      <c r="V36" s="32" t="n">
        <v>98.63</v>
      </c>
      <c r="W36" s="32" t="n">
        <v>34.47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IF(B37=0,"",RANK(B37,$B$2:$B$304,0))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GHCLTEXTIL</t>
        </is>
      </c>
      <c r="D37" s="31" t="inlineStr">
        <is>
          <t>GHCL Textiles Ltd</t>
        </is>
      </c>
      <c r="E37" s="31" t="inlineStr">
        <is>
          <t>textiles</t>
        </is>
      </c>
      <c r="F37" s="31" t="inlineStr">
        <is>
          <t>textiles - spinning - synthetic / blended</t>
        </is>
      </c>
      <c r="G37" s="31" t="inlineStr">
        <is>
          <t>smallcap</t>
        </is>
      </c>
      <c r="H37" s="32" t="n">
        <v>1266.89</v>
      </c>
      <c r="I37" s="32" t="n">
        <v>130.76</v>
      </c>
      <c r="J37" s="32" t="n">
        <v>-1.34</v>
      </c>
      <c r="K37" s="32" t="n">
        <v>509572</v>
      </c>
      <c r="L37" s="31" t="n">
        <v>64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70.26000000000001</v>
      </c>
      <c r="P37" s="32" t="n">
        <v>45.43</v>
      </c>
      <c r="Q37" s="32" t="n">
        <v>107.12</v>
      </c>
      <c r="R37" s="31" t="inlineStr">
        <is>
          <t>Near 52W High Breakout</t>
        </is>
      </c>
      <c r="S37" s="31" t="inlineStr">
        <is>
          <t>Nifty 50</t>
        </is>
      </c>
      <c r="T37" s="32" t="n">
        <v>-6.83</v>
      </c>
      <c r="U37" s="32" t="n">
        <v>62.28</v>
      </c>
      <c r="V37" s="32" t="n">
        <v>74.18000000000001</v>
      </c>
      <c r="W37" s="32" t="n">
        <v>20.63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IF(B38=0,"",RANK(B38,$B$2:$B$304,0))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MENONBE</t>
        </is>
      </c>
      <c r="D38" s="31" t="inlineStr">
        <is>
          <t>Menon Bearings Limited</t>
        </is>
      </c>
      <c r="E38" s="31" t="inlineStr">
        <is>
          <t>auto</t>
        </is>
      </c>
      <c r="F38" s="31" t="inlineStr">
        <is>
          <t>auto ancillaries</t>
        </is>
      </c>
      <c r="G38" s="31" t="inlineStr">
        <is>
          <t>smallcap</t>
        </is>
      </c>
      <c r="H38" s="32" t="n">
        <v>1690.45</v>
      </c>
      <c r="I38" s="32" t="n">
        <v>297.5</v>
      </c>
      <c r="J38" s="32" t="n">
        <v>-1.38</v>
      </c>
      <c r="K38" s="32" t="n">
        <v>49421</v>
      </c>
      <c r="L38" s="31" t="n">
        <v>95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76.03</v>
      </c>
      <c r="P38" s="32" t="n">
        <v>63.59</v>
      </c>
      <c r="Q38" s="32" t="n">
        <v>240.7</v>
      </c>
      <c r="R38" s="31" t="inlineStr">
        <is>
          <t>Earnings / Momentum Support</t>
        </is>
      </c>
      <c r="S38" s="31" t="inlineStr">
        <is>
          <t>Nifty Auto</t>
        </is>
      </c>
      <c r="T38" s="32" t="n">
        <v>14.81</v>
      </c>
      <c r="U38" s="32" t="n">
        <v>134.08</v>
      </c>
      <c r="V38" s="32" t="n">
        <v>103.88</v>
      </c>
      <c r="W38" s="32" t="n">
        <v>59.62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IF(B39=0,"",RANK(B39,$B$2:$B$304,0))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VINCOFE</t>
        </is>
      </c>
      <c r="D39" s="31" t="inlineStr">
        <is>
          <t>Vintage Coffee &amp; Beverages Ltd</t>
        </is>
      </c>
      <c r="E39" s="31" t="inlineStr">
        <is>
          <t>consumer discretionary</t>
        </is>
      </c>
      <c r="F39" s="31" t="inlineStr">
        <is>
          <t>trading</t>
        </is>
      </c>
      <c r="G39" s="31" t="inlineStr">
        <is>
          <t>smallcap</t>
        </is>
      </c>
      <c r="H39" s="32" t="n">
        <v>2577.67</v>
      </c>
      <c r="I39" s="32" t="n">
        <v>174.35</v>
      </c>
      <c r="J39" s="32" t="n">
        <v>-1.46</v>
      </c>
      <c r="K39" s="32" t="n">
        <v>1851750</v>
      </c>
      <c r="L39" s="31" t="n">
        <v>19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63.08</v>
      </c>
      <c r="P39" s="32" t="n">
        <v>29.4</v>
      </c>
      <c r="Q39" s="32" t="n">
        <v>132.63</v>
      </c>
      <c r="R39" s="31" t="inlineStr">
        <is>
          <t>Near 52W High Breakout</t>
        </is>
      </c>
      <c r="S39" s="31" t="inlineStr">
        <is>
          <t>Nifty 50</t>
        </is>
      </c>
      <c r="T39" s="32" t="n">
        <v>-6.83</v>
      </c>
      <c r="U39" s="32" t="n">
        <v>15.88</v>
      </c>
      <c r="V39" s="32" t="n">
        <v>24.38</v>
      </c>
      <c r="W39" s="32" t="n">
        <v>6.53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IF(B40=0,"",RANK(B40,$B$2:$B$304,0))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BHAGYANGR</t>
        </is>
      </c>
      <c r="D40" s="31" t="inlineStr">
        <is>
          <t>Bhagyanagar India</t>
        </is>
      </c>
      <c r="E40" s="31" t="inlineStr">
        <is>
          <t>power &amp; utilities</t>
        </is>
      </c>
      <c r="F40" s="31" t="inlineStr">
        <is>
          <t>power generation and supply</t>
        </is>
      </c>
      <c r="G40" s="31" t="inlineStr">
        <is>
          <t>smallcap</t>
        </is>
      </c>
      <c r="H40" s="32" t="n">
        <v>1447.72</v>
      </c>
      <c r="I40" s="32" t="n">
        <v>422.55</v>
      </c>
      <c r="J40" s="32" t="n">
        <v>-2.23</v>
      </c>
      <c r="K40" s="32" t="n">
        <v>540725</v>
      </c>
      <c r="L40" s="31" t="n">
        <v>92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68.38</v>
      </c>
      <c r="P40" s="32" t="n">
        <v>66.76000000000001</v>
      </c>
      <c r="Q40" s="32" t="n">
        <v>298.74</v>
      </c>
      <c r="R40" s="31" t="inlineStr">
        <is>
          <t>Volume Spike &amp; Near 52W High Breakout</t>
        </is>
      </c>
      <c r="S40" s="31" t="inlineStr">
        <is>
          <t>Nifty IT</t>
        </is>
      </c>
      <c r="T40" s="32" t="n">
        <v>-19.91</v>
      </c>
      <c r="U40" s="32" t="n">
        <v>352.89</v>
      </c>
      <c r="V40" s="32" t="n">
        <v>465.47</v>
      </c>
      <c r="W40" s="32" t="n">
        <v>47.61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Between 0.7 to 1.2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IF(B41=0,"",RANK(B41,$B$2:$B$304,0))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WELCORP</t>
        </is>
      </c>
      <c r="D41" s="31" t="inlineStr">
        <is>
          <t>Welspun Corp Limited</t>
        </is>
      </c>
      <c r="E41" s="31" t="inlineStr">
        <is>
          <t>industrials</t>
        </is>
      </c>
      <c r="F41" s="31" t="inlineStr">
        <is>
          <t>steel - large</t>
        </is>
      </c>
      <c r="G41" s="31" t="inlineStr">
        <is>
          <t>largecap</t>
        </is>
      </c>
      <c r="H41" s="32" t="n">
        <v>73252.02</v>
      </c>
      <c r="I41" s="32" t="n">
        <v>2676.6</v>
      </c>
      <c r="J41" s="32" t="n">
        <v>-3.61</v>
      </c>
      <c r="K41" s="32" t="n">
        <v>1221515</v>
      </c>
      <c r="L41" s="31" t="n">
        <v>95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95.04000000000001</v>
      </c>
      <c r="P41" s="32" t="n">
        <v>77.06</v>
      </c>
      <c r="Q41" s="32" t="n">
        <v>2190.2</v>
      </c>
      <c r="R41" s="31" t="inlineStr">
        <is>
          <t>Near 52W High Breakout</t>
        </is>
      </c>
      <c r="S41" s="31" t="inlineStr">
        <is>
          <t>Nifty Metal</t>
        </is>
      </c>
      <c r="T41" s="32" t="n">
        <v>37.92</v>
      </c>
      <c r="U41" s="32" t="n">
        <v>202.79</v>
      </c>
      <c r="V41" s="32" t="n">
        <v>119.54</v>
      </c>
      <c r="W41" s="32" t="n">
        <v>58.35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IF(B42=0,"",RANK(B42,$B$2:$B$304,0))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JINDWORLD</t>
        </is>
      </c>
      <c r="D42" s="31" t="inlineStr">
        <is>
          <t>Jindal Worldwide Limited</t>
        </is>
      </c>
      <c r="E42" s="31" t="inlineStr">
        <is>
          <t>textiles</t>
        </is>
      </c>
      <c r="F42" s="31" t="inlineStr">
        <is>
          <t>textiles - products</t>
        </is>
      </c>
      <c r="G42" s="31" t="inlineStr">
        <is>
          <t>midcap</t>
        </is>
      </c>
      <c r="H42" s="32" t="n">
        <v>5578.48</v>
      </c>
      <c r="I42" s="32" t="n">
        <v>52.88</v>
      </c>
      <c r="J42" s="32" t="n">
        <v>-4.96</v>
      </c>
      <c r="K42" s="32" t="n">
        <v>14626067</v>
      </c>
      <c r="L42" s="31" t="n">
        <v>79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71.69</v>
      </c>
      <c r="P42" s="32" t="n">
        <v>41.51</v>
      </c>
      <c r="Q42" s="32" t="n">
        <v>41.31</v>
      </c>
      <c r="R42" s="31" t="inlineStr">
        <is>
          <t>Volume Spike / Accumulation</t>
        </is>
      </c>
      <c r="S42" s="31" t="inlineStr">
        <is>
          <t>Nifty 50</t>
        </is>
      </c>
      <c r="T42" s="32" t="n">
        <v>-6.83</v>
      </c>
      <c r="U42" s="32" t="n">
        <v>46.28</v>
      </c>
      <c r="V42" s="32" t="n">
        <v>57.01</v>
      </c>
      <c r="W42" s="32" t="n">
        <v>29.83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IF(B43=0,"",RANK(B43,$B$2:$B$304,0))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AHCL</t>
        </is>
      </c>
      <c r="D43" s="31" t="inlineStr">
        <is>
          <t>Anlon Healthcare Ltd</t>
        </is>
      </c>
      <c r="E43" s="31" t="inlineStr">
        <is>
          <t>healthcare</t>
        </is>
      </c>
      <c r="F43" s="31" t="inlineStr">
        <is>
          <t>pharmaceuticals - indian - bulk drugs &amp; formln</t>
        </is>
      </c>
      <c r="G43" s="31" t="inlineStr">
        <is>
          <t>smallcap</t>
        </is>
      </c>
      <c r="H43" s="32" t="n">
        <v>932.28</v>
      </c>
      <c r="I43" s="32" t="n">
        <v>19.57</v>
      </c>
      <c r="J43" s="32" t="n">
        <v>11.57</v>
      </c>
      <c r="K43" s="32" t="n">
        <v>150749037</v>
      </c>
      <c r="L43" s="31" t="n">
        <v>62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73.33</v>
      </c>
      <c r="P43" s="32" t="n">
        <v>40.07</v>
      </c>
      <c r="Q43" s="32" t="n">
        <v>14.66</v>
      </c>
      <c r="R43" s="31" t="inlineStr">
        <is>
          <t>Volume Spike &amp; Near 52W High Breakout</t>
        </is>
      </c>
      <c r="S43" s="31" t="inlineStr">
        <is>
          <t>Nifty Pharma</t>
        </is>
      </c>
      <c r="T43" s="32" t="n">
        <v>18.76</v>
      </c>
      <c r="U43" s="32" t="n">
        <v>78.84</v>
      </c>
      <c r="V43" s="32" t="n">
        <v>50.59</v>
      </c>
      <c r="W43" s="32" t="n">
        <v>20.17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IF(B44=0,"",RANK(B44,$B$2:$B$304,0))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AKUMS</t>
        </is>
      </c>
      <c r="D44" s="31" t="inlineStr">
        <is>
          <t>Akums Drugs &amp; Pharmaceuticals Ltd</t>
        </is>
      </c>
      <c r="E44" s="31" t="inlineStr">
        <is>
          <t>healthcare</t>
        </is>
      </c>
      <c r="F44" s="31" t="inlineStr">
        <is>
          <t>pharmaceuticals - indian - bulk drugs &amp; formln</t>
        </is>
      </c>
      <c r="G44" s="31" t="inlineStr">
        <is>
          <t>midcap</t>
        </is>
      </c>
      <c r="H44" s="32" t="n">
        <v>11799.04</v>
      </c>
      <c r="I44" s="32" t="n">
        <v>776.35</v>
      </c>
      <c r="J44" s="32" t="n">
        <v>3.56</v>
      </c>
      <c r="K44" s="32" t="n">
        <v>398725</v>
      </c>
      <c r="L44" s="31" t="n">
        <v>53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73.95</v>
      </c>
      <c r="P44" s="32" t="n">
        <v>62.15</v>
      </c>
      <c r="Q44" s="32" t="n">
        <v>629.17</v>
      </c>
      <c r="R44" s="31" t="inlineStr">
        <is>
          <t>Near 52W High Breakout</t>
        </is>
      </c>
      <c r="S44" s="31" t="inlineStr">
        <is>
          <t>Nifty Pharma</t>
        </is>
      </c>
      <c r="T44" s="32" t="n">
        <v>18.76</v>
      </c>
      <c r="U44" s="32" t="n">
        <v>68.84</v>
      </c>
      <c r="V44" s="32" t="n">
        <v>42.17</v>
      </c>
      <c r="W44" s="32" t="n">
        <v>17.13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IF(B45=0,"",RANK(B45,$B$2:$B$304,0))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63MOONS</t>
        </is>
      </c>
      <c r="D45" s="31" t="inlineStr">
        <is>
          <t>63 Moons Technologies Ltd</t>
        </is>
      </c>
      <c r="E45" s="31" t="inlineStr">
        <is>
          <t>i.t</t>
        </is>
      </c>
      <c r="F45" s="31" t="inlineStr">
        <is>
          <t>computers - software - medium / small</t>
        </is>
      </c>
      <c r="G45" s="31" t="inlineStr">
        <is>
          <t>smallcap</t>
        </is>
      </c>
      <c r="H45" s="32" t="n">
        <v>4084.17</v>
      </c>
      <c r="I45" s="32" t="n">
        <v>908.9</v>
      </c>
      <c r="J45" s="32" t="n">
        <v>2.54</v>
      </c>
      <c r="K45" s="32" t="n">
        <v>1336886</v>
      </c>
      <c r="L45" s="31" t="n">
        <v>30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63.12</v>
      </c>
      <c r="P45" s="32" t="n">
        <v>29.57</v>
      </c>
      <c r="Q45" s="32" t="n">
        <v>667.03</v>
      </c>
      <c r="R45" s="31" t="inlineStr">
        <is>
          <t>Near 52W High Breakout</t>
        </is>
      </c>
      <c r="S45" s="31" t="inlineStr">
        <is>
          <t>Nifty IT</t>
        </is>
      </c>
      <c r="T45" s="32" t="n">
        <v>-19.91</v>
      </c>
      <c r="U45" s="32" t="n">
        <v>-3.35</v>
      </c>
      <c r="V45" s="32" t="n">
        <v>20.68</v>
      </c>
      <c r="W45" s="32" t="n">
        <v>9.619999999999999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IF(B46=0,"",RANK(B46,$B$2:$B$304,0))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INDSWFTLAB</t>
        </is>
      </c>
      <c r="D46" s="31" t="inlineStr">
        <is>
          <t>Ind-swift Laboratories Limited</t>
        </is>
      </c>
      <c r="E46" s="31" t="inlineStr">
        <is>
          <t>healthcare</t>
        </is>
      </c>
      <c r="F46" s="31" t="inlineStr">
        <is>
          <t>pharmaceuticals - indian - bulk drugs &amp; formln</t>
        </is>
      </c>
      <c r="G46" s="31" t="inlineStr">
        <is>
          <t>smallcap</t>
        </is>
      </c>
      <c r="H46" s="32" t="n">
        <v>3282.8</v>
      </c>
      <c r="I46" s="32" t="n">
        <v>385.35</v>
      </c>
      <c r="J46" s="32" t="n">
        <v>2.08</v>
      </c>
      <c r="K46" s="32" t="n">
        <v>565658</v>
      </c>
      <c r="L46" s="31" t="n">
        <v>97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88.06999999999999</v>
      </c>
      <c r="P46" s="32" t="n">
        <v>74.59999999999999</v>
      </c>
      <c r="Q46" s="32" t="n">
        <v>292.35</v>
      </c>
      <c r="R46" s="31" t="inlineStr">
        <is>
          <t>Near 52W High Breakout</t>
        </is>
      </c>
      <c r="S46" s="31" t="inlineStr">
        <is>
          <t>Nifty Pharma</t>
        </is>
      </c>
      <c r="T46" s="32" t="n">
        <v>18.76</v>
      </c>
      <c r="U46" s="32" t="n">
        <v>264.67</v>
      </c>
      <c r="V46" s="32" t="n">
        <v>207.07</v>
      </c>
      <c r="W46" s="32" t="n">
        <v>64.87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IF(B47=0,"",RANK(B47,$B$2:$B$304,0))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GRANULES</t>
        </is>
      </c>
      <c r="D47" s="31" t="inlineStr">
        <is>
          <t>Granules India Limited</t>
        </is>
      </c>
      <c r="E47" s="31" t="inlineStr">
        <is>
          <t>healthcare</t>
        </is>
      </c>
      <c r="F47" s="31" t="inlineStr">
        <is>
          <t>pharmaceuticals - indian - bulk drugs &amp; formln</t>
        </is>
      </c>
      <c r="G47" s="31" t="inlineStr">
        <is>
          <t>largecap</t>
        </is>
      </c>
      <c r="H47" s="32" t="n">
        <v>22283.14</v>
      </c>
      <c r="I47" s="32" t="n">
        <v>909.3</v>
      </c>
      <c r="J47" s="32" t="n">
        <v>1.12</v>
      </c>
      <c r="K47" s="32" t="n">
        <v>7851231</v>
      </c>
      <c r="L47" s="31" t="n">
        <v>49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69.90000000000001</v>
      </c>
      <c r="P47" s="32" t="n">
        <v>39.76</v>
      </c>
      <c r="Q47" s="32" t="n">
        <v>756.1900000000001</v>
      </c>
      <c r="R47" s="31" t="inlineStr">
        <is>
          <t>Volume Spike &amp; Near 52W High Breakout</t>
        </is>
      </c>
      <c r="S47" s="31" t="inlineStr">
        <is>
          <t>Nifty Pharma</t>
        </is>
      </c>
      <c r="T47" s="32" t="n">
        <v>18.76</v>
      </c>
      <c r="U47" s="32" t="n">
        <v>70.52</v>
      </c>
      <c r="V47" s="32" t="n">
        <v>43.59</v>
      </c>
      <c r="W47" s="32" t="n">
        <v>15.89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IF(B48=0,"",RANK(B48,$B$2:$B$304,0))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ALIVUS</t>
        </is>
      </c>
      <c r="D48" s="31" t="inlineStr">
        <is>
          <t>Alivus Life Sciences Ltd</t>
        </is>
      </c>
      <c r="E48" s="31" t="inlineStr">
        <is>
          <t>healthcare</t>
        </is>
      </c>
      <c r="F48" s="31" t="inlineStr">
        <is>
          <t>pharmaceuticals - indian - bulk drugs &amp; formln</t>
        </is>
      </c>
      <c r="G48" s="31" t="inlineStr">
        <is>
          <t>midcap</t>
        </is>
      </c>
      <c r="H48" s="32" t="n">
        <v>17062.81</v>
      </c>
      <c r="I48" s="32" t="n">
        <v>1386.8</v>
      </c>
      <c r="J48" s="32" t="n">
        <v>-0.24</v>
      </c>
      <c r="K48" s="32" t="n">
        <v>74367</v>
      </c>
      <c r="L48" s="31" t="n">
        <v>48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75.34</v>
      </c>
      <c r="P48" s="32" t="n">
        <v>48.89</v>
      </c>
      <c r="Q48" s="32" t="n">
        <v>1125.62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18.76</v>
      </c>
      <c r="U48" s="32" t="n">
        <v>48.55</v>
      </c>
      <c r="V48" s="32" t="n">
        <v>25.08</v>
      </c>
      <c r="W48" s="32" t="n">
        <v>15.61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IF(B49=0,"",RANK(B49,$B$2:$B$304,0))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CAPLIPOINT</t>
        </is>
      </c>
      <c r="D49" s="31" t="inlineStr">
        <is>
          <t>Caplin Point Laboratories Limited</t>
        </is>
      </c>
      <c r="E49" s="31" t="inlineStr">
        <is>
          <t>healthcare</t>
        </is>
      </c>
      <c r="F49" s="31" t="inlineStr">
        <is>
          <t>pharmaceuticals - indian - formulations</t>
        </is>
      </c>
      <c r="G49" s="31" t="inlineStr">
        <is>
          <t>largecap</t>
        </is>
      </c>
      <c r="H49" s="32" t="n">
        <v>21248.31</v>
      </c>
      <c r="I49" s="32" t="n">
        <v>2754.9</v>
      </c>
      <c r="J49" s="32" t="n">
        <v>-1.45</v>
      </c>
      <c r="K49" s="32" t="n">
        <v>103090</v>
      </c>
      <c r="L49" s="31" t="n">
        <v>29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70.23</v>
      </c>
      <c r="P49" s="32" t="n">
        <v>42.75</v>
      </c>
      <c r="Q49" s="32" t="n">
        <v>2273.41</v>
      </c>
      <c r="R49" s="31" t="inlineStr">
        <is>
          <t>Near 52W High Breakout</t>
        </is>
      </c>
      <c r="S49" s="31" t="inlineStr">
        <is>
          <t>Nifty Pharma</t>
        </is>
      </c>
      <c r="T49" s="32" t="n">
        <v>18.76</v>
      </c>
      <c r="U49" s="32" t="n">
        <v>22.92</v>
      </c>
      <c r="V49" s="32" t="n">
        <v>3.51</v>
      </c>
      <c r="W49" s="32" t="n">
        <v>9.210000000000001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Between 12 to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Between 1.5 to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IF(B50=0,"",RANK(B50,$B$2:$B$304,0))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IOLCP</t>
        </is>
      </c>
      <c r="D50" s="31" t="inlineStr">
        <is>
          <t>Iol Chemicals And Pharmaceuticals Limited</t>
        </is>
      </c>
      <c r="E50" s="31" t="inlineStr">
        <is>
          <t>healthcare</t>
        </is>
      </c>
      <c r="F50" s="31" t="inlineStr">
        <is>
          <t>pharmaceuticals - indian - bulk drugs &amp; formln</t>
        </is>
      </c>
      <c r="G50" s="31" t="inlineStr">
        <is>
          <t>midcap</t>
        </is>
      </c>
      <c r="H50" s="32" t="n">
        <v>6206.05</v>
      </c>
      <c r="I50" s="32" t="n">
        <v>194.31</v>
      </c>
      <c r="J50" s="32" t="n">
        <v>-8.1</v>
      </c>
      <c r="K50" s="32" t="n">
        <v>5129124</v>
      </c>
      <c r="L50" s="31" t="n">
        <v>77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75.31</v>
      </c>
      <c r="P50" s="32" t="n">
        <v>81.87</v>
      </c>
      <c r="Q50" s="32" t="n">
        <v>145.72</v>
      </c>
      <c r="R50" s="31" t="inlineStr">
        <is>
          <t>Near 52W High Breakout</t>
        </is>
      </c>
      <c r="S50" s="31" t="inlineStr">
        <is>
          <t>Nifty Pharma</t>
        </is>
      </c>
      <c r="T50" s="32" t="n">
        <v>18.76</v>
      </c>
      <c r="U50" s="32" t="n">
        <v>70.13</v>
      </c>
      <c r="V50" s="32" t="n">
        <v>43.26</v>
      </c>
      <c r="W50" s="32" t="n">
        <v>28.06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IF(B51=0,"",RANK(B51,$B$2:$B$304,0))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FILATEX</t>
        </is>
      </c>
      <c r="D51" s="31" t="inlineStr">
        <is>
          <t>Filatex India Limited</t>
        </is>
      </c>
      <c r="E51" s="31" t="inlineStr">
        <is>
          <t>textiles</t>
        </is>
      </c>
      <c r="F51" s="31" t="inlineStr">
        <is>
          <t>textiles - manmade</t>
        </is>
      </c>
      <c r="G51" s="31" t="inlineStr">
        <is>
          <t>smallcap</t>
        </is>
      </c>
      <c r="H51" s="32" t="n">
        <v>3385.95</v>
      </c>
      <c r="I51" s="32" t="n">
        <v>87.41</v>
      </c>
      <c r="J51" s="32" t="n">
        <v>14.64</v>
      </c>
      <c r="K51" s="32" t="n">
        <v>38898608</v>
      </c>
      <c r="L51" s="31" t="n">
        <v>76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75.36</v>
      </c>
      <c r="P51" s="32" t="n">
        <v>42.62</v>
      </c>
      <c r="Q51" s="32" t="n">
        <v>64.16</v>
      </c>
      <c r="R51" s="31" t="inlineStr">
        <is>
          <t>Near 52W High Breakout</t>
        </is>
      </c>
      <c r="S51" s="31" t="inlineStr">
        <is>
          <t>Nifty 50</t>
        </is>
      </c>
      <c r="T51" s="32" t="n">
        <v>-6.83</v>
      </c>
      <c r="U51" s="32" t="n">
        <v>57.22</v>
      </c>
      <c r="V51" s="32" t="n">
        <v>68.75</v>
      </c>
      <c r="W51" s="32" t="n">
        <v>27.32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Between 12 to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IF(B52=0,"",RANK(B52,$B$2:$B$304,0))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SETL</t>
        </is>
      </c>
      <c r="D52" s="31" t="inlineStr">
        <is>
          <t>Standard Enginnering Technology Ltd</t>
        </is>
      </c>
      <c r="E52" s="31" t="inlineStr">
        <is>
          <t>industrials</t>
        </is>
      </c>
      <c r="F52" s="31" t="inlineStr">
        <is>
          <t>engineering</t>
        </is>
      </c>
      <c r="G52" s="31" t="inlineStr">
        <is>
          <t>midcap</t>
        </is>
      </c>
      <c r="H52" s="32" t="n">
        <v>8895.33</v>
      </c>
      <c r="I52" s="32" t="n">
        <v>468.15</v>
      </c>
      <c r="J52" s="32" t="n">
        <v>4.99</v>
      </c>
      <c r="K52" s="32" t="n">
        <v>2933978</v>
      </c>
      <c r="L52" s="31" t="n">
        <v>98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91.75</v>
      </c>
      <c r="P52" s="32" t="n">
        <v>67.78</v>
      </c>
      <c r="Q52" s="32" t="n">
        <v>367.65</v>
      </c>
      <c r="R52" s="31" t="inlineStr">
        <is>
          <t>Near 52W High Breakout</t>
        </is>
      </c>
      <c r="S52" s="31" t="inlineStr">
        <is>
          <t>Nifty Infra</t>
        </is>
      </c>
      <c r="T52" s="32" t="n">
        <v>0.12</v>
      </c>
      <c r="U52" s="32" t="n">
        <v>168.25</v>
      </c>
      <c r="V52" s="32" t="n">
        <v>167.94</v>
      </c>
      <c r="W52" s="32" t="n">
        <v>92.34999999999999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IF(B53=0,"",RANK(B53,$B$2:$B$304,0))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AZAD</t>
        </is>
      </c>
      <c r="D53" s="31" t="inlineStr">
        <is>
          <t>Azad Engineering Ltd</t>
        </is>
      </c>
      <c r="E53" s="31" t="inlineStr">
        <is>
          <t>aerospace &amp; defence</t>
        </is>
      </c>
      <c r="F53" s="31" t="inlineStr">
        <is>
          <t>engineering</t>
        </is>
      </c>
      <c r="G53" s="31" t="inlineStr">
        <is>
          <t>midcap</t>
        </is>
      </c>
      <c r="H53" s="32" t="n">
        <v>17911.75</v>
      </c>
      <c r="I53" s="32" t="n">
        <v>2849.1</v>
      </c>
      <c r="J53" s="32" t="n">
        <v>2.73</v>
      </c>
      <c r="K53" s="32" t="n">
        <v>454037</v>
      </c>
      <c r="L53" s="31" t="n">
        <v>63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69.14</v>
      </c>
      <c r="P53" s="32" t="n">
        <v>40.39</v>
      </c>
      <c r="Q53" s="32" t="n">
        <v>2202.72</v>
      </c>
      <c r="R53" s="31" t="inlineStr">
        <is>
          <t>Near 52W High Breakout</t>
        </is>
      </c>
      <c r="S53" s="31" t="inlineStr">
        <is>
          <t>Nifty 50</t>
        </is>
      </c>
      <c r="T53" s="32" t="n">
        <v>-6.83</v>
      </c>
      <c r="U53" s="32" t="n">
        <v>77.92</v>
      </c>
      <c r="V53" s="32" t="n">
        <v>90.97</v>
      </c>
      <c r="W53" s="32" t="n">
        <v>20.46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IF(B54=0,"",RANK(B54,$B$2:$B$304,0))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ARROWGREEN</t>
        </is>
      </c>
      <c r="D54" s="31" t="inlineStr">
        <is>
          <t>Arrow Greentech Limited</t>
        </is>
      </c>
      <c r="E54" s="31" t="inlineStr">
        <is>
          <t>plastic products</t>
        </is>
      </c>
      <c r="F54" s="31" t="inlineStr">
        <is>
          <t>plastics products</t>
        </is>
      </c>
      <c r="G54" s="31" t="inlineStr">
        <is>
          <t>smallcap</t>
        </is>
      </c>
      <c r="H54" s="32" t="n">
        <v>1194.51</v>
      </c>
      <c r="I54" s="32" t="n">
        <v>813</v>
      </c>
      <c r="J54" s="32" t="n">
        <v>2.69</v>
      </c>
      <c r="K54" s="32" t="n">
        <v>19342</v>
      </c>
      <c r="L54" s="31" t="n">
        <v>51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66.40000000000001</v>
      </c>
      <c r="P54" s="32" t="n">
        <v>43.4</v>
      </c>
      <c r="Q54" s="32" t="n">
        <v>596.26</v>
      </c>
      <c r="R54" s="31" t="inlineStr">
        <is>
          <t>Near 52W High Breakout</t>
        </is>
      </c>
      <c r="S54" s="31" t="inlineStr">
        <is>
          <t>Nifty Infra</t>
        </is>
      </c>
      <c r="T54" s="32" t="n">
        <v>0.12</v>
      </c>
      <c r="U54" s="32" t="n">
        <v>7.78</v>
      </c>
      <c r="V54" s="32" t="n">
        <v>7.65</v>
      </c>
      <c r="W54" s="32" t="n">
        <v>16.85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IF(B55=0,"",RANK(B55,$B$2:$B$304,0))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KABRAEXTRU</t>
        </is>
      </c>
      <c r="D55" s="31" t="inlineStr">
        <is>
          <t>Kabra Extrusion Technik Limited</t>
        </is>
      </c>
      <c r="E55" s="31" t="inlineStr">
        <is>
          <t>industrials</t>
        </is>
      </c>
      <c r="F55" s="31" t="inlineStr">
        <is>
          <t>engineering</t>
        </is>
      </c>
      <c r="G55" s="31" t="inlineStr">
        <is>
          <t>smallcap</t>
        </is>
      </c>
      <c r="H55" s="32" t="n">
        <v>2474.5</v>
      </c>
      <c r="I55" s="32" t="n">
        <v>723.15</v>
      </c>
      <c r="J55" s="32" t="n">
        <v>2.2</v>
      </c>
      <c r="K55" s="32" t="n">
        <v>479794</v>
      </c>
      <c r="L55" s="31" t="n">
        <v>98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88.63</v>
      </c>
      <c r="P55" s="32" t="n">
        <v>55.74</v>
      </c>
      <c r="Q55" s="32" t="n">
        <v>563.88</v>
      </c>
      <c r="R55" s="31" t="inlineStr">
        <is>
          <t>Near 52W High Breakout</t>
        </is>
      </c>
      <c r="S55" s="31" t="inlineStr">
        <is>
          <t>Nifty Infra</t>
        </is>
      </c>
      <c r="T55" s="32" t="n">
        <v>0.12</v>
      </c>
      <c r="U55" s="32" t="n">
        <v>148.68</v>
      </c>
      <c r="V55" s="32" t="n">
        <v>148.38</v>
      </c>
      <c r="W55" s="32" t="n">
        <v>77.09999999999999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IF(B56=0,"",RANK(B56,$B$2:$B$304,0))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AETHER</t>
        </is>
      </c>
      <c r="D56" s="31" t="inlineStr">
        <is>
          <t>Aether Industries Ltd</t>
        </is>
      </c>
      <c r="E56" s="31" t="inlineStr">
        <is>
          <t>chemicals</t>
        </is>
      </c>
      <c r="F56" s="31" t="inlineStr">
        <is>
          <t>chemicals</t>
        </is>
      </c>
      <c r="G56" s="31" t="inlineStr">
        <is>
          <t>largecap</t>
        </is>
      </c>
      <c r="H56" s="32" t="n">
        <v>21768.84</v>
      </c>
      <c r="I56" s="32" t="n">
        <v>1674.7</v>
      </c>
      <c r="J56" s="32" t="n">
        <v>2.1</v>
      </c>
      <c r="K56" s="32" t="n">
        <v>352268</v>
      </c>
      <c r="L56" s="31" t="n">
        <v>78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72.77</v>
      </c>
      <c r="P56" s="32" t="n">
        <v>56.99</v>
      </c>
      <c r="Q56" s="32" t="n">
        <v>1371.63</v>
      </c>
      <c r="R56" s="31" t="inlineStr">
        <is>
          <t>Near 52W High Breakout</t>
        </is>
      </c>
      <c r="S56" s="31" t="inlineStr">
        <is>
          <t>Nifty 50</t>
        </is>
      </c>
      <c r="T56" s="32" t="n">
        <v>-6.83</v>
      </c>
      <c r="U56" s="32" t="n">
        <v>128.36</v>
      </c>
      <c r="V56" s="32" t="n">
        <v>145.11</v>
      </c>
      <c r="W56" s="32" t="n">
        <v>28.18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IF(B57=0,"",RANK(B57,$B$2:$B$304,0))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CARTRADE</t>
        </is>
      </c>
      <c r="D57" s="31" t="inlineStr">
        <is>
          <t>Cartrade Tech Ltd</t>
        </is>
      </c>
      <c r="E57" s="31" t="inlineStr">
        <is>
          <t>consumer discretionary</t>
        </is>
      </c>
      <c r="F57" s="31" t="inlineStr">
        <is>
          <t>miscellaneous</t>
        </is>
      </c>
      <c r="G57" s="31" t="inlineStr">
        <is>
          <t>midcap</t>
        </is>
      </c>
      <c r="H57" s="32" t="n">
        <v>14573.55</v>
      </c>
      <c r="I57" s="32" t="n">
        <v>3087.9</v>
      </c>
      <c r="J57" s="32" t="n">
        <v>1.75</v>
      </c>
      <c r="K57" s="32" t="n">
        <v>273739</v>
      </c>
      <c r="L57" s="31" t="n">
        <v>50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69.06999999999999</v>
      </c>
      <c r="P57" s="32" t="n">
        <v>48.9</v>
      </c>
      <c r="Q57" s="32" t="n">
        <v>2311.17</v>
      </c>
      <c r="R57" s="31" t="inlineStr">
        <is>
          <t>Near 52W High Breakout</t>
        </is>
      </c>
      <c r="S57" s="31" t="inlineStr">
        <is>
          <t>Nifty 50</t>
        </is>
      </c>
      <c r="T57" s="32" t="n">
        <v>-6.83</v>
      </c>
      <c r="U57" s="32" t="n">
        <v>32.06</v>
      </c>
      <c r="V57" s="32" t="n">
        <v>41.75</v>
      </c>
      <c r="W57" s="32" t="n">
        <v>16.37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IF(B58=0,"",RANK(B58,$B$2:$B$304,0))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OMAXE</t>
        </is>
      </c>
      <c r="D58" s="31" t="inlineStr">
        <is>
          <t>Omaxe Limited</t>
        </is>
      </c>
      <c r="E58" s="31" t="inlineStr">
        <is>
          <t>realty</t>
        </is>
      </c>
      <c r="F58" s="31" t="inlineStr">
        <is>
          <t>construction</t>
        </is>
      </c>
      <c r="G58" s="31" t="inlineStr">
        <is>
          <t>smallcap</t>
        </is>
      </c>
      <c r="H58" s="32" t="n">
        <v>2239.07</v>
      </c>
      <c r="I58" s="32" t="n">
        <v>123.98</v>
      </c>
      <c r="J58" s="32" t="n">
        <v>1.27</v>
      </c>
      <c r="K58" s="32" t="n">
        <v>1063265</v>
      </c>
      <c r="L58" s="31" t="n">
        <v>53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69.42</v>
      </c>
      <c r="P58" s="32" t="n">
        <v>40.16</v>
      </c>
      <c r="Q58" s="32" t="n">
        <v>96.04000000000001</v>
      </c>
      <c r="R58" s="31" t="inlineStr">
        <is>
          <t>Earnings / Momentum Support</t>
        </is>
      </c>
      <c r="S58" s="31" t="inlineStr">
        <is>
          <t>Nifty Realty</t>
        </is>
      </c>
      <c r="T58" s="32" t="n">
        <v>-10.74</v>
      </c>
      <c r="U58" s="32" t="n">
        <v>31.66</v>
      </c>
      <c r="V58" s="32" t="n">
        <v>47.5</v>
      </c>
      <c r="W58" s="32" t="n">
        <v>17.54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IF(B59=0,"",RANK(B59,$B$2:$B$304,0))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HITECHCORP</t>
        </is>
      </c>
      <c r="D59" s="31" t="inlineStr">
        <is>
          <t>Hitech Corporation</t>
        </is>
      </c>
      <c r="E59" s="31" t="inlineStr">
        <is>
          <t>industrials</t>
        </is>
      </c>
      <c r="F59" s="31" t="inlineStr">
        <is>
          <t>packaging</t>
        </is>
      </c>
      <c r="G59" s="31" t="inlineStr">
        <is>
          <t>smallcap</t>
        </is>
      </c>
      <c r="H59" s="32" t="n">
        <v>570.66</v>
      </c>
      <c r="I59" s="32" t="n">
        <v>334.5</v>
      </c>
      <c r="J59" s="32" t="n">
        <v>0.68</v>
      </c>
      <c r="K59" s="32" t="n">
        <v>3865</v>
      </c>
      <c r="L59" s="31" t="n">
        <v>68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80.48999999999999</v>
      </c>
      <c r="P59" s="32" t="n">
        <v>67.58</v>
      </c>
      <c r="Q59" s="32" t="n">
        <v>281.5</v>
      </c>
      <c r="R59" s="31" t="inlineStr">
        <is>
          <t>Near 52W High Breakout</t>
        </is>
      </c>
      <c r="S59" s="31" t="inlineStr">
        <is>
          <t>Nifty 50</t>
        </is>
      </c>
      <c r="T59" s="32" t="n">
        <v>-6.83</v>
      </c>
      <c r="U59" s="32" t="n">
        <v>64.42</v>
      </c>
      <c r="V59" s="32" t="n">
        <v>76.48</v>
      </c>
      <c r="W59" s="32" t="n">
        <v>22.23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IF(B60=0,"",RANK(B60,$B$2:$B$304,0))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LOTUSDEV</t>
        </is>
      </c>
      <c r="D60" s="31" t="inlineStr">
        <is>
          <t>Sri Lotus Developers &amp; Realty Ltd</t>
        </is>
      </c>
      <c r="E60" s="31" t="inlineStr">
        <is>
          <t>realty</t>
        </is>
      </c>
      <c r="F60" s="31" t="inlineStr">
        <is>
          <t>construction</t>
        </is>
      </c>
      <c r="G60" s="31" t="inlineStr">
        <is>
          <t>midcap</t>
        </is>
      </c>
      <c r="H60" s="32" t="n">
        <v>10159.59</v>
      </c>
      <c r="I60" s="32" t="n">
        <v>209.27</v>
      </c>
      <c r="J60" s="32" t="n">
        <v>0.67</v>
      </c>
      <c r="K60" s="32" t="n">
        <v>2083473</v>
      </c>
      <c r="L60" s="31" t="n">
        <v>39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65.42</v>
      </c>
      <c r="P60" s="32" t="n">
        <v>21.78</v>
      </c>
      <c r="Q60" s="32" t="n">
        <v>157.2</v>
      </c>
      <c r="R60" s="31" t="inlineStr">
        <is>
          <t>Near 52W High Breakout</t>
        </is>
      </c>
      <c r="S60" s="31" t="inlineStr">
        <is>
          <t>Nifty Realty</t>
        </is>
      </c>
      <c r="T60" s="32" t="n">
        <v>-2.93</v>
      </c>
      <c r="U60" s="32" t="n">
        <v>-0.09</v>
      </c>
      <c r="V60" s="32" t="n">
        <v>2.93</v>
      </c>
      <c r="W60" s="32" t="n">
        <v>12.37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IF(B61=0,"",RANK(B61,$B$2:$B$304,0))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IDEA</t>
        </is>
      </c>
      <c r="D61" s="31" t="inlineStr">
        <is>
          <t>Vodafone Idea Ltd</t>
        </is>
      </c>
      <c r="E61" s="31" t="inlineStr">
        <is>
          <t>telecom-service</t>
        </is>
      </c>
      <c r="F61" s="31" t="inlineStr">
        <is>
          <t>telecommunications - service provider</t>
        </is>
      </c>
      <c r="G61" s="31" t="inlineStr">
        <is>
          <t>largecap</t>
        </is>
      </c>
      <c r="H61" s="32" t="n">
        <v>161431.12</v>
      </c>
      <c r="I61" s="32" t="n">
        <v>14.97</v>
      </c>
      <c r="J61" s="32" t="n">
        <v>0.47</v>
      </c>
      <c r="K61" s="32" t="n">
        <v>547907103</v>
      </c>
      <c r="L61" s="31" t="n">
        <v>58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65.8</v>
      </c>
      <c r="P61" s="32" t="n">
        <v>34.12</v>
      </c>
      <c r="Q61" s="32" t="n">
        <v>11.96</v>
      </c>
      <c r="R61" s="31" t="inlineStr">
        <is>
          <t>Volume Spike &amp; Near 52W High Breakout</t>
        </is>
      </c>
      <c r="S61" s="31" t="inlineStr">
        <is>
          <t>Nifty 50</t>
        </is>
      </c>
      <c r="T61" s="32" t="n">
        <v>-6.83</v>
      </c>
      <c r="U61" s="32" t="n">
        <v>95.43000000000001</v>
      </c>
      <c r="V61" s="32" t="n">
        <v>109.76</v>
      </c>
      <c r="W61" s="32" t="n">
        <v>18.65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Oligopoly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IF(B62=0,"",RANK(B62,$B$2:$B$304,0))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UNIPARTS</t>
        </is>
      </c>
      <c r="D62" s="31" t="inlineStr">
        <is>
          <t>Uniparts India Ltd</t>
        </is>
      </c>
      <c r="E62" s="31" t="inlineStr">
        <is>
          <t>industrials</t>
        </is>
      </c>
      <c r="F62" s="31" t="inlineStr">
        <is>
          <t>engineering</t>
        </is>
      </c>
      <c r="G62" s="31" t="inlineStr">
        <is>
          <t>smallcap</t>
        </is>
      </c>
      <c r="H62" s="32" t="n">
        <v>4035.12</v>
      </c>
      <c r="I62" s="32" t="n">
        <v>897.45</v>
      </c>
      <c r="J62" s="32" t="n">
        <v>0.4</v>
      </c>
      <c r="K62" s="32" t="n">
        <v>168282</v>
      </c>
      <c r="L62" s="31" t="n">
        <v>77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83.61</v>
      </c>
      <c r="P62" s="32" t="n">
        <v>69.69</v>
      </c>
      <c r="Q62" s="32" t="n">
        <v>730.8200000000001</v>
      </c>
      <c r="R62" s="31" t="inlineStr">
        <is>
          <t>Near 52W High Breakout</t>
        </is>
      </c>
      <c r="S62" s="31" t="inlineStr">
        <is>
          <t>Nifty 50</t>
        </is>
      </c>
      <c r="T62" s="32" t="n">
        <v>-6.83</v>
      </c>
      <c r="U62" s="32" t="n">
        <v>133.29</v>
      </c>
      <c r="V62" s="32" t="n">
        <v>150.4</v>
      </c>
      <c r="W62" s="32" t="n">
        <v>28.05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IF(B63=0,"",RANK(B63,$B$2:$B$304,0))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FINCABLES</t>
        </is>
      </c>
      <c r="D63" s="31" t="inlineStr">
        <is>
          <t>Finolex Cables Limited</t>
        </is>
      </c>
      <c r="E63" s="31" t="inlineStr">
        <is>
          <t>industrials</t>
        </is>
      </c>
      <c r="F63" s="31" t="inlineStr">
        <is>
          <t>cables - power</t>
        </is>
      </c>
      <c r="G63" s="31" t="inlineStr">
        <is>
          <t>largecap</t>
        </is>
      </c>
      <c r="H63" s="32" t="n">
        <v>21692.92</v>
      </c>
      <c r="I63" s="32" t="n">
        <v>1424</v>
      </c>
      <c r="J63" s="32" t="n">
        <v>0.39</v>
      </c>
      <c r="K63" s="32" t="n">
        <v>3358636</v>
      </c>
      <c r="L63" s="31" t="n">
        <v>67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70.51000000000001</v>
      </c>
      <c r="P63" s="32" t="n">
        <v>36.16</v>
      </c>
      <c r="Q63" s="32" t="n">
        <v>1072.3</v>
      </c>
      <c r="R63" s="31" t="inlineStr">
        <is>
          <t>Volume Spike &amp; Near 52W High Breakout</t>
        </is>
      </c>
      <c r="S63" s="31" t="inlineStr">
        <is>
          <t>Nifty Energy</t>
        </is>
      </c>
      <c r="T63" s="32" t="n">
        <v>7.62</v>
      </c>
      <c r="U63" s="32" t="n">
        <v>61.13</v>
      </c>
      <c r="V63" s="32" t="n">
        <v>49.73</v>
      </c>
      <c r="W63" s="32" t="n">
        <v>21.96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IF(B64=0,"",RANK(B64,$B$2:$B$304,0))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CPPLUS</t>
        </is>
      </c>
      <c r="D64" s="31" t="inlineStr">
        <is>
          <t>Aditya Infotech Ltd</t>
        </is>
      </c>
      <c r="E64" s="31" t="inlineStr">
        <is>
          <t>consumer discretionary</t>
        </is>
      </c>
      <c r="F64" s="31" t="inlineStr">
        <is>
          <t>trading</t>
        </is>
      </c>
      <c r="G64" s="31" t="inlineStr">
        <is>
          <t>largecap</t>
        </is>
      </c>
      <c r="H64" s="32" t="n">
        <v>45126.13</v>
      </c>
      <c r="I64" s="32" t="n">
        <v>3825.5</v>
      </c>
      <c r="J64" s="32" t="n">
        <v>-0.09</v>
      </c>
      <c r="K64" s="32" t="n">
        <v>161471</v>
      </c>
      <c r="L64" s="31" t="n">
        <v>78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72.42</v>
      </c>
      <c r="P64" s="32" t="n">
        <v>60.1</v>
      </c>
      <c r="Q64" s="32" t="n">
        <v>2899.94</v>
      </c>
      <c r="R64" s="31" t="inlineStr">
        <is>
          <t>Near 52W High Breakout</t>
        </is>
      </c>
      <c r="S64" s="31" t="inlineStr">
        <is>
          <t>Nifty 50</t>
        </is>
      </c>
      <c r="T64" s="32" t="n">
        <v>-6.83</v>
      </c>
      <c r="U64" s="32" t="n">
        <v>166.71</v>
      </c>
      <c r="V64" s="32" t="n">
        <v>186.27</v>
      </c>
      <c r="W64" s="32" t="n">
        <v>29.54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IF(B65=0,"",RANK(B65,$B$2:$B$304,0))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JKPAPER</t>
        </is>
      </c>
      <c r="D65" s="31" t="inlineStr">
        <is>
          <t>Jk Paper Limited</t>
        </is>
      </c>
      <c r="E65" s="31" t="inlineStr">
        <is>
          <t>building materials</t>
        </is>
      </c>
      <c r="F65" s="31" t="inlineStr">
        <is>
          <t>paper</t>
        </is>
      </c>
      <c r="G65" s="31" t="inlineStr">
        <is>
          <t>midcap</t>
        </is>
      </c>
      <c r="H65" s="32" t="n">
        <v>7527.45</v>
      </c>
      <c r="I65" s="32" t="n">
        <v>414.25</v>
      </c>
      <c r="J65" s="32" t="n">
        <v>-0.22</v>
      </c>
      <c r="K65" s="32" t="n">
        <v>395550</v>
      </c>
      <c r="L65" s="31" t="n">
        <v>17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66.13</v>
      </c>
      <c r="P65" s="32" t="n">
        <v>32.19</v>
      </c>
      <c r="Q65" s="32" t="n">
        <v>336.74</v>
      </c>
      <c r="R65" s="31" t="inlineStr">
        <is>
          <t>Near 52W High Breakout</t>
        </is>
      </c>
      <c r="S65" s="31" t="inlineStr">
        <is>
          <t>Nifty Infra</t>
        </is>
      </c>
      <c r="T65" s="32" t="n">
        <v>0.12</v>
      </c>
      <c r="U65" s="32" t="n">
        <v>13.47</v>
      </c>
      <c r="V65" s="32" t="n">
        <v>13.34</v>
      </c>
      <c r="W65" s="32" t="n">
        <v>6.02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IF(B66=0,"",RANK(B66,$B$2:$B$304,0))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SOLARINDS</t>
        </is>
      </c>
      <c r="D66" s="31" t="inlineStr">
        <is>
          <t>Solar Industries India Limited</t>
        </is>
      </c>
      <c r="E66" s="31" t="inlineStr">
        <is>
          <t>aerospace &amp; defence</t>
        </is>
      </c>
      <c r="F66" s="31" t="inlineStr">
        <is>
          <t>chemicals</t>
        </is>
      </c>
      <c r="G66" s="31" t="inlineStr">
        <is>
          <t>largecap</t>
        </is>
      </c>
      <c r="H66" s="32" t="n">
        <v>202426.25</v>
      </c>
      <c r="I66" s="32" t="n">
        <v>22290</v>
      </c>
      <c r="J66" s="32" t="n">
        <v>-0.36</v>
      </c>
      <c r="K66" s="32" t="n">
        <v>148838</v>
      </c>
      <c r="L66" s="31" t="n">
        <v>49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78.73</v>
      </c>
      <c r="P66" s="32" t="n">
        <v>40.15</v>
      </c>
      <c r="Q66" s="32" t="n">
        <v>18547.95</v>
      </c>
      <c r="R66" s="31" t="inlineStr">
        <is>
          <t>Near 52W High Breakout</t>
        </is>
      </c>
      <c r="S66" s="31" t="inlineStr">
        <is>
          <t>Nifty 50</t>
        </is>
      </c>
      <c r="T66" s="32" t="n">
        <v>-6.83</v>
      </c>
      <c r="U66" s="32" t="n">
        <v>54.85</v>
      </c>
      <c r="V66" s="32" t="n">
        <v>66.20999999999999</v>
      </c>
      <c r="W66" s="32" t="n">
        <v>16.35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IF(B67=0,"",RANK(B67,$B$2:$B$304,0))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CENTUM</t>
        </is>
      </c>
      <c r="D67" s="31" t="inlineStr">
        <is>
          <t>Centum Electronics Limited</t>
        </is>
      </c>
      <c r="E67" s="31" t="inlineStr">
        <is>
          <t>aerospace &amp; defence</t>
        </is>
      </c>
      <c r="F67" s="31" t="inlineStr">
        <is>
          <t>electronics - components</t>
        </is>
      </c>
      <c r="G67" s="31" t="inlineStr">
        <is>
          <t>midcap</t>
        </is>
      </c>
      <c r="H67" s="32" t="n">
        <v>6214.14</v>
      </c>
      <c r="I67" s="32" t="n">
        <v>4192</v>
      </c>
      <c r="J67" s="32" t="n">
        <v>-0.44</v>
      </c>
      <c r="K67" s="32" t="n">
        <v>27427</v>
      </c>
      <c r="L67" s="31" t="n">
        <v>72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69.8</v>
      </c>
      <c r="P67" s="32" t="n">
        <v>51.63</v>
      </c>
      <c r="Q67" s="32" t="n">
        <v>3165.43</v>
      </c>
      <c r="R67" s="31" t="inlineStr">
        <is>
          <t>Volume Spike &amp; Near 52W High Breakout</t>
        </is>
      </c>
      <c r="S67" s="31" t="inlineStr">
        <is>
          <t>Nifty Infra</t>
        </is>
      </c>
      <c r="T67" s="32" t="n">
        <v>0.12</v>
      </c>
      <c r="U67" s="32" t="n">
        <v>84.23</v>
      </c>
      <c r="V67" s="32" t="n">
        <v>84.02</v>
      </c>
      <c r="W67" s="32" t="n">
        <v>24.96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IF(B68=0,"",RANK(B68,$B$2:$B$304,0))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ASIANHOTNR</t>
        </is>
      </c>
      <c r="D68" s="31" t="inlineStr">
        <is>
          <t>Asian Hotels (north) Limited</t>
        </is>
      </c>
      <c r="E68" s="31" t="inlineStr">
        <is>
          <t>services</t>
        </is>
      </c>
      <c r="F68" s="31" t="inlineStr">
        <is>
          <t>hotels</t>
        </is>
      </c>
      <c r="G68" s="31" t="inlineStr">
        <is>
          <t>smallcap</t>
        </is>
      </c>
      <c r="H68" s="32" t="n">
        <v>1629.23</v>
      </c>
      <c r="I68" s="32" t="n">
        <v>378.8</v>
      </c>
      <c r="J68" s="32" t="n">
        <v>-0.88</v>
      </c>
      <c r="K68" s="32" t="n">
        <v>26340</v>
      </c>
      <c r="L68" s="31" t="n">
        <v>29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68.06</v>
      </c>
      <c r="P68" s="32" t="n">
        <v>35.02</v>
      </c>
      <c r="Q68" s="32" t="n">
        <v>274.98</v>
      </c>
      <c r="R68" s="31" t="inlineStr">
        <is>
          <t>Near 52W High Breakout</t>
        </is>
      </c>
      <c r="S68" s="31" t="inlineStr">
        <is>
          <t>Nifty 50</t>
        </is>
      </c>
      <c r="T68" s="32" t="n">
        <v>-6.83</v>
      </c>
      <c r="U68" s="32" t="n">
        <v>18.23</v>
      </c>
      <c r="V68" s="32" t="n">
        <v>26.9</v>
      </c>
      <c r="W68" s="32" t="n">
        <v>9.550000000000001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IF(B69=0,"",RANK(B69,$B$2:$B$304,0))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PCJEWELLER</t>
        </is>
      </c>
      <c r="D69" s="31" t="inlineStr">
        <is>
          <t>Pc Jeweller Limited</t>
        </is>
      </c>
      <c r="E69" s="31" t="inlineStr">
        <is>
          <t>consumer discretionary</t>
        </is>
      </c>
      <c r="F69" s="31" t="inlineStr">
        <is>
          <t>diamond cutting / jewellery</t>
        </is>
      </c>
      <c r="G69" s="31" t="inlineStr">
        <is>
          <t>midcap</t>
        </is>
      </c>
      <c r="H69" s="32" t="n">
        <v>13429.67</v>
      </c>
      <c r="I69" s="32" t="n">
        <v>13.7</v>
      </c>
      <c r="J69" s="32" t="n">
        <v>-0.9399999999999999</v>
      </c>
      <c r="K69" s="32" t="n">
        <v>420161544</v>
      </c>
      <c r="L69" s="31" t="n">
        <v>46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72.79000000000001</v>
      </c>
      <c r="P69" s="32" t="n">
        <v>22.76</v>
      </c>
      <c r="Q69" s="32" t="n">
        <v>10</v>
      </c>
      <c r="R69" s="31" t="inlineStr">
        <is>
          <t>Near 52W High Breakout</t>
        </is>
      </c>
      <c r="S69" s="31" t="inlineStr">
        <is>
          <t>Nifty 50</t>
        </is>
      </c>
      <c r="T69" s="32" t="n">
        <v>-6.83</v>
      </c>
      <c r="U69" s="32" t="n">
        <v>4.34</v>
      </c>
      <c r="V69" s="32" t="n">
        <v>11.99</v>
      </c>
      <c r="W69" s="32" t="n">
        <v>14.6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IF(B70=0,"",RANK(B70,$B$2:$B$304,0))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PASUPTAC</t>
        </is>
      </c>
      <c r="D70" s="31" t="inlineStr">
        <is>
          <t>Pasupati Acrylon Ltd</t>
        </is>
      </c>
      <c r="E70" s="31" t="inlineStr">
        <is>
          <t>textiles</t>
        </is>
      </c>
      <c r="F70" s="31" t="inlineStr">
        <is>
          <t>textiles - manmade</t>
        </is>
      </c>
      <c r="G70" s="31" t="inlineStr">
        <is>
          <t>smallcap</t>
        </is>
      </c>
      <c r="H70" s="32" t="n">
        <v>603.97</v>
      </c>
      <c r="I70" s="32" t="n">
        <v>67.08</v>
      </c>
      <c r="J70" s="32" t="n">
        <v>-1</v>
      </c>
      <c r="K70" s="32" t="n">
        <v>32213</v>
      </c>
      <c r="L70" s="31" t="n">
        <v>30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61.14</v>
      </c>
      <c r="P70" s="32" t="n">
        <v>47.45</v>
      </c>
      <c r="Q70" s="32" t="n">
        <v>49.19</v>
      </c>
      <c r="R70" s="31" t="inlineStr">
        <is>
          <t>Earnings / Momentum Support</t>
        </is>
      </c>
      <c r="S70" s="31" t="inlineStr">
        <is>
          <t>Nifty 50</t>
        </is>
      </c>
      <c r="T70" s="32" t="n">
        <v>-6.83</v>
      </c>
      <c r="U70" s="32" t="n">
        <v>44.72</v>
      </c>
      <c r="V70" s="32" t="n">
        <v>55.34</v>
      </c>
      <c r="W70" s="32" t="n">
        <v>9.75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IF(B71=0,"",RANK(B71,$B$2:$B$304,0))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IGPL</t>
        </is>
      </c>
      <c r="D71" s="31" t="inlineStr">
        <is>
          <t>Ig Petrochemicals Limited</t>
        </is>
      </c>
      <c r="E71" s="31" t="inlineStr">
        <is>
          <t>chemicals</t>
        </is>
      </c>
      <c r="F71" s="31" t="inlineStr">
        <is>
          <t>chemicals</t>
        </is>
      </c>
      <c r="G71" s="31" t="inlineStr">
        <is>
          <t>smallcap</t>
        </is>
      </c>
      <c r="H71" s="32" t="n">
        <v>1704.49</v>
      </c>
      <c r="I71" s="32" t="n">
        <v>547.05</v>
      </c>
      <c r="J71" s="32" t="n">
        <v>-1.17</v>
      </c>
      <c r="K71" s="32" t="n">
        <v>58951</v>
      </c>
      <c r="L71" s="31" t="n">
        <v>36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66.55</v>
      </c>
      <c r="P71" s="32" t="n">
        <v>29.73</v>
      </c>
      <c r="Q71" s="32" t="n">
        <v>444.69</v>
      </c>
      <c r="R71" s="31" t="inlineStr">
        <is>
          <t>Near 52W High Breakout</t>
        </is>
      </c>
      <c r="S71" s="31" t="inlineStr">
        <is>
          <t>Nifty 50</t>
        </is>
      </c>
      <c r="T71" s="32" t="n">
        <v>-6.83</v>
      </c>
      <c r="U71" s="32" t="n">
        <v>27.32</v>
      </c>
      <c r="V71" s="32" t="n">
        <v>36.66</v>
      </c>
      <c r="W71" s="32" t="n">
        <v>11.87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IF(B72=0,"",RANK(B72,$B$2:$B$304,0))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IRISDOREME</t>
        </is>
      </c>
      <c r="D72" s="31" t="inlineStr">
        <is>
          <t>Iris Clothings Ltd</t>
        </is>
      </c>
      <c r="E72" s="31" t="inlineStr">
        <is>
          <t>consumer discretionary</t>
        </is>
      </c>
      <c r="F72" s="31" t="inlineStr">
        <is>
          <t>textiles - products</t>
        </is>
      </c>
      <c r="G72" s="31" t="inlineStr">
        <is>
          <t>smallcap</t>
        </is>
      </c>
      <c r="H72" s="32" t="n">
        <v>1185.57</v>
      </c>
      <c r="I72" s="32" t="n">
        <v>61.47</v>
      </c>
      <c r="J72" s="32" t="n">
        <v>-1.32</v>
      </c>
      <c r="K72" s="32" t="n">
        <v>437736</v>
      </c>
      <c r="L72" s="31" t="n">
        <v>80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79.27</v>
      </c>
      <c r="P72" s="32" t="n">
        <v>52.96</v>
      </c>
      <c r="Q72" s="32" t="n">
        <v>50.57</v>
      </c>
      <c r="R72" s="31" t="inlineStr">
        <is>
          <t>Near 52W High Breakout</t>
        </is>
      </c>
      <c r="S72" s="31" t="inlineStr">
        <is>
          <t>Nifty 50</t>
        </is>
      </c>
      <c r="T72" s="32" t="n">
        <v>-6.83</v>
      </c>
      <c r="U72" s="32" t="n">
        <v>96.58</v>
      </c>
      <c r="V72" s="32" t="n">
        <v>110.99</v>
      </c>
      <c r="W72" s="32" t="n">
        <v>31.35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IF(B73=0,"",RANK(B73,$B$2:$B$304,0))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WELSPUNLIV</t>
        </is>
      </c>
      <c r="D73" s="31" t="inlineStr">
        <is>
          <t>Welspun Living Ltd</t>
        </is>
      </c>
      <c r="E73" s="31" t="inlineStr">
        <is>
          <t>textiles</t>
        </is>
      </c>
      <c r="F73" s="31" t="inlineStr">
        <is>
          <t>textiles - products</t>
        </is>
      </c>
      <c r="G73" s="31" t="inlineStr">
        <is>
          <t>midcap</t>
        </is>
      </c>
      <c r="H73" s="32" t="n">
        <v>19887.04</v>
      </c>
      <c r="I73" s="32" t="n">
        <v>207.68</v>
      </c>
      <c r="J73" s="32" t="n">
        <v>-1.34</v>
      </c>
      <c r="K73" s="32" t="n">
        <v>2653493</v>
      </c>
      <c r="L73" s="31" t="n">
        <v>70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78.06</v>
      </c>
      <c r="P73" s="32" t="n">
        <v>40.45</v>
      </c>
      <c r="Q73" s="32" t="n">
        <v>166.69</v>
      </c>
      <c r="R73" s="31" t="inlineStr">
        <is>
          <t>Near 52W High Breakout</t>
        </is>
      </c>
      <c r="S73" s="31" t="inlineStr">
        <is>
          <t>Nifty 50</t>
        </is>
      </c>
      <c r="T73" s="32" t="n">
        <v>-6.83</v>
      </c>
      <c r="U73" s="32" t="n">
        <v>71.64</v>
      </c>
      <c r="V73" s="32" t="n">
        <v>84.23</v>
      </c>
      <c r="W73" s="32" t="n">
        <v>23.73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IF(B74=0,"",RANK(B74,$B$2:$B$304,0))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MOLDTECH</t>
        </is>
      </c>
      <c r="D74" s="31" t="inlineStr">
        <is>
          <t>Mold-tek Technologies Limited</t>
        </is>
      </c>
      <c r="E74" s="31" t="inlineStr">
        <is>
          <t>realty</t>
        </is>
      </c>
      <c r="F74" s="31" t="inlineStr">
        <is>
          <t>engineering - turnkey services</t>
        </is>
      </c>
      <c r="G74" s="31" t="inlineStr">
        <is>
          <t>smallcap</t>
        </is>
      </c>
      <c r="H74" s="32" t="n">
        <v>609.78</v>
      </c>
      <c r="I74" s="32" t="n">
        <v>207.39</v>
      </c>
      <c r="J74" s="32" t="n">
        <v>-2.03</v>
      </c>
      <c r="K74" s="32" t="n">
        <v>46074</v>
      </c>
      <c r="L74" s="31" t="n">
        <v>70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74.75</v>
      </c>
      <c r="P74" s="32" t="n">
        <v>41.25</v>
      </c>
      <c r="Q74" s="32" t="n">
        <v>150.47</v>
      </c>
      <c r="R74" s="31" t="inlineStr">
        <is>
          <t>Near 52W High Breakout</t>
        </is>
      </c>
      <c r="S74" s="31" t="inlineStr">
        <is>
          <t>Nifty Realty</t>
        </is>
      </c>
      <c r="T74" s="32" t="n">
        <v>-10.74</v>
      </c>
      <c r="U74" s="32" t="n">
        <v>39.27</v>
      </c>
      <c r="V74" s="32" t="n">
        <v>56.03</v>
      </c>
      <c r="W74" s="32" t="n">
        <v>24.04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IF(B75=0,"",RANK(B75,$B$2:$B$304,0))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CYIENTDLM</t>
        </is>
      </c>
      <c r="D75" s="31" t="inlineStr">
        <is>
          <t>Cyient DLM Ltd</t>
        </is>
      </c>
      <c r="E75" s="31" t="inlineStr">
        <is>
          <t>aerospace &amp; defence</t>
        </is>
      </c>
      <c r="F75" s="31" t="inlineStr">
        <is>
          <t>electronics - components</t>
        </is>
      </c>
      <c r="G75" s="31" t="inlineStr">
        <is>
          <t>midcap</t>
        </is>
      </c>
      <c r="H75" s="32" t="n">
        <v>7329.47</v>
      </c>
      <c r="I75" s="32" t="n">
        <v>904.4</v>
      </c>
      <c r="J75" s="32" t="n">
        <v>-2.05</v>
      </c>
      <c r="K75" s="32" t="n">
        <v>506275</v>
      </c>
      <c r="L75" s="31" t="n">
        <v>94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91.20999999999999</v>
      </c>
      <c r="P75" s="32" t="n">
        <v>73.65000000000001</v>
      </c>
      <c r="Q75" s="32" t="n">
        <v>699.16</v>
      </c>
      <c r="R75" s="31" t="inlineStr">
        <is>
          <t>Near 52W High Breakout</t>
        </is>
      </c>
      <c r="S75" s="31" t="inlineStr">
        <is>
          <t>Nifty Infra</t>
        </is>
      </c>
      <c r="T75" s="32" t="n">
        <v>0.12</v>
      </c>
      <c r="U75" s="32" t="n">
        <v>96.87</v>
      </c>
      <c r="V75" s="32" t="n">
        <v>96.63</v>
      </c>
      <c r="W75" s="32" t="n">
        <v>53.31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IF(B76=0,"",RANK(B76,$B$2:$B$304,0))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MODISONLTD</t>
        </is>
      </c>
      <c r="D76" s="31" t="inlineStr">
        <is>
          <t>Modison Ltd</t>
        </is>
      </c>
      <c r="E76" s="31" t="inlineStr">
        <is>
          <t>industrials</t>
        </is>
      </c>
      <c r="F76" s="31" t="inlineStr">
        <is>
          <t>electric equipment</t>
        </is>
      </c>
      <c r="G76" s="31" t="inlineStr">
        <is>
          <t>smallcap</t>
        </is>
      </c>
      <c r="H76" s="32" t="n">
        <v>1670.53</v>
      </c>
      <c r="I76" s="32" t="n">
        <v>503.05</v>
      </c>
      <c r="J76" s="32" t="n">
        <v>-2.28</v>
      </c>
      <c r="K76" s="32" t="n">
        <v>92092</v>
      </c>
      <c r="L76" s="31" t="n">
        <v>94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82.45999999999999</v>
      </c>
      <c r="P76" s="32" t="n">
        <v>59.16</v>
      </c>
      <c r="Q76" s="32" t="n">
        <v>367.73</v>
      </c>
      <c r="R76" s="31" t="inlineStr">
        <is>
          <t>Near 52W High Breakout</t>
        </is>
      </c>
      <c r="S76" s="31" t="inlineStr">
        <is>
          <t>Nifty 50</t>
        </is>
      </c>
      <c r="T76" s="32" t="n">
        <v>-6.83</v>
      </c>
      <c r="U76" s="32" t="n">
        <v>220.81</v>
      </c>
      <c r="V76" s="32" t="n">
        <v>244.34</v>
      </c>
      <c r="W76" s="32" t="n">
        <v>52.88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IF(B77=0,"",RANK(B77,$B$2:$B$304,0))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IKIO</t>
        </is>
      </c>
      <c r="D77" s="31" t="inlineStr">
        <is>
          <t>IKIO Lighting Ltd</t>
        </is>
      </c>
      <c r="E77" s="31" t="inlineStr">
        <is>
          <t>consumer discretionary</t>
        </is>
      </c>
      <c r="F77" s="31" t="inlineStr">
        <is>
          <t>electric equipment</t>
        </is>
      </c>
      <c r="G77" s="31" t="inlineStr">
        <is>
          <t>smallcap</t>
        </is>
      </c>
      <c r="H77" s="32" t="n">
        <v>1790.83</v>
      </c>
      <c r="I77" s="32" t="n">
        <v>223.87</v>
      </c>
      <c r="J77" s="32" t="n">
        <v>-3.39</v>
      </c>
      <c r="K77" s="32" t="n">
        <v>1450380</v>
      </c>
      <c r="L77" s="31" t="n">
        <v>38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64.97</v>
      </c>
      <c r="P77" s="32" t="n">
        <v>43.19</v>
      </c>
      <c r="Q77" s="32" t="n">
        <v>157.51</v>
      </c>
      <c r="R77" s="31" t="inlineStr">
        <is>
          <t>Near 52W High Breakout</t>
        </is>
      </c>
      <c r="S77" s="31" t="inlineStr">
        <is>
          <t>Nifty 50</t>
        </is>
      </c>
      <c r="T77" s="32" t="n">
        <v>-6.83</v>
      </c>
      <c r="U77" s="32" t="n">
        <v>-0.33</v>
      </c>
      <c r="V77" s="32" t="n">
        <v>6.98</v>
      </c>
      <c r="W77" s="32" t="n">
        <v>12.19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IF(B78=0,"",RANK(B78,$B$2:$B$304,0))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JAYAGROGN</t>
        </is>
      </c>
      <c r="D78" s="31" t="inlineStr">
        <is>
          <t>Jayant Agro Organics Limited</t>
        </is>
      </c>
      <c r="E78" s="31" t="inlineStr">
        <is>
          <t>chemicals</t>
        </is>
      </c>
      <c r="F78" s="31" t="inlineStr">
        <is>
          <t>chemicals</t>
        </is>
      </c>
      <c r="G78" s="31" t="inlineStr">
        <is>
          <t>smallcap</t>
        </is>
      </c>
      <c r="H78" s="32" t="n">
        <v>774.54</v>
      </c>
      <c r="I78" s="32" t="n">
        <v>244.13</v>
      </c>
      <c r="J78" s="32" t="n">
        <v>-5.44</v>
      </c>
      <c r="K78" s="32" t="n">
        <v>47854</v>
      </c>
      <c r="L78" s="31" t="n">
        <v>12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67.39</v>
      </c>
      <c r="P78" s="32" t="n">
        <v>38.9</v>
      </c>
      <c r="Q78" s="32" t="n">
        <v>186.07</v>
      </c>
      <c r="R78" s="31" t="inlineStr">
        <is>
          <t>Volume Spike &amp; Near 52W High Breakout</t>
        </is>
      </c>
      <c r="S78" s="31" t="inlineStr">
        <is>
          <t>Nifty 50</t>
        </is>
      </c>
      <c r="T78" s="32" t="n">
        <v>-6.83</v>
      </c>
      <c r="U78" s="32" t="n">
        <v>3.41</v>
      </c>
      <c r="V78" s="32" t="n">
        <v>11</v>
      </c>
      <c r="W78" s="32" t="n">
        <v>4.08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IF(B79=0,"",RANK(B79,$B$2:$B$304,0))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SHILPAMED</t>
        </is>
      </c>
      <c r="D79" s="31" t="inlineStr">
        <is>
          <t>Shilpa Medicare Limited</t>
        </is>
      </c>
      <c r="E79" s="31" t="inlineStr">
        <is>
          <t>healthcare</t>
        </is>
      </c>
      <c r="F79" s="31" t="inlineStr">
        <is>
          <t>pharmaceuticals - indian - formulations</t>
        </is>
      </c>
      <c r="G79" s="31" t="inlineStr">
        <is>
          <t>midcap</t>
        </is>
      </c>
      <c r="H79" s="32" t="n">
        <v>18382.73</v>
      </c>
      <c r="I79" s="32" t="n">
        <v>961.15</v>
      </c>
      <c r="J79" s="32" t="n">
        <v>2.26</v>
      </c>
      <c r="K79" s="32" t="n">
        <v>1471659</v>
      </c>
      <c r="L79" s="31" t="n">
        <v>90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90.84</v>
      </c>
      <c r="P79" s="32" t="n">
        <v>79.22</v>
      </c>
      <c r="Q79" s="32" t="n">
        <v>785.4</v>
      </c>
      <c r="R79" s="31" t="inlineStr">
        <is>
          <t>Near 52W High Breakout</t>
        </is>
      </c>
      <c r="S79" s="31" t="inlineStr">
        <is>
          <t>Nifty Pharma</t>
        </is>
      </c>
      <c r="T79" s="32" t="n">
        <v>18.76</v>
      </c>
      <c r="U79" s="32" t="n">
        <v>132.7</v>
      </c>
      <c r="V79" s="32" t="n">
        <v>95.94</v>
      </c>
      <c r="W79" s="32" t="n">
        <v>40.24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IF(B80=0,"",RANK(B80,$B$2:$B$304,0))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ZIMLAB</t>
        </is>
      </c>
      <c r="D80" s="31" t="inlineStr">
        <is>
          <t>Zim Laboratories Ltd</t>
        </is>
      </c>
      <c r="E80" s="31" t="inlineStr">
        <is>
          <t>healthcare</t>
        </is>
      </c>
      <c r="F80" s="31" t="inlineStr">
        <is>
          <t>pharmaceuticals - indian - bulk drugs &amp; formln</t>
        </is>
      </c>
      <c r="G80" s="31" t="inlineStr">
        <is>
          <t>smallcap</t>
        </is>
      </c>
      <c r="H80" s="32" t="n">
        <v>730.5700000000001</v>
      </c>
      <c r="I80" s="32" t="n">
        <v>139.22</v>
      </c>
      <c r="J80" s="32" t="n">
        <v>2.05</v>
      </c>
      <c r="K80" s="32" t="n">
        <v>119406</v>
      </c>
      <c r="L80" s="31" t="n">
        <v>63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72.77</v>
      </c>
      <c r="P80" s="32" t="n">
        <v>60.59</v>
      </c>
      <c r="Q80" s="32" t="n">
        <v>101.5</v>
      </c>
      <c r="R80" s="31" t="inlineStr">
        <is>
          <t>Volume Spike &amp; Near 52W High Breakout</t>
        </is>
      </c>
      <c r="S80" s="31" t="inlineStr">
        <is>
          <t>Nifty Pharma</t>
        </is>
      </c>
      <c r="T80" s="32" t="n">
        <v>18.76</v>
      </c>
      <c r="U80" s="32" t="n">
        <v>83.26000000000001</v>
      </c>
      <c r="V80" s="32" t="n">
        <v>54.31</v>
      </c>
      <c r="W80" s="32" t="n">
        <v>20.53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IF(B81=0,"",RANK(B81,$B$2:$B$304,0))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MOREPENLAB</t>
        </is>
      </c>
      <c r="D81" s="31" t="inlineStr">
        <is>
          <t>Morepen Laboratories Limited</t>
        </is>
      </c>
      <c r="E81" s="31" t="inlineStr">
        <is>
          <t>healthcare</t>
        </is>
      </c>
      <c r="F81" s="31" t="inlineStr">
        <is>
          <t>pharmaceuticals - indian - bulk drugs &amp; formln</t>
        </is>
      </c>
      <c r="G81" s="31" t="inlineStr">
        <is>
          <t>midcap</t>
        </is>
      </c>
      <c r="H81" s="32" t="n">
        <v>6316.81</v>
      </c>
      <c r="I81" s="32" t="n">
        <v>115.78</v>
      </c>
      <c r="J81" s="32" t="n">
        <v>0.43</v>
      </c>
      <c r="K81" s="32" t="n">
        <v>15303804</v>
      </c>
      <c r="L81" s="31" t="n">
        <v>93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87.65000000000001</v>
      </c>
      <c r="P81" s="32" t="n">
        <v>52.57</v>
      </c>
      <c r="Q81" s="32" t="n">
        <v>88.22</v>
      </c>
      <c r="R81" s="31" t="inlineStr">
        <is>
          <t>Near 52W High Breakout</t>
        </is>
      </c>
      <c r="S81" s="31" t="inlineStr">
        <is>
          <t>Nifty Pharma</t>
        </is>
      </c>
      <c r="T81" s="32" t="n">
        <v>18.76</v>
      </c>
      <c r="U81" s="32" t="n">
        <v>114.81</v>
      </c>
      <c r="V81" s="32" t="n">
        <v>80.87</v>
      </c>
      <c r="W81" s="32" t="n">
        <v>52.47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IF(B82=0,"",RANK(B82,$B$2:$B$304,0))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VIJAYA</t>
        </is>
      </c>
      <c r="D82" s="31" t="inlineStr">
        <is>
          <t>Vijaya Diagnostic Centre Ltd</t>
        </is>
      </c>
      <c r="E82" s="31" t="inlineStr">
        <is>
          <t>healthcare</t>
        </is>
      </c>
      <c r="F82" s="31" t="inlineStr">
        <is>
          <t>healthcare</t>
        </is>
      </c>
      <c r="G82" s="31" t="inlineStr">
        <is>
          <t>midcap</t>
        </is>
      </c>
      <c r="H82" s="32" t="n">
        <v>15422.16</v>
      </c>
      <c r="I82" s="32" t="n">
        <v>1502</v>
      </c>
      <c r="J82" s="32" t="n">
        <v>0.21</v>
      </c>
      <c r="K82" s="32" t="n">
        <v>98574</v>
      </c>
      <c r="L82" s="31" t="n">
        <v>37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67.98999999999999</v>
      </c>
      <c r="P82" s="32" t="n">
        <v>60.66</v>
      </c>
      <c r="Q82" s="32" t="n">
        <v>1202.16</v>
      </c>
      <c r="R82" s="31" t="inlineStr">
        <is>
          <t>Near 52W High Breakout</t>
        </is>
      </c>
      <c r="S82" s="31" t="inlineStr">
        <is>
          <t>Nifty Pharma</t>
        </is>
      </c>
      <c r="T82" s="32" t="n">
        <v>18.76</v>
      </c>
      <c r="U82" s="32" t="n">
        <v>44.19</v>
      </c>
      <c r="V82" s="32" t="n">
        <v>21.41</v>
      </c>
      <c r="W82" s="32" t="n">
        <v>12.14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IF(B83=0,"",RANK(B83,$B$2:$B$304,0))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NEULANDLAB</t>
        </is>
      </c>
      <c r="D83" s="31" t="inlineStr">
        <is>
          <t>Neuland Laboratories Limited</t>
        </is>
      </c>
      <c r="E83" s="31" t="inlineStr">
        <is>
          <t>healthcare</t>
        </is>
      </c>
      <c r="F83" s="31" t="inlineStr">
        <is>
          <t>pharmaceuticals - indian - bulk drugs</t>
        </is>
      </c>
      <c r="G83" s="31" t="inlineStr">
        <is>
          <t>largecap</t>
        </is>
      </c>
      <c r="H83" s="32" t="n">
        <v>30535.14</v>
      </c>
      <c r="I83" s="32" t="n">
        <v>23535</v>
      </c>
      <c r="J83" s="32" t="n">
        <v>-1.11</v>
      </c>
      <c r="K83" s="32" t="n">
        <v>43901</v>
      </c>
      <c r="L83" s="31" t="n">
        <v>56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74.86</v>
      </c>
      <c r="P83" s="32" t="n">
        <v>58.51</v>
      </c>
      <c r="Q83" s="32" t="n">
        <v>19245.67</v>
      </c>
      <c r="R83" s="31" t="inlineStr">
        <is>
          <t>Near 52W High Breakout</t>
        </is>
      </c>
      <c r="S83" s="31" t="inlineStr">
        <is>
          <t>Nifty Pharma</t>
        </is>
      </c>
      <c r="T83" s="32" t="n">
        <v>18.76</v>
      </c>
      <c r="U83" s="32" t="n">
        <v>46.92</v>
      </c>
      <c r="V83" s="32" t="n">
        <v>23.71</v>
      </c>
      <c r="W83" s="32" t="n">
        <v>18.3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IF(B84=0,"",RANK(B84,$B$2:$B$304,0))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DIVISLAB</t>
        </is>
      </c>
      <c r="D84" s="31" t="inlineStr">
        <is>
          <t>Divi's Laboratories Limited</t>
        </is>
      </c>
      <c r="E84" s="31" t="inlineStr">
        <is>
          <t>healthcare</t>
        </is>
      </c>
      <c r="F84" s="31" t="inlineStr">
        <is>
          <t>pharmaceuticals - indian - bulk drugs</t>
        </is>
      </c>
      <c r="G84" s="31" t="inlineStr">
        <is>
          <t>largecap</t>
        </is>
      </c>
      <c r="H84" s="32" t="n">
        <v>250562.52</v>
      </c>
      <c r="I84" s="32" t="n">
        <v>9322</v>
      </c>
      <c r="J84" s="32" t="n">
        <v>-1.23</v>
      </c>
      <c r="K84" s="32" t="n">
        <v>516756</v>
      </c>
      <c r="L84" s="31" t="n">
        <v>57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84.84</v>
      </c>
      <c r="P84" s="32" t="n">
        <v>45.44</v>
      </c>
      <c r="Q84" s="32" t="n">
        <v>8128.45</v>
      </c>
      <c r="R84" s="31" t="inlineStr">
        <is>
          <t>Near 52W High Breakout</t>
        </is>
      </c>
      <c r="S84" s="31" t="inlineStr">
        <is>
          <t>Nifty Pharma</t>
        </is>
      </c>
      <c r="T84" s="32" t="n">
        <v>18.76</v>
      </c>
      <c r="U84" s="32" t="n">
        <v>55.32</v>
      </c>
      <c r="V84" s="32" t="n">
        <v>30.79</v>
      </c>
      <c r="W84" s="32" t="n">
        <v>18.49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IF(B85=0,"",RANK(B85,$B$2:$B$304,0))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MANORAMA</t>
        </is>
      </c>
      <c r="D85" s="31" t="inlineStr">
        <is>
          <t>Manorama Industries Ltd</t>
        </is>
      </c>
      <c r="E85" s="31" t="inlineStr">
        <is>
          <t>fmcg</t>
        </is>
      </c>
      <c r="F85" s="31" t="inlineStr">
        <is>
          <t>food - processing - indian</t>
        </is>
      </c>
      <c r="G85" s="31" t="inlineStr">
        <is>
          <t>midcap</t>
        </is>
      </c>
      <c r="H85" s="32" t="n">
        <v>12449.23</v>
      </c>
      <c r="I85" s="32" t="n">
        <v>2055.7</v>
      </c>
      <c r="J85" s="32" t="n">
        <v>-1.41</v>
      </c>
      <c r="K85" s="32" t="n">
        <v>120283</v>
      </c>
      <c r="L85" s="31" t="n">
        <v>54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76.69</v>
      </c>
      <c r="P85" s="32" t="n">
        <v>27.65</v>
      </c>
      <c r="Q85" s="32" t="n">
        <v>1622.29</v>
      </c>
      <c r="R85" s="31" t="inlineStr">
        <is>
          <t>Near 52W High Breakout</t>
        </is>
      </c>
      <c r="S85" s="31" t="inlineStr">
        <is>
          <t>Nifty FMCG</t>
        </is>
      </c>
      <c r="T85" s="32" t="n">
        <v>-17.45</v>
      </c>
      <c r="U85" s="32" t="n">
        <v>30.48</v>
      </c>
      <c r="V85" s="32" t="n">
        <v>58.07</v>
      </c>
      <c r="W85" s="32" t="n">
        <v>17.57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B2C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IF(B86=0,"",RANK(B86,$B$2:$B$304,0))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WOCKPHARMA</t>
        </is>
      </c>
      <c r="D86" s="31" t="inlineStr">
        <is>
          <t>Wockhardt Limited</t>
        </is>
      </c>
      <c r="E86" s="31" t="inlineStr">
        <is>
          <t>healthcare</t>
        </is>
      </c>
      <c r="F86" s="31" t="inlineStr">
        <is>
          <t>pharmaceuticals - indian - bulk drugs &amp; formln</t>
        </is>
      </c>
      <c r="G86" s="31" t="inlineStr">
        <is>
          <t>largecap</t>
        </is>
      </c>
      <c r="H86" s="32" t="n">
        <v>36083.01</v>
      </c>
      <c r="I86" s="32" t="n">
        <v>2179.4</v>
      </c>
      <c r="J86" s="32" t="n">
        <v>-1.86</v>
      </c>
      <c r="K86" s="32" t="n">
        <v>1109909</v>
      </c>
      <c r="L86" s="31" t="n">
        <v>40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68.2</v>
      </c>
      <c r="P86" s="32" t="n">
        <v>49.45</v>
      </c>
      <c r="Q86" s="32" t="n">
        <v>1652.15</v>
      </c>
      <c r="R86" s="31" t="inlineStr">
        <is>
          <t>Volume Spike &amp; Near 52W High Breakout</t>
        </is>
      </c>
      <c r="S86" s="31" t="inlineStr">
        <is>
          <t>Nifty Pharma</t>
        </is>
      </c>
      <c r="T86" s="32" t="n">
        <v>18.76</v>
      </c>
      <c r="U86" s="32" t="n">
        <v>43.57</v>
      </c>
      <c r="V86" s="32" t="n">
        <v>20.89</v>
      </c>
      <c r="W86" s="32" t="n">
        <v>12.71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IF(B87=0,"",RANK(B87,$B$2:$B$304,0))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BAFNAPH</t>
        </is>
      </c>
      <c r="D87" s="31" t="inlineStr">
        <is>
          <t>Bafna Pharmaceuticals Ltd</t>
        </is>
      </c>
      <c r="E87" s="31" t="inlineStr">
        <is>
          <t>healthcare</t>
        </is>
      </c>
      <c r="F87" s="31" t="inlineStr">
        <is>
          <t>pharmaceuticals - indian - formulations</t>
        </is>
      </c>
      <c r="G87" s="31" t="inlineStr">
        <is>
          <t>smallcap</t>
        </is>
      </c>
      <c r="H87" s="32" t="n">
        <v>727.67</v>
      </c>
      <c r="I87" s="32" t="n">
        <v>301.45</v>
      </c>
      <c r="J87" s="32" t="n">
        <v>-2</v>
      </c>
      <c r="K87" s="32" t="n">
        <v>11743</v>
      </c>
      <c r="L87" s="31" t="n">
        <v>91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72.31</v>
      </c>
      <c r="P87" s="32" t="n">
        <v>59.08</v>
      </c>
      <c r="Q87" s="32" t="n">
        <v>228.89</v>
      </c>
      <c r="R87" s="31" t="inlineStr">
        <is>
          <t>Near 52W High Breakout</t>
        </is>
      </c>
      <c r="S87" s="31" t="inlineStr">
        <is>
          <t>Nifty Pharma</t>
        </is>
      </c>
      <c r="T87" s="32" t="n">
        <v>18.76</v>
      </c>
      <c r="U87" s="32" t="n">
        <v>157.41</v>
      </c>
      <c r="V87" s="32" t="n">
        <v>116.75</v>
      </c>
      <c r="W87" s="32" t="n">
        <v>44.74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Less than 12%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IF(B88=0,"",RANK(B88,$B$2:$B$304,0))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DIACABS</t>
        </is>
      </c>
      <c r="D88" s="31" t="inlineStr">
        <is>
          <t>Diamond Power Infrastructure Ltd</t>
        </is>
      </c>
      <c r="E88" s="31" t="inlineStr">
        <is>
          <t>industrials</t>
        </is>
      </c>
      <c r="F88" s="31" t="inlineStr">
        <is>
          <t>cables - power</t>
        </is>
      </c>
      <c r="G88" s="31" t="inlineStr">
        <is>
          <t>largecap</t>
        </is>
      </c>
      <c r="H88" s="32" t="n">
        <v>21022.2</v>
      </c>
      <c r="I88" s="32" t="n">
        <v>369.05</v>
      </c>
      <c r="J88" s="32" t="n">
        <v>4.99</v>
      </c>
      <c r="K88" s="32" t="n">
        <v>1300799</v>
      </c>
      <c r="L88" s="31" t="n">
        <v>93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78.01000000000001</v>
      </c>
      <c r="P88" s="32" t="n">
        <v>65.61</v>
      </c>
      <c r="Q88" s="32" t="n">
        <v>277.62</v>
      </c>
      <c r="R88" s="31" t="inlineStr">
        <is>
          <t>Near 52W High Breakout</t>
        </is>
      </c>
      <c r="S88" s="31" t="inlineStr">
        <is>
          <t>Nifty Energy</t>
        </is>
      </c>
      <c r="T88" s="32" t="n">
        <v>7.62</v>
      </c>
      <c r="U88" s="32" t="n">
        <v>126.59</v>
      </c>
      <c r="V88" s="32" t="n">
        <v>110.56</v>
      </c>
      <c r="W88" s="32" t="n">
        <v>52.31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IF(B89=0,"",RANK(B89,$B$2:$B$304,0))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MARINE</t>
        </is>
      </c>
      <c r="D89" s="31" t="inlineStr">
        <is>
          <t>Marine Electricals (India) Ltd</t>
        </is>
      </c>
      <c r="E89" s="31" t="inlineStr">
        <is>
          <t>industrials</t>
        </is>
      </c>
      <c r="F89" s="31" t="inlineStr">
        <is>
          <t>electric equipment</t>
        </is>
      </c>
      <c r="G89" s="31" t="inlineStr">
        <is>
          <t>midcap</t>
        </is>
      </c>
      <c r="H89" s="32" t="n">
        <v>5721.63</v>
      </c>
      <c r="I89" s="32" t="n">
        <v>419.15</v>
      </c>
      <c r="J89" s="32" t="n">
        <v>2.52</v>
      </c>
      <c r="K89" s="32" t="n">
        <v>774758</v>
      </c>
      <c r="L89" s="31" t="n">
        <v>85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76.95</v>
      </c>
      <c r="P89" s="32" t="n">
        <v>46.18</v>
      </c>
      <c r="Q89" s="32" t="n">
        <v>323.61</v>
      </c>
      <c r="R89" s="31" t="inlineStr">
        <is>
          <t>Near 52W High Breakout</t>
        </is>
      </c>
      <c r="S89" s="31" t="inlineStr">
        <is>
          <t>Nifty 50</t>
        </is>
      </c>
      <c r="T89" s="32" t="n">
        <v>-6.83</v>
      </c>
      <c r="U89" s="32" t="n">
        <v>113.13</v>
      </c>
      <c r="V89" s="32" t="n">
        <v>128.76</v>
      </c>
      <c r="W89" s="32" t="n">
        <v>34.49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Between 1.5 to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IF(B90=0,"",RANK(B90,$B$2:$B$304,0))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GOCLCORP</t>
        </is>
      </c>
      <c r="D90" s="31" t="inlineStr">
        <is>
          <t>Gocl Corporation Limited</t>
        </is>
      </c>
      <c r="E90" s="31" t="inlineStr">
        <is>
          <t>miscellaneous</t>
        </is>
      </c>
      <c r="F90" s="31" t="inlineStr">
        <is>
          <t>diversified - medium / small</t>
        </is>
      </c>
      <c r="G90" s="31" t="inlineStr">
        <is>
          <t>smallcap</t>
        </is>
      </c>
      <c r="H90" s="32" t="n">
        <v>2142.52</v>
      </c>
      <c r="I90" s="32" t="n">
        <v>441.55</v>
      </c>
      <c r="J90" s="32" t="n">
        <v>2.16</v>
      </c>
      <c r="K90" s="32" t="n">
        <v>203952</v>
      </c>
      <c r="L90" s="31" t="n">
        <v>33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63.99</v>
      </c>
      <c r="P90" s="32" t="n">
        <v>47.35</v>
      </c>
      <c r="Q90" s="32" t="n">
        <v>336.87</v>
      </c>
      <c r="R90" s="31" t="inlineStr">
        <is>
          <t>Near 52W High Breakout</t>
        </is>
      </c>
      <c r="S90" s="31" t="inlineStr">
        <is>
          <t>Nifty IT</t>
        </is>
      </c>
      <c r="T90" s="32" t="n">
        <v>-19.91</v>
      </c>
      <c r="U90" s="32" t="n">
        <v>25.39</v>
      </c>
      <c r="V90" s="32" t="n">
        <v>56.56</v>
      </c>
      <c r="W90" s="32" t="n">
        <v>10.81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Less than 12%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IF(B91=0,"",RANK(B91,$B$2:$B$304,0))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RUBYMILLS</t>
        </is>
      </c>
      <c r="D91" s="31" t="inlineStr">
        <is>
          <t>The Ruby Mills Limited</t>
        </is>
      </c>
      <c r="E91" s="31" t="inlineStr">
        <is>
          <t>textiles</t>
        </is>
      </c>
      <c r="F91" s="31" t="inlineStr">
        <is>
          <t>textiles - composite</t>
        </is>
      </c>
      <c r="G91" s="31" t="inlineStr">
        <is>
          <t>smallcap</t>
        </is>
      </c>
      <c r="H91" s="32" t="n">
        <v>1491.09</v>
      </c>
      <c r="I91" s="32" t="n">
        <v>455.1</v>
      </c>
      <c r="J91" s="32" t="n">
        <v>2.06</v>
      </c>
      <c r="K91" s="32" t="n">
        <v>11703</v>
      </c>
      <c r="L91" s="31" t="n">
        <v>73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74.16</v>
      </c>
      <c r="P91" s="32" t="n">
        <v>54.79</v>
      </c>
      <c r="Q91" s="32" t="n">
        <v>331.02</v>
      </c>
      <c r="R91" s="31" t="inlineStr">
        <is>
          <t>Near 52W High Breakout</t>
        </is>
      </c>
      <c r="S91" s="31" t="inlineStr">
        <is>
          <t>Nifty 50</t>
        </is>
      </c>
      <c r="T91" s="32" t="n">
        <v>-6.83</v>
      </c>
      <c r="U91" s="32" t="n">
        <v>99.86</v>
      </c>
      <c r="V91" s="32" t="n">
        <v>114.52</v>
      </c>
      <c r="W91" s="32" t="n">
        <v>25.69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Less than 12%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IF(B92=0,"",RANK(B92,$B$2:$B$304,0))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RSWM</t>
        </is>
      </c>
      <c r="D92" s="31" t="inlineStr">
        <is>
          <t>Rswm Limited</t>
        </is>
      </c>
      <c r="E92" s="31" t="inlineStr">
        <is>
          <t>textiles</t>
        </is>
      </c>
      <c r="F92" s="31" t="inlineStr">
        <is>
          <t>textiles - cotton/blended</t>
        </is>
      </c>
      <c r="G92" s="31" t="inlineStr">
        <is>
          <t>smallcap</t>
        </is>
      </c>
      <c r="H92" s="32" t="n">
        <v>1010.14</v>
      </c>
      <c r="I92" s="32" t="n">
        <v>218.23</v>
      </c>
      <c r="J92" s="32" t="n">
        <v>1.76</v>
      </c>
      <c r="K92" s="32" t="n">
        <v>30165</v>
      </c>
      <c r="L92" s="31" t="n">
        <v>29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63.42</v>
      </c>
      <c r="P92" s="32" t="n">
        <v>48.25</v>
      </c>
      <c r="Q92" s="32" t="n">
        <v>162.42</v>
      </c>
      <c r="R92" s="31" t="inlineStr">
        <is>
          <t>Near 52W High Breakout</t>
        </is>
      </c>
      <c r="S92" s="31" t="inlineStr">
        <is>
          <t>Nifty 50</t>
        </is>
      </c>
      <c r="T92" s="32" t="n">
        <v>-6.83</v>
      </c>
      <c r="U92" s="32" t="n">
        <v>36.39</v>
      </c>
      <c r="V92" s="32" t="n">
        <v>46.4</v>
      </c>
      <c r="W92" s="32" t="n">
        <v>9.289999999999999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More than 1.2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IF(B93=0,"",RANK(B93,$B$2:$B$304,0))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ARVIND</t>
        </is>
      </c>
      <c r="D93" s="31" t="inlineStr">
        <is>
          <t>Arvind Limited</t>
        </is>
      </c>
      <c r="E93" s="31" t="inlineStr">
        <is>
          <t>textiles</t>
        </is>
      </c>
      <c r="F93" s="31" t="inlineStr">
        <is>
          <t>textiles - cotton/blended</t>
        </is>
      </c>
      <c r="G93" s="31" t="inlineStr">
        <is>
          <t>midcap</t>
        </is>
      </c>
      <c r="H93" s="32" t="n">
        <v>15500.88</v>
      </c>
      <c r="I93" s="32" t="n">
        <v>575.1</v>
      </c>
      <c r="J93" s="32" t="n">
        <v>0.93</v>
      </c>
      <c r="K93" s="32" t="n">
        <v>470791</v>
      </c>
      <c r="L93" s="31" t="n">
        <v>51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68.56</v>
      </c>
      <c r="P93" s="32" t="n">
        <v>59.79</v>
      </c>
      <c r="Q93" s="32" t="n">
        <v>452.85</v>
      </c>
      <c r="R93" s="31" t="inlineStr">
        <is>
          <t>Near 52W High Breakout</t>
        </is>
      </c>
      <c r="S93" s="31" t="inlineStr">
        <is>
          <t>Nifty 50</t>
        </is>
      </c>
      <c r="T93" s="32" t="n">
        <v>-6.83</v>
      </c>
      <c r="U93" s="32" t="n">
        <v>77.39</v>
      </c>
      <c r="V93" s="32" t="n">
        <v>90.40000000000001</v>
      </c>
      <c r="W93" s="32" t="n">
        <v>16.72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Less than 12%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IF(B94=0,"",RANK(B94,$B$2:$B$304,0))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SANSERA</t>
        </is>
      </c>
      <c r="D94" s="31" t="inlineStr">
        <is>
          <t>Sansera Engineering Ltd</t>
        </is>
      </c>
      <c r="E94" s="31" t="inlineStr">
        <is>
          <t>auto</t>
        </is>
      </c>
      <c r="F94" s="31" t="inlineStr">
        <is>
          <t>auto ancillaries</t>
        </is>
      </c>
      <c r="G94" s="31" t="inlineStr">
        <is>
          <t>largecap</t>
        </is>
      </c>
      <c r="H94" s="32" t="n">
        <v>25634.76</v>
      </c>
      <c r="I94" s="32" t="n">
        <v>4129.9</v>
      </c>
      <c r="J94" s="32" t="n">
        <v>0.54</v>
      </c>
      <c r="K94" s="32" t="n">
        <v>127741</v>
      </c>
      <c r="L94" s="31" t="n">
        <v>89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80.81999999999999</v>
      </c>
      <c r="P94" s="32" t="n">
        <v>63.37</v>
      </c>
      <c r="Q94" s="32" t="n">
        <v>3325.56</v>
      </c>
      <c r="R94" s="31" t="inlineStr">
        <is>
          <t>Near 52W High Breakout</t>
        </is>
      </c>
      <c r="S94" s="31" t="inlineStr">
        <is>
          <t>Nifty Auto</t>
        </is>
      </c>
      <c r="T94" s="32" t="n">
        <v>14.81</v>
      </c>
      <c r="U94" s="32" t="n">
        <v>205.21</v>
      </c>
      <c r="V94" s="32" t="n">
        <v>165.83</v>
      </c>
      <c r="W94" s="32" t="n">
        <v>40.08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Above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IF(B95=0,"",RANK(B95,$B$2:$B$304,0))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WSTCSTPAPR</t>
        </is>
      </c>
      <c r="D95" s="31" t="inlineStr">
        <is>
          <t>West Coast Paper Mills Limited</t>
        </is>
      </c>
      <c r="E95" s="31" t="inlineStr">
        <is>
          <t>building materials</t>
        </is>
      </c>
      <c r="F95" s="31" t="inlineStr">
        <is>
          <t>paper</t>
        </is>
      </c>
      <c r="G95" s="31" t="inlineStr">
        <is>
          <t>smallcap</t>
        </is>
      </c>
      <c r="H95" s="32" t="n">
        <v>4690.13</v>
      </c>
      <c r="I95" s="32" t="n">
        <v>713.8</v>
      </c>
      <c r="J95" s="32" t="n">
        <v>0.52</v>
      </c>
      <c r="K95" s="32" t="n">
        <v>271781</v>
      </c>
      <c r="L95" s="31" t="n">
        <v>56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76.12</v>
      </c>
      <c r="P95" s="32" t="n">
        <v>51.33</v>
      </c>
      <c r="Q95" s="32" t="n">
        <v>571.09</v>
      </c>
      <c r="R95" s="31" t="inlineStr">
        <is>
          <t>Near 52W High Breakout</t>
        </is>
      </c>
      <c r="S95" s="31" t="inlineStr">
        <is>
          <t>Nifty Infra</t>
        </is>
      </c>
      <c r="T95" s="32" t="n">
        <v>0.12</v>
      </c>
      <c r="U95" s="32" t="n">
        <v>33.58</v>
      </c>
      <c r="V95" s="32" t="n">
        <v>33.43</v>
      </c>
      <c r="W95" s="32" t="n">
        <v>18.25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IF(B96=0,"",RANK(B96,$B$2:$B$304,0))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NITINSPIN</t>
        </is>
      </c>
      <c r="D96" s="31" t="inlineStr">
        <is>
          <t>Nitin Spinners Limited</t>
        </is>
      </c>
      <c r="E96" s="31" t="inlineStr">
        <is>
          <t>textiles</t>
        </is>
      </c>
      <c r="F96" s="31" t="inlineStr">
        <is>
          <t>textiles - cotton/blended</t>
        </is>
      </c>
      <c r="G96" s="31" t="inlineStr">
        <is>
          <t>smallcap</t>
        </is>
      </c>
      <c r="H96" s="32" t="n">
        <v>3651.49</v>
      </c>
      <c r="I96" s="32" t="n">
        <v>651.05</v>
      </c>
      <c r="J96" s="32" t="n">
        <v>0.24</v>
      </c>
      <c r="K96" s="32" t="n">
        <v>63163</v>
      </c>
      <c r="L96" s="31" t="n">
        <v>60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76.45</v>
      </c>
      <c r="P96" s="32" t="n">
        <v>64.45</v>
      </c>
      <c r="Q96" s="32" t="n">
        <v>515.78</v>
      </c>
      <c r="R96" s="31" t="inlineStr">
        <is>
          <t>Near 52W High Breakout</t>
        </is>
      </c>
      <c r="S96" s="31" t="inlineStr">
        <is>
          <t>Nifty 50</t>
        </is>
      </c>
      <c r="T96" s="32" t="n">
        <v>-6.83</v>
      </c>
      <c r="U96" s="32" t="n">
        <v>97.37</v>
      </c>
      <c r="V96" s="32" t="n">
        <v>111.84</v>
      </c>
      <c r="W96" s="32" t="n">
        <v>19.68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Between 0.7 to 1.2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IF(B97=0,"",RANK(B97,$B$2:$B$304,0))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DIFFNKG</t>
        </is>
      </c>
      <c r="D97" s="31" t="inlineStr">
        <is>
          <t>Diffusion Engineers Ltd</t>
        </is>
      </c>
      <c r="E97" s="31" t="inlineStr">
        <is>
          <t>industrials</t>
        </is>
      </c>
      <c r="F97" s="31" t="inlineStr">
        <is>
          <t>electrodes - welding equipment</t>
        </is>
      </c>
      <c r="G97" s="31" t="inlineStr">
        <is>
          <t>smallcap</t>
        </is>
      </c>
      <c r="H97" s="32" t="n">
        <v>1682.5</v>
      </c>
      <c r="I97" s="32" t="n">
        <v>449.5</v>
      </c>
      <c r="J97" s="32" t="n">
        <v>-0.01</v>
      </c>
      <c r="K97" s="32" t="n">
        <v>124277</v>
      </c>
      <c r="L97" s="31" t="n">
        <v>34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63.36</v>
      </c>
      <c r="P97" s="32" t="n">
        <v>46.33</v>
      </c>
      <c r="Q97" s="32" t="n">
        <v>341.98</v>
      </c>
      <c r="R97" s="31" t="inlineStr">
        <is>
          <t>Earnings / Momentum Support</t>
        </is>
      </c>
      <c r="S97" s="31" t="inlineStr">
        <is>
          <t>Nifty 50</t>
        </is>
      </c>
      <c r="T97" s="32" t="n">
        <v>-6.83</v>
      </c>
      <c r="U97" s="32" t="n">
        <v>15.2</v>
      </c>
      <c r="V97" s="32" t="n">
        <v>23.65</v>
      </c>
      <c r="W97" s="32" t="n">
        <v>11.49</v>
      </c>
      <c r="X97" s="31" t="inlineStr">
        <is>
          <t>Cyclical in an Upturn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No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IF(B98=0,"",RANK(B98,$B$2:$B$304,0))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UNIVPHOTO</t>
        </is>
      </c>
      <c r="D98" s="31" t="inlineStr">
        <is>
          <t>Universus Photo Imagings Ltd</t>
        </is>
      </c>
      <c r="E98" s="31" t="inlineStr">
        <is>
          <t>consumer discretionary</t>
        </is>
      </c>
      <c r="F98" s="31" t="inlineStr">
        <is>
          <t>photographic and allied products</t>
        </is>
      </c>
      <c r="G98" s="31" t="inlineStr">
        <is>
          <t>smallcap</t>
        </is>
      </c>
      <c r="H98" s="32" t="n">
        <v>591.66</v>
      </c>
      <c r="I98" s="32" t="n">
        <v>540.15</v>
      </c>
      <c r="J98" s="32" t="n">
        <v>-0.06</v>
      </c>
      <c r="K98" s="32" t="n">
        <v>889</v>
      </c>
      <c r="L98" s="31" t="n">
        <v>85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68.7</v>
      </c>
      <c r="P98" s="32" t="n">
        <v>18.65</v>
      </c>
      <c r="Q98" s="32" t="n">
        <v>398.18</v>
      </c>
      <c r="R98" s="31" t="inlineStr">
        <is>
          <t>Volume Spike &amp; Near 52W High Breakout</t>
        </is>
      </c>
      <c r="S98" s="31" t="inlineStr">
        <is>
          <t>Nifty 50</t>
        </is>
      </c>
      <c r="T98" s="32" t="n">
        <v>-6.83</v>
      </c>
      <c r="U98" s="32" t="n">
        <v>106.56</v>
      </c>
      <c r="V98" s="32" t="n">
        <v>121.71</v>
      </c>
      <c r="W98" s="32" t="n">
        <v>34.74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0 to 20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IF(B99=0,"",RANK(B99,$B$2:$B$304,0))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NRBBEARING</t>
        </is>
      </c>
      <c r="D99" s="31" t="inlineStr">
        <is>
          <t>Nrb Bearing Limited</t>
        </is>
      </c>
      <c r="E99" s="31" t="inlineStr">
        <is>
          <t>industrials</t>
        </is>
      </c>
      <c r="F99" s="31" t="inlineStr">
        <is>
          <t>bearings</t>
        </is>
      </c>
      <c r="G99" s="31" t="inlineStr">
        <is>
          <t>midcap</t>
        </is>
      </c>
      <c r="H99" s="32" t="n">
        <v>5000.72</v>
      </c>
      <c r="I99" s="32" t="n">
        <v>514.65</v>
      </c>
      <c r="J99" s="32" t="n">
        <v>-0.25</v>
      </c>
      <c r="K99" s="32" t="n">
        <v>700202</v>
      </c>
      <c r="L99" s="31" t="n">
        <v>63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72.95999999999999</v>
      </c>
      <c r="P99" s="32" t="n">
        <v>50.77</v>
      </c>
      <c r="Q99" s="32" t="n">
        <v>399.93</v>
      </c>
      <c r="R99" s="31" t="inlineStr">
        <is>
          <t>Volume Spike &amp; Near 52W High Breakout</t>
        </is>
      </c>
      <c r="S99" s="31" t="inlineStr">
        <is>
          <t>Nifty 50</t>
        </is>
      </c>
      <c r="T99" s="32" t="n">
        <v>-6.83</v>
      </c>
      <c r="U99" s="32" t="n">
        <v>88.13</v>
      </c>
      <c r="V99" s="32" t="n">
        <v>101.92</v>
      </c>
      <c r="W99" s="32" t="n">
        <v>20.59</v>
      </c>
      <c r="X99" s="31" t="inlineStr">
        <is>
          <t>Cyclical in an Upturn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Between 12 to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IF(B100=0,"",RANK(B100,$B$2:$B$304,0))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3" t="inlineStr">
        <is>
          <t>RADHIKAJWE</t>
        </is>
      </c>
      <c r="D100" s="33" t="inlineStr">
        <is>
          <t>Radhika Jeweltech Ltd</t>
        </is>
      </c>
      <c r="E100" s="31" t="inlineStr">
        <is>
          <t>consumer discretionary</t>
        </is>
      </c>
      <c r="F100" s="31" t="inlineStr">
        <is>
          <t>diamond cutting / jewellery</t>
        </is>
      </c>
      <c r="G100" s="31" t="inlineStr">
        <is>
          <t>smallcap</t>
        </is>
      </c>
      <c r="H100" s="32" t="n">
        <v>992.97</v>
      </c>
      <c r="I100" s="32" t="n">
        <v>83.20999999999999</v>
      </c>
      <c r="J100" s="32" t="n">
        <v>-1.12</v>
      </c>
      <c r="K100" s="32" t="n">
        <v>1473665</v>
      </c>
      <c r="L100" s="31" t="n">
        <v>31</v>
      </c>
      <c r="M100" s="31" t="inlineStr">
        <is>
          <t>Underperforming</t>
        </is>
      </c>
      <c r="N100" s="32">
        <f>IF(M100="Underperforming",-5,IF(L100&gt;=95,15,IF(L100&gt;=90,10,IF(L100&gt;=80,5,0))))</f>
        <v/>
      </c>
      <c r="O100" s="32" t="n">
        <v>67.56999999999999</v>
      </c>
      <c r="P100" s="32" t="n">
        <v>24.72</v>
      </c>
      <c r="Q100" s="32" t="n">
        <v>59.12</v>
      </c>
      <c r="R100" s="31" t="inlineStr">
        <is>
          <t>Volume Spike / Accumulation</t>
        </is>
      </c>
      <c r="S100" s="31" t="inlineStr">
        <is>
          <t>Nifty 50</t>
        </is>
      </c>
      <c r="T100" s="32" t="n">
        <v>-6.83</v>
      </c>
      <c r="U100" s="32" t="n">
        <v>-9.81</v>
      </c>
      <c r="V100" s="32" t="n">
        <v>-3.2</v>
      </c>
      <c r="W100" s="32" t="n">
        <v>10.07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IF(B101=0,"",RANK(B101,$B$2:$B$304,0))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IL&amp;FSENGG</t>
        </is>
      </c>
      <c r="D101" s="31" t="inlineStr">
        <is>
          <t>Il&amp;fs Engineering And Construction Company Limited</t>
        </is>
      </c>
      <c r="E101" s="31" t="inlineStr">
        <is>
          <t>realty</t>
        </is>
      </c>
      <c r="F101" s="31" t="inlineStr">
        <is>
          <t>construction</t>
        </is>
      </c>
      <c r="G101" s="31" t="inlineStr">
        <is>
          <t>smallcap</t>
        </is>
      </c>
      <c r="H101" s="32" t="n">
        <v>512.55</v>
      </c>
      <c r="I101" s="32" t="n">
        <v>38.54</v>
      </c>
      <c r="J101" s="32" t="n">
        <v>-1.41</v>
      </c>
      <c r="K101" s="32" t="n">
        <v>62188</v>
      </c>
      <c r="L101" s="31" t="n">
        <v>45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66.43000000000001</v>
      </c>
      <c r="P101" s="32" t="n">
        <v>39.1</v>
      </c>
      <c r="Q101" s="32" t="n">
        <v>27.48</v>
      </c>
      <c r="R101" s="31" t="inlineStr">
        <is>
          <t>Near 52W High Breakout</t>
        </is>
      </c>
      <c r="S101" s="31" t="inlineStr">
        <is>
          <t>Nifty Realty</t>
        </is>
      </c>
      <c r="T101" s="32" t="n">
        <v>-10.74</v>
      </c>
      <c r="U101" s="32" t="n">
        <v>11.36</v>
      </c>
      <c r="V101" s="32" t="n">
        <v>24.75</v>
      </c>
      <c r="W101" s="32" t="n">
        <v>14.44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IF(B102=0,"",RANK(B102,$B$2:$B$304,0))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FCL</t>
        </is>
      </c>
      <c r="D102" s="31" t="inlineStr">
        <is>
          <t>Fineotex Chemical Limited</t>
        </is>
      </c>
      <c r="E102" s="31" t="inlineStr">
        <is>
          <t>chemicals</t>
        </is>
      </c>
      <c r="F102" s="31" t="inlineStr">
        <is>
          <t>chemicals</t>
        </is>
      </c>
      <c r="G102" s="31" t="inlineStr">
        <is>
          <t>midcap</t>
        </is>
      </c>
      <c r="H102" s="32" t="n">
        <v>6836.78</v>
      </c>
      <c r="I102" s="32" t="n">
        <v>57.72</v>
      </c>
      <c r="J102" s="32" t="n">
        <v>-1.69</v>
      </c>
      <c r="K102" s="32" t="n">
        <v>23377217</v>
      </c>
      <c r="L102" s="31" t="n">
        <v>83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81.27</v>
      </c>
      <c r="P102" s="32" t="n">
        <v>48.76</v>
      </c>
      <c r="Q102" s="32" t="n">
        <v>43.36</v>
      </c>
      <c r="R102" s="31" t="inlineStr">
        <is>
          <t>Volume Spike &amp; Near 52W High Breakout</t>
        </is>
      </c>
      <c r="S102" s="31" t="inlineStr">
        <is>
          <t>Nifty 50</t>
        </is>
      </c>
      <c r="T102" s="32" t="n">
        <v>-6.83</v>
      </c>
      <c r="U102" s="32" t="n">
        <v>144.65</v>
      </c>
      <c r="V102" s="32" t="n">
        <v>162.59</v>
      </c>
      <c r="W102" s="32" t="n">
        <v>33.31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Above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IF(B103=0,"",RANK(B103,$B$2:$B$304,0))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NOCIL</t>
        </is>
      </c>
      <c r="D103" s="31" t="inlineStr">
        <is>
          <t>Nocil Limited</t>
        </is>
      </c>
      <c r="E103" s="31" t="inlineStr">
        <is>
          <t>chemicals</t>
        </is>
      </c>
      <c r="F103" s="31" t="inlineStr">
        <is>
          <t>chemicals</t>
        </is>
      </c>
      <c r="G103" s="31" t="inlineStr">
        <is>
          <t>smallcap</t>
        </is>
      </c>
      <c r="H103" s="32" t="n">
        <v>3262.16</v>
      </c>
      <c r="I103" s="32" t="n">
        <v>189.65</v>
      </c>
      <c r="J103" s="32" t="n">
        <v>-2.9</v>
      </c>
      <c r="K103" s="32" t="n">
        <v>1202651</v>
      </c>
      <c r="L103" s="31" t="n">
        <v>16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62.43</v>
      </c>
      <c r="P103" s="32" t="n">
        <v>21.49</v>
      </c>
      <c r="Q103" s="32" t="n">
        <v>145.84</v>
      </c>
      <c r="R103" s="31" t="inlineStr">
        <is>
          <t>Volume Spike &amp; Near 52W High Breakout</t>
        </is>
      </c>
      <c r="S103" s="31" t="inlineStr">
        <is>
          <t>Nifty IT</t>
        </is>
      </c>
      <c r="T103" s="32" t="n">
        <v>-19.91</v>
      </c>
      <c r="U103" s="32" t="n">
        <v>4.33</v>
      </c>
      <c r="V103" s="32" t="n">
        <v>30.27</v>
      </c>
      <c r="W103" s="32" t="n">
        <v>5.64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Less than 1.5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IF(B104=0,"",RANK(B104,$B$2:$B$304,0))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WHEELS</t>
        </is>
      </c>
      <c r="D104" s="31" t="inlineStr">
        <is>
          <t>Wheels India Limited</t>
        </is>
      </c>
      <c r="E104" s="31" t="inlineStr">
        <is>
          <t>auto</t>
        </is>
      </c>
      <c r="F104" s="31" t="inlineStr">
        <is>
          <t>auto ancillaries</t>
        </is>
      </c>
      <c r="G104" s="31" t="inlineStr">
        <is>
          <t>midcap</t>
        </is>
      </c>
      <c r="H104" s="32" t="n">
        <v>5651.36</v>
      </c>
      <c r="I104" s="32" t="n">
        <v>2230.1</v>
      </c>
      <c r="J104" s="32" t="n">
        <v>-3.58</v>
      </c>
      <c r="K104" s="32" t="n">
        <v>386291</v>
      </c>
      <c r="L104" s="31" t="n">
        <v>94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79.16</v>
      </c>
      <c r="P104" s="32" t="n">
        <v>55.99</v>
      </c>
      <c r="Q104" s="32" t="n">
        <v>1661.47</v>
      </c>
      <c r="R104" s="31" t="inlineStr">
        <is>
          <t>Volume Spike &amp; Near 52W High Breakout</t>
        </is>
      </c>
      <c r="S104" s="31" t="inlineStr">
        <is>
          <t>Nifty Auto</t>
        </is>
      </c>
      <c r="T104" s="32" t="n">
        <v>14.81</v>
      </c>
      <c r="U104" s="32" t="n">
        <v>183.04</v>
      </c>
      <c r="V104" s="32" t="n">
        <v>146.52</v>
      </c>
      <c r="W104" s="32" t="n">
        <v>53.65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Above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Less than 12%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IF(B105=0,"",RANK(B105,$B$2:$B$304,0))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SREEL</t>
        </is>
      </c>
      <c r="D105" s="31" t="inlineStr">
        <is>
          <t>Sreeleathers Limited</t>
        </is>
      </c>
      <c r="E105" s="31" t="inlineStr">
        <is>
          <t>consumer discretionary</t>
        </is>
      </c>
      <c r="F105" s="31" t="inlineStr">
        <is>
          <t>trading</t>
        </is>
      </c>
      <c r="G105" s="31" t="inlineStr">
        <is>
          <t>smallcap</t>
        </is>
      </c>
      <c r="H105" s="32" t="n">
        <v>857.4299999999999</v>
      </c>
      <c r="I105" s="32" t="n">
        <v>333.27</v>
      </c>
      <c r="J105" s="32" t="n">
        <v>-10</v>
      </c>
      <c r="K105" s="32" t="n">
        <v>129115</v>
      </c>
      <c r="L105" s="31" t="n">
        <v>71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85.02</v>
      </c>
      <c r="P105" s="32" t="n">
        <v>54.29</v>
      </c>
      <c r="Q105" s="32" t="n">
        <v>249.82</v>
      </c>
      <c r="R105" s="31" t="inlineStr">
        <is>
          <t>Volume Spike &amp; Near 52W High Breakout</t>
        </is>
      </c>
      <c r="S105" s="31" t="inlineStr">
        <is>
          <t>Nifty 50</t>
        </is>
      </c>
      <c r="T105" s="32" t="n">
        <v>-6.83</v>
      </c>
      <c r="U105" s="32" t="n">
        <v>42.92</v>
      </c>
      <c r="V105" s="32" t="n">
        <v>53.41</v>
      </c>
      <c r="W105" s="32" t="n">
        <v>24.32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Above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IF(B106=0,"",RANK(B106,$B$2:$B$304,0))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3" t="inlineStr">
        <is>
          <t>SOLARA</t>
        </is>
      </c>
      <c r="D106" s="33" t="inlineStr">
        <is>
          <t>Solara Active Pharma Sciences Ltd</t>
        </is>
      </c>
      <c r="E106" s="31" t="inlineStr">
        <is>
          <t>healthcare</t>
        </is>
      </c>
      <c r="F106" s="31" t="inlineStr">
        <is>
          <t>pharmaceuticals - indian - bulk drugs &amp; formln</t>
        </is>
      </c>
      <c r="G106" s="31" t="inlineStr">
        <is>
          <t>smallcap</t>
        </is>
      </c>
      <c r="H106" s="32" t="n">
        <v>3412.2</v>
      </c>
      <c r="I106" s="32" t="n">
        <v>749.15</v>
      </c>
      <c r="J106" s="32" t="n">
        <v>5.92</v>
      </c>
      <c r="K106" s="32" t="n">
        <v>1159874</v>
      </c>
      <c r="L106" s="31" t="n">
        <v>28</v>
      </c>
      <c r="M106" s="31" t="inlineStr">
        <is>
          <t>Underperforming</t>
        </is>
      </c>
      <c r="N106" s="32">
        <f>IF(M106="Underperforming",-5,IF(L106&gt;=95,15,IF(L106&gt;=90,10,IF(L106&gt;=80,5,0))))</f>
        <v/>
      </c>
      <c r="O106" s="32" t="n">
        <v>71.97</v>
      </c>
      <c r="P106" s="32" t="n">
        <v>28.47</v>
      </c>
      <c r="Q106" s="32" t="n">
        <v>565.46</v>
      </c>
      <c r="R106" s="31" t="inlineStr">
        <is>
          <t>Volume Spike &amp; Near 52W High Breakout</t>
        </is>
      </c>
      <c r="S106" s="31" t="inlineStr">
        <is>
          <t>Nifty Pharma</t>
        </is>
      </c>
      <c r="T106" s="32" t="n">
        <v>18.76</v>
      </c>
      <c r="U106" s="32" t="n">
        <v>10.57</v>
      </c>
      <c r="V106" s="32" t="n">
        <v>-6.9</v>
      </c>
      <c r="W106" s="32" t="n">
        <v>9.199999999999999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Yes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Annuity, Lower One Time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IF(B107=0,"",RANK(B107,$B$2:$B$304,0))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SAKAR</t>
        </is>
      </c>
      <c r="D107" s="31" t="inlineStr">
        <is>
          <t>Sakar Healthcare Ltd</t>
        </is>
      </c>
      <c r="E107" s="31" t="inlineStr">
        <is>
          <t>healthcare</t>
        </is>
      </c>
      <c r="F107" s="31" t="inlineStr">
        <is>
          <t>pharmaceuticals - indian - bulk drugs &amp; formln</t>
        </is>
      </c>
      <c r="G107" s="31" t="inlineStr">
        <is>
          <t>smallcap</t>
        </is>
      </c>
      <c r="H107" s="32" t="n">
        <v>2485.98</v>
      </c>
      <c r="I107" s="32" t="n">
        <v>1158.55</v>
      </c>
      <c r="J107" s="32" t="n">
        <v>3.69</v>
      </c>
      <c r="K107" s="32" t="n">
        <v>181225</v>
      </c>
      <c r="L107" s="31" t="n">
        <v>88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76.43000000000001</v>
      </c>
      <c r="P107" s="32" t="n">
        <v>52.51</v>
      </c>
      <c r="Q107" s="32" t="n">
        <v>852.8</v>
      </c>
      <c r="R107" s="31" t="inlineStr">
        <is>
          <t>Near 52W High Breakout</t>
        </is>
      </c>
      <c r="S107" s="31" t="inlineStr">
        <is>
          <t>Nifty Pharma</t>
        </is>
      </c>
      <c r="T107" s="32" t="n">
        <v>18.76</v>
      </c>
      <c r="U107" s="32" t="n">
        <v>246.56</v>
      </c>
      <c r="V107" s="32" t="n">
        <v>191.82</v>
      </c>
      <c r="W107" s="32" t="n">
        <v>37.84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Yes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Annuity, Lower One Time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Above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IF(B108=0,"",RANK(B108,$B$2:$B$304,0))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BLISSGVS</t>
        </is>
      </c>
      <c r="D108" s="31" t="inlineStr">
        <is>
          <t>Bliss Gvs Pharma Limited</t>
        </is>
      </c>
      <c r="E108" s="31" t="inlineStr">
        <is>
          <t>healthcare</t>
        </is>
      </c>
      <c r="F108" s="31" t="inlineStr">
        <is>
          <t>pharmaceuticals - indian - formulations</t>
        </is>
      </c>
      <c r="G108" s="31" t="inlineStr">
        <is>
          <t>midcap</t>
        </is>
      </c>
      <c r="H108" s="32" t="n">
        <v>7428.71</v>
      </c>
      <c r="I108" s="32" t="n">
        <v>720.95</v>
      </c>
      <c r="J108" s="32" t="n">
        <v>2.93</v>
      </c>
      <c r="K108" s="32" t="n">
        <v>190726</v>
      </c>
      <c r="L108" s="31" t="n">
        <v>94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88.47</v>
      </c>
      <c r="P108" s="32" t="n">
        <v>74.48</v>
      </c>
      <c r="Q108" s="32" t="n">
        <v>567.4299999999999</v>
      </c>
      <c r="R108" s="31" t="inlineStr">
        <is>
          <t>Near 52W High Breakout</t>
        </is>
      </c>
      <c r="S108" s="31" t="inlineStr">
        <is>
          <t>Nifty Pharma</t>
        </is>
      </c>
      <c r="T108" s="32" t="n">
        <v>18.76</v>
      </c>
      <c r="U108" s="32" t="n">
        <v>374.77</v>
      </c>
      <c r="V108" s="32" t="n">
        <v>299.77</v>
      </c>
      <c r="W108" s="32" t="n">
        <v>56.22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Yes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Annuity, Lower One Time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Between 12 to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IF(B109=0,"",RANK(B109,$B$2:$B$304,0))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TASTYBITE</t>
        </is>
      </c>
      <c r="D109" s="31" t="inlineStr">
        <is>
          <t>Tasty Bite Eatables Ltd</t>
        </is>
      </c>
      <c r="E109" s="31" t="inlineStr">
        <is>
          <t>fmcg</t>
        </is>
      </c>
      <c r="F109" s="31" t="inlineStr">
        <is>
          <t>food - processing - indian</t>
        </is>
      </c>
      <c r="G109" s="31" t="inlineStr">
        <is>
          <t>smallcap</t>
        </is>
      </c>
      <c r="H109" s="32" t="n">
        <v>2617.58</v>
      </c>
      <c r="I109" s="32" t="n">
        <v>10273</v>
      </c>
      <c r="J109" s="32" t="n">
        <v>0.71</v>
      </c>
      <c r="K109" s="32" t="n">
        <v>2921</v>
      </c>
      <c r="L109" s="31" t="n">
        <v>34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72.31</v>
      </c>
      <c r="P109" s="32" t="n">
        <v>51.72</v>
      </c>
      <c r="Q109" s="32" t="n">
        <v>8115.88</v>
      </c>
      <c r="R109" s="31" t="inlineStr">
        <is>
          <t>Near 52W High Breakout</t>
        </is>
      </c>
      <c r="S109" s="31" t="inlineStr">
        <is>
          <t>Nifty FMCG</t>
        </is>
      </c>
      <c r="T109" s="32" t="n">
        <v>-17.45</v>
      </c>
      <c r="U109" s="32" t="n">
        <v>-4.63</v>
      </c>
      <c r="V109" s="32" t="n">
        <v>15.54</v>
      </c>
      <c r="W109" s="32" t="n">
        <v>11.19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B2C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Less than 12%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IF(B110=0,"",RANK(B110,$B$2:$B$304,0))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KRBL</t>
        </is>
      </c>
      <c r="D110" s="31" t="inlineStr">
        <is>
          <t>Krbl Limited</t>
        </is>
      </c>
      <c r="E110" s="31" t="inlineStr">
        <is>
          <t>fmcg</t>
        </is>
      </c>
      <c r="F110" s="31" t="inlineStr">
        <is>
          <t>food - processing - indian</t>
        </is>
      </c>
      <c r="G110" s="31" t="inlineStr">
        <is>
          <t>midcap</t>
        </is>
      </c>
      <c r="H110" s="32" t="n">
        <v>9687.76</v>
      </c>
      <c r="I110" s="32" t="n">
        <v>421.05</v>
      </c>
      <c r="J110" s="32" t="n">
        <v>-0.52</v>
      </c>
      <c r="K110" s="32" t="n">
        <v>377861</v>
      </c>
      <c r="L110" s="31" t="n">
        <v>17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63.1</v>
      </c>
      <c r="P110" s="32" t="n">
        <v>15.21</v>
      </c>
      <c r="Q110" s="32" t="n">
        <v>353.94</v>
      </c>
      <c r="R110" s="31" t="inlineStr">
        <is>
          <t>Near 52W High Breakout</t>
        </is>
      </c>
      <c r="S110" s="31" t="inlineStr">
        <is>
          <t>Nifty FMCG</t>
        </is>
      </c>
      <c r="T110" s="32" t="n">
        <v>-17.45</v>
      </c>
      <c r="U110" s="32" t="n">
        <v>8.859999999999999</v>
      </c>
      <c r="V110" s="32" t="n">
        <v>31.88</v>
      </c>
      <c r="W110" s="32" t="n">
        <v>5.69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B2C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Annuity, Lower One Time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0 to 20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IF(B111=0,"",RANK(B111,$B$2:$B$304,0))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3" t="inlineStr">
        <is>
          <t>GPTHEALTH</t>
        </is>
      </c>
      <c r="D111" s="33" t="inlineStr">
        <is>
          <t>GPT Healthcare Ltd</t>
        </is>
      </c>
      <c r="E111" s="31" t="inlineStr">
        <is>
          <t>healthcare</t>
        </is>
      </c>
      <c r="F111" s="31" t="inlineStr">
        <is>
          <t>healthcare</t>
        </is>
      </c>
      <c r="G111" s="31" t="inlineStr">
        <is>
          <t>smallcap</t>
        </is>
      </c>
      <c r="H111" s="32" t="n">
        <v>1323.46</v>
      </c>
      <c r="I111" s="32" t="n">
        <v>159.38</v>
      </c>
      <c r="J111" s="32" t="n">
        <v>-1.18</v>
      </c>
      <c r="K111" s="32" t="n">
        <v>97541</v>
      </c>
      <c r="L111" s="31" t="n">
        <v>9</v>
      </c>
      <c r="M111" s="31" t="inlineStr">
        <is>
          <t>Underperforming</t>
        </is>
      </c>
      <c r="N111" s="32">
        <f>IF(M111="Underperforming",-5,IF(L111&gt;=95,15,IF(L111&gt;=90,10,IF(L111&gt;=80,5,0))))</f>
        <v/>
      </c>
      <c r="O111" s="32" t="n">
        <v>59.05</v>
      </c>
      <c r="P111" s="32" t="n">
        <v>49.78</v>
      </c>
      <c r="Q111" s="32" t="n">
        <v>140.16</v>
      </c>
      <c r="R111" s="31" t="inlineStr">
        <is>
          <t>Earnings / Momentum Support</t>
        </is>
      </c>
      <c r="S111" s="31" t="inlineStr">
        <is>
          <t>Nifty Pharma</t>
        </is>
      </c>
      <c r="T111" s="32" t="n">
        <v>18.76</v>
      </c>
      <c r="U111" s="32" t="n">
        <v>5.86</v>
      </c>
      <c r="V111" s="32" t="n">
        <v>-10.86</v>
      </c>
      <c r="W111" s="32" t="n">
        <v>3.44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Yes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No</t>
        </is>
      </c>
      <c r="AQ111" s="31">
        <f>IF(AP111="Yes",10,0)</f>
        <v/>
      </c>
      <c r="AR111" s="31" t="inlineStr">
        <is>
          <t>Higher Annuity, Lower One Time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IF(B112=0,"",RANK(B112,$B$2:$B$304,0))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NOVARTIND</t>
        </is>
      </c>
      <c r="D112" s="31" t="inlineStr">
        <is>
          <t>Novartis India Ltd</t>
        </is>
      </c>
      <c r="E112" s="31" t="inlineStr">
        <is>
          <t>healthcare</t>
        </is>
      </c>
      <c r="F112" s="31" t="inlineStr">
        <is>
          <t>pharmaceuticals - multinational</t>
        </is>
      </c>
      <c r="G112" s="31" t="inlineStr">
        <is>
          <t>midcap</t>
        </is>
      </c>
      <c r="H112" s="32" t="n">
        <v>5995.42</v>
      </c>
      <c r="I112" s="32" t="n">
        <v>2391.3</v>
      </c>
      <c r="J112" s="32" t="n">
        <v>-1.52</v>
      </c>
      <c r="K112" s="32" t="n">
        <v>454582</v>
      </c>
      <c r="L112" s="31" t="n">
        <v>91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80.47</v>
      </c>
      <c r="P112" s="32" t="n">
        <v>65.81999999999999</v>
      </c>
      <c r="Q112" s="32" t="n">
        <v>1792.46</v>
      </c>
      <c r="R112" s="31" t="inlineStr">
        <is>
          <t>Volume Spike &amp; Near 52W High Breakout</t>
        </is>
      </c>
      <c r="S112" s="31" t="inlineStr">
        <is>
          <t>Nifty Pharma</t>
        </is>
      </c>
      <c r="T112" s="32" t="n">
        <v>18.76</v>
      </c>
      <c r="U112" s="32" t="n">
        <v>160.66</v>
      </c>
      <c r="V112" s="32" t="n">
        <v>119.49</v>
      </c>
      <c r="W112" s="32" t="n">
        <v>42.04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Yes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Annuity, Lower One Time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Above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Between 12 to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IF(B113=0,"",RANK(B113,$B$2:$B$304,0))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ACUTAAS</t>
        </is>
      </c>
      <c r="D113" s="31" t="inlineStr">
        <is>
          <t>Acutaas Chemicals Ltd</t>
        </is>
      </c>
      <c r="E113" s="31" t="inlineStr">
        <is>
          <t>healthcare</t>
        </is>
      </c>
      <c r="F113" s="31" t="inlineStr">
        <is>
          <t>pharmaceuticals - indian - bulk drugs</t>
        </is>
      </c>
      <c r="G113" s="31" t="inlineStr">
        <is>
          <t>largecap</t>
        </is>
      </c>
      <c r="H113" s="32" t="n">
        <v>28257</v>
      </c>
      <c r="I113" s="32" t="n">
        <v>3383.7</v>
      </c>
      <c r="J113" s="32" t="n">
        <v>-1.96</v>
      </c>
      <c r="K113" s="32" t="n">
        <v>325242</v>
      </c>
      <c r="L113" s="31" t="n">
        <v>66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60.5</v>
      </c>
      <c r="P113" s="32" t="n">
        <v>55.62</v>
      </c>
      <c r="Q113" s="32" t="n">
        <v>2843.73</v>
      </c>
      <c r="R113" s="31" t="inlineStr">
        <is>
          <t>Earnings / Momentum Support</t>
        </is>
      </c>
      <c r="S113" s="31" t="inlineStr">
        <is>
          <t>Nifty Pharma</t>
        </is>
      </c>
      <c r="T113" s="32" t="n">
        <v>18.76</v>
      </c>
      <c r="U113" s="32" t="n">
        <v>134.88</v>
      </c>
      <c r="V113" s="32" t="n">
        <v>97.77</v>
      </c>
      <c r="W113" s="32" t="n">
        <v>21.37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Yes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Annuity, Lower One Time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Above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IF(B114=0,"",RANK(B114,$B$2:$B$304,0))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ZYDUSWELL</t>
        </is>
      </c>
      <c r="D114" s="31" t="inlineStr">
        <is>
          <t>Zydus Wellness Limited</t>
        </is>
      </c>
      <c r="E114" s="31" t="inlineStr">
        <is>
          <t>fmcg</t>
        </is>
      </c>
      <c r="F114" s="31" t="inlineStr">
        <is>
          <t>food - processing - indian</t>
        </is>
      </c>
      <c r="G114" s="31" t="inlineStr">
        <is>
          <t>midcap</t>
        </is>
      </c>
      <c r="H114" s="32" t="n">
        <v>18017.44</v>
      </c>
      <c r="I114" s="32" t="n">
        <v>552</v>
      </c>
      <c r="J114" s="32" t="n">
        <v>-2.53</v>
      </c>
      <c r="K114" s="32" t="n">
        <v>210690</v>
      </c>
      <c r="L114" s="31" t="n">
        <v>28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57.88</v>
      </c>
      <c r="P114" s="32" t="n">
        <v>41.29</v>
      </c>
      <c r="Q114" s="32" t="n">
        <v>470.62</v>
      </c>
      <c r="R114" s="31" t="inlineStr">
        <is>
          <t>Volume Spike / Accumulation</t>
        </is>
      </c>
      <c r="S114" s="31" t="inlineStr">
        <is>
          <t>Nifty FMCG</t>
        </is>
      </c>
      <c r="T114" s="32" t="n">
        <v>-17.45</v>
      </c>
      <c r="U114" s="32" t="n">
        <v>31.53</v>
      </c>
      <c r="V114" s="32" t="n">
        <v>59.34</v>
      </c>
      <c r="W114" s="32" t="n">
        <v>8.85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B2C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Annuity, Lower One Time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Above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Less than 12%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IF(B115=0,"",RANK(B115,$B$2:$B$304,0))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RACLGEAR</t>
        </is>
      </c>
      <c r="D115" s="31" t="inlineStr">
        <is>
          <t>RACL Geartech Ltd</t>
        </is>
      </c>
      <c r="E115" s="31" t="inlineStr">
        <is>
          <t>auto</t>
        </is>
      </c>
      <c r="F115" s="31" t="inlineStr">
        <is>
          <t>auto ancillaries</t>
        </is>
      </c>
      <c r="G115" s="31" t="inlineStr">
        <is>
          <t>smallcap</t>
        </is>
      </c>
      <c r="H115" s="32" t="n">
        <v>1872.18</v>
      </c>
      <c r="I115" s="32" t="n">
        <v>1756.7</v>
      </c>
      <c r="J115" s="32" t="n">
        <v>10.61</v>
      </c>
      <c r="K115" s="32" t="n">
        <v>1142834</v>
      </c>
      <c r="L115" s="31" t="n">
        <v>68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68.43000000000001</v>
      </c>
      <c r="P115" s="32" t="n">
        <v>51.15</v>
      </c>
      <c r="Q115" s="32" t="n">
        <v>1256.58</v>
      </c>
      <c r="R115" s="31" t="inlineStr">
        <is>
          <t>Volume Spike &amp; Near 52W High Breakout</t>
        </is>
      </c>
      <c r="S115" s="31" t="inlineStr">
        <is>
          <t>Nifty Auto</t>
        </is>
      </c>
      <c r="T115" s="32" t="n">
        <v>14.81</v>
      </c>
      <c r="U115" s="32" t="n">
        <v>75.69</v>
      </c>
      <c r="V115" s="32" t="n">
        <v>53.02</v>
      </c>
      <c r="W115" s="32" t="n">
        <v>22.43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Less than 12%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IF(B116=0,"",RANK(B116,$B$2:$B$304,0))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3" t="inlineStr">
        <is>
          <t>QUADFUTURE</t>
        </is>
      </c>
      <c r="D116" s="33" t="inlineStr">
        <is>
          <t>Quadrant Future Tek Ltd</t>
        </is>
      </c>
      <c r="E116" s="31" t="inlineStr">
        <is>
          <t>industrials</t>
        </is>
      </c>
      <c r="F116" s="31" t="inlineStr">
        <is>
          <t>cables - power</t>
        </is>
      </c>
      <c r="G116" s="31" t="inlineStr">
        <is>
          <t>smallcap</t>
        </is>
      </c>
      <c r="H116" s="32" t="n">
        <v>1743.2</v>
      </c>
      <c r="I116" s="32" t="n">
        <v>478.5</v>
      </c>
      <c r="J116" s="32" t="n">
        <v>9.800000000000001</v>
      </c>
      <c r="K116" s="32" t="n">
        <v>10362562</v>
      </c>
      <c r="L116" s="31" t="n">
        <v>45</v>
      </c>
      <c r="M116" s="31" t="inlineStr">
        <is>
          <t>Underperforming</t>
        </is>
      </c>
      <c r="N116" s="32">
        <f>IF(M116="Underperforming",-5,IF(L116&gt;=95,15,IF(L116&gt;=90,10,IF(L116&gt;=80,5,0))))</f>
        <v/>
      </c>
      <c r="O116" s="32" t="n">
        <v>65.87</v>
      </c>
      <c r="P116" s="32" t="n">
        <v>37.57</v>
      </c>
      <c r="Q116" s="32" t="n">
        <v>327.56</v>
      </c>
      <c r="R116" s="31" t="inlineStr">
        <is>
          <t>Volume Spike &amp; Near 52W High Breakout</t>
        </is>
      </c>
      <c r="S116" s="31" t="inlineStr">
        <is>
          <t>Nifty Energy</t>
        </is>
      </c>
      <c r="T116" s="32" t="n">
        <v>7.62</v>
      </c>
      <c r="U116" s="32" t="n">
        <v>1.84</v>
      </c>
      <c r="V116" s="32" t="n">
        <v>-5.37</v>
      </c>
      <c r="W116" s="32" t="n">
        <v>14.47</v>
      </c>
      <c r="X116" s="31" t="inlineStr">
        <is>
          <t>Cyclical in an Upturn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Less than 1.5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IF(B117=0,"",RANK(B117,$B$2:$B$304,0))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KANPRPLA</t>
        </is>
      </c>
      <c r="D117" s="31" t="inlineStr">
        <is>
          <t>Kanpur Plastipack Ltd</t>
        </is>
      </c>
      <c r="E117" s="31" t="inlineStr">
        <is>
          <t>industrials</t>
        </is>
      </c>
      <c r="F117" s="31" t="inlineStr">
        <is>
          <t>packaging</t>
        </is>
      </c>
      <c r="G117" s="31" t="inlineStr">
        <is>
          <t>smallcap</t>
        </is>
      </c>
      <c r="H117" s="32" t="n">
        <v>616.14</v>
      </c>
      <c r="I117" s="32" t="n">
        <v>264.6</v>
      </c>
      <c r="J117" s="32" t="n">
        <v>5.13</v>
      </c>
      <c r="K117" s="32" t="n">
        <v>72663</v>
      </c>
      <c r="L117" s="31" t="n">
        <v>42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66.14</v>
      </c>
      <c r="P117" s="32" t="n">
        <v>27.41</v>
      </c>
      <c r="Q117" s="32" t="n">
        <v>189.67</v>
      </c>
      <c r="R117" s="31" t="inlineStr">
        <is>
          <t>Near 52W High Breakout</t>
        </is>
      </c>
      <c r="S117" s="31" t="inlineStr">
        <is>
          <t>Nifty 50</t>
        </is>
      </c>
      <c r="T117" s="32" t="n">
        <v>-6.83</v>
      </c>
      <c r="U117" s="32" t="n">
        <v>14.9</v>
      </c>
      <c r="V117" s="32" t="n">
        <v>23.33</v>
      </c>
      <c r="W117" s="32" t="n">
        <v>13.26</v>
      </c>
      <c r="X117" s="31" t="inlineStr">
        <is>
          <t>Cyclical in an Upturn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IF(B118=0,"",RANK(B118,$B$2:$B$304,0))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SPECTRUM</t>
        </is>
      </c>
      <c r="D118" s="31" t="inlineStr">
        <is>
          <t>Spectrum Electrical Industries Ltd</t>
        </is>
      </c>
      <c r="E118" s="31" t="inlineStr">
        <is>
          <t>industrials</t>
        </is>
      </c>
      <c r="F118" s="31" t="inlineStr">
        <is>
          <t>electric equipment</t>
        </is>
      </c>
      <c r="G118" s="31" t="inlineStr">
        <is>
          <t>smallcap</t>
        </is>
      </c>
      <c r="H118" s="32" t="n">
        <v>4523.39</v>
      </c>
      <c r="I118" s="32" t="n">
        <v>3022.5</v>
      </c>
      <c r="J118" s="32" t="n">
        <v>5</v>
      </c>
      <c r="K118" s="32" t="n">
        <v>47215</v>
      </c>
      <c r="L118" s="31" t="n">
        <v>96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77.83</v>
      </c>
      <c r="P118" s="32" t="n">
        <v>60.23</v>
      </c>
      <c r="Q118" s="32" t="n">
        <v>2185.5</v>
      </c>
      <c r="R118" s="31" t="inlineStr">
        <is>
          <t>Near 52W High Breakout</t>
        </is>
      </c>
      <c r="S118" s="31" t="inlineStr">
        <is>
          <t>Nifty Infra</t>
        </is>
      </c>
      <c r="T118" s="32" t="n">
        <v>0.12</v>
      </c>
      <c r="U118" s="32" t="n">
        <v>93.11</v>
      </c>
      <c r="V118" s="32" t="n">
        <v>92.88</v>
      </c>
      <c r="W118" s="32" t="n">
        <v>60.59</v>
      </c>
      <c r="X118" s="31" t="inlineStr">
        <is>
          <t>Cyclical in an Upturn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Above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Between 0.7 to 1.2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IF(B119=0,"",RANK(B119,$B$2:$B$304,0))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VALIANTORG</t>
        </is>
      </c>
      <c r="D119" s="31" t="inlineStr">
        <is>
          <t>Valiant Organics Ltd</t>
        </is>
      </c>
      <c r="E119" s="31" t="inlineStr">
        <is>
          <t>chemicals</t>
        </is>
      </c>
      <c r="F119" s="31" t="inlineStr">
        <is>
          <t>chemicals</t>
        </is>
      </c>
      <c r="G119" s="31" t="inlineStr">
        <is>
          <t>smallcap</t>
        </is>
      </c>
      <c r="H119" s="32" t="n">
        <v>1058.17</v>
      </c>
      <c r="I119" s="32" t="n">
        <v>396.3</v>
      </c>
      <c r="J119" s="32" t="n">
        <v>4.99</v>
      </c>
      <c r="K119" s="32" t="n">
        <v>133752</v>
      </c>
      <c r="L119" s="31" t="n">
        <v>43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70.06999999999999</v>
      </c>
      <c r="P119" s="32" t="n">
        <v>35.77</v>
      </c>
      <c r="Q119" s="32" t="n">
        <v>292.18</v>
      </c>
      <c r="R119" s="31" t="inlineStr">
        <is>
          <t>Volume Spike &amp; Near 52W High Breakout</t>
        </is>
      </c>
      <c r="S119" s="31" t="inlineStr">
        <is>
          <t>Nifty 50</t>
        </is>
      </c>
      <c r="T119" s="32" t="n">
        <v>-6.83</v>
      </c>
      <c r="U119" s="32" t="n">
        <v>8.609999999999999</v>
      </c>
      <c r="V119" s="32" t="n">
        <v>16.57</v>
      </c>
      <c r="W119" s="32" t="n">
        <v>13.74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IF(B120=0,"",RANK(B120,$B$2:$B$304,0))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STLTECH</t>
        </is>
      </c>
      <c r="D120" s="31" t="inlineStr">
        <is>
          <t>Sterlite Technologies Limited</t>
        </is>
      </c>
      <c r="E120" s="31" t="inlineStr">
        <is>
          <t>industrials</t>
        </is>
      </c>
      <c r="F120" s="31" t="inlineStr">
        <is>
          <t>cables - telephone</t>
        </is>
      </c>
      <c r="G120" s="31" t="inlineStr">
        <is>
          <t>largecap</t>
        </is>
      </c>
      <c r="H120" s="32" t="n">
        <v>43925.27</v>
      </c>
      <c r="I120" s="32" t="n">
        <v>897.4</v>
      </c>
      <c r="J120" s="32" t="n">
        <v>4.99</v>
      </c>
      <c r="K120" s="32" t="n">
        <v>2409510</v>
      </c>
      <c r="L120" s="31" t="n">
        <v>99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82.90000000000001</v>
      </c>
      <c r="P120" s="32" t="n">
        <v>74.48999999999999</v>
      </c>
      <c r="Q120" s="32" t="n">
        <v>666.48</v>
      </c>
      <c r="R120" s="31" t="inlineStr">
        <is>
          <t>Near 52W High Breakout</t>
        </is>
      </c>
      <c r="S120" s="31" t="inlineStr">
        <is>
          <t>Nifty Infra</t>
        </is>
      </c>
      <c r="T120" s="32" t="n">
        <v>0.12</v>
      </c>
      <c r="U120" s="32" t="n">
        <v>665.11</v>
      </c>
      <c r="V120" s="32" t="n">
        <v>664.21</v>
      </c>
      <c r="W120" s="32" t="n">
        <v>130.21</v>
      </c>
      <c r="X120" s="31" t="inlineStr">
        <is>
          <t>Cyclical in an Upturn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Above 40</t>
        </is>
      </c>
      <c r="AY120" s="31">
        <f>IF(AX120="Above 40",20,IF(AX120="20 to 40",10,IF(AX120="0 to 20",-5,0)))</f>
        <v/>
      </c>
      <c r="AZ120" s="31" t="inlineStr">
        <is>
          <t>Above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Blue sky scenario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Between 0.7 to 1.2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IF(B121=0,"",RANK(B121,$B$2:$B$304,0))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STLNETWORK</t>
        </is>
      </c>
      <c r="D121" s="31" t="inlineStr">
        <is>
          <t>STL Networks Ltd</t>
        </is>
      </c>
      <c r="E121" s="31" t="inlineStr">
        <is>
          <t>telecom-service</t>
        </is>
      </c>
      <c r="F121" s="31" t="inlineStr">
        <is>
          <t>telecommunications - service provider</t>
        </is>
      </c>
      <c r="G121" s="31" t="inlineStr">
        <is>
          <t>smallcap</t>
        </is>
      </c>
      <c r="H121" s="32" t="n">
        <v>1701.43</v>
      </c>
      <c r="I121" s="32" t="n">
        <v>36.6</v>
      </c>
      <c r="J121" s="32" t="n">
        <v>4.99</v>
      </c>
      <c r="K121" s="32" t="n">
        <v>5579818</v>
      </c>
      <c r="L121" s="31" t="n">
        <v>61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73.86</v>
      </c>
      <c r="P121" s="32" t="n">
        <v>26.7</v>
      </c>
      <c r="Q121" s="32" t="n">
        <v>27.85</v>
      </c>
      <c r="R121" s="31" t="inlineStr">
        <is>
          <t>Volume Spike &amp; Near 52W High Breakout</t>
        </is>
      </c>
      <c r="S121" s="31" t="inlineStr">
        <is>
          <t>Nifty 50</t>
        </is>
      </c>
      <c r="T121" s="32" t="n">
        <v>-6.83</v>
      </c>
      <c r="U121" s="32" t="n">
        <v>67.66</v>
      </c>
      <c r="V121" s="32" t="n">
        <v>79.95</v>
      </c>
      <c r="W121" s="32" t="n">
        <v>19.95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Oligopoly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Yes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Between 0.7 to 1.2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IF(B122=0,"",RANK(B122,$B$2:$B$304,0))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INDORAMA</t>
        </is>
      </c>
      <c r="D122" s="31" t="inlineStr">
        <is>
          <t>Indo Rama Synthetics (india) Limited</t>
        </is>
      </c>
      <c r="E122" s="31" t="inlineStr">
        <is>
          <t>textiles</t>
        </is>
      </c>
      <c r="F122" s="31" t="inlineStr">
        <is>
          <t>textiles - manmade</t>
        </is>
      </c>
      <c r="G122" s="31" t="inlineStr">
        <is>
          <t>smallcap</t>
        </is>
      </c>
      <c r="H122" s="32" t="n">
        <v>2165.41</v>
      </c>
      <c r="I122" s="32" t="n">
        <v>86.5</v>
      </c>
      <c r="J122" s="32" t="n">
        <v>4.3</v>
      </c>
      <c r="K122" s="32" t="n">
        <v>1794174</v>
      </c>
      <c r="L122" s="31" t="n">
        <v>86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82.48999999999999</v>
      </c>
      <c r="P122" s="32" t="n">
        <v>52.82</v>
      </c>
      <c r="Q122" s="32" t="n">
        <v>64.02</v>
      </c>
      <c r="R122" s="31" t="inlineStr">
        <is>
          <t>Volume Spike &amp; Near 52W High Breakout</t>
        </is>
      </c>
      <c r="S122" s="31" t="inlineStr">
        <is>
          <t>Nifty 50</t>
        </is>
      </c>
      <c r="T122" s="32" t="n">
        <v>-6.83</v>
      </c>
      <c r="U122" s="32" t="n">
        <v>61.17</v>
      </c>
      <c r="V122" s="32" t="n">
        <v>72.98999999999999</v>
      </c>
      <c r="W122" s="32" t="n">
        <v>35.51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Above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More than 1.2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IF(B123=0,"",RANK(B123,$B$2:$B$304,0))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BLUESTONE</t>
        </is>
      </c>
      <c r="D123" s="31" t="inlineStr">
        <is>
          <t>Bluestone Jewellery and Lifestyle Ltd</t>
        </is>
      </c>
      <c r="E123" s="31" t="inlineStr">
        <is>
          <t>consumer discretionary</t>
        </is>
      </c>
      <c r="F123" s="31" t="inlineStr">
        <is>
          <t>diamond cutting / jewellery</t>
        </is>
      </c>
      <c r="G123" s="31" t="inlineStr">
        <is>
          <t>midcap</t>
        </is>
      </c>
      <c r="H123" s="32" t="n">
        <v>13032.64</v>
      </c>
      <c r="I123" s="32" t="n">
        <v>890.35</v>
      </c>
      <c r="J123" s="32" t="n">
        <v>4.12</v>
      </c>
      <c r="K123" s="32" t="n">
        <v>1308518</v>
      </c>
      <c r="L123" s="31" t="n">
        <v>72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74.84</v>
      </c>
      <c r="P123" s="32" t="n">
        <v>49.08</v>
      </c>
      <c r="Q123" s="32" t="n">
        <v>666.84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-6.83</v>
      </c>
      <c r="U123" s="32" t="n">
        <v>38.66</v>
      </c>
      <c r="V123" s="32" t="n">
        <v>48.83</v>
      </c>
      <c r="W123" s="32" t="n">
        <v>24.59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Between 0.7 to 1.2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IF(B124=0,"",RANK(B124,$B$2:$B$304,0))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BODALCHEM</t>
        </is>
      </c>
      <c r="D124" s="31" t="inlineStr">
        <is>
          <t>Bodal Chemicals Limited</t>
        </is>
      </c>
      <c r="E124" s="31" t="inlineStr">
        <is>
          <t>chemicals</t>
        </is>
      </c>
      <c r="F124" s="31" t="inlineStr">
        <is>
          <t>dyes and pigments</t>
        </is>
      </c>
      <c r="G124" s="31" t="inlineStr">
        <is>
          <t>smallcap</t>
        </is>
      </c>
      <c r="H124" s="32" t="n">
        <v>2092.06</v>
      </c>
      <c r="I124" s="32" t="n">
        <v>172.4</v>
      </c>
      <c r="J124" s="32" t="n">
        <v>3.79</v>
      </c>
      <c r="K124" s="32" t="n">
        <v>7456837</v>
      </c>
      <c r="L124" s="31" t="n">
        <v>97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88.81</v>
      </c>
      <c r="P124" s="32" t="n">
        <v>37.83</v>
      </c>
      <c r="Q124" s="32" t="n">
        <v>132.83</v>
      </c>
      <c r="R124" s="31" t="inlineStr">
        <is>
          <t>Volume Spike &amp; Near 52W High Breakout</t>
        </is>
      </c>
      <c r="S124" s="31" t="inlineStr">
        <is>
          <t>Nifty 50</t>
        </is>
      </c>
      <c r="T124" s="32" t="n">
        <v>-6.83</v>
      </c>
      <c r="U124" s="32" t="n">
        <v>163.13</v>
      </c>
      <c r="V124" s="32" t="n">
        <v>182.42</v>
      </c>
      <c r="W124" s="32" t="n">
        <v>64.97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Above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Between 0.7 to 1.2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IF(B125=0,"",RANK(B125,$B$2:$B$304,0))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UNIMECH</t>
        </is>
      </c>
      <c r="D125" s="31" t="inlineStr">
        <is>
          <t>Unimech Aerospace and Manufacturing Ltd</t>
        </is>
      </c>
      <c r="E125" s="31" t="inlineStr">
        <is>
          <t>aerospace &amp; defence</t>
        </is>
      </c>
      <c r="F125" s="31" t="inlineStr">
        <is>
          <t>engineering</t>
        </is>
      </c>
      <c r="G125" s="31" t="inlineStr">
        <is>
          <t>midcap</t>
        </is>
      </c>
      <c r="H125" s="32" t="n">
        <v>7974.87</v>
      </c>
      <c r="I125" s="32" t="n">
        <v>1610</v>
      </c>
      <c r="J125" s="32" t="n">
        <v>2.67</v>
      </c>
      <c r="K125" s="32" t="n">
        <v>296742</v>
      </c>
      <c r="L125" s="31" t="n">
        <v>58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76.95999999999999</v>
      </c>
      <c r="P125" s="32" t="n">
        <v>44.06</v>
      </c>
      <c r="Q125" s="32" t="n">
        <v>1247.83</v>
      </c>
      <c r="R125" s="31" t="inlineStr">
        <is>
          <t>Volume Spike &amp; Near 52W High Breakout</t>
        </is>
      </c>
      <c r="S125" s="31" t="inlineStr">
        <is>
          <t>Nifty 50</t>
        </is>
      </c>
      <c r="T125" s="32" t="n">
        <v>-6.83</v>
      </c>
      <c r="U125" s="32" t="n">
        <v>49.49</v>
      </c>
      <c r="V125" s="32" t="n">
        <v>60.45</v>
      </c>
      <c r="W125" s="32" t="n">
        <v>18.64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Above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IF(B126=0,"",RANK(B126,$B$2:$B$304,0))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RISHABH</t>
        </is>
      </c>
      <c r="D126" s="31" t="inlineStr">
        <is>
          <t>Rishabh Instruments Ltd</t>
        </is>
      </c>
      <c r="E126" s="31" t="inlineStr">
        <is>
          <t>industrials</t>
        </is>
      </c>
      <c r="F126" s="31" t="inlineStr">
        <is>
          <t>electric equipment</t>
        </is>
      </c>
      <c r="G126" s="31" t="inlineStr">
        <is>
          <t>smallcap</t>
        </is>
      </c>
      <c r="H126" s="32" t="n">
        <v>3120.49</v>
      </c>
      <c r="I126" s="32" t="n">
        <v>829.6</v>
      </c>
      <c r="J126" s="32" t="n">
        <v>2.48</v>
      </c>
      <c r="K126" s="32" t="n">
        <v>223706</v>
      </c>
      <c r="L126" s="31" t="n">
        <v>90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80.36</v>
      </c>
      <c r="P126" s="32" t="n">
        <v>48.64</v>
      </c>
      <c r="Q126" s="32" t="n">
        <v>632.22</v>
      </c>
      <c r="R126" s="31" t="inlineStr">
        <is>
          <t>Near 52W High Breakout</t>
        </is>
      </c>
      <c r="S126" s="31" t="inlineStr">
        <is>
          <t>Nifty Infra</t>
        </is>
      </c>
      <c r="T126" s="32" t="n">
        <v>0.12</v>
      </c>
      <c r="U126" s="32" t="n">
        <v>192.06</v>
      </c>
      <c r="V126" s="32" t="n">
        <v>191.72</v>
      </c>
      <c r="W126" s="32" t="n">
        <v>41.65</v>
      </c>
      <c r="X126" s="31" t="inlineStr">
        <is>
          <t>Cyclical in an Upturn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Above 40</t>
        </is>
      </c>
      <c r="AY126" s="31">
        <f>IF(AX126="Above 40",20,IF(AX126="20 to 40",10,IF(AX126="0 to 20",-5,0)))</f>
        <v/>
      </c>
      <c r="AZ126" s="31" t="inlineStr">
        <is>
          <t>Above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Less than 12%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IF(B127=0,"",RANK(B127,$B$2:$B$304,0))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PRIVISCL</t>
        </is>
      </c>
      <c r="D127" s="31" t="inlineStr">
        <is>
          <t>Privi Speciality Chemicals Ltd</t>
        </is>
      </c>
      <c r="E127" s="31" t="inlineStr">
        <is>
          <t>chemicals</t>
        </is>
      </c>
      <c r="F127" s="31" t="inlineStr">
        <is>
          <t>chemicals</t>
        </is>
      </c>
      <c r="G127" s="31" t="inlineStr">
        <is>
          <t>midcap</t>
        </is>
      </c>
      <c r="H127" s="32" t="n">
        <v>13654.76</v>
      </c>
      <c r="I127" s="32" t="n">
        <v>3556.1</v>
      </c>
      <c r="J127" s="32" t="n">
        <v>1.73</v>
      </c>
      <c r="K127" s="32" t="n">
        <v>107650</v>
      </c>
      <c r="L127" s="31" t="n">
        <v>32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58.4</v>
      </c>
      <c r="P127" s="32" t="n">
        <v>21.44</v>
      </c>
      <c r="Q127" s="32" t="n">
        <v>3072</v>
      </c>
      <c r="R127" s="31" t="inlineStr">
        <is>
          <t>Near 52W High Breakout</t>
        </is>
      </c>
      <c r="S127" s="31" t="inlineStr">
        <is>
          <t>Nifty 50</t>
        </is>
      </c>
      <c r="T127" s="32" t="n">
        <v>-6.83</v>
      </c>
      <c r="U127" s="32" t="n">
        <v>52.57</v>
      </c>
      <c r="V127" s="32" t="n">
        <v>63.75</v>
      </c>
      <c r="W127" s="32" t="n">
        <v>10.44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Between 0.7 to 1.2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IF(B128=0,"",RANK(B128,$B$2:$B$304,0))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AVALON</t>
        </is>
      </c>
      <c r="D128" s="31" t="inlineStr">
        <is>
          <t>Avalon Technologies Ltd</t>
        </is>
      </c>
      <c r="E128" s="31" t="inlineStr">
        <is>
          <t>consumer discretionary</t>
        </is>
      </c>
      <c r="F128" s="31" t="inlineStr">
        <is>
          <t>electronics - components</t>
        </is>
      </c>
      <c r="G128" s="31" t="inlineStr">
        <is>
          <t>midcap</t>
        </is>
      </c>
      <c r="H128" s="32" t="n">
        <v>14878.98</v>
      </c>
      <c r="I128" s="32" t="n">
        <v>2264.5</v>
      </c>
      <c r="J128" s="32" t="n">
        <v>1.68</v>
      </c>
      <c r="K128" s="32" t="n">
        <v>334741</v>
      </c>
      <c r="L128" s="31" t="n">
        <v>79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81.87</v>
      </c>
      <c r="P128" s="32" t="n">
        <v>59.92</v>
      </c>
      <c r="Q128" s="32" t="n">
        <v>1720.3</v>
      </c>
      <c r="R128" s="31" t="inlineStr">
        <is>
          <t>Near 52W High Breakout</t>
        </is>
      </c>
      <c r="S128" s="31" t="inlineStr">
        <is>
          <t>Nifty 50</t>
        </is>
      </c>
      <c r="T128" s="32" t="n">
        <v>-6.83</v>
      </c>
      <c r="U128" s="32" t="n">
        <v>133.67</v>
      </c>
      <c r="V128" s="32" t="n">
        <v>150.81</v>
      </c>
      <c r="W128" s="32" t="n">
        <v>30.23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Above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IF(B129=0,"",RANK(B129,$B$2:$B$304,0))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ACMESOLAR</t>
        </is>
      </c>
      <c r="D129" s="31" t="inlineStr">
        <is>
          <t>ACME Solar Holdings Ltd</t>
        </is>
      </c>
      <c r="E129" s="31" t="inlineStr">
        <is>
          <t>realty</t>
        </is>
      </c>
      <c r="F129" s="31" t="inlineStr">
        <is>
          <t>engineering - turnkey services</t>
        </is>
      </c>
      <c r="G129" s="31" t="inlineStr">
        <is>
          <t>largecap</t>
        </is>
      </c>
      <c r="H129" s="32" t="n">
        <v>28080.58</v>
      </c>
      <c r="I129" s="32" t="n">
        <v>402.3</v>
      </c>
      <c r="J129" s="32" t="n">
        <v>1.27</v>
      </c>
      <c r="K129" s="32" t="n">
        <v>1235415</v>
      </c>
      <c r="L129" s="31" t="n">
        <v>56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66.04000000000001</v>
      </c>
      <c r="P129" s="32" t="n">
        <v>48.2</v>
      </c>
      <c r="Q129" s="32" t="n">
        <v>324.05</v>
      </c>
      <c r="R129" s="31" t="inlineStr">
        <is>
          <t>Near 52W High Breakout</t>
        </is>
      </c>
      <c r="S129" s="31" t="inlineStr">
        <is>
          <t>Nifty Realty</t>
        </is>
      </c>
      <c r="T129" s="32" t="n">
        <v>-10.74</v>
      </c>
      <c r="U129" s="32" t="n">
        <v>48.88</v>
      </c>
      <c r="V129" s="32" t="n">
        <v>66.8</v>
      </c>
      <c r="W129" s="32" t="n">
        <v>18.42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More than 1.2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IF(B130=0,"",RANK(B130,$B$2:$B$304,0))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AEGISVOPAK</t>
        </is>
      </c>
      <c r="D130" s="31" t="inlineStr">
        <is>
          <t>Aegis Vopak Terminals Ltd</t>
        </is>
      </c>
      <c r="E130" s="31" t="inlineStr">
        <is>
          <t>transportation</t>
        </is>
      </c>
      <c r="F130" s="31" t="inlineStr">
        <is>
          <t>miscellaneous</t>
        </is>
      </c>
      <c r="G130" s="31" t="inlineStr">
        <is>
          <t>largecap</t>
        </is>
      </c>
      <c r="H130" s="32" t="n">
        <v>32336.73</v>
      </c>
      <c r="I130" s="32" t="n">
        <v>295.1</v>
      </c>
      <c r="J130" s="32" t="n">
        <v>1.11</v>
      </c>
      <c r="K130" s="32" t="n">
        <v>1776446</v>
      </c>
      <c r="L130" s="31" t="n">
        <v>39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62.84</v>
      </c>
      <c r="P130" s="32" t="n">
        <v>43</v>
      </c>
      <c r="Q130" s="32" t="n">
        <v>216.04</v>
      </c>
      <c r="R130" s="31" t="inlineStr">
        <is>
          <t>Near 52W High Breakout</t>
        </is>
      </c>
      <c r="S130" s="31" t="inlineStr">
        <is>
          <t>Nifty 50</t>
        </is>
      </c>
      <c r="T130" s="32" t="n">
        <v>-6.83</v>
      </c>
      <c r="U130" s="32" t="n">
        <v>19.52</v>
      </c>
      <c r="V130" s="32" t="n">
        <v>28.28</v>
      </c>
      <c r="W130" s="32" t="n">
        <v>12.48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Above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Blue sky scenario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Between 0.7 to 1.2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IF(B131=0,"",RANK(B131,$B$2:$B$304,0))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ORIENTHOT</t>
        </is>
      </c>
      <c r="D131" s="31" t="inlineStr">
        <is>
          <t>Oriental Hotels Limited</t>
        </is>
      </c>
      <c r="E131" s="31" t="inlineStr">
        <is>
          <t>services</t>
        </is>
      </c>
      <c r="F131" s="31" t="inlineStr">
        <is>
          <t>hotels</t>
        </is>
      </c>
      <c r="G131" s="31" t="inlineStr">
        <is>
          <t>smallcap</t>
        </is>
      </c>
      <c r="H131" s="32" t="n">
        <v>2497</v>
      </c>
      <c r="I131" s="32" t="n">
        <v>141.35</v>
      </c>
      <c r="J131" s="32" t="n">
        <v>1.1</v>
      </c>
      <c r="K131" s="32" t="n">
        <v>466572</v>
      </c>
      <c r="L131" s="31" t="n">
        <v>27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63.62</v>
      </c>
      <c r="P131" s="32" t="n">
        <v>40.33</v>
      </c>
      <c r="Q131" s="32" t="n">
        <v>106.12</v>
      </c>
      <c r="R131" s="31" t="inlineStr">
        <is>
          <t>Near 52W High Breakout</t>
        </is>
      </c>
      <c r="S131" s="31" t="inlineStr">
        <is>
          <t>Nifty 50</t>
        </is>
      </c>
      <c r="T131" s="32" t="n">
        <v>-6.83</v>
      </c>
      <c r="U131" s="32" t="n">
        <v>-0.05</v>
      </c>
      <c r="V131" s="32" t="n">
        <v>7.28</v>
      </c>
      <c r="W131" s="32" t="n">
        <v>8.75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Less than 12%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IF(B132=0,"",RANK(B132,$B$2:$B$304,0))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CHEVIOT</t>
        </is>
      </c>
      <c r="D132" s="31" t="inlineStr">
        <is>
          <t>Cheviot Company Ltd</t>
        </is>
      </c>
      <c r="E132" s="31" t="inlineStr">
        <is>
          <t>textiles</t>
        </is>
      </c>
      <c r="F132" s="31" t="inlineStr">
        <is>
          <t>textiles - jute - yarn / products</t>
        </is>
      </c>
      <c r="G132" s="31" t="inlineStr">
        <is>
          <t>smallcap</t>
        </is>
      </c>
      <c r="H132" s="32" t="n">
        <v>698.63</v>
      </c>
      <c r="I132" s="32" t="n">
        <v>1207.8</v>
      </c>
      <c r="J132" s="32" t="n">
        <v>1</v>
      </c>
      <c r="K132" s="32" t="n">
        <v>1164</v>
      </c>
      <c r="L132" s="31" t="n">
        <v>10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62.41</v>
      </c>
      <c r="P132" s="32" t="n">
        <v>23.52</v>
      </c>
      <c r="Q132" s="32" t="n">
        <v>980.92</v>
      </c>
      <c r="R132" s="31" t="inlineStr">
        <is>
          <t>Earnings / Momentum Support</t>
        </is>
      </c>
      <c r="S132" s="31" t="inlineStr">
        <is>
          <t>Nifty 50</t>
        </is>
      </c>
      <c r="T132" s="32" t="n">
        <v>-6.83</v>
      </c>
      <c r="U132" s="32" t="n">
        <v>2.66</v>
      </c>
      <c r="V132" s="32" t="n">
        <v>10.19</v>
      </c>
      <c r="W132" s="32" t="n">
        <v>3.78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No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Less than 1.5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IF(B133=0,"",RANK(B133,$B$2:$B$304,0))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SOMANYCERA</t>
        </is>
      </c>
      <c r="D133" s="31" t="inlineStr">
        <is>
          <t>Somany Ceramics Limited</t>
        </is>
      </c>
      <c r="E133" s="31" t="inlineStr">
        <is>
          <t>building materials</t>
        </is>
      </c>
      <c r="F133" s="31" t="inlineStr">
        <is>
          <t>ceramics - tiles / sanitaryware</t>
        </is>
      </c>
      <c r="G133" s="31" t="inlineStr">
        <is>
          <t>smallcap</t>
        </is>
      </c>
      <c r="H133" s="32" t="n">
        <v>2295.49</v>
      </c>
      <c r="I133" s="32" t="n">
        <v>565.2</v>
      </c>
      <c r="J133" s="32" t="n">
        <v>0.98</v>
      </c>
      <c r="K133" s="32" t="n">
        <v>101279</v>
      </c>
      <c r="L133" s="31" t="n">
        <v>21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65.89</v>
      </c>
      <c r="P133" s="32" t="n">
        <v>32.62</v>
      </c>
      <c r="Q133" s="32" t="n">
        <v>449.22</v>
      </c>
      <c r="R133" s="31" t="inlineStr">
        <is>
          <t>Near 52W High Breakout</t>
        </is>
      </c>
      <c r="S133" s="31" t="inlineStr">
        <is>
          <t>Nifty Infra</t>
        </is>
      </c>
      <c r="T133" s="32" t="n">
        <v>0.12</v>
      </c>
      <c r="U133" s="32" t="n">
        <v>7.32</v>
      </c>
      <c r="V133" s="32" t="n">
        <v>7.19</v>
      </c>
      <c r="W133" s="32" t="n">
        <v>7.14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IF(B134=0,"",RANK(B134,$B$2:$B$304,0))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ASAHIINDIA</t>
        </is>
      </c>
      <c r="D134" s="31" t="inlineStr">
        <is>
          <t>Asahi India Glass Limited</t>
        </is>
      </c>
      <c r="E134" s="31" t="inlineStr">
        <is>
          <t>building materials</t>
        </is>
      </c>
      <c r="F134" s="31" t="inlineStr">
        <is>
          <t>glass &amp; glass products</t>
        </is>
      </c>
      <c r="G134" s="31" t="inlineStr">
        <is>
          <t>largecap</t>
        </is>
      </c>
      <c r="H134" s="32" t="n">
        <v>24885.99</v>
      </c>
      <c r="I134" s="32" t="n">
        <v>985.8</v>
      </c>
      <c r="J134" s="32" t="n">
        <v>0.98</v>
      </c>
      <c r="K134" s="32" t="n">
        <v>205299</v>
      </c>
      <c r="L134" s="31" t="n">
        <v>22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63.52</v>
      </c>
      <c r="P134" s="32" t="n">
        <v>26.95</v>
      </c>
      <c r="Q134" s="32" t="n">
        <v>815.1900000000001</v>
      </c>
      <c r="R134" s="31" t="inlineStr">
        <is>
          <t>Near 52W High Breakout</t>
        </is>
      </c>
      <c r="S134" s="31" t="inlineStr">
        <is>
          <t>Nifty Infra</t>
        </is>
      </c>
      <c r="T134" s="32" t="n">
        <v>0.12</v>
      </c>
      <c r="U134" s="32" t="n">
        <v>18.4</v>
      </c>
      <c r="V134" s="32" t="n">
        <v>18.26</v>
      </c>
      <c r="W134" s="32" t="n">
        <v>7.67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IF(B135=0,"",RANK(B135,$B$2:$B$304,0))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NYKAA</t>
        </is>
      </c>
      <c r="D135" s="31" t="inlineStr">
        <is>
          <t>FSN E-Commerce Ventures Ltd</t>
        </is>
      </c>
      <c r="E135" s="31" t="inlineStr">
        <is>
          <t>i.t</t>
        </is>
      </c>
      <c r="F135" s="31" t="inlineStr">
        <is>
          <t>trading</t>
        </is>
      </c>
      <c r="G135" s="31" t="inlineStr">
        <is>
          <t>largecap</t>
        </is>
      </c>
      <c r="H135" s="32" t="n">
        <v>97928.47</v>
      </c>
      <c r="I135" s="32" t="n">
        <v>344.5</v>
      </c>
      <c r="J135" s="32" t="n">
        <v>0.75</v>
      </c>
      <c r="K135" s="32" t="n">
        <v>3977712</v>
      </c>
      <c r="L135" s="31" t="n">
        <v>42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73.43000000000001</v>
      </c>
      <c r="P135" s="32" t="n">
        <v>51.09</v>
      </c>
      <c r="Q135" s="32" t="n">
        <v>295.61</v>
      </c>
      <c r="R135" s="31" t="inlineStr">
        <is>
          <t>Near 52W High Breakout</t>
        </is>
      </c>
      <c r="S135" s="31" t="inlineStr">
        <is>
          <t>Nifty IT</t>
        </is>
      </c>
      <c r="T135" s="32" t="n">
        <v>-19.91</v>
      </c>
      <c r="U135" s="32" t="n">
        <v>44.04</v>
      </c>
      <c r="V135" s="32" t="n">
        <v>79.84</v>
      </c>
      <c r="W135" s="32" t="n">
        <v>13.32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Between 0.7 to 1.2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IF(B136=0,"",RANK(B136,$B$2:$B$304,0))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GANDHAR</t>
        </is>
      </c>
      <c r="D136" s="31" t="inlineStr">
        <is>
          <t>Gandhar Oil Refinery (India) Ltd</t>
        </is>
      </c>
      <c r="E136" s="31" t="inlineStr">
        <is>
          <t>energy</t>
        </is>
      </c>
      <c r="F136" s="31" t="inlineStr">
        <is>
          <t>refineries</t>
        </is>
      </c>
      <c r="G136" s="31" t="inlineStr">
        <is>
          <t>smallcap</t>
        </is>
      </c>
      <c r="H136" s="32" t="n">
        <v>2655.47</v>
      </c>
      <c r="I136" s="32" t="n">
        <v>272.7</v>
      </c>
      <c r="J136" s="32" t="n">
        <v>0.52</v>
      </c>
      <c r="K136" s="32" t="n">
        <v>748277</v>
      </c>
      <c r="L136" s="31" t="n">
        <v>87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70.81999999999999</v>
      </c>
      <c r="P136" s="32" t="n">
        <v>73.79000000000001</v>
      </c>
      <c r="Q136" s="32" t="n">
        <v>214.53</v>
      </c>
      <c r="R136" s="31" t="inlineStr">
        <is>
          <t>Near 52W High Breakout</t>
        </is>
      </c>
      <c r="S136" s="31" t="inlineStr">
        <is>
          <t>Nifty Energy</t>
        </is>
      </c>
      <c r="T136" s="32" t="n">
        <v>7.62</v>
      </c>
      <c r="U136" s="32" t="n">
        <v>65.70999999999999</v>
      </c>
      <c r="V136" s="32" t="n">
        <v>53.99</v>
      </c>
      <c r="W136" s="32" t="n">
        <v>37.39</v>
      </c>
      <c r="X136" s="31" t="inlineStr">
        <is>
          <t>Cyclical in an Upturn</t>
        </is>
      </c>
      <c r="Y136" s="31">
        <f>IF(X136="Growing Industry",10,IF(X136="Cyclical in an Upturn",5,0))</f>
        <v/>
      </c>
      <c r="Z136" s="31" t="inlineStr">
        <is>
          <t>Oligopoly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Yes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Cyclical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Volatile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Less than 1.5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IF(B137=0,"",RANK(B137,$B$2:$B$304,0))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BHEL</t>
        </is>
      </c>
      <c r="D137" s="31" t="inlineStr">
        <is>
          <t>Bharat Heavy Electricals Limited</t>
        </is>
      </c>
      <c r="E137" s="31" t="inlineStr">
        <is>
          <t>industrials</t>
        </is>
      </c>
      <c r="F137" s="31" t="inlineStr">
        <is>
          <t>electric equipment</t>
        </is>
      </c>
      <c r="G137" s="31" t="inlineStr">
        <is>
          <t>largecap</t>
        </is>
      </c>
      <c r="H137" s="32" t="n">
        <v>149554.62</v>
      </c>
      <c r="I137" s="32" t="n">
        <v>431</v>
      </c>
      <c r="J137" s="32" t="n">
        <v>0.35</v>
      </c>
      <c r="K137" s="32" t="n">
        <v>6548117</v>
      </c>
      <c r="L137" s="31" t="n">
        <v>55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66.08</v>
      </c>
      <c r="P137" s="32" t="n">
        <v>37.08</v>
      </c>
      <c r="Q137" s="32" t="n">
        <v>349.01</v>
      </c>
      <c r="R137" s="31" t="inlineStr">
        <is>
          <t>Near 52W High Breakout</t>
        </is>
      </c>
      <c r="S137" s="31" t="inlineStr">
        <is>
          <t>Nifty 50</t>
        </is>
      </c>
      <c r="T137" s="32" t="n">
        <v>-6.83</v>
      </c>
      <c r="U137" s="32" t="n">
        <v>89.05</v>
      </c>
      <c r="V137" s="32" t="n">
        <v>102.91</v>
      </c>
      <c r="W137" s="32" t="n">
        <v>18.03</v>
      </c>
      <c r="X137" s="31" t="inlineStr">
        <is>
          <t>Cyclical in an Upturn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Between 1.5 to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IF(B138=0,"",RANK(B138,$B$2:$B$304,0))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EBGNG</t>
        </is>
      </c>
      <c r="D138" s="31" t="inlineStr">
        <is>
          <t>GNG Electronics Ltd</t>
        </is>
      </c>
      <c r="E138" s="31" t="inlineStr">
        <is>
          <t>services</t>
        </is>
      </c>
      <c r="F138" s="31" t="inlineStr">
        <is>
          <t>trading</t>
        </is>
      </c>
      <c r="G138" s="31" t="inlineStr">
        <is>
          <t>midcap</t>
        </is>
      </c>
      <c r="H138" s="32" t="n">
        <v>7729.41</v>
      </c>
      <c r="I138" s="32" t="n">
        <v>679.65</v>
      </c>
      <c r="J138" s="32" t="n">
        <v>0.25</v>
      </c>
      <c r="K138" s="32" t="n">
        <v>518414</v>
      </c>
      <c r="L138" s="31" t="n">
        <v>78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68.53</v>
      </c>
      <c r="P138" s="32" t="n">
        <v>35.31</v>
      </c>
      <c r="Q138" s="32" t="n">
        <v>481.83</v>
      </c>
      <c r="R138" s="31" t="inlineStr">
        <is>
          <t>Near 52W High Breakout</t>
        </is>
      </c>
      <c r="S138" s="31" t="inlineStr">
        <is>
          <t>Nifty 50</t>
        </is>
      </c>
      <c r="T138" s="32" t="n">
        <v>-6.83</v>
      </c>
      <c r="U138" s="32" t="n">
        <v>91.40000000000001</v>
      </c>
      <c r="V138" s="32" t="n">
        <v>105.43</v>
      </c>
      <c r="W138" s="32" t="n">
        <v>28.66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IF(B139=0,"",RANK(B139,$B$2:$B$304,0))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JSWINFRA</t>
        </is>
      </c>
      <c r="D139" s="31" t="inlineStr">
        <is>
          <t>JSW Infrastructure Ltd</t>
        </is>
      </c>
      <c r="E139" s="31" t="inlineStr">
        <is>
          <t>transportation</t>
        </is>
      </c>
      <c r="F139" s="31" t="inlineStr">
        <is>
          <t>miscellaneous</t>
        </is>
      </c>
      <c r="G139" s="31" t="inlineStr">
        <is>
          <t>largecap</t>
        </is>
      </c>
      <c r="H139" s="32" t="n">
        <v>79790.89999999999</v>
      </c>
      <c r="I139" s="32" t="n">
        <v>343.15</v>
      </c>
      <c r="J139" s="32" t="n">
        <v>0.2</v>
      </c>
      <c r="K139" s="32" t="n">
        <v>2957954</v>
      </c>
      <c r="L139" s="31" t="n">
        <v>18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63.46</v>
      </c>
      <c r="P139" s="32" t="n">
        <v>42.03</v>
      </c>
      <c r="Q139" s="32" t="n">
        <v>282.53</v>
      </c>
      <c r="R139" s="31" t="inlineStr">
        <is>
          <t>Near 52W High Breakout</t>
        </is>
      </c>
      <c r="S139" s="31" t="inlineStr">
        <is>
          <t>Nifty 50</t>
        </is>
      </c>
      <c r="T139" s="32" t="n">
        <v>-6.83</v>
      </c>
      <c r="U139" s="32" t="n">
        <v>9.18</v>
      </c>
      <c r="V139" s="32" t="n">
        <v>17.19</v>
      </c>
      <c r="W139" s="32" t="n">
        <v>6.16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Less than 12%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IF(B140=0,"",RANK(B140,$B$2:$B$304,0))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COMSYN</t>
        </is>
      </c>
      <c r="D140" s="31" t="inlineStr">
        <is>
          <t>Commercial Syn Bags Ltd</t>
        </is>
      </c>
      <c r="E140" s="31" t="inlineStr">
        <is>
          <t>industrials</t>
        </is>
      </c>
      <c r="F140" s="31" t="inlineStr">
        <is>
          <t>packaging</t>
        </is>
      </c>
      <c r="G140" s="31" t="inlineStr">
        <is>
          <t>smallcap</t>
        </is>
      </c>
      <c r="H140" s="32" t="n">
        <v>1206.14</v>
      </c>
      <c r="I140" s="32" t="n">
        <v>299.15</v>
      </c>
      <c r="J140" s="32" t="n">
        <v>0.05</v>
      </c>
      <c r="K140" s="32" t="n">
        <v>71613</v>
      </c>
      <c r="L140" s="31" t="n">
        <v>82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79.90000000000001</v>
      </c>
      <c r="P140" s="32" t="n">
        <v>70.51000000000001</v>
      </c>
      <c r="Q140" s="32" t="n">
        <v>227.54</v>
      </c>
      <c r="R140" s="31" t="inlineStr">
        <is>
          <t>Near 52W High Breakout</t>
        </is>
      </c>
      <c r="S140" s="31" t="inlineStr">
        <is>
          <t>Nifty 50</t>
        </is>
      </c>
      <c r="T140" s="32" t="n">
        <v>-6.83</v>
      </c>
      <c r="U140" s="32" t="n">
        <v>93.98999999999999</v>
      </c>
      <c r="V140" s="32" t="n">
        <v>108.21</v>
      </c>
      <c r="W140" s="32" t="n">
        <v>32.65</v>
      </c>
      <c r="X140" s="31" t="inlineStr">
        <is>
          <t>Cyclical in an Upturn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Above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Between 0.7 to 1.2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IF(B141=0,"",RANK(B141,$B$2:$B$304,0))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THEJO</t>
        </is>
      </c>
      <c r="D141" s="31" t="inlineStr">
        <is>
          <t>Thejo Engineering Ltd</t>
        </is>
      </c>
      <c r="E141" s="31" t="inlineStr">
        <is>
          <t>industrials</t>
        </is>
      </c>
      <c r="F141" s="31" t="inlineStr">
        <is>
          <t>engineering</t>
        </is>
      </c>
      <c r="G141" s="31" t="inlineStr">
        <is>
          <t>smallcap</t>
        </is>
      </c>
      <c r="H141" s="32" t="n">
        <v>2383.63</v>
      </c>
      <c r="I141" s="32" t="n">
        <v>2192.6</v>
      </c>
      <c r="J141" s="32" t="n">
        <v>-0.22</v>
      </c>
      <c r="K141" s="32" t="n">
        <v>19444</v>
      </c>
      <c r="L141" s="31" t="n">
        <v>42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66.20999999999999</v>
      </c>
      <c r="P141" s="32" t="n">
        <v>36.37</v>
      </c>
      <c r="Q141" s="32" t="n">
        <v>1748.62</v>
      </c>
      <c r="R141" s="31" t="inlineStr">
        <is>
          <t>Near 52W High Breakout</t>
        </is>
      </c>
      <c r="S141" s="31" t="inlineStr">
        <is>
          <t>Nifty 50</t>
        </is>
      </c>
      <c r="T141" s="32" t="n">
        <v>-6.83</v>
      </c>
      <c r="U141" s="32" t="n">
        <v>16.98</v>
      </c>
      <c r="V141" s="32" t="n">
        <v>25.56</v>
      </c>
      <c r="W141" s="32" t="n">
        <v>13.28</v>
      </c>
      <c r="X141" s="31" t="inlineStr">
        <is>
          <t>Cyclical in an Upturn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Less than 1.5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IF(B142=0,"",RANK(B142,$B$2:$B$304,0))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SKYGOLD</t>
        </is>
      </c>
      <c r="D142" s="31" t="inlineStr">
        <is>
          <t>Sky Gold Ltd</t>
        </is>
      </c>
      <c r="E142" s="31" t="inlineStr">
        <is>
          <t>consumer discretionary</t>
        </is>
      </c>
      <c r="F142" s="31" t="inlineStr">
        <is>
          <t>diamond cutting / jewellery</t>
        </is>
      </c>
      <c r="G142" s="31" t="inlineStr">
        <is>
          <t>midcap</t>
        </is>
      </c>
      <c r="H142" s="32" t="n">
        <v>12859.18</v>
      </c>
      <c r="I142" s="32" t="n">
        <v>827.4</v>
      </c>
      <c r="J142" s="32" t="n">
        <v>-0.35</v>
      </c>
      <c r="K142" s="32" t="n">
        <v>436603</v>
      </c>
      <c r="L142" s="31" t="n">
        <v>89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78.51000000000001</v>
      </c>
      <c r="P142" s="32" t="n">
        <v>66.13</v>
      </c>
      <c r="Q142" s="32" t="n">
        <v>627.6900000000001</v>
      </c>
      <c r="R142" s="31" t="inlineStr">
        <is>
          <t>Near 52W High Breakout</t>
        </is>
      </c>
      <c r="S142" s="31" t="inlineStr">
        <is>
          <t>Nifty 50</t>
        </is>
      </c>
      <c r="T142" s="32" t="n">
        <v>-6.83</v>
      </c>
      <c r="U142" s="32" t="n">
        <v>193.14</v>
      </c>
      <c r="V142" s="32" t="n">
        <v>214.64</v>
      </c>
      <c r="W142" s="32" t="n">
        <v>39.06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Above 40</t>
        </is>
      </c>
      <c r="AY142" s="31">
        <f>IF(AX142="Above 40",20,IF(AX142="20 to 40",10,IF(AX142="0 to 20",-5,0)))</f>
        <v/>
      </c>
      <c r="AZ142" s="31" t="inlineStr">
        <is>
          <t>Above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Between 0.7 to 1.2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IF(B143=0,"",RANK(B143,$B$2:$B$304,0))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RGL</t>
        </is>
      </c>
      <c r="D143" s="31" t="inlineStr">
        <is>
          <t>Renaissance Global Ltd</t>
        </is>
      </c>
      <c r="E143" s="31" t="inlineStr">
        <is>
          <t>consumer discretionary</t>
        </is>
      </c>
      <c r="F143" s="31" t="inlineStr">
        <is>
          <t>diamond cutting / jewellery</t>
        </is>
      </c>
      <c r="G143" s="31" t="inlineStr">
        <is>
          <t>smallcap</t>
        </is>
      </c>
      <c r="H143" s="32" t="n">
        <v>1680.1</v>
      </c>
      <c r="I143" s="32" t="n">
        <v>155.49</v>
      </c>
      <c r="J143" s="32" t="n">
        <v>-0.63</v>
      </c>
      <c r="K143" s="32" t="n">
        <v>1372451</v>
      </c>
      <c r="L143" s="31" t="n">
        <v>54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74.44</v>
      </c>
      <c r="P143" s="32" t="n">
        <v>24.6</v>
      </c>
      <c r="Q143" s="32" t="n">
        <v>116.18</v>
      </c>
      <c r="R143" s="31" t="inlineStr">
        <is>
          <t>Near 52W High Breakout</t>
        </is>
      </c>
      <c r="S143" s="31" t="inlineStr">
        <is>
          <t>Nifty 50</t>
        </is>
      </c>
      <c r="T143" s="32" t="n">
        <v>-6.83</v>
      </c>
      <c r="U143" s="32" t="n">
        <v>31.16</v>
      </c>
      <c r="V143" s="32" t="n">
        <v>40.78</v>
      </c>
      <c r="W143" s="32" t="n">
        <v>17.59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IF(B144=0,"",RANK(B144,$B$2:$B$304,0))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BOSCHLTD</t>
        </is>
      </c>
      <c r="D144" s="31" t="inlineStr">
        <is>
          <t>Bosch Limited</t>
        </is>
      </c>
      <c r="E144" s="31" t="inlineStr">
        <is>
          <t>auto</t>
        </is>
      </c>
      <c r="F144" s="31" t="inlineStr">
        <is>
          <t>auto ancillaries</t>
        </is>
      </c>
      <c r="G144" s="31" t="inlineStr">
        <is>
          <t>largecap</t>
        </is>
      </c>
      <c r="H144" s="32" t="n">
        <v>143867.23</v>
      </c>
      <c r="I144" s="32" t="n">
        <v>48385</v>
      </c>
      <c r="J144" s="32" t="n">
        <v>-0.8</v>
      </c>
      <c r="K144" s="32" t="n">
        <v>19898</v>
      </c>
      <c r="L144" s="31" t="n">
        <v>41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70.76000000000001</v>
      </c>
      <c r="P144" s="32" t="n">
        <v>40.93</v>
      </c>
      <c r="Q144" s="32" t="n">
        <v>41278.67</v>
      </c>
      <c r="R144" s="31" t="inlineStr">
        <is>
          <t>Near 52W High Breakout</t>
        </is>
      </c>
      <c r="S144" s="31" t="inlineStr">
        <is>
          <t>Nifty Auto</t>
        </is>
      </c>
      <c r="T144" s="32" t="n">
        <v>14.81</v>
      </c>
      <c r="U144" s="32" t="n">
        <v>30.49</v>
      </c>
      <c r="V144" s="32" t="n">
        <v>13.65</v>
      </c>
      <c r="W144" s="32" t="n">
        <v>12.86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Less than 12%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IF(B145=0,"",RANK(B145,$B$2:$B$304,0))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NAZARA</t>
        </is>
      </c>
      <c r="D145" s="31" t="inlineStr">
        <is>
          <t>Nazara Technologies Ltd</t>
        </is>
      </c>
      <c r="E145" s="31" t="inlineStr">
        <is>
          <t>i.t</t>
        </is>
      </c>
      <c r="F145" s="31" t="inlineStr">
        <is>
          <t>telecommunications - service provider</t>
        </is>
      </c>
      <c r="G145" s="31" t="inlineStr">
        <is>
          <t>midcap</t>
        </is>
      </c>
      <c r="H145" s="32" t="n">
        <v>14412.64</v>
      </c>
      <c r="I145" s="32" t="n">
        <v>370.3</v>
      </c>
      <c r="J145" s="32" t="n">
        <v>-1.16</v>
      </c>
      <c r="K145" s="32" t="n">
        <v>1148490</v>
      </c>
      <c r="L145" s="31" t="n">
        <v>43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72.95</v>
      </c>
      <c r="P145" s="32" t="n">
        <v>29.68</v>
      </c>
      <c r="Q145" s="32" t="n">
        <v>307.05</v>
      </c>
      <c r="R145" s="31" t="inlineStr">
        <is>
          <t>Near 52W High Breakout</t>
        </is>
      </c>
      <c r="S145" s="31" t="inlineStr">
        <is>
          <t>Nifty IT</t>
        </is>
      </c>
      <c r="T145" s="32" t="n">
        <v>-19.91</v>
      </c>
      <c r="U145" s="32" t="n">
        <v>35.05</v>
      </c>
      <c r="V145" s="32" t="n">
        <v>68.62</v>
      </c>
      <c r="W145" s="32" t="n">
        <v>13.4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Oligopoly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Yes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IF(B146=0,"",RANK(B146,$B$2:$B$304,0))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ORIENTCER</t>
        </is>
      </c>
      <c r="D146" s="31" t="inlineStr">
        <is>
          <t>Orient Ceratech Ltd</t>
        </is>
      </c>
      <c r="E146" s="31" t="inlineStr">
        <is>
          <t>building materials</t>
        </is>
      </c>
      <c r="F146" s="31" t="inlineStr">
        <is>
          <t>refractories / intermediates</t>
        </is>
      </c>
      <c r="G146" s="31" t="inlineStr">
        <is>
          <t>smallcap</t>
        </is>
      </c>
      <c r="H146" s="32" t="n">
        <v>558.48</v>
      </c>
      <c r="I146" s="32" t="n">
        <v>46.01</v>
      </c>
      <c r="J146" s="32" t="n">
        <v>-1.44</v>
      </c>
      <c r="K146" s="32" t="n">
        <v>58539</v>
      </c>
      <c r="L146" s="31" t="n">
        <v>13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59.03</v>
      </c>
      <c r="P146" s="32" t="n">
        <v>30.53</v>
      </c>
      <c r="Q146" s="32" t="n">
        <v>34.69</v>
      </c>
      <c r="R146" s="31" t="inlineStr">
        <is>
          <t>Earnings / Momentum Support</t>
        </is>
      </c>
      <c r="S146" s="31" t="inlineStr">
        <is>
          <t>Nifty Infra</t>
        </is>
      </c>
      <c r="T146" s="32" t="n">
        <v>0.12</v>
      </c>
      <c r="U146" s="32" t="n">
        <v>7.35</v>
      </c>
      <c r="V146" s="32" t="n">
        <v>7.23</v>
      </c>
      <c r="W146" s="32" t="n">
        <v>4.53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Less than 1.5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IF(B147=0,"",RANK(B147,$B$2:$B$304,0))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TVSSRICHAK</t>
        </is>
      </c>
      <c r="D147" s="31" t="inlineStr">
        <is>
          <t>Tvs Srichakra Limited</t>
        </is>
      </c>
      <c r="E147" s="31" t="inlineStr">
        <is>
          <t>auto</t>
        </is>
      </c>
      <c r="F147" s="31" t="inlineStr">
        <is>
          <t>tyres</t>
        </is>
      </c>
      <c r="G147" s="31" t="inlineStr">
        <is>
          <t>smallcap</t>
        </is>
      </c>
      <c r="H147" s="32" t="n">
        <v>3998.89</v>
      </c>
      <c r="I147" s="32" t="n">
        <v>5146</v>
      </c>
      <c r="J147" s="32" t="n">
        <v>-1.46</v>
      </c>
      <c r="K147" s="32" t="n">
        <v>9142</v>
      </c>
      <c r="L147" s="31" t="n">
        <v>63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71.44</v>
      </c>
      <c r="P147" s="32" t="n">
        <v>31.72</v>
      </c>
      <c r="Q147" s="32" t="n">
        <v>4082.14</v>
      </c>
      <c r="R147" s="31" t="inlineStr">
        <is>
          <t>Near 52W High Breakout</t>
        </is>
      </c>
      <c r="S147" s="31" t="inlineStr">
        <is>
          <t>Nifty Auto</t>
        </is>
      </c>
      <c r="T147" s="32" t="n">
        <v>14.81</v>
      </c>
      <c r="U147" s="32" t="n">
        <v>73.97</v>
      </c>
      <c r="V147" s="32" t="n">
        <v>51.52</v>
      </c>
      <c r="W147" s="32" t="n">
        <v>20.44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IF(B148=0,"",RANK(B148,$B$2:$B$304,0))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PVP</t>
        </is>
      </c>
      <c r="D148" s="31" t="inlineStr">
        <is>
          <t>Pvp Ventures Limited</t>
        </is>
      </c>
      <c r="E148" s="31" t="inlineStr">
        <is>
          <t>realty</t>
        </is>
      </c>
      <c r="F148" s="31" t="inlineStr">
        <is>
          <t>construction</t>
        </is>
      </c>
      <c r="G148" s="31" t="inlineStr">
        <is>
          <t>smallcap</t>
        </is>
      </c>
      <c r="H148" s="32" t="n">
        <v>1721.27</v>
      </c>
      <c r="I148" s="32" t="n">
        <v>64.81999999999999</v>
      </c>
      <c r="J148" s="32" t="n">
        <v>-1.94</v>
      </c>
      <c r="K148" s="32" t="n">
        <v>1157979</v>
      </c>
      <c r="L148" s="31" t="n">
        <v>92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78.23</v>
      </c>
      <c r="P148" s="32" t="n">
        <v>28.9</v>
      </c>
      <c r="Q148" s="32" t="n">
        <v>48.89</v>
      </c>
      <c r="R148" s="31" t="inlineStr">
        <is>
          <t>Near 52W High Breakout</t>
        </is>
      </c>
      <c r="S148" s="31" t="inlineStr">
        <is>
          <t>Nifty Realty</t>
        </is>
      </c>
      <c r="T148" s="32" t="n">
        <v>-10.74</v>
      </c>
      <c r="U148" s="32" t="n">
        <v>206.91</v>
      </c>
      <c r="V148" s="32" t="n">
        <v>243.84</v>
      </c>
      <c r="W148" s="32" t="n">
        <v>49.74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Above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IF(B149=0,"",RANK(B149,$B$2:$B$304,0))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RBZJEWEL</t>
        </is>
      </c>
      <c r="D149" s="31" t="inlineStr">
        <is>
          <t>RBZ Jewellers Ltd</t>
        </is>
      </c>
      <c r="E149" s="31" t="inlineStr">
        <is>
          <t>consumer discretionary</t>
        </is>
      </c>
      <c r="F149" s="31" t="inlineStr">
        <is>
          <t>diamond cutting / jewellery</t>
        </is>
      </c>
      <c r="G149" s="31" t="inlineStr">
        <is>
          <t>smallcap</t>
        </is>
      </c>
      <c r="H149" s="32" t="n">
        <v>714.6799999999999</v>
      </c>
      <c r="I149" s="32" t="n">
        <v>174.19</v>
      </c>
      <c r="J149" s="32" t="n">
        <v>-2.51</v>
      </c>
      <c r="K149" s="32" t="n">
        <v>110293</v>
      </c>
      <c r="L149" s="31" t="n">
        <v>35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59.25</v>
      </c>
      <c r="P149" s="32" t="n">
        <v>31.23</v>
      </c>
      <c r="Q149" s="32" t="n">
        <v>143.87</v>
      </c>
      <c r="R149" s="31" t="inlineStr">
        <is>
          <t>Earnings / Momentum Support</t>
        </is>
      </c>
      <c r="S149" s="31" t="inlineStr">
        <is>
          <t>Nifty 50</t>
        </is>
      </c>
      <c r="T149" s="32" t="n">
        <v>-6.83</v>
      </c>
      <c r="U149" s="32" t="n">
        <v>24.11</v>
      </c>
      <c r="V149" s="32" t="n">
        <v>33.21</v>
      </c>
      <c r="W149" s="32" t="n">
        <v>11.56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Less than 1.5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IF(B150=0,"",RANK(B150,$B$2:$B$304,0))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KENNAMET</t>
        </is>
      </c>
      <c r="D150" s="31" t="inlineStr">
        <is>
          <t>Kennametal India Ltd</t>
        </is>
      </c>
      <c r="E150" s="31" t="inlineStr">
        <is>
          <t>industrials</t>
        </is>
      </c>
      <c r="F150" s="31" t="inlineStr">
        <is>
          <t>castings &amp; forgings</t>
        </is>
      </c>
      <c r="G150" s="31" t="inlineStr">
        <is>
          <t>midcap</t>
        </is>
      </c>
      <c r="H150" s="32" t="n">
        <v>11050.44</v>
      </c>
      <c r="I150" s="32" t="n">
        <v>4682.4</v>
      </c>
      <c r="J150" s="32" t="n">
        <v>-6.87</v>
      </c>
      <c r="K150" s="32" t="n">
        <v>70326</v>
      </c>
      <c r="L150" s="31" t="n">
        <v>88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85.14</v>
      </c>
      <c r="P150" s="32" t="n">
        <v>49.02</v>
      </c>
      <c r="Q150" s="32" t="n">
        <v>3647.29</v>
      </c>
      <c r="R150" s="31" t="inlineStr">
        <is>
          <t>Near 52W High Breakout</t>
        </is>
      </c>
      <c r="S150" s="31" t="inlineStr">
        <is>
          <t>Nifty Infra</t>
        </is>
      </c>
      <c r="T150" s="32" t="n">
        <v>0.12</v>
      </c>
      <c r="U150" s="32" t="n">
        <v>107.21</v>
      </c>
      <c r="V150" s="32" t="n">
        <v>106.96</v>
      </c>
      <c r="W150" s="32" t="n">
        <v>38.79</v>
      </c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Above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IF(B151=0,"",RANK(B151,$B$2:$B$304,0))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UGARSUGAR</t>
        </is>
      </c>
      <c r="D151" s="31" t="inlineStr">
        <is>
          <t>The Ugar Sugar Works Limited</t>
        </is>
      </c>
      <c r="E151" s="31" t="inlineStr">
        <is>
          <t>fmcg</t>
        </is>
      </c>
      <c r="F151" s="31" t="inlineStr">
        <is>
          <t>sugar</t>
        </is>
      </c>
      <c r="G151" s="31" t="inlineStr">
        <is>
          <t>smallcap</t>
        </is>
      </c>
      <c r="H151" s="32" t="n">
        <v>561.6</v>
      </c>
      <c r="I151" s="32" t="n">
        <v>54.3</v>
      </c>
      <c r="J151" s="32" t="n">
        <v>8.77</v>
      </c>
      <c r="K151" s="32" t="n">
        <v>11275075</v>
      </c>
      <c r="L151" s="31" t="n">
        <v>32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71.77</v>
      </c>
      <c r="P151" s="32" t="n">
        <v>26.8</v>
      </c>
      <c r="Q151" s="32" t="n">
        <v>40.29</v>
      </c>
      <c r="R151" s="31" t="inlineStr">
        <is>
          <t>Volume Spike &amp; Near 52W High Breakout</t>
        </is>
      </c>
      <c r="S151" s="31" t="inlineStr">
        <is>
          <t>Nifty FMCG</t>
        </is>
      </c>
      <c r="T151" s="32" t="n">
        <v>-17.45</v>
      </c>
      <c r="U151" s="32" t="n">
        <v>20.82</v>
      </c>
      <c r="V151" s="32" t="n">
        <v>46.37</v>
      </c>
      <c r="W151" s="32" t="n">
        <v>10.47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B2C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Annuity, Lower One Time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Less than 1.5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More than 1.2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IF(B152=0,"",RANK(B152,$B$2:$B$304,0))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ABDL</t>
        </is>
      </c>
      <c r="D152" s="31" t="inlineStr">
        <is>
          <t>Allied Blenders &amp; Distillers Ltd</t>
        </is>
      </c>
      <c r="E152" s="31" t="inlineStr">
        <is>
          <t>fmcg</t>
        </is>
      </c>
      <c r="F152" s="31" t="inlineStr">
        <is>
          <t>breweries &amp; distilleries</t>
        </is>
      </c>
      <c r="G152" s="31" t="inlineStr">
        <is>
          <t>midcap</t>
        </is>
      </c>
      <c r="H152" s="32" t="n">
        <v>17102.88</v>
      </c>
      <c r="I152" s="32" t="n">
        <v>632.5</v>
      </c>
      <c r="J152" s="32" t="n">
        <v>3.44</v>
      </c>
      <c r="K152" s="32" t="n">
        <v>563681</v>
      </c>
      <c r="L152" s="31" t="n">
        <v>37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59.66</v>
      </c>
      <c r="P152" s="32" t="n">
        <v>25.47</v>
      </c>
      <c r="Q152" s="32" t="n">
        <v>513.47</v>
      </c>
      <c r="R152" s="31" t="inlineStr">
        <is>
          <t>Near 52W High Breakout</t>
        </is>
      </c>
      <c r="S152" s="31" t="inlineStr">
        <is>
          <t>Nifty FMCG</t>
        </is>
      </c>
      <c r="T152" s="32" t="n">
        <v>-17.45</v>
      </c>
      <c r="U152" s="32" t="n">
        <v>38.77</v>
      </c>
      <c r="V152" s="32" t="n">
        <v>68.11</v>
      </c>
      <c r="W152" s="32" t="n">
        <v>12.01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B2C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Annuity, Lower One Time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Less than 12%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IF(B153=0,"",RANK(B153,$B$2:$B$304,0))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LAURUSLABS</t>
        </is>
      </c>
      <c r="D153" s="31" t="inlineStr">
        <is>
          <t>Laurus Labs Limited</t>
        </is>
      </c>
      <c r="E153" s="31" t="inlineStr">
        <is>
          <t>healthcare</t>
        </is>
      </c>
      <c r="F153" s="31" t="inlineStr">
        <is>
          <t>pharmaceuticals - indian - bulk drugs &amp; formln</t>
        </is>
      </c>
      <c r="G153" s="31" t="inlineStr">
        <is>
          <t>largecap</t>
        </is>
      </c>
      <c r="H153" s="32" t="n">
        <v>105078.54</v>
      </c>
      <c r="I153" s="32" t="n">
        <v>1969</v>
      </c>
      <c r="J153" s="32" t="n">
        <v>1.23</v>
      </c>
      <c r="K153" s="32" t="n">
        <v>2277375</v>
      </c>
      <c r="L153" s="31" t="n">
        <v>75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77.37</v>
      </c>
      <c r="P153" s="32" t="n">
        <v>71.22</v>
      </c>
      <c r="Q153" s="32" t="n">
        <v>1676.45</v>
      </c>
      <c r="R153" s="31" t="inlineStr">
        <is>
          <t>Near 52W High Breakout</t>
        </is>
      </c>
      <c r="S153" s="31" t="inlineStr">
        <is>
          <t>Nifty Pharma</t>
        </is>
      </c>
      <c r="T153" s="32" t="n">
        <v>18.76</v>
      </c>
      <c r="U153" s="32" t="n">
        <v>120.14</v>
      </c>
      <c r="V153" s="32" t="n">
        <v>85.37</v>
      </c>
      <c r="W153" s="32" t="n">
        <v>26.74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Yes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Annuity, Lower One Time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Above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IF(B154=0,"",RANK(B154,$B$2:$B$304,0))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SAILIFE</t>
        </is>
      </c>
      <c r="D154" s="31" t="inlineStr">
        <is>
          <t>Sai Life Sciences Ltd</t>
        </is>
      </c>
      <c r="E154" s="31" t="inlineStr">
        <is>
          <t>healthcare</t>
        </is>
      </c>
      <c r="F154" s="31" t="inlineStr">
        <is>
          <t>pharmaceuticals - indian - bulk drugs &amp; formln</t>
        </is>
      </c>
      <c r="G154" s="31" t="inlineStr">
        <is>
          <t>largecap</t>
        </is>
      </c>
      <c r="H154" s="32" t="n">
        <v>33776.83</v>
      </c>
      <c r="I154" s="32" t="n">
        <v>1585</v>
      </c>
      <c r="J154" s="32" t="n">
        <v>-0.38</v>
      </c>
      <c r="K154" s="32" t="n">
        <v>1170229</v>
      </c>
      <c r="L154" s="31" t="n">
        <v>59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84.98999999999999</v>
      </c>
      <c r="P154" s="32" t="n">
        <v>44.57</v>
      </c>
      <c r="Q154" s="32" t="n">
        <v>1303.93</v>
      </c>
      <c r="R154" s="31" t="inlineStr">
        <is>
          <t>Volume Spike &amp; Near 52W High Breakout</t>
        </is>
      </c>
      <c r="S154" s="31" t="inlineStr">
        <is>
          <t>Nifty Pharma</t>
        </is>
      </c>
      <c r="T154" s="32" t="n">
        <v>18.76</v>
      </c>
      <c r="U154" s="32" t="n">
        <v>81.62</v>
      </c>
      <c r="V154" s="32" t="n">
        <v>52.93</v>
      </c>
      <c r="W154" s="32" t="n">
        <v>19.42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Yes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Annuity, Lower One Time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Above 40</t>
        </is>
      </c>
      <c r="AY154" s="31">
        <f>IF(AX154="Above 40",20,IF(AX154="20 to 40",10,IF(AX154="0 to 20",-5,0)))</f>
        <v/>
      </c>
      <c r="AZ154" s="31" t="inlineStr">
        <is>
          <t>Above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IF(B155=0,"",RANK(B155,$B$2:$B$304,0))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ARTEMISMED</t>
        </is>
      </c>
      <c r="D155" s="31" t="inlineStr">
        <is>
          <t>Artemis Medicare Services Ltd</t>
        </is>
      </c>
      <c r="E155" s="31" t="inlineStr">
        <is>
          <t>healthcare</t>
        </is>
      </c>
      <c r="F155" s="31" t="inlineStr">
        <is>
          <t>healthcare</t>
        </is>
      </c>
      <c r="G155" s="31" t="inlineStr">
        <is>
          <t>midcap</t>
        </is>
      </c>
      <c r="H155" s="32" t="n">
        <v>5517.76</v>
      </c>
      <c r="I155" s="32" t="n">
        <v>344.9</v>
      </c>
      <c r="J155" s="32" t="n">
        <v>-1.05</v>
      </c>
      <c r="K155" s="32" t="n">
        <v>347172</v>
      </c>
      <c r="L155" s="31" t="n">
        <v>47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74.81</v>
      </c>
      <c r="P155" s="32" t="n">
        <v>38.18</v>
      </c>
      <c r="Q155" s="32" t="n">
        <v>281.13</v>
      </c>
      <c r="R155" s="31" t="inlineStr">
        <is>
          <t>Volume Spike &amp; Near 52W High Breakout</t>
        </is>
      </c>
      <c r="S155" s="31" t="inlineStr">
        <is>
          <t>Nifty Pharma</t>
        </is>
      </c>
      <c r="T155" s="32" t="n">
        <v>18.76</v>
      </c>
      <c r="U155" s="32" t="n">
        <v>44.46</v>
      </c>
      <c r="V155" s="32" t="n">
        <v>21.64</v>
      </c>
      <c r="W155" s="32" t="n">
        <v>15.45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Yes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Annuity, Lower One Time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IF(B156=0,"",RANK(B156,$B$2:$B$304,0))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YATHARTH</t>
        </is>
      </c>
      <c r="D156" s="31" t="inlineStr">
        <is>
          <t>Yatharth Hospital &amp; Trauma Care Services Ltd</t>
        </is>
      </c>
      <c r="E156" s="31" t="inlineStr">
        <is>
          <t>healthcare</t>
        </is>
      </c>
      <c r="F156" s="31" t="inlineStr">
        <is>
          <t>healthcare</t>
        </is>
      </c>
      <c r="G156" s="31" t="inlineStr">
        <is>
          <t>midcap</t>
        </is>
      </c>
      <c r="H156" s="32" t="n">
        <v>9415.75</v>
      </c>
      <c r="I156" s="32" t="n">
        <v>966.3</v>
      </c>
      <c r="J156" s="32" t="n">
        <v>-1.12</v>
      </c>
      <c r="K156" s="32" t="n">
        <v>128509</v>
      </c>
      <c r="L156" s="31" t="n">
        <v>26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65.72</v>
      </c>
      <c r="P156" s="32" t="n">
        <v>40.4</v>
      </c>
      <c r="Q156" s="32" t="n">
        <v>792.5599999999999</v>
      </c>
      <c r="R156" s="31" t="inlineStr">
        <is>
          <t>Near 52W High Breakout</t>
        </is>
      </c>
      <c r="S156" s="31" t="inlineStr">
        <is>
          <t>Nifty Pharma</t>
        </is>
      </c>
      <c r="T156" s="32" t="n">
        <v>18.76</v>
      </c>
      <c r="U156" s="32" t="n">
        <v>25.53</v>
      </c>
      <c r="V156" s="32" t="n">
        <v>5.7</v>
      </c>
      <c r="W156" s="32" t="n">
        <v>8.550000000000001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Yes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Annuity, Lower One Time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Above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IF(B157=0,"",RANK(B157,$B$2:$B$304,0))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RAYMOND</t>
        </is>
      </c>
      <c r="D157" s="31" t="inlineStr">
        <is>
          <t>Raymond Limited</t>
        </is>
      </c>
      <c r="E157" s="31" t="inlineStr">
        <is>
          <t>transportation</t>
        </is>
      </c>
      <c r="F157" s="31" t="inlineStr">
        <is>
          <t>transport - airlines</t>
        </is>
      </c>
      <c r="G157" s="31" t="inlineStr">
        <is>
          <t>midcap</t>
        </is>
      </c>
      <c r="H157" s="32" t="n">
        <v>5684.4</v>
      </c>
      <c r="I157" s="32" t="n">
        <v>1002.8</v>
      </c>
      <c r="J157" s="32" t="n">
        <v>17.44</v>
      </c>
      <c r="K157" s="32" t="n">
        <v>16245056</v>
      </c>
      <c r="L157" s="31" t="n">
        <v>92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82.90000000000001</v>
      </c>
      <c r="P157" s="32" t="n">
        <v>46.71</v>
      </c>
      <c r="Q157" s="32" t="n">
        <v>788.85</v>
      </c>
      <c r="R157" s="31" t="inlineStr">
        <is>
          <t>Volume Spike &amp; Near 52W High Breakout</t>
        </is>
      </c>
      <c r="S157" s="31" t="inlineStr">
        <is>
          <t>Nifty Infra</t>
        </is>
      </c>
      <c r="T157" s="32" t="n">
        <v>0.12</v>
      </c>
      <c r="U157" s="32" t="n">
        <v>42.63</v>
      </c>
      <c r="V157" s="32" t="n">
        <v>42.46</v>
      </c>
      <c r="W157" s="32" t="n">
        <v>45.09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Above 40</t>
        </is>
      </c>
      <c r="AY157" s="31">
        <f>IF(AX157="Above 40",20,IF(AX157="20 to 40",10,IF(AX157="0 to 20",-5,0)))</f>
        <v/>
      </c>
      <c r="AZ157" s="31" t="inlineStr">
        <is>
          <t>Above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Less than 12%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IF(B158=0,"",RANK(B158,$B$2:$B$304,0))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NRAIL</t>
        </is>
      </c>
      <c r="D158" s="31" t="inlineStr">
        <is>
          <t>N R Agarwal Industries Ltd</t>
        </is>
      </c>
      <c r="E158" s="31" t="inlineStr">
        <is>
          <t>building materials</t>
        </is>
      </c>
      <c r="F158" s="31" t="inlineStr">
        <is>
          <t>paper</t>
        </is>
      </c>
      <c r="G158" s="31" t="inlineStr">
        <is>
          <t>smallcap</t>
        </is>
      </c>
      <c r="H158" s="32" t="n">
        <v>1013.15</v>
      </c>
      <c r="I158" s="32" t="n">
        <v>627.9</v>
      </c>
      <c r="J158" s="32" t="n">
        <v>5.48</v>
      </c>
      <c r="K158" s="32" t="n">
        <v>40702</v>
      </c>
      <c r="L158" s="31" t="n">
        <v>65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69.17</v>
      </c>
      <c r="P158" s="32" t="n">
        <v>32.21</v>
      </c>
      <c r="Q158" s="32" t="n">
        <v>459.69</v>
      </c>
      <c r="R158" s="31" t="inlineStr">
        <is>
          <t>Volume Spike &amp; Near 52W High Breakout</t>
        </is>
      </c>
      <c r="S158" s="31" t="inlineStr">
        <is>
          <t>Nifty Infra</t>
        </is>
      </c>
      <c r="T158" s="32" t="n">
        <v>0.12</v>
      </c>
      <c r="U158" s="32" t="n">
        <v>83.09999999999999</v>
      </c>
      <c r="V158" s="32" t="n">
        <v>82.89</v>
      </c>
      <c r="W158" s="32" t="n">
        <v>20.99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Between 0.7 to 1.2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IF(B159=0,"",RANK(B159,$B$2:$B$304,0))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SIGMAADV</t>
        </is>
      </c>
      <c r="D159" s="31" t="inlineStr">
        <is>
          <t>Sigma Advanced System Ltd</t>
        </is>
      </c>
      <c r="E159" s="31" t="inlineStr">
        <is>
          <t>aerospace &amp; defence</t>
        </is>
      </c>
      <c r="F159" s="31" t="inlineStr">
        <is>
          <t>electronics - components</t>
        </is>
      </c>
      <c r="G159" s="31" t="inlineStr">
        <is>
          <t>midcap</t>
        </is>
      </c>
      <c r="H159" s="32" t="n">
        <v>15024.2</v>
      </c>
      <c r="I159" s="32" t="n">
        <v>832.45</v>
      </c>
      <c r="J159" s="32" t="n">
        <v>4.99</v>
      </c>
      <c r="K159" s="32" t="n">
        <v>366669</v>
      </c>
      <c r="L159" s="31" t="n">
        <v>98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78.69</v>
      </c>
      <c r="P159" s="32" t="n">
        <v>64.93000000000001</v>
      </c>
      <c r="Q159" s="32" t="n">
        <v>619.29</v>
      </c>
      <c r="R159" s="31" t="inlineStr">
        <is>
          <t>Near 52W High Breakout</t>
        </is>
      </c>
      <c r="S159" s="31" t="inlineStr">
        <is>
          <t>Nifty 50</t>
        </is>
      </c>
      <c r="T159" s="32" t="n">
        <v>-6.83</v>
      </c>
      <c r="U159" s="32" t="n">
        <v>429.28</v>
      </c>
      <c r="V159" s="32" t="n">
        <v>468.09</v>
      </c>
      <c r="W159" s="32" t="n">
        <v>74.64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Above 40</t>
        </is>
      </c>
      <c r="AY159" s="31">
        <f>IF(AX159="Above 40",20,IF(AX159="20 to 40",10,IF(AX159="0 to 20",-5,0)))</f>
        <v/>
      </c>
      <c r="AZ159" s="31" t="inlineStr">
        <is>
          <t>Above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Less than 12%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Between 0.7 to 1.2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IF(B160=0,"",RANK(B160,$B$2:$B$304,0))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MMP</t>
        </is>
      </c>
      <c r="D160" s="31" t="inlineStr">
        <is>
          <t>MMP Industries Ltd</t>
        </is>
      </c>
      <c r="E160" s="31" t="inlineStr">
        <is>
          <t>metals &amp; mining</t>
        </is>
      </c>
      <c r="F160" s="31" t="inlineStr">
        <is>
          <t>aluminium and aluminium products</t>
        </is>
      </c>
      <c r="G160" s="31" t="inlineStr">
        <is>
          <t>smallcap</t>
        </is>
      </c>
      <c r="H160" s="32" t="n">
        <v>847.27</v>
      </c>
      <c r="I160" s="32" t="n">
        <v>469.95</v>
      </c>
      <c r="J160" s="32" t="n">
        <v>4.95</v>
      </c>
      <c r="K160" s="32" t="n">
        <v>94390</v>
      </c>
      <c r="L160" s="31" t="n">
        <v>84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85.04000000000001</v>
      </c>
      <c r="P160" s="32" t="n">
        <v>48.9</v>
      </c>
      <c r="Q160" s="32" t="n">
        <v>358.58</v>
      </c>
      <c r="R160" s="31" t="inlineStr">
        <is>
          <t>Near 52W High Breakout</t>
        </is>
      </c>
      <c r="S160" s="31" t="inlineStr">
        <is>
          <t>Nifty Metal</t>
        </is>
      </c>
      <c r="T160" s="32" t="n">
        <v>37.92</v>
      </c>
      <c r="U160" s="32" t="n">
        <v>74.61</v>
      </c>
      <c r="V160" s="32" t="n">
        <v>26.61</v>
      </c>
      <c r="W160" s="32" t="n">
        <v>33.92</v>
      </c>
      <c r="X160" s="31" t="inlineStr">
        <is>
          <t>Cyclical in an Upturn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Cyclical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Volatile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Above 40</t>
        </is>
      </c>
      <c r="AY160" s="31">
        <f>IF(AX160="Above 40",20,IF(AX160="20 to 40",10,IF(AX160="0 to 20",-5,0)))</f>
        <v/>
      </c>
      <c r="AZ160" s="31" t="inlineStr">
        <is>
          <t>Above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Less than 1.5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IF(B161=0,"",RANK(B161,$B$2:$B$304,0))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BHAGERIA</t>
        </is>
      </c>
      <c r="D161" s="31" t="inlineStr">
        <is>
          <t>Bhageria Industries Limited</t>
        </is>
      </c>
      <c r="E161" s="31" t="inlineStr">
        <is>
          <t>chemicals</t>
        </is>
      </c>
      <c r="F161" s="31" t="inlineStr">
        <is>
          <t>dyes and pigments</t>
        </is>
      </c>
      <c r="G161" s="31" t="inlineStr">
        <is>
          <t>smallcap</t>
        </is>
      </c>
      <c r="H161" s="32" t="n">
        <v>1322.86</v>
      </c>
      <c r="I161" s="32" t="n">
        <v>317.05</v>
      </c>
      <c r="J161" s="32" t="n">
        <v>4.6</v>
      </c>
      <c r="K161" s="32" t="n">
        <v>395692</v>
      </c>
      <c r="L161" s="31" t="n">
        <v>69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76.59999999999999</v>
      </c>
      <c r="P161" s="32" t="n">
        <v>36.9</v>
      </c>
      <c r="Q161" s="32" t="n">
        <v>237.94</v>
      </c>
      <c r="R161" s="31" t="inlineStr">
        <is>
          <t>Volume Spike &amp; Near 52W High Breakout</t>
        </is>
      </c>
      <c r="S161" s="31" t="inlineStr">
        <is>
          <t>Nifty 50</t>
        </is>
      </c>
      <c r="T161" s="32" t="n">
        <v>-6.83</v>
      </c>
      <c r="U161" s="32" t="n">
        <v>57.04</v>
      </c>
      <c r="V161" s="32" t="n">
        <v>68.56</v>
      </c>
      <c r="W161" s="32" t="n">
        <v>23.7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Above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IF(B162=0,"",RANK(B162,$B$2:$B$304,0))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EXICOM</t>
        </is>
      </c>
      <c r="D162" s="31" t="inlineStr">
        <is>
          <t>Exicom Tele-Systems Ltd</t>
        </is>
      </c>
      <c r="E162" s="31" t="inlineStr">
        <is>
          <t>industrials</t>
        </is>
      </c>
      <c r="F162" s="31" t="inlineStr">
        <is>
          <t>electric equipment</t>
        </is>
      </c>
      <c r="G162" s="31" t="inlineStr">
        <is>
          <t>smallcap</t>
        </is>
      </c>
      <c r="H162" s="32" t="n">
        <v>2457.96</v>
      </c>
      <c r="I162" s="32" t="n">
        <v>182.28</v>
      </c>
      <c r="J162" s="32" t="n">
        <v>3.14</v>
      </c>
      <c r="K162" s="32" t="n">
        <v>1693706</v>
      </c>
      <c r="L162" s="31" t="n">
        <v>52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64.81999999999999</v>
      </c>
      <c r="P162" s="32" t="n">
        <v>38.62</v>
      </c>
      <c r="Q162" s="32" t="n">
        <v>122.26</v>
      </c>
      <c r="R162" s="31" t="inlineStr">
        <is>
          <t>Near 52W High Breakout</t>
        </is>
      </c>
      <c r="S162" s="31" t="inlineStr">
        <is>
          <t>Nifty Infra</t>
        </is>
      </c>
      <c r="T162" s="32" t="n">
        <v>0.12</v>
      </c>
      <c r="U162" s="32" t="n">
        <v>11.2</v>
      </c>
      <c r="V162" s="32" t="n">
        <v>11.07</v>
      </c>
      <c r="W162" s="32" t="n">
        <v>17.05</v>
      </c>
      <c r="X162" s="31" t="inlineStr">
        <is>
          <t>Cyclical in an Upturn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Less than 1.5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Between 0.7 to 1.2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IF(B163=0,"",RANK(B163,$B$2:$B$304,0))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KRN</t>
        </is>
      </c>
      <c r="D163" s="31" t="inlineStr">
        <is>
          <t>KRN Heat Exchanger and Refrigeration Ltd</t>
        </is>
      </c>
      <c r="E163" s="31" t="inlineStr">
        <is>
          <t>industrials</t>
        </is>
      </c>
      <c r="F163" s="31" t="inlineStr">
        <is>
          <t>engineering</t>
        </is>
      </c>
      <c r="G163" s="31" t="inlineStr">
        <is>
          <t>midcap</t>
        </is>
      </c>
      <c r="H163" s="32" t="n">
        <v>10372.55</v>
      </c>
      <c r="I163" s="32" t="n">
        <v>1593.6</v>
      </c>
      <c r="J163" s="32" t="n">
        <v>0.57</v>
      </c>
      <c r="K163" s="32" t="n">
        <v>188504</v>
      </c>
      <c r="L163" s="31" t="n">
        <v>62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73.01000000000001</v>
      </c>
      <c r="P163" s="32" t="n">
        <v>36.97</v>
      </c>
      <c r="Q163" s="32" t="n">
        <v>1194.15</v>
      </c>
      <c r="R163" s="31" t="inlineStr">
        <is>
          <t>Near 52W High Breakout</t>
        </is>
      </c>
      <c r="S163" s="31" t="inlineStr">
        <is>
          <t>Nifty 50</t>
        </is>
      </c>
      <c r="T163" s="32" t="n">
        <v>-6.83</v>
      </c>
      <c r="U163" s="32" t="n">
        <v>87.34999999999999</v>
      </c>
      <c r="V163" s="32" t="n">
        <v>101.09</v>
      </c>
      <c r="W163" s="32" t="n">
        <v>20.32</v>
      </c>
      <c r="X163" s="31" t="inlineStr">
        <is>
          <t>Cyclical in an Upturn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IF(B164=0,"",RANK(B164,$B$2:$B$304,0))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AEROFLEX</t>
        </is>
      </c>
      <c r="D164" s="31" t="inlineStr">
        <is>
          <t>Aeroflex Industries Ltd</t>
        </is>
      </c>
      <c r="E164" s="31" t="inlineStr">
        <is>
          <t>metals &amp; mining</t>
        </is>
      </c>
      <c r="F164" s="31" t="inlineStr">
        <is>
          <t>steel - medium / small</t>
        </is>
      </c>
      <c r="G164" s="31" t="inlineStr">
        <is>
          <t>midcap</t>
        </is>
      </c>
      <c r="H164" s="32" t="n">
        <v>7466.1</v>
      </c>
      <c r="I164" s="32" t="n">
        <v>563.95</v>
      </c>
      <c r="J164" s="32" t="n">
        <v>-0.04</v>
      </c>
      <c r="K164" s="32" t="n">
        <v>1042637</v>
      </c>
      <c r="L164" s="31" t="n">
        <v>93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73.52</v>
      </c>
      <c r="P164" s="32" t="n">
        <v>61.21</v>
      </c>
      <c r="Q164" s="32" t="n">
        <v>412.35</v>
      </c>
      <c r="R164" s="31" t="inlineStr">
        <is>
          <t>Near 52W High Breakout</t>
        </is>
      </c>
      <c r="S164" s="31" t="inlineStr">
        <is>
          <t>Nifty Metal</t>
        </is>
      </c>
      <c r="T164" s="32" t="n">
        <v>37.92</v>
      </c>
      <c r="U164" s="32" t="n">
        <v>174.52</v>
      </c>
      <c r="V164" s="32" t="n">
        <v>99.04000000000001</v>
      </c>
      <c r="W164" s="32" t="n">
        <v>51.45</v>
      </c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Cyclical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Volatile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Above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IF(B165=0,"",RANK(B165,$B$2:$B$304,0))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SHREEPUSHK</t>
        </is>
      </c>
      <c r="D165" s="31" t="inlineStr">
        <is>
          <t>Shree Pushkar Chemicals &amp; Fertilisers Limited</t>
        </is>
      </c>
      <c r="E165" s="31" t="inlineStr">
        <is>
          <t>chemicals</t>
        </is>
      </c>
      <c r="F165" s="31" t="inlineStr">
        <is>
          <t>dyes and pigments</t>
        </is>
      </c>
      <c r="G165" s="31" t="inlineStr">
        <is>
          <t>smallcap</t>
        </is>
      </c>
      <c r="H165" s="32" t="n">
        <v>1589.72</v>
      </c>
      <c r="I165" s="32" t="n">
        <v>486.9</v>
      </c>
      <c r="J165" s="32" t="n">
        <v>-0.96</v>
      </c>
      <c r="K165" s="32" t="n">
        <v>157309</v>
      </c>
      <c r="L165" s="31" t="n">
        <v>52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68.28</v>
      </c>
      <c r="P165" s="32" t="n">
        <v>39.27</v>
      </c>
      <c r="Q165" s="32" t="n">
        <v>355.09</v>
      </c>
      <c r="R165" s="31" t="inlineStr">
        <is>
          <t>Volume Spike &amp; Near 52W High Breakout</t>
        </is>
      </c>
      <c r="S165" s="31" t="inlineStr">
        <is>
          <t>Nifty IT</t>
        </is>
      </c>
      <c r="T165" s="32" t="n">
        <v>-19.91</v>
      </c>
      <c r="U165" s="32" t="n">
        <v>47.68</v>
      </c>
      <c r="V165" s="32" t="n">
        <v>84.39</v>
      </c>
      <c r="W165" s="32" t="n">
        <v>17.05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Less than 12%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IF(B166=0,"",RANK(B166,$B$2:$B$304,0))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JINDALSAW</t>
        </is>
      </c>
      <c r="D166" s="31" t="inlineStr">
        <is>
          <t>Jindal Saw Limited</t>
        </is>
      </c>
      <c r="E166" s="31" t="inlineStr">
        <is>
          <t>industrials</t>
        </is>
      </c>
      <c r="F166" s="31" t="inlineStr">
        <is>
          <t>steel - large</t>
        </is>
      </c>
      <c r="G166" s="31" t="inlineStr">
        <is>
          <t>largecap</t>
        </is>
      </c>
      <c r="H166" s="32" t="n">
        <v>20304.39</v>
      </c>
      <c r="I166" s="32" t="n">
        <v>311.95</v>
      </c>
      <c r="J166" s="32" t="n">
        <v>-1.75</v>
      </c>
      <c r="K166" s="32" t="n">
        <v>1875374</v>
      </c>
      <c r="L166" s="31" t="n">
        <v>47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70.93000000000001</v>
      </c>
      <c r="P166" s="32" t="n">
        <v>47.37</v>
      </c>
      <c r="Q166" s="32" t="n">
        <v>244.05</v>
      </c>
      <c r="R166" s="31" t="inlineStr">
        <is>
          <t>Near 52W High Breakout</t>
        </is>
      </c>
      <c r="S166" s="31" t="inlineStr">
        <is>
          <t>Nifty Metal</t>
        </is>
      </c>
      <c r="T166" s="32" t="n">
        <v>37.92</v>
      </c>
      <c r="U166" s="32" t="n">
        <v>41.28</v>
      </c>
      <c r="V166" s="32" t="n">
        <v>2.44</v>
      </c>
      <c r="W166" s="32" t="n">
        <v>15.41</v>
      </c>
      <c r="X166" s="31" t="inlineStr">
        <is>
          <t>Cyclical in an Upturn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Above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Less than 12%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IF(B167=0,"",RANK(B167,$B$2:$B$304,0))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3" t="inlineStr">
        <is>
          <t>PPL</t>
        </is>
      </c>
      <c r="D167" s="33" t="inlineStr">
        <is>
          <t>Prakash Pipes Ltd</t>
        </is>
      </c>
      <c r="E167" s="31" t="inlineStr">
        <is>
          <t>plastic products</t>
        </is>
      </c>
      <c r="F167" s="31" t="inlineStr">
        <is>
          <t>plastics products</t>
        </is>
      </c>
      <c r="G167" s="31" t="inlineStr">
        <is>
          <t>smallcap</t>
        </is>
      </c>
      <c r="H167" s="32" t="n">
        <v>695.78</v>
      </c>
      <c r="I167" s="32" t="n">
        <v>285.55</v>
      </c>
      <c r="J167" s="32" t="n">
        <v>-1.84</v>
      </c>
      <c r="K167" s="32" t="n">
        <v>32412</v>
      </c>
      <c r="L167" s="31" t="n">
        <v>15</v>
      </c>
      <c r="M167" s="31" t="inlineStr">
        <is>
          <t>Underperforming</t>
        </is>
      </c>
      <c r="N167" s="32">
        <f>IF(M167="Underperforming",-5,IF(L167&gt;=95,15,IF(L167&gt;=90,10,IF(L167&gt;=80,5,0))))</f>
        <v/>
      </c>
      <c r="O167" s="32" t="n">
        <v>61.39</v>
      </c>
      <c r="P167" s="32" t="n">
        <v>32.63</v>
      </c>
      <c r="Q167" s="32" t="n">
        <v>213.93</v>
      </c>
      <c r="R167" s="31" t="inlineStr">
        <is>
          <t>Earnings / Momentum Support</t>
        </is>
      </c>
      <c r="S167" s="31" t="inlineStr">
        <is>
          <t>Nifty Infra</t>
        </is>
      </c>
      <c r="T167" s="32" t="n">
        <v>0.12</v>
      </c>
      <c r="U167" s="32" t="n">
        <v>-23.16</v>
      </c>
      <c r="V167" s="32" t="n">
        <v>-23.25</v>
      </c>
      <c r="W167" s="32" t="n">
        <v>5.25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IF(B168=0,"",RANK(B168,$B$2:$B$304,0))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SHREEJISPG</t>
        </is>
      </c>
      <c r="D168" s="31" t="inlineStr">
        <is>
          <t>Shreeji Shipping Global Ltd</t>
        </is>
      </c>
      <c r="E168" s="31" t="inlineStr">
        <is>
          <t>transportation</t>
        </is>
      </c>
      <c r="F168" s="31" t="inlineStr">
        <is>
          <t>shipping</t>
        </is>
      </c>
      <c r="G168" s="31" t="inlineStr">
        <is>
          <t>midcap</t>
        </is>
      </c>
      <c r="H168" s="32" t="n">
        <v>11617.7</v>
      </c>
      <c r="I168" s="32" t="n">
        <v>691.75</v>
      </c>
      <c r="J168" s="32" t="n">
        <v>-2.99</v>
      </c>
      <c r="K168" s="32" t="n">
        <v>919480</v>
      </c>
      <c r="L168" s="31" t="n">
        <v>81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78.13</v>
      </c>
      <c r="P168" s="32" t="n">
        <v>56.54</v>
      </c>
      <c r="Q168" s="32" t="n">
        <v>566.9</v>
      </c>
      <c r="R168" s="31" t="inlineStr">
        <is>
          <t>Near 52W High Breakout</t>
        </is>
      </c>
      <c r="S168" s="31" t="inlineStr">
        <is>
          <t>Nifty 50</t>
        </is>
      </c>
      <c r="T168" s="32" t="n">
        <v>-6.83</v>
      </c>
      <c r="U168" s="32" t="n">
        <v>171.58</v>
      </c>
      <c r="V168" s="32" t="n">
        <v>191.5</v>
      </c>
      <c r="W168" s="32" t="n">
        <v>31.83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Above 40</t>
        </is>
      </c>
      <c r="AY168" s="31">
        <f>IF(AX168="Above 40",20,IF(AX168="20 to 40",10,IF(AX168="0 to 20",-5,0)))</f>
        <v/>
      </c>
      <c r="AZ168" s="31" t="inlineStr">
        <is>
          <t>Above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Blue sky scenario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IF(B169=0,"",RANK(B169,$B$2:$B$304,0))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3" t="inlineStr">
        <is>
          <t>MIDHANI</t>
        </is>
      </c>
      <c r="D169" s="33" t="inlineStr">
        <is>
          <t>Mishra Dhatu Nigam Ltd</t>
        </is>
      </c>
      <c r="E169" s="31" t="inlineStr">
        <is>
          <t>aerospace &amp; defence</t>
        </is>
      </c>
      <c r="F169" s="31" t="inlineStr">
        <is>
          <t>steel - medium / small</t>
        </is>
      </c>
      <c r="G169" s="31" t="inlineStr">
        <is>
          <t>midcap</t>
        </is>
      </c>
      <c r="H169" s="32" t="n">
        <v>8680.4</v>
      </c>
      <c r="I169" s="32" t="n">
        <v>447.4</v>
      </c>
      <c r="J169" s="32" t="n">
        <v>-3.44</v>
      </c>
      <c r="K169" s="32" t="n">
        <v>1941042</v>
      </c>
      <c r="L169" s="31" t="n">
        <v>20</v>
      </c>
      <c r="M169" s="31" t="inlineStr">
        <is>
          <t>Underperforming</t>
        </is>
      </c>
      <c r="N169" s="32">
        <f>IF(M169="Underperforming",-5,IF(L169&gt;=95,15,IF(L169&gt;=90,10,IF(L169&gt;=80,5,0))))</f>
        <v/>
      </c>
      <c r="O169" s="32" t="n">
        <v>62.02</v>
      </c>
      <c r="P169" s="32" t="n">
        <v>28.29</v>
      </c>
      <c r="Q169" s="32" t="n">
        <v>342.14</v>
      </c>
      <c r="R169" s="31" t="inlineStr">
        <is>
          <t>Volume Spike &amp; Near 52W High Breakout</t>
        </is>
      </c>
      <c r="S169" s="31" t="inlineStr">
        <is>
          <t>Nifty Metal</t>
        </is>
      </c>
      <c r="T169" s="32" t="n">
        <v>37.92</v>
      </c>
      <c r="U169" s="32" t="n">
        <v>10.98</v>
      </c>
      <c r="V169" s="32" t="n">
        <v>-19.53</v>
      </c>
      <c r="W169" s="32" t="n">
        <v>6.63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IF(B170=0,"",RANK(B170,$B$2:$B$304,0))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MVGJL</t>
        </is>
      </c>
      <c r="D170" s="31" t="inlineStr">
        <is>
          <t>Manoj Vaibhav Gems N Jewellers Ltd</t>
        </is>
      </c>
      <c r="E170" s="31" t="inlineStr">
        <is>
          <t>consumer discretionary</t>
        </is>
      </c>
      <c r="F170" s="31" t="inlineStr">
        <is>
          <t>diamond cutting / jewellery</t>
        </is>
      </c>
      <c r="G170" s="31" t="inlineStr">
        <is>
          <t>smallcap</t>
        </is>
      </c>
      <c r="H170" s="32" t="n">
        <v>1019.84</v>
      </c>
      <c r="I170" s="32" t="n">
        <v>197.37</v>
      </c>
      <c r="J170" s="32" t="n">
        <v>-5.47</v>
      </c>
      <c r="K170" s="32" t="n">
        <v>332881</v>
      </c>
      <c r="L170" s="31" t="n">
        <v>26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64.66</v>
      </c>
      <c r="P170" s="32" t="n">
        <v>15.87</v>
      </c>
      <c r="Q170" s="32" t="n">
        <v>140.09</v>
      </c>
      <c r="R170" s="31" t="inlineStr">
        <is>
          <t>Volume Spike &amp; Near 52W High Breakout</t>
        </is>
      </c>
      <c r="S170" s="31" t="inlineStr">
        <is>
          <t>Nifty 50</t>
        </is>
      </c>
      <c r="T170" s="32" t="n">
        <v>-6.83</v>
      </c>
      <c r="U170" s="32" t="n">
        <v>1</v>
      </c>
      <c r="V170" s="32" t="n">
        <v>8.4</v>
      </c>
      <c r="W170" s="32" t="n">
        <v>8.630000000000001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0 to 20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Less than 1.5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IF(B171=0,"",RANK(B171,$B$2:$B$304,0))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SUBEXLTD</t>
        </is>
      </c>
      <c r="D171" s="31" t="inlineStr">
        <is>
          <t>Subex Ltd</t>
        </is>
      </c>
      <c r="E171" s="31" t="inlineStr">
        <is>
          <t>i.t</t>
        </is>
      </c>
      <c r="F171" s="31" t="inlineStr">
        <is>
          <t>computers - software - medium / small</t>
        </is>
      </c>
      <c r="G171" s="31" t="inlineStr">
        <is>
          <t>smallcap</t>
        </is>
      </c>
      <c r="H171" s="32" t="n">
        <v>1110.52</v>
      </c>
      <c r="I171" s="32" t="n">
        <v>20.8</v>
      </c>
      <c r="J171" s="32" t="n">
        <v>5.26</v>
      </c>
      <c r="K171" s="32" t="n">
        <v>34488169</v>
      </c>
      <c r="L171" s="31" t="n">
        <v>87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76.17</v>
      </c>
      <c r="P171" s="32" t="n">
        <v>36.58</v>
      </c>
      <c r="Q171" s="32" t="n">
        <v>15.18</v>
      </c>
      <c r="R171" s="31" t="inlineStr">
        <is>
          <t>Volume Spike &amp; Near 52W High Breakout</t>
        </is>
      </c>
      <c r="S171" s="31" t="inlineStr">
        <is>
          <t>Nifty IT</t>
        </is>
      </c>
      <c r="T171" s="32" t="n">
        <v>-19.91</v>
      </c>
      <c r="U171" s="32" t="n">
        <v>61.74</v>
      </c>
      <c r="V171" s="32" t="n">
        <v>101.95</v>
      </c>
      <c r="W171" s="32" t="n">
        <v>37.04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Annuity, Lower One Time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Above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Between 12 to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IF(B172=0,"",RANK(B172,$B$2:$B$304,0))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VALIANTLAB</t>
        </is>
      </c>
      <c r="D172" s="31" t="inlineStr">
        <is>
          <t>Valiant Laboratories Ltd</t>
        </is>
      </c>
      <c r="E172" s="31" t="inlineStr">
        <is>
          <t>healthcare</t>
        </is>
      </c>
      <c r="F172" s="31" t="inlineStr">
        <is>
          <t>pharmaceuticals - indian - bulk drugs &amp; formln</t>
        </is>
      </c>
      <c r="G172" s="31" t="inlineStr">
        <is>
          <t>smallcap</t>
        </is>
      </c>
      <c r="H172" s="32" t="n">
        <v>677.8200000000001</v>
      </c>
      <c r="I172" s="32" t="n">
        <v>127.91</v>
      </c>
      <c r="J172" s="32" t="n">
        <v>2.49</v>
      </c>
      <c r="K172" s="32" t="n">
        <v>234978</v>
      </c>
      <c r="L172" s="31" t="n">
        <v>81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82.11</v>
      </c>
      <c r="P172" s="32" t="n">
        <v>21.97</v>
      </c>
      <c r="Q172" s="32" t="n">
        <v>97.7</v>
      </c>
      <c r="R172" s="31" t="inlineStr">
        <is>
          <t>Volume Spike &amp; Near 52W High Breakout</t>
        </is>
      </c>
      <c r="S172" s="31" t="inlineStr">
        <is>
          <t>Nifty Pharma</t>
        </is>
      </c>
      <c r="T172" s="32" t="n">
        <v>18.76</v>
      </c>
      <c r="U172" s="32" t="n">
        <v>47.4</v>
      </c>
      <c r="V172" s="32" t="n">
        <v>24.11</v>
      </c>
      <c r="W172" s="32" t="n">
        <v>32.4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Yes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Annuity, Lower One Time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Above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IF(B173=0,"",RANK(B173,$B$2:$B$304,0))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ENTERO</t>
        </is>
      </c>
      <c r="D173" s="31" t="inlineStr">
        <is>
          <t>Entero Healthcare Solutions Ltd</t>
        </is>
      </c>
      <c r="E173" s="31" t="inlineStr">
        <is>
          <t>healthcare</t>
        </is>
      </c>
      <c r="F173" s="31" t="inlineStr">
        <is>
          <t>trading</t>
        </is>
      </c>
      <c r="G173" s="31" t="inlineStr">
        <is>
          <t>midcap</t>
        </is>
      </c>
      <c r="H173" s="32" t="n">
        <v>7803.25</v>
      </c>
      <c r="I173" s="32" t="n">
        <v>1815.4</v>
      </c>
      <c r="J173" s="32" t="n">
        <v>1.26</v>
      </c>
      <c r="K173" s="32" t="n">
        <v>98792</v>
      </c>
      <c r="L173" s="31" t="n">
        <v>70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77.27</v>
      </c>
      <c r="P173" s="32" t="n">
        <v>37.76</v>
      </c>
      <c r="Q173" s="32" t="n">
        <v>1437.86</v>
      </c>
      <c r="R173" s="31" t="inlineStr">
        <is>
          <t>Near 52W High Breakout</t>
        </is>
      </c>
      <c r="S173" s="31" t="inlineStr">
        <is>
          <t>Nifty Pharma</t>
        </is>
      </c>
      <c r="T173" s="32" t="n">
        <v>18.76</v>
      </c>
      <c r="U173" s="32" t="n">
        <v>57.29</v>
      </c>
      <c r="V173" s="32" t="n">
        <v>32.44</v>
      </c>
      <c r="W173" s="32" t="n">
        <v>23.92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Yes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Annuity, Lower One Time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Above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Blue sky scenario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Between 1.5 to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IF(B174=0,"",RANK(B174,$B$2:$B$304,0))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3" t="inlineStr">
        <is>
          <t>SYNCOMF</t>
        </is>
      </c>
      <c r="D174" s="33" t="inlineStr">
        <is>
          <t>Syncom Formulations (India) Ltd</t>
        </is>
      </c>
      <c r="E174" s="31" t="inlineStr">
        <is>
          <t>healthcare</t>
        </is>
      </c>
      <c r="F174" s="31" t="inlineStr">
        <is>
          <t>pharmaceuticals - indian - bulk drugs &amp; formln</t>
        </is>
      </c>
      <c r="G174" s="31" t="inlineStr">
        <is>
          <t>smallcap</t>
        </is>
      </c>
      <c r="H174" s="32" t="n">
        <v>1810.44</v>
      </c>
      <c r="I174" s="32" t="n">
        <v>19.46</v>
      </c>
      <c r="J174" s="32" t="n">
        <v>1.04</v>
      </c>
      <c r="K174" s="32" t="n">
        <v>9148018</v>
      </c>
      <c r="L174" s="31" t="n">
        <v>33</v>
      </c>
      <c r="M174" s="31" t="inlineStr">
        <is>
          <t>Underperforming</t>
        </is>
      </c>
      <c r="N174" s="32">
        <f>IF(M174="Underperforming",-5,IF(L174&gt;=95,15,IF(L174&gt;=90,10,IF(L174&gt;=80,5,0))))</f>
        <v/>
      </c>
      <c r="O174" s="32" t="n">
        <v>69.31</v>
      </c>
      <c r="P174" s="32" t="n">
        <v>26.45</v>
      </c>
      <c r="Q174" s="32" t="n">
        <v>15.22</v>
      </c>
      <c r="R174" s="31" t="inlineStr">
        <is>
          <t>Earnings / Momentum Support</t>
        </is>
      </c>
      <c r="S174" s="31" t="inlineStr">
        <is>
          <t>Nifty Pharma</t>
        </is>
      </c>
      <c r="T174" s="32" t="n">
        <v>18.76</v>
      </c>
      <c r="U174" s="32" t="n">
        <v>8.41</v>
      </c>
      <c r="V174" s="32" t="n">
        <v>-8.710000000000001</v>
      </c>
      <c r="W174" s="32" t="n">
        <v>11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Yes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Annuity, Lower One Time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IF(B175=0,"",RANK(B175,$B$2:$B$304,0))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CUPID</t>
        </is>
      </c>
      <c r="D175" s="31" t="inlineStr">
        <is>
          <t>Cupid Limited</t>
        </is>
      </c>
      <c r="E175" s="31" t="inlineStr">
        <is>
          <t>fmcg</t>
        </is>
      </c>
      <c r="F175" s="31" t="inlineStr">
        <is>
          <t>personal care - indian</t>
        </is>
      </c>
      <c r="G175" s="31" t="inlineStr">
        <is>
          <t>largecap</t>
        </is>
      </c>
      <c r="H175" s="32" t="n">
        <v>37307.61</v>
      </c>
      <c r="I175" s="32" t="n">
        <v>280</v>
      </c>
      <c r="J175" s="32" t="n">
        <v>0.92</v>
      </c>
      <c r="K175" s="32" t="n">
        <v>10688011</v>
      </c>
      <c r="L175" s="31" t="n">
        <v>99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84.8</v>
      </c>
      <c r="P175" s="32" t="n">
        <v>73.18000000000001</v>
      </c>
      <c r="Q175" s="32" t="n">
        <v>228.08</v>
      </c>
      <c r="R175" s="31" t="inlineStr">
        <is>
          <t>Near 52W High Breakout</t>
        </is>
      </c>
      <c r="S175" s="31" t="inlineStr">
        <is>
          <t>Nifty FMCG</t>
        </is>
      </c>
      <c r="T175" s="32" t="n">
        <v>-17.45</v>
      </c>
      <c r="U175" s="32" t="n">
        <v>846.52</v>
      </c>
      <c r="V175" s="32" t="n">
        <v>1046.65</v>
      </c>
      <c r="W175" s="32" t="n">
        <v>93.09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B2C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Annuity, Lower One Time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Above 40</t>
        </is>
      </c>
      <c r="AY175" s="31">
        <f>IF(AX175="Above 40",20,IF(AX175="20 to 40",10,IF(AX175="0 to 20",-5,0)))</f>
        <v/>
      </c>
      <c r="AZ175" s="31" t="inlineStr">
        <is>
          <t>Above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Negative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Blue sky scenario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IF(B176=0,"",RANK(B176,$B$2:$B$304,0))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3" t="inlineStr">
        <is>
          <t>ANTHEM</t>
        </is>
      </c>
      <c r="D176" s="33" t="inlineStr">
        <is>
          <t>Anthem Biosciences Ltd</t>
        </is>
      </c>
      <c r="E176" s="31" t="inlineStr">
        <is>
          <t>healthcare</t>
        </is>
      </c>
      <c r="F176" s="31" t="inlineStr">
        <is>
          <t>pharmaceuticals - indian - bulk drugs &amp; formln</t>
        </is>
      </c>
      <c r="G176" s="31" t="inlineStr">
        <is>
          <t>largecap</t>
        </is>
      </c>
      <c r="H176" s="32" t="n">
        <v>53087.75</v>
      </c>
      <c r="I176" s="32" t="n">
        <v>940.9</v>
      </c>
      <c r="J176" s="32" t="n">
        <v>-0.15</v>
      </c>
      <c r="K176" s="32" t="n">
        <v>844305</v>
      </c>
      <c r="L176" s="31" t="n">
        <v>22</v>
      </c>
      <c r="M176" s="31" t="inlineStr">
        <is>
          <t>Underperforming</t>
        </is>
      </c>
      <c r="N176" s="32">
        <f>IF(M176="Underperforming",-5,IF(L176&gt;=95,15,IF(L176&gt;=90,10,IF(L176&gt;=80,5,0))))</f>
        <v/>
      </c>
      <c r="O176" s="32" t="n">
        <v>73.11</v>
      </c>
      <c r="P176" s="32" t="n">
        <v>45.71</v>
      </c>
      <c r="Q176" s="32" t="n">
        <v>784.61</v>
      </c>
      <c r="R176" s="31" t="inlineStr">
        <is>
          <t>Near 52W High Breakout</t>
        </is>
      </c>
      <c r="S176" s="31" t="inlineStr">
        <is>
          <t>Nifty Pharma</t>
        </is>
      </c>
      <c r="T176" s="32" t="n">
        <v>18.76</v>
      </c>
      <c r="U176" s="32" t="n">
        <v>13.18</v>
      </c>
      <c r="V176" s="32" t="n">
        <v>-4.7</v>
      </c>
      <c r="W176" s="32" t="n">
        <v>7.57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Yes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Annuity, Lower One Time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Above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Blue sky scenario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Less than 12%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IF(B177=0,"",RANK(B177,$B$2:$B$304,0))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KOPRAN</t>
        </is>
      </c>
      <c r="D177" s="31" t="inlineStr">
        <is>
          <t>Kopran Limited</t>
        </is>
      </c>
      <c r="E177" s="31" t="inlineStr">
        <is>
          <t>healthcare</t>
        </is>
      </c>
      <c r="F177" s="31" t="inlineStr">
        <is>
          <t>pharmaceuticals - indian - bulk drugs &amp; formln</t>
        </is>
      </c>
      <c r="G177" s="31" t="inlineStr">
        <is>
          <t>smallcap</t>
        </is>
      </c>
      <c r="H177" s="32" t="n">
        <v>1138.67</v>
      </c>
      <c r="I177" s="32" t="n">
        <v>235.26</v>
      </c>
      <c r="J177" s="32" t="n">
        <v>-0.24</v>
      </c>
      <c r="K177" s="32" t="n">
        <v>399882</v>
      </c>
      <c r="L177" s="31" t="n">
        <v>50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71.11</v>
      </c>
      <c r="P177" s="32" t="n">
        <v>40.78</v>
      </c>
      <c r="Q177" s="32" t="n">
        <v>172.96</v>
      </c>
      <c r="R177" s="31" t="inlineStr">
        <is>
          <t>Volume Spike &amp; Near 52W High Breakout</t>
        </is>
      </c>
      <c r="S177" s="31" t="inlineStr">
        <is>
          <t>Nifty Pharma</t>
        </is>
      </c>
      <c r="T177" s="32" t="n">
        <v>18.76</v>
      </c>
      <c r="U177" s="32" t="n">
        <v>34.32</v>
      </c>
      <c r="V177" s="32" t="n">
        <v>13.1</v>
      </c>
      <c r="W177" s="32" t="n">
        <v>16.4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Yes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Annuity, Lower One Time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Less than 12%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IF(B178=0,"",RANK(B178,$B$2:$B$304,0))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3" t="inlineStr">
        <is>
          <t>BECTORFOOD</t>
        </is>
      </c>
      <c r="D178" s="33" t="inlineStr">
        <is>
          <t>Mrs Bectors Food Specialities Ltd</t>
        </is>
      </c>
      <c r="E178" s="31" t="inlineStr">
        <is>
          <t>fmcg</t>
        </is>
      </c>
      <c r="F178" s="31" t="inlineStr">
        <is>
          <t>food - processing - indian</t>
        </is>
      </c>
      <c r="G178" s="31" t="inlineStr">
        <is>
          <t>midcap</t>
        </is>
      </c>
      <c r="H178" s="32" t="n">
        <v>7534.78</v>
      </c>
      <c r="I178" s="32" t="n">
        <v>242.5</v>
      </c>
      <c r="J178" s="32" t="n">
        <v>-1.2</v>
      </c>
      <c r="K178" s="32" t="n">
        <v>903250</v>
      </c>
      <c r="L178" s="31" t="n">
        <v>5</v>
      </c>
      <c r="M178" s="31" t="inlineStr">
        <is>
          <t>Underperforming</t>
        </is>
      </c>
      <c r="N178" s="32">
        <f>IF(M178="Underperforming",-5,IF(L178&gt;=95,15,IF(L178&gt;=90,10,IF(L178&gt;=80,5,0))))</f>
        <v/>
      </c>
      <c r="O178" s="32" t="n">
        <v>61.13</v>
      </c>
      <c r="P178" s="32" t="n">
        <v>21.58</v>
      </c>
      <c r="Q178" s="32" t="n">
        <v>195.45</v>
      </c>
      <c r="R178" s="31" t="inlineStr">
        <is>
          <t>Earnings / Momentum Support</t>
        </is>
      </c>
      <c r="S178" s="31" t="inlineStr">
        <is>
          <t>Nifty FMCG</t>
        </is>
      </c>
      <c r="T178" s="32" t="n">
        <v>-17.45</v>
      </c>
      <c r="U178" s="32" t="n">
        <v>-19.69</v>
      </c>
      <c r="V178" s="32" t="n">
        <v>-2.7</v>
      </c>
      <c r="W178" s="32" t="n">
        <v>1.81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B2C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Annuity, Lower One Time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Between 1.5 to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IF(B179=0,"",RANK(B179,$B$2:$B$304,0))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3" t="inlineStr">
        <is>
          <t>KOVAI</t>
        </is>
      </c>
      <c r="D179" s="33" t="inlineStr">
        <is>
          <t>Kovai Medical Center &amp; Hospital Ltd</t>
        </is>
      </c>
      <c r="E179" s="31" t="inlineStr">
        <is>
          <t>healthcare</t>
        </is>
      </c>
      <c r="F179" s="31" t="inlineStr">
        <is>
          <t>healthcare</t>
        </is>
      </c>
      <c r="G179" s="31" t="inlineStr">
        <is>
          <t>midcap</t>
        </is>
      </c>
      <c r="H179" s="32" t="n">
        <v>6884.87</v>
      </c>
      <c r="I179" s="32" t="n">
        <v>6203.5</v>
      </c>
      <c r="J179" s="32" t="n">
        <v>-1.41</v>
      </c>
      <c r="K179" s="32" t="n">
        <v>4574</v>
      </c>
      <c r="L179" s="31" t="n">
        <v>5</v>
      </c>
      <c r="M179" s="31" t="inlineStr">
        <is>
          <t>Underperforming</t>
        </is>
      </c>
      <c r="N179" s="32">
        <f>IF(M179="Underperforming",-5,IF(L179&gt;=95,15,IF(L179&gt;=90,10,IF(L179&gt;=80,5,0))))</f>
        <v/>
      </c>
      <c r="O179" s="32" t="n">
        <v>66.92</v>
      </c>
      <c r="P179" s="32" t="n">
        <v>34.49</v>
      </c>
      <c r="Q179" s="32" t="n">
        <v>5262.58</v>
      </c>
      <c r="R179" s="31" t="inlineStr">
        <is>
          <t>Earnings / Momentum Support</t>
        </is>
      </c>
      <c r="S179" s="31" t="inlineStr">
        <is>
          <t>Nifty Pharma</t>
        </is>
      </c>
      <c r="T179" s="32" t="n">
        <v>18.76</v>
      </c>
      <c r="U179" s="32" t="n">
        <v>-1.57</v>
      </c>
      <c r="V179" s="32" t="n">
        <v>-17.12</v>
      </c>
      <c r="W179" s="32" t="n">
        <v>1.53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Yes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Annuity, Lower One Time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IF(B180=0,"",RANK(B180,$B$2:$B$304,0))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SBCL</t>
        </is>
      </c>
      <c r="D180" s="31" t="inlineStr">
        <is>
          <t>Shivalik Bimetal Controls Ltd</t>
        </is>
      </c>
      <c r="E180" s="31" t="inlineStr">
        <is>
          <t>metals &amp; mining</t>
        </is>
      </c>
      <c r="F180" s="31" t="inlineStr">
        <is>
          <t>mining / minerals / metals</t>
        </is>
      </c>
      <c r="G180" s="31" t="inlineStr">
        <is>
          <t>midcap</t>
        </is>
      </c>
      <c r="H180" s="32" t="n">
        <v>6405.59</v>
      </c>
      <c r="I180" s="32" t="n">
        <v>1087</v>
      </c>
      <c r="J180" s="32" t="n">
        <v>-2.25</v>
      </c>
      <c r="K180" s="32" t="n">
        <v>165852</v>
      </c>
      <c r="L180" s="31" t="n">
        <v>86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75.34</v>
      </c>
      <c r="P180" s="32" t="n">
        <v>52.4</v>
      </c>
      <c r="Q180" s="32" t="n">
        <v>848.4</v>
      </c>
      <c r="R180" s="31" t="inlineStr">
        <is>
          <t>Near 52W High Breakout</t>
        </is>
      </c>
      <c r="S180" s="31" t="inlineStr">
        <is>
          <t>Nifty Metal</t>
        </is>
      </c>
      <c r="T180" s="32" t="n">
        <v>37.92</v>
      </c>
      <c r="U180" s="32" t="n">
        <v>98.02</v>
      </c>
      <c r="V180" s="32" t="n">
        <v>43.57</v>
      </c>
      <c r="W180" s="32" t="n">
        <v>36.89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Monopoly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Shallow Cyclical (2 to 3 Years Growth)</t>
        </is>
      </c>
      <c r="AG180" s="31">
        <f>IF(AF180="Structural (10 Years Consistency)",10,IF(AF180="Shallow Cyclical (2 to 3 years growth)",5,0))</f>
        <v/>
      </c>
      <c r="AH180" s="31" t="inlineStr">
        <is>
          <t>Yes due to Product Mix change or Operating Leverage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Fully One Time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Yes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Between 1.5 to 2</t>
        </is>
      </c>
      <c r="BU180" s="31">
        <f>IF(BT180="Above 2",0,IF(BT180="Between 1.5 to 2",5,IF(BT180="Less than 1.5",10,0)))</f>
        <v/>
      </c>
      <c r="BV180" s="31" t="inlineStr">
        <is>
          <t>Less than 50%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IF(B181=0,"",RANK(B181,$B$2:$B$304,0))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STAR</t>
        </is>
      </c>
      <c r="D181" s="31" t="inlineStr">
        <is>
          <t>Strides Shasun Limited</t>
        </is>
      </c>
      <c r="E181" s="31" t="inlineStr">
        <is>
          <t>healthcare</t>
        </is>
      </c>
      <c r="F181" s="31" t="inlineStr">
        <is>
          <t>pharmaceuticals - indian - bulk drugs &amp; formln</t>
        </is>
      </c>
      <c r="G181" s="31" t="inlineStr">
        <is>
          <t>midcap</t>
        </is>
      </c>
      <c r="H181" s="32" t="n">
        <v>11217.42</v>
      </c>
      <c r="I181" s="32" t="n">
        <v>1183.4</v>
      </c>
      <c r="J181" s="32" t="n">
        <v>-2.76</v>
      </c>
      <c r="K181" s="32" t="n">
        <v>161625</v>
      </c>
      <c r="L181" s="31" t="n">
        <v>24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65.23999999999999</v>
      </c>
      <c r="P181" s="32" t="n">
        <v>10.5</v>
      </c>
      <c r="Q181" s="32" t="n">
        <v>910.34</v>
      </c>
      <c r="R181" s="31" t="inlineStr">
        <is>
          <t>Volume Spike &amp; Near 52W High Breakout</t>
        </is>
      </c>
      <c r="S181" s="31" t="inlineStr">
        <is>
          <t>Nifty Pharma</t>
        </is>
      </c>
      <c r="T181" s="32" t="n">
        <v>18.76</v>
      </c>
      <c r="U181" s="32" t="n">
        <v>30.69</v>
      </c>
      <c r="V181" s="32" t="n">
        <v>10.04</v>
      </c>
      <c r="W181" s="32" t="n">
        <v>8.25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Yes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Annuity, Lower One Time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0 to 20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Less than 1.5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IF(B182=0,"",RANK(B182,$B$2:$B$304,0))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3" t="inlineStr">
        <is>
          <t>THEMISMED</t>
        </is>
      </c>
      <c r="D182" s="33" t="inlineStr">
        <is>
          <t>Themis Medicare Limited</t>
        </is>
      </c>
      <c r="E182" s="31" t="inlineStr">
        <is>
          <t>healthcare</t>
        </is>
      </c>
      <c r="F182" s="31" t="inlineStr">
        <is>
          <t>pharmaceuticals - indian - bulk drugs &amp; formln</t>
        </is>
      </c>
      <c r="G182" s="31" t="inlineStr">
        <is>
          <t>smallcap</t>
        </is>
      </c>
      <c r="H182" s="32" t="n">
        <v>1216.37</v>
      </c>
      <c r="I182" s="32" t="n">
        <v>128.25</v>
      </c>
      <c r="J182" s="32" t="n">
        <v>-2.89</v>
      </c>
      <c r="K182" s="32" t="n">
        <v>110605</v>
      </c>
      <c r="L182" s="31" t="n">
        <v>24</v>
      </c>
      <c r="M182" s="31" t="inlineStr">
        <is>
          <t>Underperforming</t>
        </is>
      </c>
      <c r="N182" s="32">
        <f>IF(M182="Underperforming",-5,IF(L182&gt;=95,15,IF(L182&gt;=90,10,IF(L182&gt;=80,5,0))))</f>
        <v/>
      </c>
      <c r="O182" s="32" t="n">
        <v>64.17</v>
      </c>
      <c r="P182" s="32" t="n">
        <v>39.52</v>
      </c>
      <c r="Q182" s="32" t="n">
        <v>88.78</v>
      </c>
      <c r="R182" s="31" t="inlineStr">
        <is>
          <t>Near 52W High Breakout</t>
        </is>
      </c>
      <c r="S182" s="31" t="inlineStr">
        <is>
          <t>Nifty Pharma</t>
        </is>
      </c>
      <c r="T182" s="32" t="n">
        <v>18.76</v>
      </c>
      <c r="U182" s="32" t="n">
        <v>5.02</v>
      </c>
      <c r="V182" s="32" t="n">
        <v>-11.57</v>
      </c>
      <c r="W182" s="32" t="n">
        <v>8.01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Yes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Annuity, Lower One Time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IF(B183=0,"",RANK(B183,$B$2:$B$304,0))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SMLMAH</t>
        </is>
      </c>
      <c r="D183" s="31" t="inlineStr">
        <is>
          <t>SML Mahindra Ltd</t>
        </is>
      </c>
      <c r="E183" s="31" t="inlineStr">
        <is>
          <t>auto</t>
        </is>
      </c>
      <c r="F183" s="31" t="inlineStr">
        <is>
          <t>automobiles - lcvs / hcvs</t>
        </is>
      </c>
      <c r="G183" s="31" t="inlineStr">
        <is>
          <t>midcap</t>
        </is>
      </c>
      <c r="H183" s="32" t="n">
        <v>9085.299999999999</v>
      </c>
      <c r="I183" s="32" t="n">
        <v>6583</v>
      </c>
      <c r="J183" s="32" t="n">
        <v>4.86</v>
      </c>
      <c r="K183" s="32" t="n">
        <v>109374</v>
      </c>
      <c r="L183" s="31" t="n">
        <v>79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72.28</v>
      </c>
      <c r="P183" s="32" t="n">
        <v>23.54</v>
      </c>
      <c r="Q183" s="32" t="n">
        <v>4886.62</v>
      </c>
      <c r="R183" s="31" t="inlineStr">
        <is>
          <t>Near 52W High Breakout</t>
        </is>
      </c>
      <c r="S183" s="31" t="inlineStr">
        <is>
          <t>Nifty Auto</t>
        </is>
      </c>
      <c r="T183" s="32" t="n">
        <v>14.81</v>
      </c>
      <c r="U183" s="32" t="n">
        <v>74.29000000000001</v>
      </c>
      <c r="V183" s="32" t="n">
        <v>51.8</v>
      </c>
      <c r="W183" s="32" t="n">
        <v>29.98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Blue sky scenario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Less than 12%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IF(B184=0,"",RANK(B184,$B$2:$B$304,0))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DYNAMATECH</t>
        </is>
      </c>
      <c r="D184" s="31" t="inlineStr">
        <is>
          <t>Dynamatic Technologies Limited</t>
        </is>
      </c>
      <c r="E184" s="31" t="inlineStr">
        <is>
          <t>aerospace &amp; defence</t>
        </is>
      </c>
      <c r="F184" s="31" t="inlineStr">
        <is>
          <t>engineering</t>
        </is>
      </c>
      <c r="G184" s="31" t="inlineStr">
        <is>
          <t>midcap</t>
        </is>
      </c>
      <c r="H184" s="32" t="n">
        <v>7839.36</v>
      </c>
      <c r="I184" s="32" t="n">
        <v>12097</v>
      </c>
      <c r="J184" s="32" t="n">
        <v>4.8</v>
      </c>
      <c r="K184" s="32" t="n">
        <v>62178</v>
      </c>
      <c r="L184" s="31" t="n">
        <v>53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62.01</v>
      </c>
      <c r="P184" s="32" t="n">
        <v>23.05</v>
      </c>
      <c r="Q184" s="32" t="n">
        <v>9000.360000000001</v>
      </c>
      <c r="R184" s="31" t="inlineStr">
        <is>
          <t>Near 52W High Breakout</t>
        </is>
      </c>
      <c r="S184" s="31" t="inlineStr">
        <is>
          <t>Nifty 50</t>
        </is>
      </c>
      <c r="T184" s="32" t="n">
        <v>-6.83</v>
      </c>
      <c r="U184" s="32" t="n">
        <v>79.81999999999999</v>
      </c>
      <c r="V184" s="32" t="n">
        <v>93.01000000000001</v>
      </c>
      <c r="W184" s="32" t="n">
        <v>17.13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Blue sky scenario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Between 0.7 to 1.2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IF(B185=0,"",RANK(B185,$B$2:$B$304,0))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PAYTM</t>
        </is>
      </c>
      <c r="D185" s="31" t="inlineStr">
        <is>
          <t>One 97 Communications Ltd</t>
        </is>
      </c>
      <c r="E185" s="31" t="inlineStr">
        <is>
          <t>i.t</t>
        </is>
      </c>
      <c r="F185" s="31" t="inlineStr">
        <is>
          <t>miscellaneous</t>
        </is>
      </c>
      <c r="G185" s="31" t="inlineStr">
        <is>
          <t>largecap</t>
        </is>
      </c>
      <c r="H185" s="32" t="n">
        <v>111354.61</v>
      </c>
      <c r="I185" s="32" t="n">
        <v>1807.5</v>
      </c>
      <c r="J185" s="32" t="n">
        <v>3.94</v>
      </c>
      <c r="K185" s="32" t="n">
        <v>9269434</v>
      </c>
      <c r="L185" s="31" t="n">
        <v>73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79.72</v>
      </c>
      <c r="P185" s="32" t="n">
        <v>28.2</v>
      </c>
      <c r="Q185" s="32" t="n">
        <v>1458.58</v>
      </c>
      <c r="R185" s="31" t="inlineStr">
        <is>
          <t>Near 52W High Breakout</t>
        </is>
      </c>
      <c r="S185" s="31" t="inlineStr">
        <is>
          <t>Nifty IT</t>
        </is>
      </c>
      <c r="T185" s="32" t="n">
        <v>-19.91</v>
      </c>
      <c r="U185" s="32" t="n">
        <v>48.28</v>
      </c>
      <c r="V185" s="32" t="n">
        <v>85.14</v>
      </c>
      <c r="W185" s="32" t="n">
        <v>25.7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Above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Blue sky scenario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IF(B186=0,"",RANK(B186,$B$2:$B$304,0))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VOLTAMP</t>
        </is>
      </c>
      <c r="D186" s="31" t="inlineStr">
        <is>
          <t>Voltamp Transformers Limited</t>
        </is>
      </c>
      <c r="E186" s="31" t="inlineStr">
        <is>
          <t>industrials</t>
        </is>
      </c>
      <c r="F186" s="31" t="inlineStr">
        <is>
          <t>electric equipment</t>
        </is>
      </c>
      <c r="G186" s="31" t="inlineStr">
        <is>
          <t>midcap</t>
        </is>
      </c>
      <c r="H186" s="32" t="n">
        <v>11051.94</v>
      </c>
      <c r="I186" s="32" t="n">
        <v>11217</v>
      </c>
      <c r="J186" s="32" t="n">
        <v>2.68</v>
      </c>
      <c r="K186" s="32" t="n">
        <v>22505</v>
      </c>
      <c r="L186" s="31" t="n">
        <v>40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64.76000000000001</v>
      </c>
      <c r="P186" s="32" t="n">
        <v>32.08</v>
      </c>
      <c r="Q186" s="32" t="n">
        <v>8953.85</v>
      </c>
      <c r="R186" s="31" t="inlineStr">
        <is>
          <t>Near 52W High Breakout</t>
        </is>
      </c>
      <c r="S186" s="31" t="inlineStr">
        <is>
          <t>Nifty 50</t>
        </is>
      </c>
      <c r="T186" s="32" t="n">
        <v>-6.83</v>
      </c>
      <c r="U186" s="32" t="n">
        <v>55.54</v>
      </c>
      <c r="V186" s="32" t="n">
        <v>66.95</v>
      </c>
      <c r="W186" s="32" t="n">
        <v>12.74</v>
      </c>
      <c r="X186" s="31" t="inlineStr">
        <is>
          <t>Cyclical in an Upturn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Between 12 to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IF(B187=0,"",RANK(B187,$B$2:$B$304,0))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XPROINDIA</t>
        </is>
      </c>
      <c r="D187" s="31" t="inlineStr">
        <is>
          <t>Xpro India Limited</t>
        </is>
      </c>
      <c r="E187" s="31" t="inlineStr">
        <is>
          <t>industrials</t>
        </is>
      </c>
      <c r="F187" s="31" t="inlineStr">
        <is>
          <t>packaging</t>
        </is>
      </c>
      <c r="G187" s="31" t="inlineStr">
        <is>
          <t>smallcap</t>
        </is>
      </c>
      <c r="H187" s="32" t="n">
        <v>2970.18</v>
      </c>
      <c r="I187" s="32" t="n">
        <v>1294.7</v>
      </c>
      <c r="J187" s="32" t="n">
        <v>2.31</v>
      </c>
      <c r="K187" s="32" t="n">
        <v>50993</v>
      </c>
      <c r="L187" s="31" t="n">
        <v>14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54.62</v>
      </c>
      <c r="P187" s="32" t="n">
        <v>40.43</v>
      </c>
      <c r="Q187" s="32" t="n">
        <v>1058.33</v>
      </c>
      <c r="R187" s="31" t="inlineStr">
        <is>
          <t>Earnings / Momentum Support</t>
        </is>
      </c>
      <c r="S187" s="31" t="inlineStr">
        <is>
          <t>Nifty 50</t>
        </is>
      </c>
      <c r="T187" s="32" t="n">
        <v>-6.83</v>
      </c>
      <c r="U187" s="32" t="n">
        <v>4.87</v>
      </c>
      <c r="V187" s="32" t="n">
        <v>12.56</v>
      </c>
      <c r="W187" s="32" t="n">
        <v>5.12</v>
      </c>
      <c r="X187" s="31" t="inlineStr">
        <is>
          <t>Cyclical in an Upturn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Above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IF(B188=0,"",RANK(B188,$B$2:$B$304,0))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3" t="inlineStr">
        <is>
          <t>WENDT</t>
        </is>
      </c>
      <c r="D188" s="33" t="inlineStr">
        <is>
          <t>Wendt (india) Limited</t>
        </is>
      </c>
      <c r="E188" s="31" t="inlineStr">
        <is>
          <t>industrials</t>
        </is>
      </c>
      <c r="F188" s="31" t="inlineStr">
        <is>
          <t>abrasives and grinding wheels</t>
        </is>
      </c>
      <c r="G188" s="31" t="inlineStr">
        <is>
          <t>smallcap</t>
        </is>
      </c>
      <c r="H188" s="32" t="n">
        <v>1733.9</v>
      </c>
      <c r="I188" s="32" t="n">
        <v>8812.5</v>
      </c>
      <c r="J188" s="32" t="n">
        <v>1.65</v>
      </c>
      <c r="K188" s="32" t="n">
        <v>28678</v>
      </c>
      <c r="L188" s="31" t="n">
        <v>14</v>
      </c>
      <c r="M188" s="31" t="inlineStr">
        <is>
          <t>Underperforming</t>
        </is>
      </c>
      <c r="N188" s="32">
        <f>IF(M188="Underperforming",-5,IF(L188&gt;=95,15,IF(L188&gt;=90,10,IF(L188&gt;=80,5,0))))</f>
        <v/>
      </c>
      <c r="O188" s="32" t="n">
        <v>63.84</v>
      </c>
      <c r="P188" s="32" t="n">
        <v>38.37</v>
      </c>
      <c r="Q188" s="32" t="n">
        <v>7033.54</v>
      </c>
      <c r="R188" s="31" t="inlineStr">
        <is>
          <t>Volume Spike / Accumulation</t>
        </is>
      </c>
      <c r="S188" s="31" t="inlineStr">
        <is>
          <t>Nifty Infra</t>
        </is>
      </c>
      <c r="T188" s="32" t="n">
        <v>0.12</v>
      </c>
      <c r="U188" s="32" t="n">
        <v>-8.49</v>
      </c>
      <c r="V188" s="32" t="n">
        <v>-8.6</v>
      </c>
      <c r="W188" s="32" t="n">
        <v>4.7</v>
      </c>
      <c r="X188" s="31" t="inlineStr">
        <is>
          <t>Cyclical in an Upturn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Between 1.5 to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IF(B189=0,"",RANK(B189,$B$2:$B$304,0))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ANTELOPUS</t>
        </is>
      </c>
      <c r="D189" s="31" t="inlineStr">
        <is>
          <t>Antelopus Selan Energy Ltd</t>
        </is>
      </c>
      <c r="E189" s="31" t="inlineStr">
        <is>
          <t>energy</t>
        </is>
      </c>
      <c r="F189" s="31" t="inlineStr">
        <is>
          <t>oil drilling / allied services</t>
        </is>
      </c>
      <c r="G189" s="31" t="inlineStr">
        <is>
          <t>smallcap</t>
        </is>
      </c>
      <c r="H189" s="32" t="n">
        <v>3952.6</v>
      </c>
      <c r="I189" s="32" t="n">
        <v>1139.35</v>
      </c>
      <c r="J189" s="32" t="n">
        <v>1.36</v>
      </c>
      <c r="K189" s="32" t="n">
        <v>4164751</v>
      </c>
      <c r="L189" s="31" t="n">
        <v>84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74.28</v>
      </c>
      <c r="P189" s="32" t="n">
        <v>45.48</v>
      </c>
      <c r="Q189" s="32" t="n">
        <v>796.67</v>
      </c>
      <c r="R189" s="31" t="inlineStr">
        <is>
          <t>Volume Spike &amp; Near 52W High Breakout</t>
        </is>
      </c>
      <c r="S189" s="31" t="inlineStr">
        <is>
          <t>Nifty Energy</t>
        </is>
      </c>
      <c r="T189" s="32" t="n">
        <v>7.62</v>
      </c>
      <c r="U189" s="32" t="n">
        <v>82.75</v>
      </c>
      <c r="V189" s="32" t="n">
        <v>69.81999999999999</v>
      </c>
      <c r="W189" s="32" t="n">
        <v>34.23</v>
      </c>
      <c r="X189" s="31" t="inlineStr">
        <is>
          <t>Cyclical in an Upturn</t>
        </is>
      </c>
      <c r="Y189" s="31">
        <f>IF(X189="Growing Industry",10,IF(X189="Cyclical in an Upturn",5,0))</f>
        <v/>
      </c>
      <c r="Z189" s="31" t="inlineStr">
        <is>
          <t>Oligopoly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Yes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Cyclical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Volatile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Above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Blue sky scenario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IF(B190=0,"",RANK(B190,$B$2:$B$304,0))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DATAPATTNS</t>
        </is>
      </c>
      <c r="D190" s="31" t="inlineStr">
        <is>
          <t>Data Patterns (India) Ltd</t>
        </is>
      </c>
      <c r="E190" s="31" t="inlineStr">
        <is>
          <t>aerospace &amp; defence</t>
        </is>
      </c>
      <c r="F190" s="31" t="inlineStr">
        <is>
          <t>electronics - components</t>
        </is>
      </c>
      <c r="G190" s="31" t="inlineStr">
        <is>
          <t>largecap</t>
        </is>
      </c>
      <c r="H190" s="32" t="n">
        <v>26744.66</v>
      </c>
      <c r="I190" s="32" t="n">
        <v>4829.2</v>
      </c>
      <c r="J190" s="32" t="n">
        <v>1.09</v>
      </c>
      <c r="K190" s="32" t="n">
        <v>561224</v>
      </c>
      <c r="L190" s="31" t="n">
        <v>46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63.53</v>
      </c>
      <c r="P190" s="32" t="n">
        <v>34.38</v>
      </c>
      <c r="Q190" s="32" t="n">
        <v>3544.03</v>
      </c>
      <c r="R190" s="31" t="inlineStr">
        <is>
          <t>Near 52W High Breakout</t>
        </is>
      </c>
      <c r="S190" s="31" t="inlineStr">
        <is>
          <t>Nifty 50</t>
        </is>
      </c>
      <c r="T190" s="32" t="n">
        <v>-6.83</v>
      </c>
      <c r="U190" s="32" t="n">
        <v>78.52</v>
      </c>
      <c r="V190" s="32" t="n">
        <v>91.61</v>
      </c>
      <c r="W190" s="32" t="n">
        <v>14.79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Blue sky scenario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Less than 12%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IF(B191=0,"",RANK(B191,$B$2:$B$304,0))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MTARTECH</t>
        </is>
      </c>
      <c r="D191" s="31" t="inlineStr">
        <is>
          <t>MTAR Technologies Ltd</t>
        </is>
      </c>
      <c r="E191" s="31" t="inlineStr">
        <is>
          <t>aerospace &amp; defence</t>
        </is>
      </c>
      <c r="F191" s="31" t="inlineStr">
        <is>
          <t>engineering</t>
        </is>
      </c>
      <c r="G191" s="31" t="inlineStr">
        <is>
          <t>largecap</t>
        </is>
      </c>
      <c r="H191" s="32" t="n">
        <v>22469.88</v>
      </c>
      <c r="I191" s="32" t="n">
        <v>7312.5</v>
      </c>
      <c r="J191" s="32" t="n">
        <v>0.1</v>
      </c>
      <c r="K191" s="32" t="n">
        <v>53464</v>
      </c>
      <c r="L191" s="31" t="n">
        <v>89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62.12</v>
      </c>
      <c r="P191" s="32" t="n">
        <v>23.59</v>
      </c>
      <c r="Q191" s="32" t="n">
        <v>6076.29</v>
      </c>
      <c r="R191" s="31" t="inlineStr">
        <is>
          <t>Earnings / Momentum Support</t>
        </is>
      </c>
      <c r="S191" s="31" t="inlineStr">
        <is>
          <t>Nifty 50</t>
        </is>
      </c>
      <c r="T191" s="32" t="n">
        <v>-6.83</v>
      </c>
      <c r="U191" s="32" t="n">
        <v>335.66</v>
      </c>
      <c r="V191" s="32" t="n">
        <v>367.61</v>
      </c>
      <c r="W191" s="32" t="n">
        <v>39.96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IF(B192=0,"",RANK(B192,$B$2:$B$304,0))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FOSECOIND</t>
        </is>
      </c>
      <c r="D192" s="31" t="inlineStr">
        <is>
          <t>Foseco India Limited</t>
        </is>
      </c>
      <c r="E192" s="31" t="inlineStr">
        <is>
          <t>chemicals</t>
        </is>
      </c>
      <c r="F192" s="31" t="inlineStr">
        <is>
          <t>chemicals</t>
        </is>
      </c>
      <c r="G192" s="31" t="inlineStr">
        <is>
          <t>smallcap</t>
        </is>
      </c>
      <c r="H192" s="32" t="n">
        <v>4668.58</v>
      </c>
      <c r="I192" s="32" t="n">
        <v>6194.5</v>
      </c>
      <c r="J192" s="32" t="n">
        <v>0.01</v>
      </c>
      <c r="K192" s="32" t="n">
        <v>9080</v>
      </c>
      <c r="L192" s="31" t="n">
        <v>19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66.28</v>
      </c>
      <c r="P192" s="32" t="n">
        <v>26.6</v>
      </c>
      <c r="Q192" s="32" t="n">
        <v>5001.07</v>
      </c>
      <c r="R192" s="31" t="inlineStr">
        <is>
          <t>Near 52W High Breakout</t>
        </is>
      </c>
      <c r="S192" s="31" t="inlineStr">
        <is>
          <t>Nifty 50</t>
        </is>
      </c>
      <c r="T192" s="32" t="n">
        <v>-6.83</v>
      </c>
      <c r="U192" s="32" t="n">
        <v>1.86</v>
      </c>
      <c r="V192" s="32" t="n">
        <v>9.33</v>
      </c>
      <c r="W192" s="32" t="n">
        <v>6.39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Blue sky scenario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Less than 12%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IF(B193=0,"",RANK(B193,$B$2:$B$304,0))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3" t="inlineStr">
        <is>
          <t>KAMDHENU</t>
        </is>
      </c>
      <c r="D193" s="33" t="inlineStr">
        <is>
          <t>Kamdhenu Limited</t>
        </is>
      </c>
      <c r="E193" s="31" t="inlineStr">
        <is>
          <t>metals &amp; mining</t>
        </is>
      </c>
      <c r="F193" s="31" t="inlineStr">
        <is>
          <t>steel - medium / small</t>
        </is>
      </c>
      <c r="G193" s="31" t="inlineStr">
        <is>
          <t>smallcap</t>
        </is>
      </c>
      <c r="H193" s="32" t="n">
        <v>1105.55</v>
      </c>
      <c r="I193" s="32" t="n">
        <v>39.09</v>
      </c>
      <c r="J193" s="32" t="n">
        <v>-0.33</v>
      </c>
      <c r="K193" s="32" t="n">
        <v>860023</v>
      </c>
      <c r="L193" s="31" t="n">
        <v>74</v>
      </c>
      <c r="M193" s="31" t="inlineStr">
        <is>
          <t>Underperforming</t>
        </is>
      </c>
      <c r="N193" s="32">
        <f>IF(M193="Underperforming",-5,IF(L193&gt;=95,15,IF(L193&gt;=90,10,IF(L193&gt;=80,5,0))))</f>
        <v/>
      </c>
      <c r="O193" s="32" t="n">
        <v>73.65000000000001</v>
      </c>
      <c r="P193" s="32" t="n">
        <v>50.88</v>
      </c>
      <c r="Q193" s="32" t="n">
        <v>29.29</v>
      </c>
      <c r="R193" s="31" t="inlineStr">
        <is>
          <t>Near 52W High Breakout</t>
        </is>
      </c>
      <c r="S193" s="31" t="inlineStr">
        <is>
          <t>Nifty Metal</t>
        </is>
      </c>
      <c r="T193" s="32" t="n">
        <v>37.92</v>
      </c>
      <c r="U193" s="32" t="n">
        <v>32.08</v>
      </c>
      <c r="V193" s="32" t="n">
        <v>-4.23</v>
      </c>
      <c r="W193" s="32" t="n">
        <v>26.29</v>
      </c>
      <c r="X193" s="31" t="inlineStr">
        <is>
          <t>Cyclical in an Upturn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Cyclical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Volatile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Above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Less than 1.5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IF(B194=0,"",RANK(B194,$B$2:$B$304,0))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NEOGEN</t>
        </is>
      </c>
      <c r="D194" s="31" t="inlineStr">
        <is>
          <t>Neogen Chemicals Ltd</t>
        </is>
      </c>
      <c r="E194" s="31" t="inlineStr">
        <is>
          <t>chemicals</t>
        </is>
      </c>
      <c r="F194" s="31" t="inlineStr">
        <is>
          <t>chemicals</t>
        </is>
      </c>
      <c r="G194" s="31" t="inlineStr">
        <is>
          <t>midcap</t>
        </is>
      </c>
      <c r="H194" s="32" t="n">
        <v>6541.21</v>
      </c>
      <c r="I194" s="32" t="n">
        <v>2373</v>
      </c>
      <c r="J194" s="32" t="n">
        <v>-0.67</v>
      </c>
      <c r="K194" s="32" t="n">
        <v>409164</v>
      </c>
      <c r="L194" s="31" t="n">
        <v>47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70.12</v>
      </c>
      <c r="P194" s="32" t="n">
        <v>56.77</v>
      </c>
      <c r="Q194" s="32" t="n">
        <v>1780.42</v>
      </c>
      <c r="R194" s="31" t="inlineStr">
        <is>
          <t>Near 52W High Breakout</t>
        </is>
      </c>
      <c r="S194" s="31" t="inlineStr">
        <is>
          <t>Nifty 50</t>
        </is>
      </c>
      <c r="T194" s="32" t="n">
        <v>-6.83</v>
      </c>
      <c r="U194" s="32" t="n">
        <v>51.76</v>
      </c>
      <c r="V194" s="32" t="n">
        <v>62.89</v>
      </c>
      <c r="W194" s="32" t="n">
        <v>15.56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Above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Blue sky scenario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More than 1.2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IF(B195=0,"",RANK(B195,$B$2:$B$304,0))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ENGINERSIN</t>
        </is>
      </c>
      <c r="D195" s="31" t="inlineStr">
        <is>
          <t>Engineers India Limited</t>
        </is>
      </c>
      <c r="E195" s="31" t="inlineStr">
        <is>
          <t>realty</t>
        </is>
      </c>
      <c r="F195" s="31" t="inlineStr">
        <is>
          <t>engineering - turnkey services</t>
        </is>
      </c>
      <c r="G195" s="31" t="inlineStr">
        <is>
          <t>midcap</t>
        </is>
      </c>
      <c r="H195" s="32" t="n">
        <v>15290.36</v>
      </c>
      <c r="I195" s="32" t="n">
        <v>268.95</v>
      </c>
      <c r="J195" s="32" t="n">
        <v>-1.14</v>
      </c>
      <c r="K195" s="32" t="n">
        <v>1652427</v>
      </c>
      <c r="L195" s="31" t="n">
        <v>24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62.88</v>
      </c>
      <c r="P195" s="32" t="n">
        <v>15.8</v>
      </c>
      <c r="Q195" s="32" t="n">
        <v>221.91</v>
      </c>
      <c r="R195" s="31" t="inlineStr">
        <is>
          <t>Near 52W High Breakout</t>
        </is>
      </c>
      <c r="S195" s="31" t="inlineStr">
        <is>
          <t>Nifty Realty</t>
        </is>
      </c>
      <c r="T195" s="32" t="n">
        <v>-10.74</v>
      </c>
      <c r="U195" s="32" t="n">
        <v>19.91</v>
      </c>
      <c r="V195" s="32" t="n">
        <v>34.34</v>
      </c>
      <c r="W195" s="32" t="n">
        <v>7.98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0 to 20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Blue sky scenario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IF(B196=0,"",RANK(B196,$B$2:$B$304,0))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GANESHBE</t>
        </is>
      </c>
      <c r="D196" s="31" t="inlineStr">
        <is>
          <t>Ganesh Benzoplast Ltd</t>
        </is>
      </c>
      <c r="E196" s="31" t="inlineStr">
        <is>
          <t>miscellaneous</t>
        </is>
      </c>
      <c r="F196" s="31" t="inlineStr">
        <is>
          <t>miscellaneous</t>
        </is>
      </c>
      <c r="G196" s="31" t="inlineStr">
        <is>
          <t>smallcap</t>
        </is>
      </c>
      <c r="H196" s="32" t="n">
        <v>959.98</v>
      </c>
      <c r="I196" s="32" t="n">
        <v>131.63</v>
      </c>
      <c r="J196" s="32" t="n">
        <v>-1.29</v>
      </c>
      <c r="K196" s="32" t="n">
        <v>118200</v>
      </c>
      <c r="L196" s="31" t="n">
        <v>40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70.31999999999999</v>
      </c>
      <c r="P196" s="32" t="n">
        <v>32.56</v>
      </c>
      <c r="Q196" s="32" t="n">
        <v>97.17</v>
      </c>
      <c r="R196" s="31" t="inlineStr">
        <is>
          <t>Near 52W High Breakout</t>
        </is>
      </c>
      <c r="S196" s="31" t="inlineStr">
        <is>
          <t>Nifty 50</t>
        </is>
      </c>
      <c r="T196" s="32" t="n">
        <v>-6.83</v>
      </c>
      <c r="U196" s="32" t="n">
        <v>38.5</v>
      </c>
      <c r="V196" s="32" t="n">
        <v>48.66</v>
      </c>
      <c r="W196" s="32" t="n">
        <v>12.62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Less than 12%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IF(B197=0,"",RANK(B197,$B$2:$B$304,0))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VARROC</t>
        </is>
      </c>
      <c r="D197" s="31" t="inlineStr">
        <is>
          <t>Varroc Engineering Ltd</t>
        </is>
      </c>
      <c r="E197" s="31" t="inlineStr">
        <is>
          <t>auto</t>
        </is>
      </c>
      <c r="F197" s="31" t="inlineStr">
        <is>
          <t>auto ancillaries</t>
        </is>
      </c>
      <c r="G197" s="31" t="inlineStr">
        <is>
          <t>midcap</t>
        </is>
      </c>
      <c r="H197" s="32" t="n">
        <v>13512.43</v>
      </c>
      <c r="I197" s="32" t="n">
        <v>872</v>
      </c>
      <c r="J197" s="32" t="n">
        <v>-1.4</v>
      </c>
      <c r="K197" s="32" t="n">
        <v>482620</v>
      </c>
      <c r="L197" s="31" t="n">
        <v>77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78.31</v>
      </c>
      <c r="P197" s="32" t="n">
        <v>53.28</v>
      </c>
      <c r="Q197" s="32" t="n">
        <v>701.78</v>
      </c>
      <c r="R197" s="31" t="inlineStr">
        <is>
          <t>Near 52W High Breakout</t>
        </is>
      </c>
      <c r="S197" s="31" t="inlineStr">
        <is>
          <t>Nifty Auto</t>
        </is>
      </c>
      <c r="T197" s="32" t="n">
        <v>14.81</v>
      </c>
      <c r="U197" s="32" t="n">
        <v>62.58</v>
      </c>
      <c r="V197" s="32" t="n">
        <v>41.61</v>
      </c>
      <c r="W197" s="32" t="n">
        <v>27.57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Above 40</t>
        </is>
      </c>
      <c r="AY197" s="31">
        <f>IF(AX197="Above 40",20,IF(AX197="20 to 40",10,IF(AX197="0 to 20",-5,0)))</f>
        <v/>
      </c>
      <c r="AZ197" s="31" t="inlineStr">
        <is>
          <t>Above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Blue sky scenario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Less than 12%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IF(B198=0,"",RANK(B198,$B$2:$B$304,0))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CRAFTSMAN</t>
        </is>
      </c>
      <c r="D198" s="31" t="inlineStr">
        <is>
          <t>Craftsman Automation Ltd</t>
        </is>
      </c>
      <c r="E198" s="31" t="inlineStr">
        <is>
          <t>auto</t>
        </is>
      </c>
      <c r="F198" s="31" t="inlineStr">
        <is>
          <t>auto ancillaries</t>
        </is>
      </c>
      <c r="G198" s="31" t="inlineStr">
        <is>
          <t>largecap</t>
        </is>
      </c>
      <c r="H198" s="32" t="n">
        <v>30995.62</v>
      </c>
      <c r="I198" s="32" t="n">
        <v>11669</v>
      </c>
      <c r="J198" s="32" t="n">
        <v>-1.54</v>
      </c>
      <c r="K198" s="32" t="n">
        <v>53409</v>
      </c>
      <c r="L198" s="31" t="n">
        <v>73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75.89</v>
      </c>
      <c r="P198" s="32" t="n">
        <v>67.25</v>
      </c>
      <c r="Q198" s="32" t="n">
        <v>9625.33</v>
      </c>
      <c r="R198" s="31" t="inlineStr">
        <is>
          <t>Near 52W High Breakout</t>
        </is>
      </c>
      <c r="S198" s="31" t="inlineStr">
        <is>
          <t>Nifty Auto</t>
        </is>
      </c>
      <c r="T198" s="32" t="n">
        <v>14.81</v>
      </c>
      <c r="U198" s="32" t="n">
        <v>86.14</v>
      </c>
      <c r="V198" s="32" t="n">
        <v>62.13</v>
      </c>
      <c r="W198" s="32" t="n">
        <v>25.62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Above 40</t>
        </is>
      </c>
      <c r="AY198" s="31">
        <f>IF(AX198="Above 40",20,IF(AX198="20 to 40",10,IF(AX198="0 to 20",-5,0)))</f>
        <v/>
      </c>
      <c r="AZ198" s="31" t="inlineStr">
        <is>
          <t>Above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Blue sky scenario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Between 0.7 to 1.2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IF(B199=0,"",RANK(B199,$B$2:$B$304,0))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CHENNPETRO</t>
        </is>
      </c>
      <c r="D199" s="31" t="inlineStr">
        <is>
          <t>Chennai Petroleum Corporation Limited</t>
        </is>
      </c>
      <c r="E199" s="31" t="inlineStr">
        <is>
          <t>energy</t>
        </is>
      </c>
      <c r="F199" s="31" t="inlineStr">
        <is>
          <t>refineries</t>
        </is>
      </c>
      <c r="G199" s="31" t="inlineStr">
        <is>
          <t>largecap</t>
        </is>
      </c>
      <c r="H199" s="32" t="n">
        <v>24218.95</v>
      </c>
      <c r="I199" s="32" t="n">
        <v>1572.9</v>
      </c>
      <c r="J199" s="32" t="n">
        <v>-3.29</v>
      </c>
      <c r="K199" s="32" t="n">
        <v>2916939</v>
      </c>
      <c r="L199" s="31" t="n">
        <v>82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78.05</v>
      </c>
      <c r="P199" s="32" t="n">
        <v>58.41</v>
      </c>
      <c r="Q199" s="32" t="n">
        <v>1172.16</v>
      </c>
      <c r="R199" s="31" t="inlineStr">
        <is>
          <t>Near 52W High Breakout</t>
        </is>
      </c>
      <c r="S199" s="31" t="inlineStr">
        <is>
          <t>Nifty Energy</t>
        </is>
      </c>
      <c r="T199" s="32" t="n">
        <v>7.62</v>
      </c>
      <c r="U199" s="32" t="n">
        <v>142.39</v>
      </c>
      <c r="V199" s="32" t="n">
        <v>125.24</v>
      </c>
      <c r="W199" s="32" t="n">
        <v>32.65</v>
      </c>
      <c r="X199" s="31" t="inlineStr">
        <is>
          <t>Cyclical in an Upturn</t>
        </is>
      </c>
      <c r="Y199" s="31">
        <f>IF(X199="Growing Industry",10,IF(X199="Cyclical in an Upturn",5,0))</f>
        <v/>
      </c>
      <c r="Z199" s="31" t="inlineStr">
        <is>
          <t>Oligopoly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Yes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Cyclical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Volatile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Above 40</t>
        </is>
      </c>
      <c r="AY199" s="31">
        <f>IF(AX199="Above 40",20,IF(AX199="20 to 40",10,IF(AX199="0 to 20",-5,0)))</f>
        <v/>
      </c>
      <c r="AZ199" s="31" t="inlineStr">
        <is>
          <t>Above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Blue sky scenario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Less than 1.5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IF(B200=0,"",RANK(B200,$B$2:$B$304,0))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SMSPHARMA</t>
        </is>
      </c>
      <c r="D200" s="31" t="inlineStr">
        <is>
          <t>Sms Pharmaceuticals Limited</t>
        </is>
      </c>
      <c r="E200" s="31" t="inlineStr">
        <is>
          <t>healthcare</t>
        </is>
      </c>
      <c r="F200" s="31" t="inlineStr">
        <is>
          <t>pharmaceuticals - indian - bulk drugs</t>
        </is>
      </c>
      <c r="G200" s="31" t="inlineStr">
        <is>
          <t>smallcap</t>
        </is>
      </c>
      <c r="H200" s="32" t="n">
        <v>3909.5</v>
      </c>
      <c r="I200" s="32" t="n">
        <v>463.45</v>
      </c>
      <c r="J200" s="32" t="n">
        <v>11.02</v>
      </c>
      <c r="K200" s="32" t="n">
        <v>10401534</v>
      </c>
      <c r="L200" s="31" t="n">
        <v>44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68.5</v>
      </c>
      <c r="P200" s="32" t="n">
        <v>31.29</v>
      </c>
      <c r="Q200" s="32" t="n">
        <v>357.07</v>
      </c>
      <c r="R200" s="31" t="inlineStr">
        <is>
          <t>Volume Spike &amp; Near 52W High Breakout</t>
        </is>
      </c>
      <c r="S200" s="31" t="inlineStr">
        <is>
          <t>Nifty Pharma</t>
        </is>
      </c>
      <c r="T200" s="32" t="n">
        <v>18.76</v>
      </c>
      <c r="U200" s="32" t="n">
        <v>59.33</v>
      </c>
      <c r="V200" s="32" t="n">
        <v>34.16</v>
      </c>
      <c r="W200" s="32" t="n">
        <v>14.19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Yes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Annuity, Lower One Time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Blue sky scenario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IF(B201=0,"",RANK(B201,$B$2:$B$304,0))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3" t="inlineStr">
        <is>
          <t>ANUHPHR</t>
        </is>
      </c>
      <c r="D201" s="33" t="inlineStr">
        <is>
          <t>Anuh Pharma Ltd</t>
        </is>
      </c>
      <c r="E201" s="31" t="inlineStr">
        <is>
          <t>healthcare</t>
        </is>
      </c>
      <c r="F201" s="31" t="inlineStr">
        <is>
          <t>pharmaceuticals - indian - bulk drugs</t>
        </is>
      </c>
      <c r="G201" s="31" t="inlineStr">
        <is>
          <t>smallcap</t>
        </is>
      </c>
      <c r="H201" s="32" t="n">
        <v>914.14</v>
      </c>
      <c r="I201" s="32" t="n">
        <v>94.86</v>
      </c>
      <c r="J201" s="32" t="n">
        <v>4</v>
      </c>
      <c r="K201" s="32" t="n">
        <v>222204</v>
      </c>
      <c r="L201" s="31" t="n">
        <v>20</v>
      </c>
      <c r="M201" s="31" t="inlineStr">
        <is>
          <t>Underperforming</t>
        </is>
      </c>
      <c r="N201" s="32">
        <f>IF(M201="Underperforming",-5,IF(L201&gt;=95,15,IF(L201&gt;=90,10,IF(L201&gt;=80,5,0))))</f>
        <v/>
      </c>
      <c r="O201" s="32" t="n">
        <v>69.23999999999999</v>
      </c>
      <c r="P201" s="32" t="n">
        <v>13.01</v>
      </c>
      <c r="Q201" s="32" t="n">
        <v>75.79000000000001</v>
      </c>
      <c r="R201" s="31" t="inlineStr">
        <is>
          <t>Volume Spike &amp; Near 52W High Breakout</t>
        </is>
      </c>
      <c r="S201" s="31" t="inlineStr">
        <is>
          <t>Nifty Pharma</t>
        </is>
      </c>
      <c r="T201" s="32" t="n">
        <v>18.76</v>
      </c>
      <c r="U201" s="32" t="n">
        <v>9.66</v>
      </c>
      <c r="V201" s="32" t="n">
        <v>-7.66</v>
      </c>
      <c r="W201" s="32" t="n">
        <v>6.66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Yes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Annuity, Lower One Time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0 to 20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Less than 1.5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IF(B202=0,"",RANK(B202,$B$2:$B$304,0))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SOFTTECH</t>
        </is>
      </c>
      <c r="D202" s="31" t="inlineStr">
        <is>
          <t>Softtech Engineers Ltd</t>
        </is>
      </c>
      <c r="E202" s="31" t="inlineStr">
        <is>
          <t>i.t</t>
        </is>
      </c>
      <c r="F202" s="31" t="inlineStr">
        <is>
          <t>computers - software - medium / small</t>
        </is>
      </c>
      <c r="G202" s="31" t="inlineStr">
        <is>
          <t>smallcap</t>
        </is>
      </c>
      <c r="H202" s="32" t="n">
        <v>602.13</v>
      </c>
      <c r="I202" s="32" t="n">
        <v>452.35</v>
      </c>
      <c r="J202" s="32" t="n">
        <v>3.99</v>
      </c>
      <c r="K202" s="32" t="n">
        <v>7424</v>
      </c>
      <c r="L202" s="31" t="n">
        <v>26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64.2</v>
      </c>
      <c r="P202" s="32" t="n">
        <v>27.2</v>
      </c>
      <c r="Q202" s="32" t="n">
        <v>358.84</v>
      </c>
      <c r="R202" s="31" t="inlineStr">
        <is>
          <t>Near 52W High Breakout</t>
        </is>
      </c>
      <c r="S202" s="31" t="inlineStr">
        <is>
          <t>Nifty IT</t>
        </is>
      </c>
      <c r="T202" s="32" t="n">
        <v>-19.91</v>
      </c>
      <c r="U202" s="32" t="n">
        <v>16.42</v>
      </c>
      <c r="V202" s="32" t="n">
        <v>45.36</v>
      </c>
      <c r="W202" s="32" t="n">
        <v>8.640000000000001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Annuity, Lower One Time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Less than 12%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IF(B203=0,"",RANK(B203,$B$2:$B$304,0))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PVRINOX</t>
        </is>
      </c>
      <c r="D203" s="31" t="inlineStr">
        <is>
          <t>PVR Inox Ltd</t>
        </is>
      </c>
      <c r="E203" s="31" t="inlineStr">
        <is>
          <t>media</t>
        </is>
      </c>
      <c r="F203" s="31" t="inlineStr">
        <is>
          <t>entertainment / electronic media software</t>
        </is>
      </c>
      <c r="G203" s="31" t="inlineStr">
        <is>
          <t>midcap</t>
        </is>
      </c>
      <c r="H203" s="32" t="n">
        <v>11993.16</v>
      </c>
      <c r="I203" s="32" t="n">
        <v>1237.1</v>
      </c>
      <c r="J203" s="32" t="n">
        <v>1.29</v>
      </c>
      <c r="K203" s="32" t="n">
        <v>879763</v>
      </c>
      <c r="L203" s="31" t="n">
        <v>28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73.2</v>
      </c>
      <c r="P203" s="32" t="n">
        <v>26.3</v>
      </c>
      <c r="Q203" s="32" t="n">
        <v>1024.7</v>
      </c>
      <c r="R203" s="31" t="inlineStr">
        <is>
          <t>Volume Spike &amp; Near 52W High Breakout</t>
        </is>
      </c>
      <c r="S203" s="31" t="inlineStr">
        <is>
          <t>Nifty IT</t>
        </is>
      </c>
      <c r="T203" s="32" t="n">
        <v>-19.91</v>
      </c>
      <c r="U203" s="32" t="n">
        <v>10.38</v>
      </c>
      <c r="V203" s="32" t="n">
        <v>37.81</v>
      </c>
      <c r="W203" s="32" t="n">
        <v>9.109999999999999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Annuity, Lower One Time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Between 0.7 to 1.2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IF(B204=0,"",RANK(B204,$B$2:$B$304,0))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3" t="inlineStr">
        <is>
          <t>SIGACHI</t>
        </is>
      </c>
      <c r="D204" s="33" t="inlineStr">
        <is>
          <t>Sigachi Industries Ltd</t>
        </is>
      </c>
      <c r="E204" s="31" t="inlineStr">
        <is>
          <t>healthcare</t>
        </is>
      </c>
      <c r="F204" s="31" t="inlineStr">
        <is>
          <t>pharmaceuticals - indian - bulk drugs &amp; formln</t>
        </is>
      </c>
      <c r="G204" s="31" t="inlineStr">
        <is>
          <t>smallcap</t>
        </is>
      </c>
      <c r="H204" s="32" t="n">
        <v>1435.23</v>
      </c>
      <c r="I204" s="32" t="n">
        <v>37.93</v>
      </c>
      <c r="J204" s="32" t="n">
        <v>0.99</v>
      </c>
      <c r="K204" s="32" t="n">
        <v>4502407</v>
      </c>
      <c r="L204" s="31" t="n">
        <v>69</v>
      </c>
      <c r="M204" s="31" t="inlineStr">
        <is>
          <t>Underperforming</t>
        </is>
      </c>
      <c r="N204" s="32">
        <f>IF(M204="Underperforming",-5,IF(L204&gt;=95,15,IF(L204&gt;=90,10,IF(L204&gt;=80,5,0))))</f>
        <v/>
      </c>
      <c r="O204" s="32" t="n">
        <v>74.68000000000001</v>
      </c>
      <c r="P204" s="32" t="n">
        <v>21.46</v>
      </c>
      <c r="Q204" s="32" t="n">
        <v>28.59</v>
      </c>
      <c r="R204" s="31" t="inlineStr">
        <is>
          <t>Volume Spike / Accumulation</t>
        </is>
      </c>
      <c r="S204" s="31" t="inlineStr">
        <is>
          <t>Nifty Pharma</t>
        </is>
      </c>
      <c r="T204" s="32" t="n">
        <v>18.76</v>
      </c>
      <c r="U204" s="32" t="n">
        <v>-11.32</v>
      </c>
      <c r="V204" s="32" t="n">
        <v>-25.33</v>
      </c>
      <c r="W204" s="32" t="n">
        <v>22.61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Yes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Annuity, Lower One Time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IF(B205=0,"",RANK(B205,$B$2:$B$304,0))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GLAND</t>
        </is>
      </c>
      <c r="D205" s="31" t="inlineStr">
        <is>
          <t>Gland Pharma Ltd</t>
        </is>
      </c>
      <c r="E205" s="31" t="inlineStr">
        <is>
          <t>healthcare</t>
        </is>
      </c>
      <c r="F205" s="31" t="inlineStr">
        <is>
          <t>pharmaceuticals - indian - formulations</t>
        </is>
      </c>
      <c r="G205" s="31" t="inlineStr">
        <is>
          <t>largecap</t>
        </is>
      </c>
      <c r="H205" s="32" t="n">
        <v>48611.97</v>
      </c>
      <c r="I205" s="32" t="n">
        <v>2922.3</v>
      </c>
      <c r="J205" s="32" t="n">
        <v>-0.83</v>
      </c>
      <c r="K205" s="32" t="n">
        <v>389004</v>
      </c>
      <c r="L205" s="31" t="n">
        <v>49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73.3</v>
      </c>
      <c r="P205" s="32" t="n">
        <v>62.92</v>
      </c>
      <c r="Q205" s="32" t="n">
        <v>2438.78</v>
      </c>
      <c r="R205" s="31" t="inlineStr">
        <is>
          <t>Near 52W High Breakout</t>
        </is>
      </c>
      <c r="S205" s="31" t="inlineStr">
        <is>
          <t>Nifty Pharma</t>
        </is>
      </c>
      <c r="T205" s="32" t="n">
        <v>18.76</v>
      </c>
      <c r="U205" s="32" t="n">
        <v>45.67</v>
      </c>
      <c r="V205" s="32" t="n">
        <v>22.66</v>
      </c>
      <c r="W205" s="32" t="n">
        <v>15.87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Yes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Annuity, Lower One Time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Above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Negative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Blue sky scenario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Less than 1.5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IF(B206=0,"",RANK(B206,$B$2:$B$304,0))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SUPRIYA</t>
        </is>
      </c>
      <c r="D206" s="31" t="inlineStr">
        <is>
          <t>Supriya Lifescience Ltd</t>
        </is>
      </c>
      <c r="E206" s="31" t="inlineStr">
        <is>
          <t>healthcare</t>
        </is>
      </c>
      <c r="F206" s="31" t="inlineStr">
        <is>
          <t>pharmaceuticals - indian - bulk drugs &amp; formln</t>
        </is>
      </c>
      <c r="G206" s="31" t="inlineStr">
        <is>
          <t>midcap</t>
        </is>
      </c>
      <c r="H206" s="32" t="n">
        <v>7383.89</v>
      </c>
      <c r="I206" s="32" t="n">
        <v>901.75</v>
      </c>
      <c r="J206" s="32" t="n">
        <v>-1.71</v>
      </c>
      <c r="K206" s="32" t="n">
        <v>208583</v>
      </c>
      <c r="L206" s="31" t="n">
        <v>29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58.25</v>
      </c>
      <c r="P206" s="32" t="n">
        <v>41.5</v>
      </c>
      <c r="Q206" s="32" t="n">
        <v>726.54</v>
      </c>
      <c r="R206" s="31" t="inlineStr">
        <is>
          <t>Earnings / Momentum Support</t>
        </is>
      </c>
      <c r="S206" s="31" t="inlineStr">
        <is>
          <t>Nifty Pharma</t>
        </is>
      </c>
      <c r="T206" s="32" t="n">
        <v>18.76</v>
      </c>
      <c r="U206" s="32" t="n">
        <v>39.41</v>
      </c>
      <c r="V206" s="32" t="n">
        <v>17.39</v>
      </c>
      <c r="W206" s="32" t="n">
        <v>9.32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Yes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Annuity, Lower One Time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Above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Less than 12%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IF(B207=0,"",RANK(B207,$B$2:$B$304,0))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PTCIL</t>
        </is>
      </c>
      <c r="D207" s="31" t="inlineStr">
        <is>
          <t>PTC Industries Ltd</t>
        </is>
      </c>
      <c r="E207" s="31" t="inlineStr">
        <is>
          <t>industrials</t>
        </is>
      </c>
      <c r="F207" s="31" t="inlineStr">
        <is>
          <t>castings &amp; forgings</t>
        </is>
      </c>
      <c r="G207" s="31" t="inlineStr">
        <is>
          <t>largecap</t>
        </is>
      </c>
      <c r="H207" s="32" t="n">
        <v>33560.82</v>
      </c>
      <c r="I207" s="32" t="n">
        <v>23630</v>
      </c>
      <c r="J207" s="32" t="n">
        <v>5.56</v>
      </c>
      <c r="K207" s="32" t="n">
        <v>65881</v>
      </c>
      <c r="L207" s="31" t="n">
        <v>52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76.69</v>
      </c>
      <c r="P207" s="32" t="n">
        <v>32.75</v>
      </c>
      <c r="Q207" s="32" t="n">
        <v>19475.25</v>
      </c>
      <c r="R207" s="31" t="inlineStr">
        <is>
          <t>Near 52W High Breakout</t>
        </is>
      </c>
      <c r="S207" s="31" t="inlineStr">
        <is>
          <t>Nifty 50</t>
        </is>
      </c>
      <c r="T207" s="32" t="n">
        <v>-6.83</v>
      </c>
      <c r="U207" s="32" t="n">
        <v>66.81</v>
      </c>
      <c r="V207" s="32" t="n">
        <v>79.04000000000001</v>
      </c>
      <c r="W207" s="32" t="n">
        <v>17.09</v>
      </c>
      <c r="X207" s="31" t="inlineStr">
        <is>
          <t>Cyclical in an Upturn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Above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Blue sky scenario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IF(B208=0,"",RANK(B208,$B$2:$B$304,0))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3" t="inlineStr">
        <is>
          <t>TIIL</t>
        </is>
      </c>
      <c r="D208" s="33" t="inlineStr">
        <is>
          <t>Technocraft Industries (india) Limited</t>
        </is>
      </c>
      <c r="E208" s="31" t="inlineStr">
        <is>
          <t>metals &amp; mining</t>
        </is>
      </c>
      <c r="F208" s="31" t="inlineStr">
        <is>
          <t>steel - medium / small</t>
        </is>
      </c>
      <c r="G208" s="31" t="inlineStr">
        <is>
          <t>midcap</t>
        </is>
      </c>
      <c r="H208" s="32" t="n">
        <v>7158.03</v>
      </c>
      <c r="I208" s="32" t="n">
        <v>3250.2</v>
      </c>
      <c r="J208" s="32" t="n">
        <v>2.95</v>
      </c>
      <c r="K208" s="32" t="n">
        <v>40351</v>
      </c>
      <c r="L208" s="31" t="n">
        <v>26</v>
      </c>
      <c r="M208" s="31" t="inlineStr">
        <is>
          <t>Underperforming</t>
        </is>
      </c>
      <c r="N208" s="32">
        <f>IF(M208="Underperforming",-5,IF(L208&gt;=95,15,IF(L208&gt;=90,10,IF(L208&gt;=80,5,0))))</f>
        <v/>
      </c>
      <c r="O208" s="32" t="n">
        <v>71.13</v>
      </c>
      <c r="P208" s="32" t="n">
        <v>37.25</v>
      </c>
      <c r="Q208" s="32" t="n">
        <v>2629.05</v>
      </c>
      <c r="R208" s="31" t="inlineStr">
        <is>
          <t>Near 52W High Breakout</t>
        </is>
      </c>
      <c r="S208" s="31" t="inlineStr">
        <is>
          <t>Nifty Metal</t>
        </is>
      </c>
      <c r="T208" s="32" t="n">
        <v>37.92</v>
      </c>
      <c r="U208" s="32" t="n">
        <v>-1.32</v>
      </c>
      <c r="V208" s="32" t="n">
        <v>-28.45</v>
      </c>
      <c r="W208" s="32" t="n">
        <v>8.609999999999999</v>
      </c>
      <c r="X208" s="31" t="inlineStr">
        <is>
          <t>Cyclical in an Upturn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Cyclical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Volatile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Blue sky scenario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Less than 1.5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IF(B209=0,"",RANK(B209,$B$2:$B$304,0))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GLOBAL</t>
        </is>
      </c>
      <c r="D209" s="31" t="inlineStr">
        <is>
          <t>Global Education Ltd</t>
        </is>
      </c>
      <c r="E209" s="31" t="inlineStr">
        <is>
          <t>services</t>
        </is>
      </c>
      <c r="F209" s="31" t="inlineStr">
        <is>
          <t>miscellaneous</t>
        </is>
      </c>
      <c r="G209" s="31" t="inlineStr">
        <is>
          <t>smallcap</t>
        </is>
      </c>
      <c r="H209" s="32" t="n">
        <v>628.9400000000001</v>
      </c>
      <c r="I209" s="32" t="n">
        <v>126.91</v>
      </c>
      <c r="J209" s="32" t="n">
        <v>2.71</v>
      </c>
      <c r="K209" s="32" t="n">
        <v>180836</v>
      </c>
      <c r="L209" s="31" t="n">
        <v>64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71.25</v>
      </c>
      <c r="P209" s="32" t="n">
        <v>37.31</v>
      </c>
      <c r="Q209" s="32" t="n">
        <v>95.48999999999999</v>
      </c>
      <c r="R209" s="31" t="inlineStr">
        <is>
          <t>Volume Spike &amp; Near 52W High Breakout</t>
        </is>
      </c>
      <c r="S209" s="31" t="inlineStr">
        <is>
          <t>Nifty 50</t>
        </is>
      </c>
      <c r="T209" s="32" t="n">
        <v>-6.83</v>
      </c>
      <c r="U209" s="32" t="n">
        <v>100.86</v>
      </c>
      <c r="V209" s="32" t="n">
        <v>115.59</v>
      </c>
      <c r="W209" s="32" t="n">
        <v>20.62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Blue sky scenario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Less than 12%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Less than 50%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IF(B210=0,"",RANK(B210,$B$2:$B$304,0))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EIMCOELECO</t>
        </is>
      </c>
      <c r="D210" s="31" t="inlineStr">
        <is>
          <t>Eimco Elecon (india) Limited</t>
        </is>
      </c>
      <c r="E210" s="31" t="inlineStr">
        <is>
          <t>industrials</t>
        </is>
      </c>
      <c r="F210" s="31" t="inlineStr">
        <is>
          <t>engineering</t>
        </is>
      </c>
      <c r="G210" s="31" t="inlineStr">
        <is>
          <t>smallcap</t>
        </is>
      </c>
      <c r="H210" s="32" t="n">
        <v>1321.77</v>
      </c>
      <c r="I210" s="32" t="n">
        <v>2325.5</v>
      </c>
      <c r="J210" s="32" t="n">
        <v>1.49</v>
      </c>
      <c r="K210" s="32" t="n">
        <v>27993</v>
      </c>
      <c r="L210" s="31" t="n">
        <v>45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75.29000000000001</v>
      </c>
      <c r="P210" s="32" t="n">
        <v>48.25</v>
      </c>
      <c r="Q210" s="32" t="n">
        <v>1815.78</v>
      </c>
      <c r="R210" s="31" t="inlineStr">
        <is>
          <t>Near 52W High Breakout</t>
        </is>
      </c>
      <c r="S210" s="31" t="inlineStr">
        <is>
          <t>Nifty 50</t>
        </is>
      </c>
      <c r="T210" s="32" t="n">
        <v>-6.83</v>
      </c>
      <c r="U210" s="32" t="n">
        <v>6.23</v>
      </c>
      <c r="V210" s="32" t="n">
        <v>14.02</v>
      </c>
      <c r="W210" s="32" t="n">
        <v>14.52</v>
      </c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Above 40</t>
        </is>
      </c>
      <c r="AY210" s="31">
        <f>IF(AX210="Above 40",20,IF(AX210="20 to 40",10,IF(AX210="0 to 20",-5,0)))</f>
        <v/>
      </c>
      <c r="AZ210" s="31" t="inlineStr">
        <is>
          <t>Above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Less than 12%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IF(B211=0,"",RANK(B211,$B$2:$B$304,0))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OAL</t>
        </is>
      </c>
      <c r="D211" s="31" t="inlineStr">
        <is>
          <t>Oriental Aromatics Ltd</t>
        </is>
      </c>
      <c r="E211" s="31" t="inlineStr">
        <is>
          <t>chemicals</t>
        </is>
      </c>
      <c r="F211" s="31" t="inlineStr">
        <is>
          <t>chemicals</t>
        </is>
      </c>
      <c r="G211" s="31" t="inlineStr">
        <is>
          <t>smallcap</t>
        </is>
      </c>
      <c r="H211" s="32" t="n">
        <v>1765.8</v>
      </c>
      <c r="I211" s="32" t="n">
        <v>532.1</v>
      </c>
      <c r="J211" s="32" t="n">
        <v>1.41</v>
      </c>
      <c r="K211" s="32" t="n">
        <v>43221</v>
      </c>
      <c r="L211" s="31" t="n">
        <v>73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77.26000000000001</v>
      </c>
      <c r="P211" s="32" t="n">
        <v>33.66</v>
      </c>
      <c r="Q211" s="32" t="n">
        <v>392.12</v>
      </c>
      <c r="R211" s="31" t="inlineStr">
        <is>
          <t>Near 52W High Breakout</t>
        </is>
      </c>
      <c r="S211" s="31" t="inlineStr">
        <is>
          <t>Nifty 50</t>
        </is>
      </c>
      <c r="T211" s="32" t="n">
        <v>-6.83</v>
      </c>
      <c r="U211" s="32" t="n">
        <v>58.01</v>
      </c>
      <c r="V211" s="32" t="n">
        <v>69.59</v>
      </c>
      <c r="W211" s="32" t="n">
        <v>25.84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Above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IF(B212=0,"",RANK(B212,$B$2:$B$304,0))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TEXINFRA</t>
        </is>
      </c>
      <c r="D212" s="31" t="inlineStr">
        <is>
          <t>Texmaco Infrastructure &amp; Holdings Limited</t>
        </is>
      </c>
      <c r="E212" s="31" t="inlineStr">
        <is>
          <t>realty</t>
        </is>
      </c>
      <c r="F212" s="31" t="inlineStr">
        <is>
          <t>construction</t>
        </is>
      </c>
      <c r="G212" s="31" t="inlineStr">
        <is>
          <t>smallcap</t>
        </is>
      </c>
      <c r="H212" s="32" t="n">
        <v>1455.34</v>
      </c>
      <c r="I212" s="32" t="n">
        <v>115.52</v>
      </c>
      <c r="J212" s="32" t="n">
        <v>1.15</v>
      </c>
      <c r="K212" s="32" t="n">
        <v>140099</v>
      </c>
      <c r="L212" s="31" t="n">
        <v>22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64.29000000000001</v>
      </c>
      <c r="P212" s="32" t="n">
        <v>39.46</v>
      </c>
      <c r="Q212" s="32" t="n">
        <v>94.84</v>
      </c>
      <c r="R212" s="31" t="inlineStr">
        <is>
          <t>Volume Spike &amp; Near 52W High Breakout</t>
        </is>
      </c>
      <c r="S212" s="31" t="inlineStr">
        <is>
          <t>Nifty Realty</t>
        </is>
      </c>
      <c r="T212" s="32" t="n">
        <v>-10.74</v>
      </c>
      <c r="U212" s="32" t="n">
        <v>17.64</v>
      </c>
      <c r="V212" s="32" t="n">
        <v>31.8</v>
      </c>
      <c r="W212" s="32" t="n">
        <v>7.71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Less than 12%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IF(B213=0,"",RANK(B213,$B$2:$B$304,0))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3" t="inlineStr">
        <is>
          <t>ANDHRAPAP</t>
        </is>
      </c>
      <c r="D213" s="33" t="inlineStr">
        <is>
          <t>Andhra Paper Ltd</t>
        </is>
      </c>
      <c r="E213" s="31" t="inlineStr">
        <is>
          <t>building materials</t>
        </is>
      </c>
      <c r="F213" s="31" t="inlineStr">
        <is>
          <t>paper</t>
        </is>
      </c>
      <c r="G213" s="31" t="inlineStr">
        <is>
          <t>smallcap</t>
        </is>
      </c>
      <c r="H213" s="32" t="n">
        <v>1443.25</v>
      </c>
      <c r="I213" s="32" t="n">
        <v>73.36</v>
      </c>
      <c r="J213" s="32" t="n">
        <v>1.07</v>
      </c>
      <c r="K213" s="32" t="n">
        <v>1705341</v>
      </c>
      <c r="L213" s="31" t="n">
        <v>7</v>
      </c>
      <c r="M213" s="31" t="inlineStr">
        <is>
          <t>Underperforming</t>
        </is>
      </c>
      <c r="N213" s="32">
        <f>IF(M213="Underperforming",-5,IF(L213&gt;=95,15,IF(L213&gt;=90,10,IF(L213&gt;=80,5,0))))</f>
        <v/>
      </c>
      <c r="O213" s="32" t="n">
        <v>69.45</v>
      </c>
      <c r="P213" s="32" t="n">
        <v>12.44</v>
      </c>
      <c r="Q213" s="32" t="n">
        <v>58.8</v>
      </c>
      <c r="R213" s="31" t="inlineStr">
        <is>
          <t>Volume Spike / Accumulation</t>
        </is>
      </c>
      <c r="S213" s="31" t="inlineStr">
        <is>
          <t>Nifty Infra</t>
        </is>
      </c>
      <c r="T213" s="32" t="n">
        <v>0.12</v>
      </c>
      <c r="U213" s="32" t="n">
        <v>-3.13</v>
      </c>
      <c r="V213" s="32" t="n">
        <v>-3.24</v>
      </c>
      <c r="W213" s="32" t="n">
        <v>2.34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0 to 20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IF(B214=0,"",RANK(B214,$B$2:$B$304,0))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ETERNAL</t>
        </is>
      </c>
      <c r="D214" s="31" t="inlineStr">
        <is>
          <t>Eternal Ltd</t>
        </is>
      </c>
      <c r="E214" s="31" t="inlineStr">
        <is>
          <t>i.t</t>
        </is>
      </c>
      <c r="F214" s="31" t="inlineStr">
        <is>
          <t>miscellaneous</t>
        </is>
      </c>
      <c r="G214" s="31" t="inlineStr">
        <is>
          <t>largecap</t>
        </is>
      </c>
      <c r="H214" s="32" t="n">
        <v>310837.79</v>
      </c>
      <c r="I214" s="32" t="n">
        <v>323.5</v>
      </c>
      <c r="J214" s="32" t="n">
        <v>0.43</v>
      </c>
      <c r="K214" s="32" t="n">
        <v>22712054</v>
      </c>
      <c r="L214" s="31" t="n">
        <v>27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65.70999999999999</v>
      </c>
      <c r="P214" s="32" t="n">
        <v>25.91</v>
      </c>
      <c r="Q214" s="32" t="n">
        <v>270.32</v>
      </c>
      <c r="R214" s="31" t="inlineStr">
        <is>
          <t>Earnings / Momentum Support</t>
        </is>
      </c>
      <c r="S214" s="31" t="inlineStr">
        <is>
          <t>Nifty IT</t>
        </is>
      </c>
      <c r="T214" s="32" t="n">
        <v>-19.91</v>
      </c>
      <c r="U214" s="32" t="n">
        <v>0.65</v>
      </c>
      <c r="V214" s="32" t="n">
        <v>25.67</v>
      </c>
      <c r="W214" s="32" t="n">
        <v>8.699999999999999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IF(B215=0,"",RANK(B215,$B$2:$B$304,0))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DOLPHIN</t>
        </is>
      </c>
      <c r="D215" s="31" t="inlineStr">
        <is>
          <t>Dolphin Offshore Enterprises (India) Ltd</t>
        </is>
      </c>
      <c r="E215" s="31" t="inlineStr">
        <is>
          <t>energy</t>
        </is>
      </c>
      <c r="F215" s="31" t="inlineStr">
        <is>
          <t>oil drilling / allied services</t>
        </is>
      </c>
      <c r="G215" s="31" t="inlineStr">
        <is>
          <t>smallcap</t>
        </is>
      </c>
      <c r="H215" s="32" t="n">
        <v>2616.3</v>
      </c>
      <c r="I215" s="32" t="n">
        <v>649</v>
      </c>
      <c r="J215" s="32" t="n">
        <v>-0.76</v>
      </c>
      <c r="K215" s="32" t="n">
        <v>66808</v>
      </c>
      <c r="L215" s="31" t="n">
        <v>67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74.03</v>
      </c>
      <c r="P215" s="32" t="n">
        <v>36.77</v>
      </c>
      <c r="Q215" s="32" t="n">
        <v>487.49</v>
      </c>
      <c r="R215" s="31" t="inlineStr">
        <is>
          <t>Near 52W High Breakout</t>
        </is>
      </c>
      <c r="S215" s="31" t="inlineStr">
        <is>
          <t>Nifty Energy</t>
        </is>
      </c>
      <c r="T215" s="32" t="n">
        <v>7.62</v>
      </c>
      <c r="U215" s="32" t="n">
        <v>46.88</v>
      </c>
      <c r="V215" s="32" t="n">
        <v>36.49</v>
      </c>
      <c r="W215" s="32" t="n">
        <v>21.95</v>
      </c>
      <c r="X215" s="31" t="inlineStr">
        <is>
          <t>Cyclical in an Upturn</t>
        </is>
      </c>
      <c r="Y215" s="31">
        <f>IF(X215="Growing Industry",10,IF(X215="Cyclical in an Upturn",5,0))</f>
        <v/>
      </c>
      <c r="Z215" s="31" t="inlineStr">
        <is>
          <t>Oligopoly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Yes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Cyclical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Volatile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Blue sky scenario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Less than 1.5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IF(B216=0,"",RANK(B216,$B$2:$B$304,0))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3" t="inlineStr">
        <is>
          <t>SHYAMMETL</t>
        </is>
      </c>
      <c r="D216" s="33" t="inlineStr">
        <is>
          <t>Shyam Metalics &amp; Energy Ltd</t>
        </is>
      </c>
      <c r="E216" s="31" t="inlineStr">
        <is>
          <t>metals &amp; mining</t>
        </is>
      </c>
      <c r="F216" s="31" t="inlineStr">
        <is>
          <t>steel - large</t>
        </is>
      </c>
      <c r="G216" s="31" t="inlineStr">
        <is>
          <t>largecap</t>
        </is>
      </c>
      <c r="H216" s="32" t="n">
        <v>30316.51</v>
      </c>
      <c r="I216" s="32" t="n">
        <v>1074.8</v>
      </c>
      <c r="J216" s="32" t="n">
        <v>-1.04</v>
      </c>
      <c r="K216" s="32" t="n">
        <v>224493</v>
      </c>
      <c r="L216" s="31" t="n">
        <v>30</v>
      </c>
      <c r="M216" s="31" t="inlineStr">
        <is>
          <t>Underperforming</t>
        </is>
      </c>
      <c r="N216" s="32">
        <f>IF(M216="Underperforming",-5,IF(L216&gt;=95,15,IF(L216&gt;=90,10,IF(L216&gt;=80,5,0))))</f>
        <v/>
      </c>
      <c r="O216" s="32" t="n">
        <v>64.8</v>
      </c>
      <c r="P216" s="32" t="n">
        <v>26.05</v>
      </c>
      <c r="Q216" s="32" t="n">
        <v>919.34</v>
      </c>
      <c r="R216" s="31" t="inlineStr">
        <is>
          <t>Near 52W High Breakout</t>
        </is>
      </c>
      <c r="S216" s="31" t="inlineStr">
        <is>
          <t>Nifty Metal</t>
        </is>
      </c>
      <c r="T216" s="32" t="n">
        <v>37.92</v>
      </c>
      <c r="U216" s="32" t="n">
        <v>11.87</v>
      </c>
      <c r="V216" s="32" t="n">
        <v>-18.88</v>
      </c>
      <c r="W216" s="32" t="n">
        <v>9.66</v>
      </c>
      <c r="X216" s="31" t="inlineStr">
        <is>
          <t>Cyclical in an Upturn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Cyclical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Volatile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Blue sky scenario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Less than 1.5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IF(B217=0,"",RANK(B217,$B$2:$B$304,0))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3" t="inlineStr">
        <is>
          <t>SAMBHV</t>
        </is>
      </c>
      <c r="D217" s="33" t="inlineStr">
        <is>
          <t>Sambhv Steel Tubes Ltd</t>
        </is>
      </c>
      <c r="E217" s="31" t="inlineStr">
        <is>
          <t>metals &amp; mining</t>
        </is>
      </c>
      <c r="F217" s="31" t="inlineStr">
        <is>
          <t>steel - medium / small</t>
        </is>
      </c>
      <c r="G217" s="31" t="inlineStr">
        <is>
          <t>smallcap</t>
        </is>
      </c>
      <c r="H217" s="32" t="n">
        <v>3904.69</v>
      </c>
      <c r="I217" s="32" t="n">
        <v>131.08</v>
      </c>
      <c r="J217" s="32" t="n">
        <v>-1.08</v>
      </c>
      <c r="K217" s="32" t="n">
        <v>1936674</v>
      </c>
      <c r="L217" s="31" t="n">
        <v>12</v>
      </c>
      <c r="M217" s="31" t="inlineStr">
        <is>
          <t>Underperforming</t>
        </is>
      </c>
      <c r="N217" s="32">
        <f>IF(M217="Underperforming",-5,IF(L217&gt;=95,15,IF(L217&gt;=90,10,IF(L217&gt;=80,5,0))))</f>
        <v/>
      </c>
      <c r="O217" s="32" t="n">
        <v>66.65000000000001</v>
      </c>
      <c r="P217" s="32" t="n">
        <v>34.36</v>
      </c>
      <c r="Q217" s="32" t="n">
        <v>100.64</v>
      </c>
      <c r="R217" s="31" t="inlineStr">
        <is>
          <t>Near 52W High Breakout</t>
        </is>
      </c>
      <c r="S217" s="31" t="inlineStr">
        <is>
          <t>Nifty Metal</t>
        </is>
      </c>
      <c r="T217" s="32" t="n">
        <v>37.92</v>
      </c>
      <c r="U217" s="32" t="n">
        <v>-1.18</v>
      </c>
      <c r="V217" s="32" t="n">
        <v>-28.35</v>
      </c>
      <c r="W217" s="32" t="n">
        <v>4.06</v>
      </c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Cyclical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Volatile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Blue sky scenario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Less than 1.5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IF(B218=0,"",RANK(B218,$B$2:$B$304,0))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MANINDS</t>
        </is>
      </c>
      <c r="D218" s="31" t="inlineStr">
        <is>
          <t>Man Industries (india) Limited</t>
        </is>
      </c>
      <c r="E218" s="31" t="inlineStr">
        <is>
          <t>metals &amp; mining</t>
        </is>
      </c>
      <c r="F218" s="31" t="inlineStr">
        <is>
          <t>steel - medium / small</t>
        </is>
      </c>
      <c r="G218" s="31" t="inlineStr">
        <is>
          <t>midcap</t>
        </is>
      </c>
      <c r="H218" s="32" t="n">
        <v>6574.21</v>
      </c>
      <c r="I218" s="32" t="n">
        <v>866.1</v>
      </c>
      <c r="J218" s="32" t="n">
        <v>-1.18</v>
      </c>
      <c r="K218" s="32" t="n">
        <v>4525404</v>
      </c>
      <c r="L218" s="31" t="n">
        <v>82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79.81999999999999</v>
      </c>
      <c r="P218" s="32" t="n">
        <v>35.76</v>
      </c>
      <c r="Q218" s="32" t="n">
        <v>654.76</v>
      </c>
      <c r="R218" s="31" t="inlineStr">
        <is>
          <t>Volume Spike &amp; Near 52W High Breakout</t>
        </is>
      </c>
      <c r="S218" s="31" t="inlineStr">
        <is>
          <t>Nifty Metal</t>
        </is>
      </c>
      <c r="T218" s="32" t="n">
        <v>37.92</v>
      </c>
      <c r="U218" s="32" t="n">
        <v>103.29</v>
      </c>
      <c r="V218" s="32" t="n">
        <v>47.39</v>
      </c>
      <c r="W218" s="32" t="n">
        <v>32.52</v>
      </c>
      <c r="X218" s="31" t="inlineStr">
        <is>
          <t>Cyclical in an Upturn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Cyclical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Volatile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Above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Blue sky scenario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Less than 1.5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IF(B219=0,"",RANK(B219,$B$2:$B$304,0))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WELENT</t>
        </is>
      </c>
      <c r="D219" s="31" t="inlineStr">
        <is>
          <t>Welspun Enterprises Limited</t>
        </is>
      </c>
      <c r="E219" s="31" t="inlineStr">
        <is>
          <t>realty</t>
        </is>
      </c>
      <c r="F219" s="31" t="inlineStr">
        <is>
          <t>construction</t>
        </is>
      </c>
      <c r="G219" s="31" t="inlineStr">
        <is>
          <t>midcap</t>
        </is>
      </c>
      <c r="H219" s="32" t="n">
        <v>11044.73</v>
      </c>
      <c r="I219" s="32" t="n">
        <v>786.2</v>
      </c>
      <c r="J219" s="32" t="n">
        <v>-1.47</v>
      </c>
      <c r="K219" s="32" t="n">
        <v>250248</v>
      </c>
      <c r="L219" s="31" t="n">
        <v>69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75.41</v>
      </c>
      <c r="P219" s="32" t="n">
        <v>31.24</v>
      </c>
      <c r="Q219" s="32" t="n">
        <v>652.41</v>
      </c>
      <c r="R219" s="31" t="inlineStr">
        <is>
          <t>Near 52W High Breakout</t>
        </is>
      </c>
      <c r="S219" s="31" t="inlineStr">
        <is>
          <t>Nifty Realty</t>
        </is>
      </c>
      <c r="T219" s="32" t="n">
        <v>-10.74</v>
      </c>
      <c r="U219" s="32" t="n">
        <v>58.73</v>
      </c>
      <c r="V219" s="32" t="n">
        <v>77.83</v>
      </c>
      <c r="W219" s="32" t="n">
        <v>23.22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Above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Blue sky scenario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Less than 12%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IF(B220=0,"",RANK(B220,$B$2:$B$304,0))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MANALIPETC</t>
        </is>
      </c>
      <c r="D220" s="31" t="inlineStr">
        <is>
          <t>Manali Petrochemicals Limited</t>
        </is>
      </c>
      <c r="E220" s="31" t="inlineStr">
        <is>
          <t>energy</t>
        </is>
      </c>
      <c r="F220" s="31" t="inlineStr">
        <is>
          <t>petrochemicals</t>
        </is>
      </c>
      <c r="G220" s="31" t="inlineStr">
        <is>
          <t>smallcap</t>
        </is>
      </c>
      <c r="H220" s="32" t="n">
        <v>1483.84</v>
      </c>
      <c r="I220" s="32" t="n">
        <v>84.93000000000001</v>
      </c>
      <c r="J220" s="32" t="n">
        <v>-1.55</v>
      </c>
      <c r="K220" s="32" t="n">
        <v>2153198</v>
      </c>
      <c r="L220" s="31" t="n">
        <v>58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72.88</v>
      </c>
      <c r="P220" s="32" t="n">
        <v>41.37</v>
      </c>
      <c r="Q220" s="32" t="n">
        <v>64.2</v>
      </c>
      <c r="R220" s="31" t="inlineStr">
        <is>
          <t>Near 52W High Breakout</t>
        </is>
      </c>
      <c r="S220" s="31" t="inlineStr">
        <is>
          <t>Nifty Energy</t>
        </is>
      </c>
      <c r="T220" s="32" t="n">
        <v>7.62</v>
      </c>
      <c r="U220" s="32" t="n">
        <v>17.32</v>
      </c>
      <c r="V220" s="32" t="n">
        <v>9.01</v>
      </c>
      <c r="W220" s="32" t="n">
        <v>18.62</v>
      </c>
      <c r="X220" s="31" t="inlineStr">
        <is>
          <t>Cyclical in an Upturn</t>
        </is>
      </c>
      <c r="Y220" s="31">
        <f>IF(X220="Growing Industry",10,IF(X220="Cyclical in an Upturn",5,0))</f>
        <v/>
      </c>
      <c r="Z220" s="31" t="inlineStr">
        <is>
          <t>Oligopoly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Yes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Cyclical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Volatile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Above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Blue sky scenario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IF(B221=0,"",RANK(B221,$B$2:$B$304,0))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INOXINDIA</t>
        </is>
      </c>
      <c r="D221" s="31" t="inlineStr">
        <is>
          <t>Inox India Ltd</t>
        </is>
      </c>
      <c r="E221" s="31" t="inlineStr">
        <is>
          <t>industrials</t>
        </is>
      </c>
      <c r="F221" s="31" t="inlineStr">
        <is>
          <t>packaging</t>
        </is>
      </c>
      <c r="G221" s="31" t="inlineStr">
        <is>
          <t>largecap</t>
        </is>
      </c>
      <c r="H221" s="32" t="n">
        <v>20837.48</v>
      </c>
      <c r="I221" s="32" t="n">
        <v>2246.6</v>
      </c>
      <c r="J221" s="32" t="n">
        <v>-2.14</v>
      </c>
      <c r="K221" s="32" t="n">
        <v>245450</v>
      </c>
      <c r="L221" s="31" t="n">
        <v>65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81</v>
      </c>
      <c r="P221" s="32" t="n">
        <v>64.93000000000001</v>
      </c>
      <c r="Q221" s="32" t="n">
        <v>1717.96</v>
      </c>
      <c r="R221" s="31" t="inlineStr">
        <is>
          <t>Near 52W High Breakout</t>
        </is>
      </c>
      <c r="S221" s="31" t="inlineStr">
        <is>
          <t>Nifty 50</t>
        </is>
      </c>
      <c r="T221" s="32" t="n">
        <v>-6.83</v>
      </c>
      <c r="U221" s="32" t="n">
        <v>92.3</v>
      </c>
      <c r="V221" s="32" t="n">
        <v>106.4</v>
      </c>
      <c r="W221" s="32" t="n">
        <v>20.99</v>
      </c>
      <c r="X221" s="31" t="inlineStr">
        <is>
          <t>Cyclical in an Upturn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Above 40</t>
        </is>
      </c>
      <c r="AY221" s="31">
        <f>IF(AX221="Above 40",20,IF(AX221="20 to 40",10,IF(AX221="0 to 20",-5,0)))</f>
        <v/>
      </c>
      <c r="AZ221" s="31" t="inlineStr">
        <is>
          <t>Above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Blue sky scenario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IF(B222=0,"",RANK(B222,$B$2:$B$304,0))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QPOWER</t>
        </is>
      </c>
      <c r="D222" s="31" t="inlineStr">
        <is>
          <t>Quality Power Electrical Equipments Ltd</t>
        </is>
      </c>
      <c r="E222" s="31" t="inlineStr">
        <is>
          <t>industrials</t>
        </is>
      </c>
      <c r="F222" s="31" t="inlineStr">
        <is>
          <t>electric equipment</t>
        </is>
      </c>
      <c r="G222" s="31" t="inlineStr">
        <is>
          <t>midcap</t>
        </is>
      </c>
      <c r="H222" s="32" t="n">
        <v>11292.9</v>
      </c>
      <c r="I222" s="32" t="n">
        <v>1426.5</v>
      </c>
      <c r="J222" s="32" t="n">
        <v>-2.17</v>
      </c>
      <c r="K222" s="32" t="n">
        <v>364591</v>
      </c>
      <c r="L222" s="31" t="n">
        <v>46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63.27</v>
      </c>
      <c r="P222" s="32" t="n">
        <v>19.01</v>
      </c>
      <c r="Q222" s="32" t="n">
        <v>1093.03</v>
      </c>
      <c r="R222" s="31" t="inlineStr">
        <is>
          <t>Volume Spike &amp; Near 52W High Breakout</t>
        </is>
      </c>
      <c r="S222" s="31" t="inlineStr">
        <is>
          <t>Nifty 50</t>
        </is>
      </c>
      <c r="T222" s="32" t="n">
        <v>-6.83</v>
      </c>
      <c r="U222" s="32" t="n">
        <v>51.22</v>
      </c>
      <c r="V222" s="32" t="n">
        <v>62.31</v>
      </c>
      <c r="W222" s="32" t="n">
        <v>15.19</v>
      </c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0 to 20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Blue sky scenario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Between 1.5 to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IF(B223=0,"",RANK(B223,$B$2:$B$304,0))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UFLEX</t>
        </is>
      </c>
      <c r="D223" s="31" t="inlineStr">
        <is>
          <t>Uflex Limited</t>
        </is>
      </c>
      <c r="E223" s="31" t="inlineStr">
        <is>
          <t>industrials</t>
        </is>
      </c>
      <c r="F223" s="31" t="inlineStr">
        <is>
          <t>packaging</t>
        </is>
      </c>
      <c r="G223" s="31" t="inlineStr">
        <is>
          <t>smallcap</t>
        </is>
      </c>
      <c r="H223" s="32" t="n">
        <v>4856.94</v>
      </c>
      <c r="I223" s="32" t="n">
        <v>653.45</v>
      </c>
      <c r="J223" s="32" t="n">
        <v>-2.85</v>
      </c>
      <c r="K223" s="32" t="n">
        <v>184116</v>
      </c>
      <c r="L223" s="31" t="n">
        <v>61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74.43000000000001</v>
      </c>
      <c r="P223" s="32" t="n">
        <v>30.94</v>
      </c>
      <c r="Q223" s="32" t="n">
        <v>531.91</v>
      </c>
      <c r="R223" s="31" t="inlineStr">
        <is>
          <t>Near 52W High Breakout</t>
        </is>
      </c>
      <c r="S223" s="31" t="inlineStr">
        <is>
          <t>Nifty Infra</t>
        </is>
      </c>
      <c r="T223" s="32" t="n">
        <v>0.12</v>
      </c>
      <c r="U223" s="32" t="n">
        <v>11.92</v>
      </c>
      <c r="V223" s="32" t="n">
        <v>11.79</v>
      </c>
      <c r="W223" s="32" t="n">
        <v>19.8</v>
      </c>
      <c r="X223" s="31" t="inlineStr">
        <is>
          <t>Cyclical in an Upturn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Less than 1.5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More than 1.2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IF(B224=0,"",RANK(B224,$B$2:$B$304,0))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MAHASTEEL</t>
        </is>
      </c>
      <c r="D224" s="31" t="inlineStr">
        <is>
          <t>Mahamaya Steel Industries Limited</t>
        </is>
      </c>
      <c r="E224" s="31" t="inlineStr">
        <is>
          <t>metals &amp; mining</t>
        </is>
      </c>
      <c r="F224" s="31" t="inlineStr">
        <is>
          <t>steel - medium / small</t>
        </is>
      </c>
      <c r="G224" s="31" t="inlineStr">
        <is>
          <t>smallcap</t>
        </is>
      </c>
      <c r="H224" s="32" t="n">
        <v>2188.4</v>
      </c>
      <c r="I224" s="32" t="n">
        <v>1276.1</v>
      </c>
      <c r="J224" s="32" t="n">
        <v>-4.17</v>
      </c>
      <c r="K224" s="32" t="n">
        <v>4655</v>
      </c>
      <c r="L224" s="31" t="n">
        <v>90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70.23999999999999</v>
      </c>
      <c r="P224" s="32" t="n">
        <v>23.37</v>
      </c>
      <c r="Q224" s="32" t="n">
        <v>970.85</v>
      </c>
      <c r="R224" s="31" t="inlineStr">
        <is>
          <t>Near 52W High Breakout</t>
        </is>
      </c>
      <c r="S224" s="31" t="inlineStr">
        <is>
          <t>Nifty Metal</t>
        </is>
      </c>
      <c r="T224" s="32" t="n">
        <v>37.92</v>
      </c>
      <c r="U224" s="32" t="n">
        <v>254.47</v>
      </c>
      <c r="V224" s="32" t="n">
        <v>157.01</v>
      </c>
      <c r="W224" s="32" t="n">
        <v>41.41</v>
      </c>
      <c r="X224" s="31" t="inlineStr">
        <is>
          <t>Cyclical in an Upturn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Cyclical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Volatile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Blue sky scenario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IF(B225=0,"",RANK(B225,$B$2:$B$304,0))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MUKKA</t>
        </is>
      </c>
      <c r="D225" s="31" t="inlineStr">
        <is>
          <t>Mukka Proteins Ltd</t>
        </is>
      </c>
      <c r="E225" s="31" t="inlineStr">
        <is>
          <t>fmcg</t>
        </is>
      </c>
      <c r="F225" s="31" t="inlineStr">
        <is>
          <t>food - processing - indian</t>
        </is>
      </c>
      <c r="G225" s="31" t="inlineStr">
        <is>
          <t>smallcap</t>
        </is>
      </c>
      <c r="H225" s="32" t="n">
        <v>917.1</v>
      </c>
      <c r="I225" s="32" t="n">
        <v>32.17</v>
      </c>
      <c r="J225" s="32" t="n">
        <v>5.23</v>
      </c>
      <c r="K225" s="32" t="n">
        <v>1909923</v>
      </c>
      <c r="L225" s="31" t="n">
        <v>32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73.06</v>
      </c>
      <c r="P225" s="32" t="n">
        <v>14.98</v>
      </c>
      <c r="Q225" s="32" t="n">
        <v>24.16</v>
      </c>
      <c r="R225" s="31" t="inlineStr">
        <is>
          <t>Volume Spike &amp; Near 52W High Breakout</t>
        </is>
      </c>
      <c r="S225" s="31" t="inlineStr">
        <is>
          <t>Nifty FMCG</t>
        </is>
      </c>
      <c r="T225" s="32" t="n">
        <v>-17.45</v>
      </c>
      <c r="U225" s="32" t="n">
        <v>10.63</v>
      </c>
      <c r="V225" s="32" t="n">
        <v>34.02</v>
      </c>
      <c r="W225" s="32" t="n">
        <v>10.19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B2C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Annuity, Lower One Time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0 to 20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Less than 1.5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More than 1.2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IF(B226=0,"",RANK(B226,$B$2:$B$304,0))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3" t="inlineStr">
        <is>
          <t>CONCORDBIO</t>
        </is>
      </c>
      <c r="D226" s="33" t="inlineStr">
        <is>
          <t>Concord Biotech Ltd</t>
        </is>
      </c>
      <c r="E226" s="31" t="inlineStr">
        <is>
          <t>healthcare</t>
        </is>
      </c>
      <c r="F226" s="31" t="inlineStr">
        <is>
          <t>pharmaceuticals - indian - bulk drugs &amp; formln</t>
        </is>
      </c>
      <c r="G226" s="31" t="inlineStr">
        <is>
          <t>midcap</t>
        </is>
      </c>
      <c r="H226" s="32" t="n">
        <v>15198.64</v>
      </c>
      <c r="I226" s="32" t="n">
        <v>1505.7</v>
      </c>
      <c r="J226" s="32" t="n">
        <v>3.64</v>
      </c>
      <c r="K226" s="32" t="n">
        <v>372504</v>
      </c>
      <c r="L226" s="31" t="n">
        <v>5</v>
      </c>
      <c r="M226" s="31" t="inlineStr">
        <is>
          <t>Underperforming</t>
        </is>
      </c>
      <c r="N226" s="32">
        <f>IF(M226="Underperforming",-5,IF(L226&gt;=95,15,IF(L226&gt;=90,10,IF(L226&gt;=80,5,0))))</f>
        <v/>
      </c>
      <c r="O226" s="32" t="n">
        <v>59.06</v>
      </c>
      <c r="P226" s="32" t="n">
        <v>24.07</v>
      </c>
      <c r="Q226" s="32" t="n">
        <v>1214.66</v>
      </c>
      <c r="R226" s="31" t="inlineStr">
        <is>
          <t>Earnings / Momentum Support</t>
        </is>
      </c>
      <c r="S226" s="31" t="inlineStr">
        <is>
          <t>Nifty Pharma</t>
        </is>
      </c>
      <c r="T226" s="32" t="n">
        <v>18.76</v>
      </c>
      <c r="U226" s="32" t="n">
        <v>-7.58</v>
      </c>
      <c r="V226" s="32" t="n">
        <v>-22.18</v>
      </c>
      <c r="W226" s="32" t="n">
        <v>1.63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Yes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Annuity, Lower One Time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Between 1.5 to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IF(B227=0,"",RANK(B227,$B$2:$B$304,0))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MARKSANS</t>
        </is>
      </c>
      <c r="D227" s="31" t="inlineStr">
        <is>
          <t>Marksans Pharma Limited</t>
        </is>
      </c>
      <c r="E227" s="31" t="inlineStr">
        <is>
          <t>healthcare</t>
        </is>
      </c>
      <c r="F227" s="31" t="inlineStr">
        <is>
          <t>pharmaceuticals - indian - formulations</t>
        </is>
      </c>
      <c r="G227" s="31" t="inlineStr">
        <is>
          <t>midcap</t>
        </is>
      </c>
      <c r="H227" s="32" t="n">
        <v>14972.53</v>
      </c>
      <c r="I227" s="32" t="n">
        <v>329.4</v>
      </c>
      <c r="J227" s="32" t="n">
        <v>-0.3</v>
      </c>
      <c r="K227" s="32" t="n">
        <v>1631814</v>
      </c>
      <c r="L227" s="31" t="n">
        <v>68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73.81</v>
      </c>
      <c r="P227" s="32" t="n">
        <v>59.51</v>
      </c>
      <c r="Q227" s="32" t="n">
        <v>258.17</v>
      </c>
      <c r="R227" s="31" t="inlineStr">
        <is>
          <t>Near 52W High Breakout</t>
        </is>
      </c>
      <c r="S227" s="31" t="inlineStr">
        <is>
          <t>Nifty Pharma</t>
        </is>
      </c>
      <c r="T227" s="32" t="n">
        <v>18.76</v>
      </c>
      <c r="U227" s="32" t="n">
        <v>91.01000000000001</v>
      </c>
      <c r="V227" s="32" t="n">
        <v>60.83</v>
      </c>
      <c r="W227" s="32" t="n">
        <v>22.23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Yes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Annuity, Lower One Time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Above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Negative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Blue sky scenario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IF(B228=0,"",RANK(B228,$B$2:$B$304,0))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3" t="inlineStr">
        <is>
          <t>SURAKSHA</t>
        </is>
      </c>
      <c r="D228" s="33" t="inlineStr">
        <is>
          <t>Suraksha Diagnostic Ltd</t>
        </is>
      </c>
      <c r="E228" s="31" t="inlineStr">
        <is>
          <t>healthcare</t>
        </is>
      </c>
      <c r="F228" s="31" t="inlineStr">
        <is>
          <t>healthcare</t>
        </is>
      </c>
      <c r="G228" s="31" t="inlineStr">
        <is>
          <t>smallcap</t>
        </is>
      </c>
      <c r="H228" s="32" t="n">
        <v>1707.47</v>
      </c>
      <c r="I228" s="32" t="n">
        <v>323.75</v>
      </c>
      <c r="J228" s="32" t="n">
        <v>-1.25</v>
      </c>
      <c r="K228" s="32" t="n">
        <v>50564</v>
      </c>
      <c r="L228" s="31" t="n">
        <v>15</v>
      </c>
      <c r="M228" s="31" t="inlineStr">
        <is>
          <t>Underperforming</t>
        </is>
      </c>
      <c r="N228" s="32">
        <f>IF(M228="Underperforming",-5,IF(L228&gt;=95,15,IF(L228&gt;=90,10,IF(L228&gt;=80,5,0))))</f>
        <v/>
      </c>
      <c r="O228" s="32" t="n">
        <v>62.07</v>
      </c>
      <c r="P228" s="32" t="n">
        <v>18.98</v>
      </c>
      <c r="Q228" s="32" t="n">
        <v>266.62</v>
      </c>
      <c r="R228" s="31" t="inlineStr">
        <is>
          <t>Near 52W High Breakout</t>
        </is>
      </c>
      <c r="S228" s="31" t="inlineStr">
        <is>
          <t>Nifty Pharma</t>
        </is>
      </c>
      <c r="T228" s="32" t="n">
        <v>18.76</v>
      </c>
      <c r="U228" s="32" t="n">
        <v>4.33</v>
      </c>
      <c r="V228" s="32" t="n">
        <v>-12.15</v>
      </c>
      <c r="W228" s="32" t="n">
        <v>5.55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Yes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Annuity, Lower One Time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0 to 20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Yes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IF(B229=0,"",RANK(B229,$B$2:$B$304,0))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BLACKBUCK</t>
        </is>
      </c>
      <c r="D229" s="31" t="inlineStr">
        <is>
          <t>BlackBuck Ltd</t>
        </is>
      </c>
      <c r="E229" s="31" t="inlineStr">
        <is>
          <t>transportation</t>
        </is>
      </c>
      <c r="F229" s="31" t="inlineStr">
        <is>
          <t>miscellaneous</t>
        </is>
      </c>
      <c r="G229" s="31" t="inlineStr">
        <is>
          <t>midcap</t>
        </is>
      </c>
      <c r="H229" s="32" t="n">
        <v>10671.5</v>
      </c>
      <c r="I229" s="32" t="n">
        <v>628.15</v>
      </c>
      <c r="J229" s="32" t="n">
        <v>7.21</v>
      </c>
      <c r="K229" s="32" t="n">
        <v>4433382</v>
      </c>
      <c r="L229" s="31" t="n">
        <v>10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57.03</v>
      </c>
      <c r="P229" s="32" t="n">
        <v>8.98</v>
      </c>
      <c r="Q229" s="32" t="n">
        <v>483.78</v>
      </c>
      <c r="R229" s="31" t="inlineStr">
        <is>
          <t>Volume Spike / Accumulation</t>
        </is>
      </c>
      <c r="S229" s="31" t="inlineStr">
        <is>
          <t>Nifty 50</t>
        </is>
      </c>
      <c r="T229" s="32" t="n">
        <v>-6.83</v>
      </c>
      <c r="U229" s="32" t="n">
        <v>0.5600000000000001</v>
      </c>
      <c r="V229" s="32" t="n">
        <v>7.93</v>
      </c>
      <c r="W229" s="32" t="n">
        <v>3.56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0 to 20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IF(B230=0,"",RANK(B230,$B$2:$B$304,0))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YUKEN</t>
        </is>
      </c>
      <c r="D230" s="31" t="inlineStr">
        <is>
          <t>Yuken India Ltd</t>
        </is>
      </c>
      <c r="E230" s="31" t="inlineStr">
        <is>
          <t>industrials</t>
        </is>
      </c>
      <c r="F230" s="31" t="inlineStr">
        <is>
          <t>engineering</t>
        </is>
      </c>
      <c r="G230" s="31" t="inlineStr">
        <is>
          <t>smallcap</t>
        </is>
      </c>
      <c r="H230" s="32" t="n">
        <v>1474.81</v>
      </c>
      <c r="I230" s="32" t="n">
        <v>1113.75</v>
      </c>
      <c r="J230" s="32" t="n">
        <v>2.58</v>
      </c>
      <c r="K230" s="32" t="n">
        <v>35432</v>
      </c>
      <c r="L230" s="31" t="n">
        <v>56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76.77</v>
      </c>
      <c r="P230" s="32" t="n">
        <v>25.17</v>
      </c>
      <c r="Q230" s="32" t="n">
        <v>879.78</v>
      </c>
      <c r="R230" s="31" t="inlineStr">
        <is>
          <t>Volume Spike &amp; Near 52W High Breakout</t>
        </is>
      </c>
      <c r="S230" s="31" t="inlineStr">
        <is>
          <t>Nifty 50</t>
        </is>
      </c>
      <c r="T230" s="32" t="n">
        <v>-6.83</v>
      </c>
      <c r="U230" s="32" t="n">
        <v>12.18</v>
      </c>
      <c r="V230" s="32" t="n">
        <v>20.41</v>
      </c>
      <c r="W230" s="32" t="n">
        <v>18.28</v>
      </c>
      <c r="X230" s="31" t="inlineStr">
        <is>
          <t>Cyclical in an Upturn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Above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IF(B231=0,"",RANK(B231,$B$2:$B$304,0))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MANAKSTEEL</t>
        </is>
      </c>
      <c r="D231" s="31" t="inlineStr">
        <is>
          <t>Manaksia Steels Limited</t>
        </is>
      </c>
      <c r="E231" s="31" t="inlineStr">
        <is>
          <t>metals &amp; mining</t>
        </is>
      </c>
      <c r="F231" s="31" t="inlineStr">
        <is>
          <t>steel - medium / small</t>
        </is>
      </c>
      <c r="G231" s="31" t="inlineStr">
        <is>
          <t>smallcap</t>
        </is>
      </c>
      <c r="H231" s="32" t="n">
        <v>753.71</v>
      </c>
      <c r="I231" s="32" t="n">
        <v>117.91</v>
      </c>
      <c r="J231" s="32" t="n">
        <v>2.52</v>
      </c>
      <c r="K231" s="32" t="n">
        <v>149999</v>
      </c>
      <c r="L231" s="31" t="n">
        <v>76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80.40000000000001</v>
      </c>
      <c r="P231" s="32" t="n">
        <v>44.51</v>
      </c>
      <c r="Q231" s="32" t="n">
        <v>88.47</v>
      </c>
      <c r="R231" s="31" t="inlineStr">
        <is>
          <t>Near 52W High Breakout</t>
        </is>
      </c>
      <c r="S231" s="31" t="inlineStr">
        <is>
          <t>Nifty Metal</t>
        </is>
      </c>
      <c r="T231" s="32" t="n">
        <v>37.92</v>
      </c>
      <c r="U231" s="32" t="n">
        <v>91.09999999999999</v>
      </c>
      <c r="V231" s="32" t="n">
        <v>38.56</v>
      </c>
      <c r="W231" s="32" t="n">
        <v>27.15</v>
      </c>
      <c r="X231" s="31" t="inlineStr">
        <is>
          <t>Cyclical in an Upturn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Cyclical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Volatile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Above 40</t>
        </is>
      </c>
      <c r="AY231" s="31">
        <f>IF(AX231="Above 40",20,IF(AX231="20 to 40",10,IF(AX231="0 to 20",-5,0)))</f>
        <v/>
      </c>
      <c r="AZ231" s="31" t="inlineStr">
        <is>
          <t>Above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Blue sky scenario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IF(B232=0,"",RANK(B232,$B$2:$B$304,0))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VSSL</t>
        </is>
      </c>
      <c r="D232" s="31" t="inlineStr">
        <is>
          <t>Vardhman Special Steels Limited</t>
        </is>
      </c>
      <c r="E232" s="31" t="inlineStr">
        <is>
          <t>metals &amp; mining</t>
        </is>
      </c>
      <c r="F232" s="31" t="inlineStr">
        <is>
          <t>steel - medium / small</t>
        </is>
      </c>
      <c r="G232" s="31" t="inlineStr">
        <is>
          <t>smallcap</t>
        </is>
      </c>
      <c r="H232" s="32" t="n">
        <v>3790.08</v>
      </c>
      <c r="I232" s="32" t="n">
        <v>397.45</v>
      </c>
      <c r="J232" s="32" t="n">
        <v>1.39</v>
      </c>
      <c r="K232" s="32" t="n">
        <v>621233</v>
      </c>
      <c r="L232" s="31" t="n">
        <v>68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82.43000000000001</v>
      </c>
      <c r="P232" s="32" t="n">
        <v>38.53</v>
      </c>
      <c r="Q232" s="32" t="n">
        <v>313.57</v>
      </c>
      <c r="R232" s="31" t="inlineStr">
        <is>
          <t>Volume Spike &amp; Near 52W High Breakout</t>
        </is>
      </c>
      <c r="S232" s="31" t="inlineStr">
        <is>
          <t>Nifty Metal</t>
        </is>
      </c>
      <c r="T232" s="32" t="n">
        <v>37.92</v>
      </c>
      <c r="U232" s="32" t="n">
        <v>57.29</v>
      </c>
      <c r="V232" s="32" t="n">
        <v>14.05</v>
      </c>
      <c r="W232" s="32" t="n">
        <v>22.32</v>
      </c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Cyclical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Volatile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Above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Blue sky scenario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Less than 1.5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IF(B233=0,"",RANK(B233,$B$2:$B$304,0))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SUNDRMFAST</t>
        </is>
      </c>
      <c r="D233" s="31" t="inlineStr">
        <is>
          <t>Sundram Fasteners Limited</t>
        </is>
      </c>
      <c r="E233" s="31" t="inlineStr">
        <is>
          <t>auto</t>
        </is>
      </c>
      <c r="F233" s="31" t="inlineStr">
        <is>
          <t>auto ancillaries</t>
        </is>
      </c>
      <c r="G233" s="31" t="inlineStr">
        <is>
          <t>largecap</t>
        </is>
      </c>
      <c r="H233" s="32" t="n">
        <v>26394.22</v>
      </c>
      <c r="I233" s="32" t="n">
        <v>1270</v>
      </c>
      <c r="J233" s="32" t="n">
        <v>1.11</v>
      </c>
      <c r="K233" s="32" t="n">
        <v>158860</v>
      </c>
      <c r="L233" s="31" t="n">
        <v>60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80.48</v>
      </c>
      <c r="P233" s="32" t="n">
        <v>39.4</v>
      </c>
      <c r="Q233" s="32" t="n">
        <v>1074.28</v>
      </c>
      <c r="R233" s="31" t="inlineStr">
        <is>
          <t>Volume Spike &amp; Near 52W High Breakout</t>
        </is>
      </c>
      <c r="S233" s="31" t="inlineStr">
        <is>
          <t>Nifty Auto</t>
        </is>
      </c>
      <c r="T233" s="32" t="n">
        <v>14.81</v>
      </c>
      <c r="U233" s="32" t="n">
        <v>27.67</v>
      </c>
      <c r="V233" s="32" t="n">
        <v>11.2</v>
      </c>
      <c r="W233" s="32" t="n">
        <v>19.48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Above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Between 12 to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IF(B234=0,"",RANK(B234,$B$2:$B$304,0))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SEAMECLTD</t>
        </is>
      </c>
      <c r="D234" s="31" t="inlineStr">
        <is>
          <t>Seamec Limited</t>
        </is>
      </c>
      <c r="E234" s="31" t="inlineStr">
        <is>
          <t>miscellaneous</t>
        </is>
      </c>
      <c r="F234" s="31" t="inlineStr">
        <is>
          <t>miscellaneous</t>
        </is>
      </c>
      <c r="G234" s="31" t="inlineStr">
        <is>
          <t>smallcap</t>
        </is>
      </c>
      <c r="H234" s="32" t="n">
        <v>4507.6</v>
      </c>
      <c r="I234" s="32" t="n">
        <v>1788.4</v>
      </c>
      <c r="J234" s="32" t="n">
        <v>0.87</v>
      </c>
      <c r="K234" s="32" t="n">
        <v>150565</v>
      </c>
      <c r="L234" s="31" t="n">
        <v>52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71.06</v>
      </c>
      <c r="P234" s="32" t="n">
        <v>18.04</v>
      </c>
      <c r="Q234" s="32" t="n">
        <v>1411.28</v>
      </c>
      <c r="R234" s="31" t="inlineStr">
        <is>
          <t>Near 52W High Breakout</t>
        </is>
      </c>
      <c r="S234" s="31" t="inlineStr">
        <is>
          <t>Nifty 50</t>
        </is>
      </c>
      <c r="T234" s="32" t="n">
        <v>-6.83</v>
      </c>
      <c r="U234" s="32" t="n">
        <v>92.61</v>
      </c>
      <c r="V234" s="32" t="n">
        <v>106.74</v>
      </c>
      <c r="W234" s="32" t="n">
        <v>17.03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Blue sky scenario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Less than 12%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IF(B235=0,"",RANK(B235,$B$2:$B$304,0))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ROSSTECH</t>
        </is>
      </c>
      <c r="D235" s="31" t="inlineStr">
        <is>
          <t>Rossell Techsys Ltd</t>
        </is>
      </c>
      <c r="E235" s="31" t="inlineStr">
        <is>
          <t>aerospace &amp; defence</t>
        </is>
      </c>
      <c r="F235" s="31" t="inlineStr">
        <is>
          <t>engineering</t>
        </is>
      </c>
      <c r="G235" s="31" t="inlineStr">
        <is>
          <t>smallcap</t>
        </is>
      </c>
      <c r="H235" s="32" t="n">
        <v>4548.46</v>
      </c>
      <c r="I235" s="32" t="n">
        <v>1214.3</v>
      </c>
      <c r="J235" s="32" t="n">
        <v>0.64</v>
      </c>
      <c r="K235" s="32" t="n">
        <v>147435</v>
      </c>
      <c r="L235" s="31" t="n">
        <v>71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70.09</v>
      </c>
      <c r="P235" s="32" t="n">
        <v>26.76</v>
      </c>
      <c r="Q235" s="32" t="n">
        <v>887.09</v>
      </c>
      <c r="R235" s="31" t="inlineStr">
        <is>
          <t>Near 52W High Breakout</t>
        </is>
      </c>
      <c r="S235" s="31" t="inlineStr">
        <is>
          <t>Nifty Infra</t>
        </is>
      </c>
      <c r="T235" s="32" t="n">
        <v>0.12</v>
      </c>
      <c r="U235" s="32" t="n">
        <v>109.17</v>
      </c>
      <c r="V235" s="32" t="n">
        <v>108.92</v>
      </c>
      <c r="W235" s="32" t="n">
        <v>24.15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20 to 40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Blue sky scenario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More than 1.2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IF(B236=0,"",RANK(B236,$B$2:$B$304,0))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GRAPHITE</t>
        </is>
      </c>
      <c r="D236" s="31" t="inlineStr">
        <is>
          <t>Graphite India Limited</t>
        </is>
      </c>
      <c r="E236" s="31" t="inlineStr">
        <is>
          <t>industrials</t>
        </is>
      </c>
      <c r="F236" s="31" t="inlineStr">
        <is>
          <t>electrodes - graphites</t>
        </is>
      </c>
      <c r="G236" s="31" t="inlineStr">
        <is>
          <t>midcap</t>
        </is>
      </c>
      <c r="H236" s="32" t="n">
        <v>16114.58</v>
      </c>
      <c r="I236" s="32" t="n">
        <v>825.8</v>
      </c>
      <c r="J236" s="32" t="n">
        <v>0.12</v>
      </c>
      <c r="K236" s="32" t="n">
        <v>3972340</v>
      </c>
      <c r="L236" s="31" t="n">
        <v>48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68.55</v>
      </c>
      <c r="P236" s="32" t="n">
        <v>13.61</v>
      </c>
      <c r="Q236" s="32" t="n">
        <v>630.61</v>
      </c>
      <c r="R236" s="31" t="inlineStr">
        <is>
          <t>Volume Spike &amp; Near 52W High Breakout</t>
        </is>
      </c>
      <c r="S236" s="31" t="inlineStr">
        <is>
          <t>Nifty 50</t>
        </is>
      </c>
      <c r="T236" s="32" t="n">
        <v>-6.83</v>
      </c>
      <c r="U236" s="32" t="n">
        <v>56.52</v>
      </c>
      <c r="V236" s="32" t="n">
        <v>68</v>
      </c>
      <c r="W236" s="32" t="n">
        <v>15.82</v>
      </c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0 to 20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Blue sky scenario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IF(B237=0,"",RANK(B237,$B$2:$B$304,0))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GVT&amp;D</t>
        </is>
      </c>
      <c r="D237" s="31" t="inlineStr">
        <is>
          <t>GE Vernova T&amp;D India Ltd</t>
        </is>
      </c>
      <c r="E237" s="31" t="inlineStr">
        <is>
          <t>industrials</t>
        </is>
      </c>
      <c r="F237" s="31" t="inlineStr">
        <is>
          <t>electric equipment</t>
        </is>
      </c>
      <c r="G237" s="31" t="inlineStr">
        <is>
          <t>largecap</t>
        </is>
      </c>
      <c r="H237" s="32" t="n">
        <v>116373.15</v>
      </c>
      <c r="I237" s="32" t="n">
        <v>4548.1</v>
      </c>
      <c r="J237" s="32" t="n">
        <v>0.07000000000000001</v>
      </c>
      <c r="K237" s="32" t="n">
        <v>588462</v>
      </c>
      <c r="L237" s="31" t="n">
        <v>31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55.05</v>
      </c>
      <c r="P237" s="32" t="n">
        <v>27.56</v>
      </c>
      <c r="Q237" s="32" t="n">
        <v>4178.28</v>
      </c>
      <c r="R237" s="31" t="inlineStr">
        <is>
          <t>Earnings / Momentum Support</t>
        </is>
      </c>
      <c r="S237" s="31" t="inlineStr">
        <is>
          <t>Nifty 50</t>
        </is>
      </c>
      <c r="T237" s="32" t="n">
        <v>-6.83</v>
      </c>
      <c r="U237" s="32" t="n">
        <v>63.52</v>
      </c>
      <c r="V237" s="32" t="n">
        <v>75.52</v>
      </c>
      <c r="W237" s="32" t="n">
        <v>9.84</v>
      </c>
      <c r="X237" s="31" t="inlineStr">
        <is>
          <t>Cyclical in an Upturn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IF(B238=0,"",RANK(B238,$B$2:$B$304,0))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PITTIENG</t>
        </is>
      </c>
      <c r="D238" s="31" t="inlineStr">
        <is>
          <t>Pitti Engineering Ltd</t>
        </is>
      </c>
      <c r="E238" s="31" t="inlineStr">
        <is>
          <t>industrials</t>
        </is>
      </c>
      <c r="F238" s="31" t="inlineStr">
        <is>
          <t>engineering</t>
        </is>
      </c>
      <c r="G238" s="31" t="inlineStr">
        <is>
          <t>smallcap</t>
        </is>
      </c>
      <c r="H238" s="32" t="n">
        <v>4410.74</v>
      </c>
      <c r="I238" s="32" t="n">
        <v>1167.9</v>
      </c>
      <c r="J238" s="32" t="n">
        <v>-0.3</v>
      </c>
      <c r="K238" s="32" t="n">
        <v>128175</v>
      </c>
      <c r="L238" s="31" t="n">
        <v>30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68.95999999999999</v>
      </c>
      <c r="P238" s="32" t="n">
        <v>17.69</v>
      </c>
      <c r="Q238" s="32" t="n">
        <v>918.36</v>
      </c>
      <c r="R238" s="31" t="inlineStr">
        <is>
          <t>Near 52W High Breakout</t>
        </is>
      </c>
      <c r="S238" s="31" t="inlineStr">
        <is>
          <t>Nifty 50</t>
        </is>
      </c>
      <c r="T238" s="32" t="n">
        <v>-6.83</v>
      </c>
      <c r="U238" s="32" t="n">
        <v>27.61</v>
      </c>
      <c r="V238" s="32" t="n">
        <v>36.97</v>
      </c>
      <c r="W238" s="32" t="n">
        <v>9.59</v>
      </c>
      <c r="X238" s="31" t="inlineStr">
        <is>
          <t>Cyclical in an Upturn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0 to 20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Less than 1.5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Between 0.7 to 1.2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IF(B239=0,"",RANK(B239,$B$2:$B$304,0))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BIL</t>
        </is>
      </c>
      <c r="D239" s="31" t="inlineStr">
        <is>
          <t>Bhartiya International Limited</t>
        </is>
      </c>
      <c r="E239" s="31" t="inlineStr">
        <is>
          <t>consumer discretionary</t>
        </is>
      </c>
      <c r="F239" s="31" t="inlineStr">
        <is>
          <t>leather / leather products</t>
        </is>
      </c>
      <c r="G239" s="31" t="inlineStr">
        <is>
          <t>smallcap</t>
        </is>
      </c>
      <c r="H239" s="32" t="n">
        <v>1450.6</v>
      </c>
      <c r="I239" s="32" t="n">
        <v>1073</v>
      </c>
      <c r="J239" s="32" t="n">
        <v>-0.8</v>
      </c>
      <c r="K239" s="32" t="n">
        <v>17520</v>
      </c>
      <c r="L239" s="31" t="n">
        <v>54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75.06999999999999</v>
      </c>
      <c r="P239" s="32" t="n">
        <v>21.81</v>
      </c>
      <c r="Q239" s="32" t="n">
        <v>796.01</v>
      </c>
      <c r="R239" s="31" t="inlineStr">
        <is>
          <t>Volume Spike &amp; Near 52W High Breakout</t>
        </is>
      </c>
      <c r="S239" s="31" t="inlineStr">
        <is>
          <t>Nifty 50</t>
        </is>
      </c>
      <c r="T239" s="32" t="n">
        <v>-6.83</v>
      </c>
      <c r="U239" s="32" t="n">
        <v>23.82</v>
      </c>
      <c r="V239" s="32" t="n">
        <v>32.91</v>
      </c>
      <c r="W239" s="32" t="n">
        <v>17.61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Above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Blue sky scenario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Yes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Between 0.7 to 1.2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IF(B240=0,"",RANK(B240,$B$2:$B$304,0))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MGEL</t>
        </is>
      </c>
      <c r="D240" s="31" t="inlineStr">
        <is>
          <t>Mangalam Global Enterprise Ltd</t>
        </is>
      </c>
      <c r="E240" s="31" t="inlineStr">
        <is>
          <t>services</t>
        </is>
      </c>
      <c r="F240" s="31" t="inlineStr">
        <is>
          <t>trading</t>
        </is>
      </c>
      <c r="G240" s="31" t="inlineStr">
        <is>
          <t>smallcap</t>
        </is>
      </c>
      <c r="H240" s="32" t="n">
        <v>528.28</v>
      </c>
      <c r="I240" s="32" t="n">
        <v>15.86</v>
      </c>
      <c r="J240" s="32" t="n">
        <v>-1.06</v>
      </c>
      <c r="K240" s="32" t="n">
        <v>337674</v>
      </c>
      <c r="L240" s="31" t="n">
        <v>13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57.65</v>
      </c>
      <c r="P240" s="32" t="n">
        <v>34.31</v>
      </c>
      <c r="Q240" s="32" t="n">
        <v>12.36</v>
      </c>
      <c r="R240" s="31" t="inlineStr">
        <is>
          <t>Volume Spike / Accumulation</t>
        </is>
      </c>
      <c r="S240" s="31" t="inlineStr">
        <is>
          <t>Nifty 50</t>
        </is>
      </c>
      <c r="T240" s="32" t="n">
        <v>-6.83</v>
      </c>
      <c r="U240" s="32" t="n">
        <v>5.17</v>
      </c>
      <c r="V240" s="32" t="n">
        <v>12.88</v>
      </c>
      <c r="W240" s="32" t="n">
        <v>4.12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1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Less than 1.5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Between 0.7 to 1.2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IF(B241=0,"",RANK(B241,$B$2:$B$304,0))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3" t="inlineStr">
        <is>
          <t>JASH</t>
        </is>
      </c>
      <c r="D241" s="33" t="inlineStr">
        <is>
          <t>Jash Engineering Ltd</t>
        </is>
      </c>
      <c r="E241" s="31" t="inlineStr">
        <is>
          <t>industrials</t>
        </is>
      </c>
      <c r="F241" s="31" t="inlineStr">
        <is>
          <t>engineering</t>
        </is>
      </c>
      <c r="G241" s="31" t="inlineStr">
        <is>
          <t>smallcap</t>
        </is>
      </c>
      <c r="H241" s="32" t="n">
        <v>3295.24</v>
      </c>
      <c r="I241" s="32" t="n">
        <v>514.05</v>
      </c>
      <c r="J241" s="32" t="n">
        <v>-1.42</v>
      </c>
      <c r="K241" s="32" t="n">
        <v>90550</v>
      </c>
      <c r="L241" s="31" t="n">
        <v>13</v>
      </c>
      <c r="M241" s="31" t="inlineStr">
        <is>
          <t>Underperforming</t>
        </is>
      </c>
      <c r="N241" s="32">
        <f>IF(M241="Underperforming",-5,IF(L241&gt;=95,15,IF(L241&gt;=90,10,IF(L241&gt;=80,5,0))))</f>
        <v/>
      </c>
      <c r="O241" s="32" t="n">
        <v>59.29</v>
      </c>
      <c r="P241" s="32" t="n">
        <v>21.25</v>
      </c>
      <c r="Q241" s="32" t="n">
        <v>428.37</v>
      </c>
      <c r="R241" s="31" t="inlineStr">
        <is>
          <t>Earnings / Momentum Support</t>
        </is>
      </c>
      <c r="S241" s="31" t="inlineStr">
        <is>
          <t>Nifty Infra</t>
        </is>
      </c>
      <c r="T241" s="32" t="n">
        <v>0.12</v>
      </c>
      <c r="U241" s="32" t="n">
        <v>-10.06</v>
      </c>
      <c r="V241" s="32" t="n">
        <v>-10.17</v>
      </c>
      <c r="W241" s="32" t="n">
        <v>4.2</v>
      </c>
      <c r="X241" s="31" t="inlineStr">
        <is>
          <t>Cyclical in an Upturn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IF(B242=0,"",RANK(B242,$B$2:$B$304,0))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3" t="inlineStr">
        <is>
          <t>AGI</t>
        </is>
      </c>
      <c r="D242" s="33" t="inlineStr">
        <is>
          <t>AGI Greenpac Ltd</t>
        </is>
      </c>
      <c r="E242" s="31" t="inlineStr">
        <is>
          <t>industrials</t>
        </is>
      </c>
      <c r="F242" s="31" t="inlineStr">
        <is>
          <t>packaging</t>
        </is>
      </c>
      <c r="G242" s="31" t="inlineStr">
        <is>
          <t>midcap</t>
        </is>
      </c>
      <c r="H242" s="32" t="n">
        <v>5033.78</v>
      </c>
      <c r="I242" s="32" t="n">
        <v>762.65</v>
      </c>
      <c r="J242" s="32" t="n">
        <v>-1.98</v>
      </c>
      <c r="K242" s="32" t="n">
        <v>80322</v>
      </c>
      <c r="L242" s="31" t="n">
        <v>12</v>
      </c>
      <c r="M242" s="31" t="inlineStr">
        <is>
          <t>Underperforming</t>
        </is>
      </c>
      <c r="N242" s="32">
        <f>IF(M242="Underperforming",-5,IF(L242&gt;=95,15,IF(L242&gt;=90,10,IF(L242&gt;=80,5,0))))</f>
        <v/>
      </c>
      <c r="O242" s="32" t="n">
        <v>60.81</v>
      </c>
      <c r="P242" s="32" t="n">
        <v>31.3</v>
      </c>
      <c r="Q242" s="32" t="n">
        <v>608.12</v>
      </c>
      <c r="R242" s="31" t="inlineStr">
        <is>
          <t>Earnings / Momentum Support</t>
        </is>
      </c>
      <c r="S242" s="31" t="inlineStr">
        <is>
          <t>Nifty 50</t>
        </is>
      </c>
      <c r="T242" s="32" t="n">
        <v>-6.83</v>
      </c>
      <c r="U242" s="32" t="n">
        <v>-9.08</v>
      </c>
      <c r="V242" s="32" t="n">
        <v>-2.42</v>
      </c>
      <c r="W242" s="32" t="n">
        <v>3.89</v>
      </c>
      <c r="X242" s="31" t="inlineStr">
        <is>
          <t>Cyclical in an Upturn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Less than 12%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IF(B243=0,"",RANK(B243,$B$2:$B$304,0))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HATSUN</t>
        </is>
      </c>
      <c r="D243" s="31" t="inlineStr">
        <is>
          <t>Hatsun Agro Product Limited</t>
        </is>
      </c>
      <c r="E243" s="31" t="inlineStr">
        <is>
          <t>fmcg</t>
        </is>
      </c>
      <c r="F243" s="31" t="inlineStr">
        <is>
          <t>food - processing - indian</t>
        </is>
      </c>
      <c r="G243" s="31" t="inlineStr">
        <is>
          <t>largecap</t>
        </is>
      </c>
      <c r="H243" s="32" t="n">
        <v>26607.28</v>
      </c>
      <c r="I243" s="32" t="n">
        <v>1224.4</v>
      </c>
      <c r="J243" s="32" t="n">
        <v>2.5</v>
      </c>
      <c r="K243" s="32" t="n">
        <v>113105</v>
      </c>
      <c r="L243" s="31" t="n">
        <v>35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77.66</v>
      </c>
      <c r="P243" s="32" t="n">
        <v>22.68</v>
      </c>
      <c r="Q243" s="32" t="n">
        <v>1004.36</v>
      </c>
      <c r="R243" s="31" t="inlineStr">
        <is>
          <t>Near 52W High Breakout</t>
        </is>
      </c>
      <c r="S243" s="31" t="inlineStr">
        <is>
          <t>Nifty FMCG</t>
        </is>
      </c>
      <c r="T243" s="32" t="n">
        <v>-17.45</v>
      </c>
      <c r="U243" s="32" t="n">
        <v>34.14</v>
      </c>
      <c r="V243" s="32" t="n">
        <v>62.5</v>
      </c>
      <c r="W243" s="32" t="n">
        <v>11.54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B2C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Annuity, Lower One Time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Above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Blue sky scenario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Less than 12%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Between 0.7 to 1.2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IF(B244=0,"",RANK(B244,$B$2:$B$304,0))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APOLLO</t>
        </is>
      </c>
      <c r="D244" s="31" t="inlineStr">
        <is>
          <t>Apollo Micro Systems Ltd</t>
        </is>
      </c>
      <c r="E244" s="31" t="inlineStr">
        <is>
          <t>aerospace &amp; defence</t>
        </is>
      </c>
      <c r="F244" s="31" t="inlineStr">
        <is>
          <t>electronics - components</t>
        </is>
      </c>
      <c r="G244" s="31" t="inlineStr">
        <is>
          <t>midcap</t>
        </is>
      </c>
      <c r="H244" s="32" t="n">
        <v>15354.49</v>
      </c>
      <c r="I244" s="32" t="n">
        <v>422.25</v>
      </c>
      <c r="J244" s="32" t="n">
        <v>2.19</v>
      </c>
      <c r="K244" s="32" t="n">
        <v>7751875</v>
      </c>
      <c r="L244" s="31" t="n">
        <v>43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62.71</v>
      </c>
      <c r="P244" s="32" t="n">
        <v>38.14</v>
      </c>
      <c r="Q244" s="32" t="n">
        <v>342.8</v>
      </c>
      <c r="R244" s="31" t="inlineStr">
        <is>
          <t>Earnings / Momentum Support</t>
        </is>
      </c>
      <c r="S244" s="31" t="inlineStr">
        <is>
          <t>Nifty 50</t>
        </is>
      </c>
      <c r="T244" s="32" t="n">
        <v>-6.83</v>
      </c>
      <c r="U244" s="32" t="n">
        <v>30.99</v>
      </c>
      <c r="V244" s="32" t="n">
        <v>40.6</v>
      </c>
      <c r="W244" s="32" t="n">
        <v>13.71</v>
      </c>
      <c r="X244" s="31" t="inlineStr">
        <is>
          <t>Cyclical in an Upturn</t>
        </is>
      </c>
      <c r="Y244" s="31">
        <f>IF(X244="Growing Industry",10,IF(X244="Cyclical in an Upturn",5,0))</f>
        <v/>
      </c>
      <c r="Z244" s="31" t="inlineStr">
        <is>
          <t>Oligopoly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Cyclical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B2C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Fully One Time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Above 40</t>
        </is>
      </c>
      <c r="AY244" s="31">
        <f>IF(AX244="Above 40",20,IF(AX244="20 to 40",10,IF(AX244="0 to 20",-5,0)))</f>
        <v/>
      </c>
      <c r="AZ244" s="31" t="inlineStr">
        <is>
          <t>Above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Yes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Between 1.5 to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IF(B245=0,"",RANK(B245,$B$2:$B$304,0))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3" t="inlineStr">
        <is>
          <t>WINDLAS</t>
        </is>
      </c>
      <c r="D245" s="33" t="inlineStr">
        <is>
          <t>Windlas Biotech Ltd</t>
        </is>
      </c>
      <c r="E245" s="31" t="inlineStr">
        <is>
          <t>healthcare</t>
        </is>
      </c>
      <c r="F245" s="31" t="inlineStr">
        <is>
          <t>pharmaceuticals - indian - formulations</t>
        </is>
      </c>
      <c r="G245" s="31" t="inlineStr">
        <is>
          <t>smallcap</t>
        </is>
      </c>
      <c r="H245" s="32" t="n">
        <v>2330.66</v>
      </c>
      <c r="I245" s="32" t="n">
        <v>1129.25</v>
      </c>
      <c r="J245" s="32" t="n">
        <v>-0.01</v>
      </c>
      <c r="K245" s="32" t="n">
        <v>66749</v>
      </c>
      <c r="L245" s="31" t="n">
        <v>38</v>
      </c>
      <c r="M245" s="31" t="inlineStr">
        <is>
          <t>Underperforming</t>
        </is>
      </c>
      <c r="N245" s="32">
        <f>IF(M245="Underperforming",-5,IF(L245&gt;=95,15,IF(L245&gt;=90,10,IF(L245&gt;=80,5,0))))</f>
        <v/>
      </c>
      <c r="O245" s="32" t="n">
        <v>78.61</v>
      </c>
      <c r="P245" s="32" t="n">
        <v>30.44</v>
      </c>
      <c r="Q245" s="32" t="n">
        <v>902.88</v>
      </c>
      <c r="R245" s="31" t="inlineStr">
        <is>
          <t>Near 52W High Breakout</t>
        </is>
      </c>
      <c r="S245" s="31" t="inlineStr">
        <is>
          <t>Nifty Pharma</t>
        </is>
      </c>
      <c r="T245" s="32" t="n">
        <v>18.76</v>
      </c>
      <c r="U245" s="32" t="n">
        <v>14.55</v>
      </c>
      <c r="V245" s="32" t="n">
        <v>-3.55</v>
      </c>
      <c r="W245" s="32" t="n">
        <v>12.25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Yes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Annuity, Lower One Time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Above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Blue sky scenario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Less than 12%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IF(B246=0,"",RANK(B246,$B$2:$B$304,0))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SIGNPOST</t>
        </is>
      </c>
      <c r="D246" s="31" t="inlineStr">
        <is>
          <t>Signpost India Ltd</t>
        </is>
      </c>
      <c r="E246" s="31" t="inlineStr">
        <is>
          <t>miscellaneous</t>
        </is>
      </c>
      <c r="F246" s="31" t="inlineStr">
        <is>
          <t>miscellaneous</t>
        </is>
      </c>
      <c r="G246" s="31" t="inlineStr">
        <is>
          <t>smallcap</t>
        </is>
      </c>
      <c r="H246" s="32" t="n">
        <v>1431.39</v>
      </c>
      <c r="I246" s="32" t="n">
        <v>276.25</v>
      </c>
      <c r="J246" s="32" t="n">
        <v>3.16</v>
      </c>
      <c r="K246" s="32" t="n">
        <v>102421</v>
      </c>
      <c r="L246" s="31" t="n">
        <v>5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52.67</v>
      </c>
      <c r="P246" s="32" t="n">
        <v>14.2</v>
      </c>
      <c r="Q246" s="32" t="n">
        <v>239.95</v>
      </c>
      <c r="R246" s="31" t="inlineStr">
        <is>
          <t>Volume Spike / Accumulation</t>
        </is>
      </c>
      <c r="S246" s="31" t="inlineStr">
        <is>
          <t>Nifty 50</t>
        </is>
      </c>
      <c r="T246" s="32" t="n">
        <v>-6.83</v>
      </c>
      <c r="U246" s="32" t="n">
        <v>-4.92</v>
      </c>
      <c r="V246" s="32" t="n">
        <v>2.05</v>
      </c>
      <c r="W246" s="32" t="n">
        <v>1.1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0 to 20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1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Less than 1.5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IF(B247=0,"",RANK(B247,$B$2:$B$304,0))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MAXESTATES</t>
        </is>
      </c>
      <c r="D247" s="31" t="inlineStr">
        <is>
          <t>Max Estates Ltd</t>
        </is>
      </c>
      <c r="E247" s="31" t="inlineStr">
        <is>
          <t>realty</t>
        </is>
      </c>
      <c r="F247" s="31" t="inlineStr">
        <is>
          <t>construction</t>
        </is>
      </c>
      <c r="G247" s="31" t="inlineStr">
        <is>
          <t>midcap</t>
        </is>
      </c>
      <c r="H247" s="32" t="n">
        <v>9151.76</v>
      </c>
      <c r="I247" s="32" t="n">
        <v>560.45</v>
      </c>
      <c r="J247" s="32" t="n">
        <v>0.13</v>
      </c>
      <c r="K247" s="32" t="n">
        <v>105077</v>
      </c>
      <c r="L247" s="31" t="n">
        <v>38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71.64</v>
      </c>
      <c r="P247" s="32" t="n">
        <v>24.89</v>
      </c>
      <c r="Q247" s="32" t="n">
        <v>428.96</v>
      </c>
      <c r="R247" s="31" t="inlineStr">
        <is>
          <t>Near 52W High Breakout</t>
        </is>
      </c>
      <c r="S247" s="31" t="inlineStr">
        <is>
          <t>Nifty Realty</t>
        </is>
      </c>
      <c r="T247" s="32" t="n">
        <v>-10.74</v>
      </c>
      <c r="U247" s="32" t="n">
        <v>9.640000000000001</v>
      </c>
      <c r="V247" s="32" t="n">
        <v>22.84</v>
      </c>
      <c r="W247" s="32" t="n">
        <v>12.28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Less than 12%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Yes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Between 0.7 to 1.2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IF(B248=0,"",RANK(B248,$B$2:$B$304,0))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LGBBROSLTD</t>
        </is>
      </c>
      <c r="D248" s="31" t="inlineStr">
        <is>
          <t>Lg Balakrishnan &amp; Bros Limited</t>
        </is>
      </c>
      <c r="E248" s="31" t="inlineStr">
        <is>
          <t>auto</t>
        </is>
      </c>
      <c r="F248" s="31" t="inlineStr">
        <is>
          <t>bearings</t>
        </is>
      </c>
      <c r="G248" s="31" t="inlineStr">
        <is>
          <t>midcap</t>
        </is>
      </c>
      <c r="H248" s="32" t="n">
        <v>5470.83</v>
      </c>
      <c r="I248" s="32" t="n">
        <v>1711</v>
      </c>
      <c r="J248" s="32" t="n">
        <v>-0.26</v>
      </c>
      <c r="K248" s="32" t="n">
        <v>21366</v>
      </c>
      <c r="L248" s="31" t="n">
        <v>20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58.1</v>
      </c>
      <c r="P248" s="32" t="n">
        <v>10.7</v>
      </c>
      <c r="Q248" s="32" t="n">
        <v>1424.95</v>
      </c>
      <c r="R248" s="31" t="inlineStr">
        <is>
          <t>Earnings / Momentum Support</t>
        </is>
      </c>
      <c r="S248" s="31" t="inlineStr">
        <is>
          <t>Nifty Auto</t>
        </is>
      </c>
      <c r="T248" s="32" t="n">
        <v>14.81</v>
      </c>
      <c r="U248" s="32" t="n">
        <v>36.42</v>
      </c>
      <c r="V248" s="32" t="n">
        <v>18.82</v>
      </c>
      <c r="W248" s="32" t="n">
        <v>6.74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Less than 12%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Less than 1.5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IF(B249=0,"",RANK(B249,$B$2:$B$304,0))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3" t="inlineStr">
        <is>
          <t>BEML</t>
        </is>
      </c>
      <c r="D249" s="33" t="inlineStr">
        <is>
          <t>Beml Limited</t>
        </is>
      </c>
      <c r="E249" s="31" t="inlineStr">
        <is>
          <t>aerospace &amp; defence</t>
        </is>
      </c>
      <c r="F249" s="31" t="inlineStr">
        <is>
          <t>engineering</t>
        </is>
      </c>
      <c r="G249" s="31" t="inlineStr">
        <is>
          <t>midcap</t>
        </is>
      </c>
      <c r="H249" s="32" t="n">
        <v>16899.34</v>
      </c>
      <c r="I249" s="32" t="n">
        <v>2023.4</v>
      </c>
      <c r="J249" s="32" t="n">
        <v>-0.28</v>
      </c>
      <c r="K249" s="32" t="n">
        <v>230934</v>
      </c>
      <c r="L249" s="31" t="n">
        <v>6</v>
      </c>
      <c r="M249" s="31" t="inlineStr">
        <is>
          <t>Underperforming</t>
        </is>
      </c>
      <c r="N249" s="32">
        <f>IF(M249="Underperforming",-5,IF(L249&gt;=95,15,IF(L249&gt;=90,10,IF(L249&gt;=80,5,0))))</f>
        <v/>
      </c>
      <c r="O249" s="32" t="n">
        <v>61.9</v>
      </c>
      <c r="P249" s="32" t="n">
        <v>17.04</v>
      </c>
      <c r="Q249" s="32" t="n">
        <v>1618.14</v>
      </c>
      <c r="R249" s="31" t="inlineStr">
        <is>
          <t>Volume Spike / Accumulation</t>
        </is>
      </c>
      <c r="S249" s="31" t="inlineStr">
        <is>
          <t>Nifty 50</t>
        </is>
      </c>
      <c r="T249" s="32" t="n">
        <v>-6.83</v>
      </c>
      <c r="U249" s="32" t="n">
        <v>-8.17</v>
      </c>
      <c r="V249" s="32" t="n">
        <v>-1.44</v>
      </c>
      <c r="W249" s="32" t="n">
        <v>2.27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0 to 20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IF(B250=0,"",RANK(B250,$B$2:$B$304,0))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3" t="inlineStr">
        <is>
          <t>RATNAMANI</t>
        </is>
      </c>
      <c r="D250" s="33" t="inlineStr">
        <is>
          <t>Ratnamani Metals &amp; Tubes Limited</t>
        </is>
      </c>
      <c r="E250" s="31" t="inlineStr">
        <is>
          <t>industrials</t>
        </is>
      </c>
      <c r="F250" s="31" t="inlineStr">
        <is>
          <t>steel - medium / small</t>
        </is>
      </c>
      <c r="G250" s="31" t="inlineStr">
        <is>
          <t>midcap</t>
        </is>
      </c>
      <c r="H250" s="32" t="n">
        <v>19786.97</v>
      </c>
      <c r="I250" s="32" t="n">
        <v>2811.4</v>
      </c>
      <c r="J250" s="32" t="n">
        <v>-0.41</v>
      </c>
      <c r="K250" s="32" t="n">
        <v>71947</v>
      </c>
      <c r="L250" s="31" t="n">
        <v>11</v>
      </c>
      <c r="M250" s="31" t="inlineStr">
        <is>
          <t>Underperforming</t>
        </is>
      </c>
      <c r="N250" s="32">
        <f>IF(M250="Underperforming",-5,IF(L250&gt;=95,15,IF(L250&gt;=90,10,IF(L250&gt;=80,5,0))))</f>
        <v/>
      </c>
      <c r="O250" s="32" t="n">
        <v>60.02</v>
      </c>
      <c r="P250" s="32" t="n">
        <v>24.59</v>
      </c>
      <c r="Q250" s="32" t="n">
        <v>2124.07</v>
      </c>
      <c r="R250" s="31" t="inlineStr">
        <is>
          <t>Near 52W High Breakout</t>
        </is>
      </c>
      <c r="S250" s="31" t="inlineStr">
        <is>
          <t>Nifty Metal</t>
        </is>
      </c>
      <c r="T250" s="32" t="n">
        <v>37.92</v>
      </c>
      <c r="U250" s="32" t="n">
        <v>4.83</v>
      </c>
      <c r="V250" s="32" t="n">
        <v>-23.99</v>
      </c>
      <c r="W250" s="32" t="n">
        <v>3.88</v>
      </c>
      <c r="X250" s="31" t="inlineStr">
        <is>
          <t>Cyclical in an Upturn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Yes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Less than 12%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Yes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IF(B251=0,"",RANK(B251,$B$2:$B$304,0))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DEEPINDS</t>
        </is>
      </c>
      <c r="D251" s="31" t="inlineStr">
        <is>
          <t>Deep Industries Ltd</t>
        </is>
      </c>
      <c r="E251" s="31" t="inlineStr">
        <is>
          <t>energy</t>
        </is>
      </c>
      <c r="F251" s="31" t="inlineStr">
        <is>
          <t>oil drilling / allied services</t>
        </is>
      </c>
      <c r="G251" s="31" t="inlineStr">
        <is>
          <t>midcap</t>
        </is>
      </c>
      <c r="H251" s="32" t="n">
        <v>5009.92</v>
      </c>
      <c r="I251" s="32" t="n">
        <v>774.4</v>
      </c>
      <c r="J251" s="32" t="n">
        <v>-1.07</v>
      </c>
      <c r="K251" s="32" t="n">
        <v>513815</v>
      </c>
      <c r="L251" s="31" t="n">
        <v>76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78.16</v>
      </c>
      <c r="P251" s="32" t="n">
        <v>33.06</v>
      </c>
      <c r="Q251" s="32" t="n">
        <v>608.1900000000001</v>
      </c>
      <c r="R251" s="31" t="inlineStr">
        <is>
          <t>Near 52W High Breakout</t>
        </is>
      </c>
      <c r="S251" s="31" t="inlineStr">
        <is>
          <t>Nifty Energy</t>
        </is>
      </c>
      <c r="T251" s="32" t="n">
        <v>7.62</v>
      </c>
      <c r="U251" s="32" t="n">
        <v>73.37</v>
      </c>
      <c r="V251" s="32" t="n">
        <v>61.1</v>
      </c>
      <c r="W251" s="32" t="n">
        <v>27.18</v>
      </c>
      <c r="X251" s="31" t="inlineStr">
        <is>
          <t>Cyclical in an Upturn</t>
        </is>
      </c>
      <c r="Y251" s="31">
        <f>IF(X251="Growing Industry",10,IF(X251="Cyclical in an Upturn",5,0))</f>
        <v/>
      </c>
      <c r="Z251" s="31" t="inlineStr">
        <is>
          <t>Oligopoly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Yes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Cyclical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Volatile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Above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Blue sky scenario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Less than 1.5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IF(B252=0,"",RANK(B252,$B$2:$B$304,0))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SHANTIGEAR</t>
        </is>
      </c>
      <c r="D252" s="31" t="inlineStr">
        <is>
          <t>Shanthi Gears Limited</t>
        </is>
      </c>
      <c r="E252" s="31" t="inlineStr">
        <is>
          <t>industrials</t>
        </is>
      </c>
      <c r="F252" s="31" t="inlineStr">
        <is>
          <t>engineering</t>
        </is>
      </c>
      <c r="G252" s="31" t="inlineStr">
        <is>
          <t>midcap</t>
        </is>
      </c>
      <c r="H252" s="32" t="n">
        <v>5565.35</v>
      </c>
      <c r="I252" s="32" t="n">
        <v>714.95</v>
      </c>
      <c r="J252" s="32" t="n">
        <v>-1.45</v>
      </c>
      <c r="K252" s="32" t="n">
        <v>146091</v>
      </c>
      <c r="L252" s="31" t="n">
        <v>64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84.14</v>
      </c>
      <c r="P252" s="32" t="n">
        <v>26.38</v>
      </c>
      <c r="Q252" s="32" t="n">
        <v>572.64</v>
      </c>
      <c r="R252" s="31" t="inlineStr">
        <is>
          <t>Near 52W High Breakout</t>
        </is>
      </c>
      <c r="S252" s="31" t="inlineStr">
        <is>
          <t>Nifty 50</t>
        </is>
      </c>
      <c r="T252" s="32" t="n">
        <v>-6.83</v>
      </c>
      <c r="U252" s="32" t="n">
        <v>29.33</v>
      </c>
      <c r="V252" s="32" t="n">
        <v>38.81</v>
      </c>
      <c r="W252" s="32" t="n">
        <v>20.81</v>
      </c>
      <c r="X252" s="31" t="inlineStr">
        <is>
          <t>Cyclical in an Upturn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20 to 40</t>
        </is>
      </c>
      <c r="AY252" s="31">
        <f>IF(AX252="Above 40",20,IF(AX252="20 to 40",10,IF(AX252="0 to 20",-5,0)))</f>
        <v/>
      </c>
      <c r="AZ252" s="31" t="inlineStr">
        <is>
          <t>Above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Blue sky scenario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Less than 12%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Yes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IF(B253=0,"",RANK(B253,$B$2:$B$304,0))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TNPETRO</t>
        </is>
      </c>
      <c r="D253" s="31" t="inlineStr">
        <is>
          <t>Tamilnadu Petroproducts Limited</t>
        </is>
      </c>
      <c r="E253" s="31" t="inlineStr">
        <is>
          <t>energy</t>
        </is>
      </c>
      <c r="F253" s="31" t="inlineStr">
        <is>
          <t>petrochemicals</t>
        </is>
      </c>
      <c r="G253" s="31" t="inlineStr">
        <is>
          <t>smallcap</t>
        </is>
      </c>
      <c r="H253" s="32" t="n">
        <v>1197.88</v>
      </c>
      <c r="I253" s="32" t="n">
        <v>128.9</v>
      </c>
      <c r="J253" s="32" t="n">
        <v>-3.18</v>
      </c>
      <c r="K253" s="32" t="n">
        <v>5650401</v>
      </c>
      <c r="L253" s="31" t="n">
        <v>50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73.33</v>
      </c>
      <c r="P253" s="32" t="n">
        <v>37</v>
      </c>
      <c r="Q253" s="32" t="n">
        <v>100.56</v>
      </c>
      <c r="R253" s="31" t="inlineStr">
        <is>
          <t>Volume Spike &amp; Near 52W High Breakout</t>
        </is>
      </c>
      <c r="S253" s="31" t="inlineStr">
        <is>
          <t>Nifty Energy</t>
        </is>
      </c>
      <c r="T253" s="32" t="n">
        <v>7.62</v>
      </c>
      <c r="U253" s="32" t="n">
        <v>27.26</v>
      </c>
      <c r="V253" s="32" t="n">
        <v>18.26</v>
      </c>
      <c r="W253" s="32" t="n">
        <v>16.44</v>
      </c>
      <c r="X253" s="31" t="inlineStr">
        <is>
          <t>Cyclical in an Upturn</t>
        </is>
      </c>
      <c r="Y253" s="31">
        <f>IF(X253="Growing Industry",10,IF(X253="Cyclical in an Upturn",5,0))</f>
        <v/>
      </c>
      <c r="Z253" s="31" t="inlineStr">
        <is>
          <t>Oligopoly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Yes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Cyclical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Volatile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Blue sky scenario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IF(B254=0,"",RANK(B254,$B$2:$B$304,0))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AXISCADES</t>
        </is>
      </c>
      <c r="D254" s="31" t="inlineStr">
        <is>
          <t>AXISCADES Technologies Ltd</t>
        </is>
      </c>
      <c r="E254" s="31" t="inlineStr">
        <is>
          <t>aerospace &amp; defence</t>
        </is>
      </c>
      <c r="F254" s="31" t="inlineStr">
        <is>
          <t>computers - software - medium / small</t>
        </is>
      </c>
      <c r="G254" s="31" t="inlineStr">
        <is>
          <t>midcap</t>
        </is>
      </c>
      <c r="H254" s="32" t="n">
        <v>7952.02</v>
      </c>
      <c r="I254" s="32" t="n">
        <v>1831.8</v>
      </c>
      <c r="J254" s="32" t="n">
        <v>-2.03</v>
      </c>
      <c r="K254" s="32" t="n">
        <v>131542</v>
      </c>
      <c r="L254" s="31" t="n">
        <v>12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57.97</v>
      </c>
      <c r="P254" s="32" t="n">
        <v>12.12</v>
      </c>
      <c r="Q254" s="32" t="n">
        <v>1428.03</v>
      </c>
      <c r="R254" s="31" t="inlineStr">
        <is>
          <t>Earnings / Momentum Support</t>
        </is>
      </c>
      <c r="S254" s="31" t="inlineStr">
        <is>
          <t>Nifty IT</t>
        </is>
      </c>
      <c r="T254" s="32" t="n">
        <v>-19.91</v>
      </c>
      <c r="U254" s="32" t="n">
        <v>16.02</v>
      </c>
      <c r="V254" s="32" t="n">
        <v>44.86</v>
      </c>
      <c r="W254" s="32" t="n">
        <v>3.94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Annuity, Lower One Time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0 to 20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Yes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IF(B255=0,"",RANK(B255,$B$2:$B$304,0))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IONEXCHANG</t>
        </is>
      </c>
      <c r="D255" s="31" t="inlineStr">
        <is>
          <t>Ion Exchange (India) Ltd</t>
        </is>
      </c>
      <c r="E255" s="31" t="inlineStr">
        <is>
          <t>realty</t>
        </is>
      </c>
      <c r="F255" s="31" t="inlineStr">
        <is>
          <t>engineering - turnkey services</t>
        </is>
      </c>
      <c r="G255" s="31" t="inlineStr">
        <is>
          <t>midcap</t>
        </is>
      </c>
      <c r="H255" s="32" t="n">
        <v>6386.6</v>
      </c>
      <c r="I255" s="32" t="n">
        <v>445.7</v>
      </c>
      <c r="J255" s="32" t="n">
        <v>2.35</v>
      </c>
      <c r="K255" s="32" t="n">
        <v>1336559</v>
      </c>
      <c r="L255" s="31" t="n">
        <v>7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60.3</v>
      </c>
      <c r="P255" s="32" t="n">
        <v>19.89</v>
      </c>
      <c r="Q255" s="32" t="n">
        <v>353.75</v>
      </c>
      <c r="R255" s="31" t="inlineStr">
        <is>
          <t>Volume Spike &amp; Near 52W High Breakout</t>
        </is>
      </c>
      <c r="S255" s="31" t="inlineStr">
        <is>
          <t>Nifty Realty</t>
        </is>
      </c>
      <c r="T255" s="32" t="n">
        <v>-10.74</v>
      </c>
      <c r="U255" s="32" t="n">
        <v>-3.75</v>
      </c>
      <c r="V255" s="32" t="n">
        <v>7.83</v>
      </c>
      <c r="W255" s="32" t="n">
        <v>2.45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0 to 20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Less than 12%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IF(B256=0,"",RANK(B256,$B$2:$B$304,0))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3" t="inlineStr">
        <is>
          <t>MAHSEAMLES</t>
        </is>
      </c>
      <c r="D256" s="33" t="inlineStr">
        <is>
          <t>Maharashtra Seamless Limited</t>
        </is>
      </c>
      <c r="E256" s="31" t="inlineStr">
        <is>
          <t>metals &amp; mining</t>
        </is>
      </c>
      <c r="F256" s="31" t="inlineStr">
        <is>
          <t>steel - medium / small</t>
        </is>
      </c>
      <c r="G256" s="31" t="inlineStr">
        <is>
          <t>midcap</t>
        </is>
      </c>
      <c r="H256" s="32" t="n">
        <v>9633.879999999999</v>
      </c>
      <c r="I256" s="32" t="n">
        <v>728.9</v>
      </c>
      <c r="J256" s="32" t="n">
        <v>1.38</v>
      </c>
      <c r="K256" s="32" t="n">
        <v>1045480</v>
      </c>
      <c r="L256" s="31" t="n">
        <v>16</v>
      </c>
      <c r="M256" s="31" t="inlineStr">
        <is>
          <t>Underperforming</t>
        </is>
      </c>
      <c r="N256" s="32">
        <f>IF(M256="Underperforming",-5,IF(L256&gt;=95,15,IF(L256&gt;=90,10,IF(L256&gt;=80,5,0))))</f>
        <v/>
      </c>
      <c r="O256" s="32" t="n">
        <v>75.23999999999999</v>
      </c>
      <c r="P256" s="32" t="n">
        <v>20.47</v>
      </c>
      <c r="Q256" s="32" t="n">
        <v>612.74</v>
      </c>
      <c r="R256" s="31" t="inlineStr">
        <is>
          <t>Volume Spike &amp; Near 52W High Breakout</t>
        </is>
      </c>
      <c r="S256" s="31" t="inlineStr">
        <is>
          <t>Nifty Metal</t>
        </is>
      </c>
      <c r="T256" s="32" t="n">
        <v>37.92</v>
      </c>
      <c r="U256" s="32" t="n">
        <v>6.37</v>
      </c>
      <c r="V256" s="32" t="n">
        <v>-22.88</v>
      </c>
      <c r="W256" s="32" t="n">
        <v>5.57</v>
      </c>
      <c r="X256" s="31" t="inlineStr">
        <is>
          <t>Cyclical in an Upturn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Cyclical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Volatile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Above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Blue sky scenario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Between 12 to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Less than 1.5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IF(B257=0,"",RANK(B257,$B$2:$B$304,0))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SBC</t>
        </is>
      </c>
      <c r="D257" s="31" t="inlineStr">
        <is>
          <t>SBC Exports Ltd</t>
        </is>
      </c>
      <c r="E257" s="31" t="inlineStr">
        <is>
          <t>textiles</t>
        </is>
      </c>
      <c r="F257" s="31" t="inlineStr">
        <is>
          <t>textiles - products</t>
        </is>
      </c>
      <c r="G257" s="31" t="inlineStr">
        <is>
          <t>smallcap</t>
        </is>
      </c>
      <c r="H257" s="32" t="n">
        <v>2288.09</v>
      </c>
      <c r="I257" s="32" t="n">
        <v>48.33</v>
      </c>
      <c r="J257" s="32" t="n">
        <v>0.58</v>
      </c>
      <c r="K257" s="32" t="n">
        <v>8267285</v>
      </c>
      <c r="L257" s="31" t="n">
        <v>70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75.34</v>
      </c>
      <c r="P257" s="32" t="n">
        <v>33.61</v>
      </c>
      <c r="Q257" s="32" t="n">
        <v>39.52</v>
      </c>
      <c r="R257" s="31" t="inlineStr">
        <is>
          <t>Near 52W High Breakout</t>
        </is>
      </c>
      <c r="S257" s="31" t="inlineStr">
        <is>
          <t>Nifty 50</t>
        </is>
      </c>
      <c r="T257" s="32" t="n">
        <v>-6.83</v>
      </c>
      <c r="U257" s="32" t="n">
        <v>121.29</v>
      </c>
      <c r="V257" s="32" t="n">
        <v>137.52</v>
      </c>
      <c r="W257" s="32" t="n">
        <v>23.73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20 to 40</t>
        </is>
      </c>
      <c r="AY257" s="31">
        <f>IF(AX257="Above 40",20,IF(AX257="20 to 40",10,IF(AX257="0 to 20",-5,0)))</f>
        <v/>
      </c>
      <c r="AZ257" s="31" t="inlineStr">
        <is>
          <t>Above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Blue sky scenario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Yes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More than 1.2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IF(B258=0,"",RANK(B258,$B$2:$B$304,0))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SHALPAINTS</t>
        </is>
      </c>
      <c r="D258" s="31" t="inlineStr">
        <is>
          <t>Shalimar Paints Limited</t>
        </is>
      </c>
      <c r="E258" s="31" t="inlineStr">
        <is>
          <t>building materials</t>
        </is>
      </c>
      <c r="F258" s="31" t="inlineStr">
        <is>
          <t>paints / varnishes</t>
        </is>
      </c>
      <c r="G258" s="31" t="inlineStr">
        <is>
          <t>smallcap</t>
        </is>
      </c>
      <c r="H258" s="32" t="n">
        <v>715.23</v>
      </c>
      <c r="I258" s="32" t="n">
        <v>85.73</v>
      </c>
      <c r="J258" s="32" t="n">
        <v>0.34</v>
      </c>
      <c r="K258" s="32" t="n">
        <v>139971</v>
      </c>
      <c r="L258" s="31" t="n">
        <v>59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65.12</v>
      </c>
      <c r="P258" s="32" t="n">
        <v>29.49</v>
      </c>
      <c r="Q258" s="32" t="n">
        <v>66.06</v>
      </c>
      <c r="R258" s="31" t="inlineStr">
        <is>
          <t>Earnings / Momentum Support</t>
        </is>
      </c>
      <c r="S258" s="31" t="inlineStr">
        <is>
          <t>Nifty Infra</t>
        </is>
      </c>
      <c r="T258" s="32" t="n">
        <v>0.12</v>
      </c>
      <c r="U258" s="32" t="n">
        <v>1.43</v>
      </c>
      <c r="V258" s="32" t="n">
        <v>1.31</v>
      </c>
      <c r="W258" s="32" t="n">
        <v>19.04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Negative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Less than 1.5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IF(B259=0,"",RANK(B259,$B$2:$B$304,0))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PANACHE</t>
        </is>
      </c>
      <c r="D259" s="31" t="inlineStr">
        <is>
          <t>Panache Digilife Ltd</t>
        </is>
      </c>
      <c r="E259" s="31" t="inlineStr">
        <is>
          <t>i.t</t>
        </is>
      </c>
      <c r="F259" s="31" t="inlineStr">
        <is>
          <t>computers - hardware</t>
        </is>
      </c>
      <c r="G259" s="31" t="inlineStr">
        <is>
          <t>smallcap</t>
        </is>
      </c>
      <c r="H259" s="32" t="n">
        <v>831.13</v>
      </c>
      <c r="I259" s="32" t="n">
        <v>519</v>
      </c>
      <c r="J259" s="32" t="n">
        <v>0</v>
      </c>
      <c r="K259" s="32" t="n">
        <v>2302</v>
      </c>
      <c r="L259" s="31" t="n">
        <v>72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69.39</v>
      </c>
      <c r="P259" s="32" t="n">
        <v>35.02</v>
      </c>
      <c r="Q259" s="32" t="n">
        <v>413.92</v>
      </c>
      <c r="R259" s="31" t="inlineStr">
        <is>
          <t>Near 52W High Breakout</t>
        </is>
      </c>
      <c r="S259" s="31" t="inlineStr">
        <is>
          <t>Nifty IT</t>
        </is>
      </c>
      <c r="T259" s="32" t="n">
        <v>-19.91</v>
      </c>
      <c r="U259" s="32" t="n">
        <v>96.98999999999999</v>
      </c>
      <c r="V259" s="32" t="n">
        <v>145.95</v>
      </c>
      <c r="W259" s="32" t="n">
        <v>24.62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20 to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Negative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Blue sky scenario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IF(B260=0,"",RANK(B260,$B$2:$B$304,0))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GMMPFAUDLR</t>
        </is>
      </c>
      <c r="D260" s="31" t="inlineStr">
        <is>
          <t>GMM Pfaudler Ltd</t>
        </is>
      </c>
      <c r="E260" s="31" t="inlineStr">
        <is>
          <t>industrials</t>
        </is>
      </c>
      <c r="F260" s="31" t="inlineStr">
        <is>
          <t>engineering</t>
        </is>
      </c>
      <c r="G260" s="31" t="inlineStr">
        <is>
          <t>midcap</t>
        </is>
      </c>
      <c r="H260" s="32" t="n">
        <v>5930.76</v>
      </c>
      <c r="I260" s="32" t="n">
        <v>1307.9</v>
      </c>
      <c r="J260" s="32" t="n">
        <v>-0.86</v>
      </c>
      <c r="K260" s="32" t="n">
        <v>261557</v>
      </c>
      <c r="L260" s="31" t="n">
        <v>66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76.98</v>
      </c>
      <c r="P260" s="32" t="n">
        <v>31.49</v>
      </c>
      <c r="Q260" s="32" t="n">
        <v>1052.3</v>
      </c>
      <c r="R260" s="31" t="inlineStr">
        <is>
          <t>Volume Spike &amp; Near 52W High Breakout</t>
        </is>
      </c>
      <c r="S260" s="31" t="inlineStr">
        <is>
          <t>Nifty 50</t>
        </is>
      </c>
      <c r="T260" s="32" t="n">
        <v>-6.83</v>
      </c>
      <c r="U260" s="32" t="n">
        <v>14.55</v>
      </c>
      <c r="V260" s="32" t="n">
        <v>22.95</v>
      </c>
      <c r="W260" s="32" t="n">
        <v>21.37</v>
      </c>
      <c r="X260" s="31" t="inlineStr">
        <is>
          <t>Cyclical in an Upturn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Yes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Above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Between 0.7 to 1.2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IF(B261=0,"",RANK(B261,$B$2:$B$304,0))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NAVINFLUOR</t>
        </is>
      </c>
      <c r="D261" s="31" t="inlineStr">
        <is>
          <t>Navin Fluorine International Limited</t>
        </is>
      </c>
      <c r="E261" s="31" t="inlineStr">
        <is>
          <t>chemicals</t>
        </is>
      </c>
      <c r="F261" s="31" t="inlineStr">
        <is>
          <t>chemicals</t>
        </is>
      </c>
      <c r="G261" s="31" t="inlineStr">
        <is>
          <t>largecap</t>
        </is>
      </c>
      <c r="H261" s="32" t="n">
        <v>44625.87</v>
      </c>
      <c r="I261" s="32" t="n">
        <v>8543.5</v>
      </c>
      <c r="J261" s="32" t="n">
        <v>-1.8</v>
      </c>
      <c r="K261" s="32" t="n">
        <v>86538</v>
      </c>
      <c r="L261" s="31" t="n">
        <v>49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77.56</v>
      </c>
      <c r="P261" s="32" t="n">
        <v>60.77</v>
      </c>
      <c r="Q261" s="32" t="n">
        <v>7143.24</v>
      </c>
      <c r="R261" s="31" t="inlineStr">
        <is>
          <t>Near 52W High Breakout</t>
        </is>
      </c>
      <c r="S261" s="31" t="inlineStr">
        <is>
          <t>Nifty 50</t>
        </is>
      </c>
      <c r="T261" s="32" t="n">
        <v>-6.83</v>
      </c>
      <c r="U261" s="32" t="n">
        <v>78.73</v>
      </c>
      <c r="V261" s="32" t="n">
        <v>91.84</v>
      </c>
      <c r="W261" s="32" t="n">
        <v>16.24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Oligopoly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Shallow Cyclical (2 to 3 Years Growth)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3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Between 50% to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IF(B262=0,"",RANK(B262,$B$2:$B$304,0))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ALEMBICLTD</t>
        </is>
      </c>
      <c r="D262" s="31" t="inlineStr">
        <is>
          <t>Alembic Limited</t>
        </is>
      </c>
      <c r="E262" s="31" t="inlineStr">
        <is>
          <t>realty</t>
        </is>
      </c>
      <c r="F262" s="31" t="inlineStr">
        <is>
          <t>construction</t>
        </is>
      </c>
      <c r="G262" s="31" t="inlineStr">
        <is>
          <t>smallcap</t>
        </is>
      </c>
      <c r="H262" s="32" t="n">
        <v>2734.73</v>
      </c>
      <c r="I262" s="32" t="n">
        <v>104.33</v>
      </c>
      <c r="J262" s="32" t="n">
        <v>-2.04</v>
      </c>
      <c r="K262" s="32" t="n">
        <v>698680</v>
      </c>
      <c r="L262" s="31" t="n">
        <v>8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62.69</v>
      </c>
      <c r="P262" s="32" t="n">
        <v>17.05</v>
      </c>
      <c r="Q262" s="32" t="n">
        <v>89.43000000000001</v>
      </c>
      <c r="R262" s="31" t="inlineStr">
        <is>
          <t>Earnings / Momentum Support</t>
        </is>
      </c>
      <c r="S262" s="31" t="inlineStr">
        <is>
          <t>Nifty Realty</t>
        </is>
      </c>
      <c r="T262" s="32" t="n">
        <v>-10.74</v>
      </c>
      <c r="U262" s="32" t="n">
        <v>-4.85</v>
      </c>
      <c r="V262" s="32" t="n">
        <v>6.6</v>
      </c>
      <c r="W262" s="32" t="n">
        <v>2.91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0 to 20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Less than 12%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Between 1.5 to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IF(B263=0,"",RANK(B263,$B$2:$B$304,0))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CYIENT</t>
        </is>
      </c>
      <c r="D263" s="31" t="inlineStr">
        <is>
          <t>Cyient Limited</t>
        </is>
      </c>
      <c r="E263" s="31" t="inlineStr">
        <is>
          <t>i.t</t>
        </is>
      </c>
      <c r="F263" s="31" t="inlineStr">
        <is>
          <t>computers - software - medium / small</t>
        </is>
      </c>
      <c r="G263" s="31" t="inlineStr">
        <is>
          <t>midcap</t>
        </is>
      </c>
      <c r="H263" s="32" t="n">
        <v>11274.41</v>
      </c>
      <c r="I263" s="32" t="n">
        <v>1059.4</v>
      </c>
      <c r="J263" s="32" t="n">
        <v>-1.58</v>
      </c>
      <c r="K263" s="32" t="n">
        <v>308753</v>
      </c>
      <c r="L263" s="31" t="n">
        <v>8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61.58</v>
      </c>
      <c r="P263" s="32" t="n">
        <v>16.09</v>
      </c>
      <c r="Q263" s="32" t="n">
        <v>877.85</v>
      </c>
      <c r="R263" s="31" t="inlineStr">
        <is>
          <t>Earnings / Momentum Support</t>
        </is>
      </c>
      <c r="S263" s="31" t="inlineStr">
        <is>
          <t>Nifty IT</t>
        </is>
      </c>
      <c r="T263" s="32" t="n">
        <v>-19.91</v>
      </c>
      <c r="U263" s="32" t="n">
        <v>-12.5</v>
      </c>
      <c r="V263" s="32" t="n">
        <v>9.25</v>
      </c>
      <c r="W263" s="32" t="n">
        <v>2.64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Annuity, Lower One Time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Less than 12%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No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IF(B264=0,"",RANK(B264,$B$2:$B$304,0))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ASIANENE</t>
        </is>
      </c>
      <c r="D264" s="31" t="inlineStr">
        <is>
          <t>Asian Energy Services Ltd</t>
        </is>
      </c>
      <c r="E264" s="31" t="inlineStr">
        <is>
          <t>energy</t>
        </is>
      </c>
      <c r="F264" s="31" t="inlineStr">
        <is>
          <t>oil drilling / allied services</t>
        </is>
      </c>
      <c r="G264" s="31" t="inlineStr">
        <is>
          <t>smallcap</t>
        </is>
      </c>
      <c r="H264" s="32" t="n">
        <v>2596.58</v>
      </c>
      <c r="I264" s="32" t="n">
        <v>535.1</v>
      </c>
      <c r="J264" s="32" t="n">
        <v>0.22</v>
      </c>
      <c r="K264" s="32" t="n">
        <v>492430</v>
      </c>
      <c r="L264" s="31" t="n">
        <v>83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75.58</v>
      </c>
      <c r="P264" s="32" t="n">
        <v>24.85</v>
      </c>
      <c r="Q264" s="32" t="n">
        <v>391.53</v>
      </c>
      <c r="R264" s="31" t="inlineStr">
        <is>
          <t>Near 52W High Breakout</t>
        </is>
      </c>
      <c r="S264" s="31" t="inlineStr">
        <is>
          <t>Nifty Energy</t>
        </is>
      </c>
      <c r="T264" s="32" t="n">
        <v>7.62</v>
      </c>
      <c r="U264" s="32" t="n">
        <v>88.19</v>
      </c>
      <c r="V264" s="32" t="n">
        <v>74.87</v>
      </c>
      <c r="W264" s="32" t="n">
        <v>33.34</v>
      </c>
      <c r="X264" s="31" t="inlineStr">
        <is>
          <t>Cyclical in an Upturn</t>
        </is>
      </c>
      <c r="Y264" s="31">
        <f>IF(X264="Growing Industry",10,IF(X264="Cyclical in an Upturn",5,0))</f>
        <v/>
      </c>
      <c r="Z264" s="31" t="inlineStr">
        <is>
          <t>Oligopoly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Yes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Cyclical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Volatile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Above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Blue sky scenario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Yes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IF(B265=0,"",RANK(B265,$B$2:$B$304,0))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DICIND</t>
        </is>
      </c>
      <c r="D265" s="31" t="inlineStr">
        <is>
          <t>Dic India Limited</t>
        </is>
      </c>
      <c r="E265" s="31" t="inlineStr">
        <is>
          <t>chemicals</t>
        </is>
      </c>
      <c r="F265" s="31" t="inlineStr">
        <is>
          <t>chemicals</t>
        </is>
      </c>
      <c r="G265" s="31" t="inlineStr">
        <is>
          <t>smallcap</t>
        </is>
      </c>
      <c r="H265" s="32" t="n">
        <v>551.89</v>
      </c>
      <c r="I265" s="32" t="n">
        <v>602.1</v>
      </c>
      <c r="J265" s="32" t="n">
        <v>0.14</v>
      </c>
      <c r="K265" s="32" t="n">
        <v>2447</v>
      </c>
      <c r="L265" s="31" t="n">
        <v>19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65.36</v>
      </c>
      <c r="P265" s="32" t="n">
        <v>15.72</v>
      </c>
      <c r="Q265" s="32" t="n">
        <v>471.56</v>
      </c>
      <c r="R265" s="31" t="inlineStr">
        <is>
          <t>Near 52W High Breakout</t>
        </is>
      </c>
      <c r="S265" s="31" t="inlineStr">
        <is>
          <t>Nifty 50</t>
        </is>
      </c>
      <c r="T265" s="32" t="n">
        <v>-6.83</v>
      </c>
      <c r="U265" s="32" t="n">
        <v>7.28</v>
      </c>
      <c r="V265" s="32" t="n">
        <v>15.15</v>
      </c>
      <c r="W265" s="32" t="n">
        <v>6.4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Yes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Negative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IF(B266=0,"",RANK(B266,$B$2:$B$304,0))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ADANIPORTS</t>
        </is>
      </c>
      <c r="D266" s="31" t="inlineStr">
        <is>
          <t>Adani Ports And Special Economic Zone Limited</t>
        </is>
      </c>
      <c r="E266" s="31" t="inlineStr">
        <is>
          <t>transportation</t>
        </is>
      </c>
      <c r="F266" s="31" t="inlineStr">
        <is>
          <t>miscellaneous</t>
        </is>
      </c>
      <c r="G266" s="31" t="inlineStr">
        <is>
          <t>largecap</t>
        </is>
      </c>
      <c r="H266" s="32" t="n">
        <v>407339.97</v>
      </c>
      <c r="I266" s="32" t="n">
        <v>1764.6</v>
      </c>
      <c r="J266" s="32" t="n">
        <v>-0.19</v>
      </c>
      <c r="K266" s="32" t="n">
        <v>1674823</v>
      </c>
      <c r="L266" s="31" t="n">
        <v>15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59.11</v>
      </c>
      <c r="P266" s="32" t="n">
        <v>19.77</v>
      </c>
      <c r="Q266" s="32" t="n">
        <v>1616.46</v>
      </c>
      <c r="R266" s="31" t="inlineStr">
        <is>
          <t>Earnings / Momentum Support</t>
        </is>
      </c>
      <c r="S266" s="31" t="inlineStr">
        <is>
          <t>Nifty 50</t>
        </is>
      </c>
      <c r="T266" s="32" t="n">
        <v>-6.83</v>
      </c>
      <c r="U266" s="32" t="n">
        <v>27.2</v>
      </c>
      <c r="V266" s="32" t="n">
        <v>36.53</v>
      </c>
      <c r="W266" s="32" t="n">
        <v>5.41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0 to 20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Less than 12%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IF(B267=0,"",RANK(B267,$B$2:$B$304,0))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RAMRAT</t>
        </is>
      </c>
      <c r="D267" s="31" t="inlineStr">
        <is>
          <t>Ram Ratna Wires Ltd</t>
        </is>
      </c>
      <c r="E267" s="31" t="inlineStr">
        <is>
          <t>metals &amp; mining</t>
        </is>
      </c>
      <c r="F267" s="31" t="inlineStr">
        <is>
          <t>mining / minerals / metals</t>
        </is>
      </c>
      <c r="G267" s="31" t="inlineStr">
        <is>
          <t>midcap</t>
        </is>
      </c>
      <c r="H267" s="32" t="n">
        <v>5010.51</v>
      </c>
      <c r="I267" s="32" t="n">
        <v>532.4</v>
      </c>
      <c r="J267" s="32" t="n">
        <v>-0.8100000000000001</v>
      </c>
      <c r="K267" s="32" t="n">
        <v>107590</v>
      </c>
      <c r="L267" s="31" t="n">
        <v>59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66.75</v>
      </c>
      <c r="P267" s="32" t="n">
        <v>44.82</v>
      </c>
      <c r="Q267" s="32" t="n">
        <v>447.04</v>
      </c>
      <c r="R267" s="31" t="inlineStr">
        <is>
          <t>Earnings / Momentum Support</t>
        </is>
      </c>
      <c r="S267" s="31" t="inlineStr">
        <is>
          <t>Nifty Metal</t>
        </is>
      </c>
      <c r="T267" s="32" t="n">
        <v>37.92</v>
      </c>
      <c r="U267" s="32" t="n">
        <v>53.01</v>
      </c>
      <c r="V267" s="32" t="n">
        <v>10.94</v>
      </c>
      <c r="W267" s="32" t="n">
        <v>18.66</v>
      </c>
      <c r="X267" s="31" t="inlineStr">
        <is>
          <t>Cyclical in an Upturn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Cyclical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Volatile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Above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Between 0.7 to 1.2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IF(B268=0,"",RANK(B268,$B$2:$B$304,0))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3" t="inlineStr">
        <is>
          <t>SPLPETRO</t>
        </is>
      </c>
      <c r="D268" s="33" t="inlineStr">
        <is>
          <t>Supreme Petrochem Ltd</t>
        </is>
      </c>
      <c r="E268" s="31" t="inlineStr">
        <is>
          <t>energy</t>
        </is>
      </c>
      <c r="F268" s="31" t="inlineStr">
        <is>
          <t>petrochemicals</t>
        </is>
      </c>
      <c r="G268" s="31" t="inlineStr">
        <is>
          <t>midcap</t>
        </is>
      </c>
      <c r="H268" s="32" t="n">
        <v>15572.64</v>
      </c>
      <c r="I268" s="32" t="n">
        <v>818.35</v>
      </c>
      <c r="J268" s="32" t="n">
        <v>-1.18</v>
      </c>
      <c r="K268" s="32" t="n">
        <v>176561</v>
      </c>
      <c r="L268" s="31" t="n">
        <v>17</v>
      </c>
      <c r="M268" s="31" t="inlineStr">
        <is>
          <t>Underperforming</t>
        </is>
      </c>
      <c r="N268" s="32">
        <f>IF(M268="Underperforming",-5,IF(L268&gt;=95,15,IF(L268&gt;=90,10,IF(L268&gt;=80,5,0))))</f>
        <v/>
      </c>
      <c r="O268" s="32" t="n">
        <v>62.84</v>
      </c>
      <c r="P268" s="32" t="n">
        <v>26.97</v>
      </c>
      <c r="Q268" s="32" t="n">
        <v>643.03</v>
      </c>
      <c r="R268" s="31" t="inlineStr">
        <is>
          <t>Near 52W High Breakout</t>
        </is>
      </c>
      <c r="S268" s="31" t="inlineStr">
        <is>
          <t>Nifty Energy</t>
        </is>
      </c>
      <c r="T268" s="32" t="n">
        <v>7.62</v>
      </c>
      <c r="U268" s="32" t="n">
        <v>3.76</v>
      </c>
      <c r="V268" s="32" t="n">
        <v>-3.59</v>
      </c>
      <c r="W268" s="32" t="n">
        <v>5.8</v>
      </c>
      <c r="X268" s="31" t="inlineStr">
        <is>
          <t>Cyclical in an Upturn</t>
        </is>
      </c>
      <c r="Y268" s="31">
        <f>IF(X268="Growing Industry",10,IF(X268="Cyclical in an Upturn",5,0))</f>
        <v/>
      </c>
      <c r="Z268" s="31" t="inlineStr">
        <is>
          <t>Oligopoly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Yes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Cyclical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Volatile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Yes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20 to 40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IF(B269=0,"",RANK(B269,$B$2:$B$304,0))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HINDOILEXP</t>
        </is>
      </c>
      <c r="D269" s="31" t="inlineStr">
        <is>
          <t>Hindustan Oil Exploration Company Limited</t>
        </is>
      </c>
      <c r="E269" s="31" t="inlineStr">
        <is>
          <t>energy</t>
        </is>
      </c>
      <c r="F269" s="31" t="inlineStr">
        <is>
          <t>oil drilling / allied services</t>
        </is>
      </c>
      <c r="G269" s="31" t="inlineStr">
        <is>
          <t>smallcap</t>
        </is>
      </c>
      <c r="H269" s="32" t="n">
        <v>2481.68</v>
      </c>
      <c r="I269" s="32" t="n">
        <v>185.22</v>
      </c>
      <c r="J269" s="32" t="n">
        <v>-1.3</v>
      </c>
      <c r="K269" s="32" t="n">
        <v>1154009</v>
      </c>
      <c r="L269" s="31" t="n">
        <v>24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64.38</v>
      </c>
      <c r="P269" s="32" t="n">
        <v>41</v>
      </c>
      <c r="Q269" s="32" t="n">
        <v>140.8</v>
      </c>
      <c r="R269" s="31" t="inlineStr">
        <is>
          <t>Near 52W High Breakout</t>
        </is>
      </c>
      <c r="S269" s="31" t="inlineStr">
        <is>
          <t>Nifty Energy</t>
        </is>
      </c>
      <c r="T269" s="32" t="n">
        <v>7.62</v>
      </c>
      <c r="U269" s="32" t="n">
        <v>14.39</v>
      </c>
      <c r="V269" s="32" t="n">
        <v>6.29</v>
      </c>
      <c r="W269" s="32" t="n">
        <v>8.08</v>
      </c>
      <c r="X269" s="31" t="inlineStr">
        <is>
          <t>Cyclical in an Upturn</t>
        </is>
      </c>
      <c r="Y269" s="31">
        <f>IF(X269="Growing Industry",10,IF(X269="Cyclical in an Upturn",5,0))</f>
        <v/>
      </c>
      <c r="Z269" s="31" t="inlineStr">
        <is>
          <t>Oligopoly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Yes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Cyclical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Volatile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Yes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Above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Less than 12%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IF(B270=0,"",RANK(B270,$B$2:$B$304,0))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3" t="inlineStr">
        <is>
          <t>KILITCH</t>
        </is>
      </c>
      <c r="D270" s="33" t="inlineStr">
        <is>
          <t>Kilitch Drugs (india) Limited</t>
        </is>
      </c>
      <c r="E270" s="31" t="inlineStr">
        <is>
          <t>healthcare</t>
        </is>
      </c>
      <c r="F270" s="31" t="inlineStr">
        <is>
          <t>pharmaceuticals - indian - formulations</t>
        </is>
      </c>
      <c r="G270" s="31" t="inlineStr">
        <is>
          <t>smallcap</t>
        </is>
      </c>
      <c r="H270" s="32" t="n">
        <v>646.89</v>
      </c>
      <c r="I270" s="32" t="n">
        <v>185.97</v>
      </c>
      <c r="J270" s="32" t="n">
        <v>0.51</v>
      </c>
      <c r="K270" s="32" t="n">
        <v>22611</v>
      </c>
      <c r="L270" s="31" t="n">
        <v>4</v>
      </c>
      <c r="M270" s="31" t="inlineStr">
        <is>
          <t>Underperforming</t>
        </is>
      </c>
      <c r="N270" s="32">
        <f>IF(M270="Underperforming",-5,IF(L270&gt;=95,15,IF(L270&gt;=90,10,IF(L270&gt;=80,5,0))))</f>
        <v/>
      </c>
      <c r="O270" s="32" t="n">
        <v>55.11</v>
      </c>
      <c r="P270" s="32" t="n">
        <v>26.82</v>
      </c>
      <c r="Q270" s="32" t="n">
        <v>139.1</v>
      </c>
      <c r="R270" s="31" t="inlineStr">
        <is>
          <t>Near 52W High Breakout</t>
        </is>
      </c>
      <c r="S270" s="31" t="inlineStr">
        <is>
          <t>Nifty Pharma</t>
        </is>
      </c>
      <c r="T270" s="32" t="n">
        <v>18.76</v>
      </c>
      <c r="U270" s="32" t="n">
        <v>3.3</v>
      </c>
      <c r="V270" s="32" t="n">
        <v>-13.02</v>
      </c>
      <c r="W270" s="32" t="n">
        <v>0.86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Yes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Yes</t>
        </is>
      </c>
      <c r="AQ270" s="31">
        <f>IF(AP270="Yes",10,0)</f>
        <v/>
      </c>
      <c r="AR270" s="31" t="inlineStr">
        <is>
          <t>Higher Annuity, Lower One Time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20 to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1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Less than 12%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IF(B271=0,"",RANK(B271,$B$2:$B$304,0))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GODREJAGRO</t>
        </is>
      </c>
      <c r="D271" s="31" t="inlineStr">
        <is>
          <t>Godrej Agrovet Ltd</t>
        </is>
      </c>
      <c r="E271" s="31" t="inlineStr">
        <is>
          <t>fmcg</t>
        </is>
      </c>
      <c r="F271" s="31" t="inlineStr">
        <is>
          <t>food - processing - indian</t>
        </is>
      </c>
      <c r="G271" s="31" t="inlineStr">
        <is>
          <t>midcap</t>
        </is>
      </c>
      <c r="H271" s="32" t="n">
        <v>12946.79</v>
      </c>
      <c r="I271" s="32" t="n">
        <v>675.85</v>
      </c>
      <c r="J271" s="32" t="n">
        <v>0.42</v>
      </c>
      <c r="K271" s="32" t="n">
        <v>217886</v>
      </c>
      <c r="L271" s="31" t="n">
        <v>4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69.19</v>
      </c>
      <c r="P271" s="32" t="n">
        <v>19.57</v>
      </c>
      <c r="Q271" s="32" t="n">
        <v>558.1799999999999</v>
      </c>
      <c r="R271" s="31" t="inlineStr">
        <is>
          <t>Earnings / Momentum Support</t>
        </is>
      </c>
      <c r="S271" s="31" t="inlineStr">
        <is>
          <t>Nifty FMCG</t>
        </is>
      </c>
      <c r="T271" s="32" t="n">
        <v>-17.45</v>
      </c>
      <c r="U271" s="32" t="n">
        <v>-16.8</v>
      </c>
      <c r="V271" s="32" t="n">
        <v>0.79</v>
      </c>
      <c r="W271" s="32" t="n">
        <v>0.91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B2C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Annuity, Lower One Time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Less than 12%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No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Between 0.7 to 1.2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IF(B272=0,"",RANK(B272,$B$2:$B$304,0))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JAMNAAUTO</t>
        </is>
      </c>
      <c r="D272" s="31" t="inlineStr">
        <is>
          <t>Jamna Auto Industries Limited</t>
        </is>
      </c>
      <c r="E272" s="31" t="inlineStr">
        <is>
          <t>auto</t>
        </is>
      </c>
      <c r="F272" s="31" t="inlineStr">
        <is>
          <t>auto ancillaries</t>
        </is>
      </c>
      <c r="G272" s="31" t="inlineStr">
        <is>
          <t>midcap</t>
        </is>
      </c>
      <c r="H272" s="32" t="n">
        <v>5271.59</v>
      </c>
      <c r="I272" s="32" t="n">
        <v>135.46</v>
      </c>
      <c r="J272" s="32" t="n">
        <v>2.73</v>
      </c>
      <c r="K272" s="32" t="n">
        <v>6244729</v>
      </c>
      <c r="L272" s="31" t="n">
        <v>33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55.47</v>
      </c>
      <c r="P272" s="32" t="n">
        <v>30.66</v>
      </c>
      <c r="Q272" s="32" t="n">
        <v>111.49</v>
      </c>
      <c r="R272" s="31" t="inlineStr">
        <is>
          <t>Earnings / Momentum Support</t>
        </is>
      </c>
      <c r="S272" s="31" t="inlineStr">
        <is>
          <t>Nifty Auto</t>
        </is>
      </c>
      <c r="T272" s="32" t="n">
        <v>14.81</v>
      </c>
      <c r="U272" s="32" t="n">
        <v>47.88</v>
      </c>
      <c r="V272" s="32" t="n">
        <v>28.8</v>
      </c>
      <c r="W272" s="32" t="n">
        <v>10.5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1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Less than 12%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No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IF(B273=0,"",RANK(B273,$B$2:$B$304,0))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LUMAXTECH</t>
        </is>
      </c>
      <c r="D273" s="31" t="inlineStr">
        <is>
          <t>Lumax Auto Technologies Limited</t>
        </is>
      </c>
      <c r="E273" s="31" t="inlineStr">
        <is>
          <t>auto</t>
        </is>
      </c>
      <c r="F273" s="31" t="inlineStr">
        <is>
          <t>auto ancillaries</t>
        </is>
      </c>
      <c r="G273" s="31" t="inlineStr">
        <is>
          <t>midcap</t>
        </is>
      </c>
      <c r="H273" s="32" t="n">
        <v>13240.32</v>
      </c>
      <c r="I273" s="32" t="n">
        <v>1993.7</v>
      </c>
      <c r="J273" s="32" t="n">
        <v>2.63</v>
      </c>
      <c r="K273" s="32" t="n">
        <v>164997</v>
      </c>
      <c r="L273" s="31" t="n">
        <v>55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64.95</v>
      </c>
      <c r="P273" s="32" t="n">
        <v>20.4</v>
      </c>
      <c r="Q273" s="32" t="n">
        <v>1542.75</v>
      </c>
      <c r="R273" s="31" t="inlineStr">
        <is>
          <t>Near 52W High Breakout</t>
        </is>
      </c>
      <c r="S273" s="31" t="inlineStr">
        <is>
          <t>Nifty Auto</t>
        </is>
      </c>
      <c r="T273" s="32" t="n">
        <v>14.81</v>
      </c>
      <c r="U273" s="32" t="n">
        <v>93.73</v>
      </c>
      <c r="V273" s="32" t="n">
        <v>68.73</v>
      </c>
      <c r="W273" s="32" t="n">
        <v>17.64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Yes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Negative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Blue sky scenario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Between 0.7 to 1.2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IF(B274=0,"",RANK(B274,$B$2:$B$304,0))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KAPSTON</t>
        </is>
      </c>
      <c r="D274" s="31" t="inlineStr">
        <is>
          <t>Kapston Services Ltd</t>
        </is>
      </c>
      <c r="E274" s="31" t="inlineStr">
        <is>
          <t>miscellaneous</t>
        </is>
      </c>
      <c r="F274" s="31" t="inlineStr">
        <is>
          <t>miscellaneous</t>
        </is>
      </c>
      <c r="G274" s="31" t="inlineStr">
        <is>
          <t>smallcap</t>
        </is>
      </c>
      <c r="H274" s="32" t="n">
        <v>1780.13</v>
      </c>
      <c r="I274" s="32" t="n">
        <v>588.2</v>
      </c>
      <c r="J274" s="32" t="n">
        <v>0.5600000000000001</v>
      </c>
      <c r="K274" s="32" t="n">
        <v>63762</v>
      </c>
      <c r="L274" s="31" t="n">
        <v>87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74.73999999999999</v>
      </c>
      <c r="P274" s="32" t="n">
        <v>38.75</v>
      </c>
      <c r="Q274" s="32" t="n">
        <v>450.77</v>
      </c>
      <c r="R274" s="31" t="inlineStr">
        <is>
          <t>Near 52W High Breakout</t>
        </is>
      </c>
      <c r="S274" s="31" t="inlineStr">
        <is>
          <t>Nifty 50</t>
        </is>
      </c>
      <c r="T274" s="32" t="n">
        <v>-6.83</v>
      </c>
      <c r="U274" s="32" t="n">
        <v>142.03</v>
      </c>
      <c r="V274" s="32" t="n">
        <v>159.78</v>
      </c>
      <c r="W274" s="32" t="n">
        <v>37.13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Yes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Negative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Blue sky scenario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Yes</t>
        </is>
      </c>
      <c r="BS274" s="31">
        <f>IF(BR274="NO",5,0)</f>
        <v/>
      </c>
      <c r="BT274" s="31" t="inlineStr">
        <is>
          <t>Between 1.5 to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More than 1.2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IF(B275=0,"",RANK(B275,$B$2:$B$304,0))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3" t="inlineStr">
        <is>
          <t>KSL</t>
        </is>
      </c>
      <c r="D275" s="33" t="inlineStr">
        <is>
          <t>Kalyani Steels Limited</t>
        </is>
      </c>
      <c r="E275" s="31" t="inlineStr">
        <is>
          <t>metals &amp; mining</t>
        </is>
      </c>
      <c r="F275" s="31" t="inlineStr">
        <is>
          <t>steel - medium / small</t>
        </is>
      </c>
      <c r="G275" s="31" t="inlineStr">
        <is>
          <t>smallcap</t>
        </is>
      </c>
      <c r="H275" s="32" t="n">
        <v>4226.49</v>
      </c>
      <c r="I275" s="32" t="n">
        <v>968.75</v>
      </c>
      <c r="J275" s="32" t="n">
        <v>0.06</v>
      </c>
      <c r="K275" s="32" t="n">
        <v>204430</v>
      </c>
      <c r="L275" s="31" t="n">
        <v>23</v>
      </c>
      <c r="M275" s="31" t="inlineStr">
        <is>
          <t>Underperforming</t>
        </is>
      </c>
      <c r="N275" s="32">
        <f>IF(M275="Underperforming",-5,IF(L275&gt;=95,15,IF(L275&gt;=90,10,IF(L275&gt;=80,5,0))))</f>
        <v/>
      </c>
      <c r="O275" s="32" t="n">
        <v>66.84</v>
      </c>
      <c r="P275" s="32" t="n">
        <v>25.68</v>
      </c>
      <c r="Q275" s="32" t="n">
        <v>762.23</v>
      </c>
      <c r="R275" s="31" t="inlineStr">
        <is>
          <t>Volume Spike &amp; Near 52W High Breakout</t>
        </is>
      </c>
      <c r="S275" s="31" t="inlineStr">
        <is>
          <t>Nifty Metal</t>
        </is>
      </c>
      <c r="T275" s="32" t="n">
        <v>37.92</v>
      </c>
      <c r="U275" s="32" t="n">
        <v>10.91</v>
      </c>
      <c r="V275" s="32" t="n">
        <v>-19.58</v>
      </c>
      <c r="W275" s="32" t="n">
        <v>7.94</v>
      </c>
      <c r="X275" s="31" t="inlineStr">
        <is>
          <t>Cyclical in an Upturn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Cyclical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Volatile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Yes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Less than 12%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IF(B276=0,"",RANK(B276,$B$2:$B$304,0))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3" t="inlineStr">
        <is>
          <t>STEELXIND</t>
        </is>
      </c>
      <c r="D276" s="33" t="inlineStr">
        <is>
          <t>Steel Exchange India Ltd</t>
        </is>
      </c>
      <c r="E276" s="31" t="inlineStr">
        <is>
          <t>metals &amp; mining</t>
        </is>
      </c>
      <c r="F276" s="31" t="inlineStr">
        <is>
          <t>steel - medium / small</t>
        </is>
      </c>
      <c r="G276" s="31" t="inlineStr">
        <is>
          <t>smallcap</t>
        </is>
      </c>
      <c r="H276" s="32" t="n">
        <v>1552.31</v>
      </c>
      <c r="I276" s="32" t="n">
        <v>12.14</v>
      </c>
      <c r="J276" s="32" t="n">
        <v>-0.25</v>
      </c>
      <c r="K276" s="32" t="n">
        <v>11073848</v>
      </c>
      <c r="L276" s="31" t="n">
        <v>25</v>
      </c>
      <c r="M276" s="31" t="inlineStr">
        <is>
          <t>Underperforming</t>
        </is>
      </c>
      <c r="N276" s="32">
        <f>IF(M276="Underperforming",-5,IF(L276&gt;=95,15,IF(L276&gt;=90,10,IF(L276&gt;=80,5,0))))</f>
        <v/>
      </c>
      <c r="O276" s="32" t="n">
        <v>59.6</v>
      </c>
      <c r="P276" s="32" t="n">
        <v>13.72</v>
      </c>
      <c r="Q276" s="32" t="n">
        <v>9.75</v>
      </c>
      <c r="R276" s="31" t="inlineStr">
        <is>
          <t>Volume Spike / Accumulation</t>
        </is>
      </c>
      <c r="S276" s="31" t="inlineStr">
        <is>
          <t>Nifty Metal</t>
        </is>
      </c>
      <c r="T276" s="32" t="n">
        <v>37.92</v>
      </c>
      <c r="U276" s="32" t="n">
        <v>14.31</v>
      </c>
      <c r="V276" s="32" t="n">
        <v>-17.12</v>
      </c>
      <c r="W276" s="32" t="n">
        <v>8.49</v>
      </c>
      <c r="X276" s="31" t="inlineStr">
        <is>
          <t>Cyclical in an Upturn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Cyclical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Volatile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Yes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Less than 1.5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IF(B277=0,"",RANK(B277,$B$2:$B$304,0))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3" t="inlineStr">
        <is>
          <t>MAITHANALL</t>
        </is>
      </c>
      <c r="D277" s="33" t="inlineStr">
        <is>
          <t>Maithan Alloys Limited</t>
        </is>
      </c>
      <c r="E277" s="31" t="inlineStr">
        <is>
          <t>metals &amp; mining</t>
        </is>
      </c>
      <c r="F277" s="31" t="inlineStr">
        <is>
          <t>mining / minerals / metals</t>
        </is>
      </c>
      <c r="G277" s="31" t="inlineStr">
        <is>
          <t>smallcap</t>
        </is>
      </c>
      <c r="H277" s="32" t="n">
        <v>3073.02</v>
      </c>
      <c r="I277" s="32" t="n">
        <v>1045.85</v>
      </c>
      <c r="J277" s="32" t="n">
        <v>-0.92</v>
      </c>
      <c r="K277" s="32" t="n">
        <v>91972</v>
      </c>
      <c r="L277" s="31" t="n">
        <v>2</v>
      </c>
      <c r="M277" s="31" t="inlineStr">
        <is>
          <t>Underperforming</t>
        </is>
      </c>
      <c r="N277" s="32">
        <f>IF(M277="Underperforming",-5,IF(L277&gt;=95,15,IF(L277&gt;=90,10,IF(L277&gt;=80,5,0))))</f>
        <v/>
      </c>
      <c r="O277" s="32" t="n">
        <v>54.5</v>
      </c>
      <c r="P277" s="32" t="n">
        <v>26.11</v>
      </c>
      <c r="Q277" s="32" t="n">
        <v>871.8099999999999</v>
      </c>
      <c r="R277" s="31" t="inlineStr">
        <is>
          <t>Volume Spike / Accumulation</t>
        </is>
      </c>
      <c r="S277" s="31" t="inlineStr">
        <is>
          <t>Nifty Metal</t>
        </is>
      </c>
      <c r="T277" s="32" t="n">
        <v>37.92</v>
      </c>
      <c r="U277" s="32" t="n">
        <v>-6.68</v>
      </c>
      <c r="V277" s="32" t="n">
        <v>-32.34</v>
      </c>
      <c r="W277" s="32" t="n">
        <v>-0.03</v>
      </c>
      <c r="X277" s="31" t="inlineStr">
        <is>
          <t>Cyclical in an Upturn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Cyclical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Volatile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Yes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Less than 12%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IF(B278=0,"",RANK(B278,$B$2:$B$304,0))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3" t="inlineStr">
        <is>
          <t>PRABHA</t>
        </is>
      </c>
      <c r="D278" s="33" t="inlineStr">
        <is>
          <t>Prabha Energy Ltd</t>
        </is>
      </c>
      <c r="E278" s="31" t="inlineStr">
        <is>
          <t>energy</t>
        </is>
      </c>
      <c r="F278" s="31" t="inlineStr">
        <is>
          <t>oil drilling / allied services</t>
        </is>
      </c>
      <c r="G278" s="31" t="inlineStr">
        <is>
          <t>smallcap</t>
        </is>
      </c>
      <c r="H278" s="32" t="n">
        <v>3628.85</v>
      </c>
      <c r="I278" s="32" t="n">
        <v>244.64</v>
      </c>
      <c r="J278" s="32" t="n">
        <v>-1.19</v>
      </c>
      <c r="K278" s="32" t="n">
        <v>816981</v>
      </c>
      <c r="L278" s="31" t="n">
        <v>39</v>
      </c>
      <c r="M278" s="31" t="inlineStr">
        <is>
          <t>Underperforming</t>
        </is>
      </c>
      <c r="N278" s="32">
        <f>IF(M278="Underperforming",-5,IF(L278&gt;=95,15,IF(L278&gt;=90,10,IF(L278&gt;=80,5,0))))</f>
        <v/>
      </c>
      <c r="O278" s="32" t="n">
        <v>73.48999999999999</v>
      </c>
      <c r="P278" s="32" t="n">
        <v>24.78</v>
      </c>
      <c r="Q278" s="32" t="n">
        <v>177.93</v>
      </c>
      <c r="R278" s="31" t="inlineStr">
        <is>
          <t>Near 52W High Breakout</t>
        </is>
      </c>
      <c r="S278" s="31" t="inlineStr">
        <is>
          <t>Nifty Energy</t>
        </is>
      </c>
      <c r="T278" s="32" t="n">
        <v>7.62</v>
      </c>
      <c r="U278" s="32" t="n">
        <v>-6.73</v>
      </c>
      <c r="V278" s="32" t="n">
        <v>-13.33</v>
      </c>
      <c r="W278" s="32" t="n">
        <v>12.33</v>
      </c>
      <c r="X278" s="31" t="inlineStr">
        <is>
          <t>Cyclical in an Upturn</t>
        </is>
      </c>
      <c r="Y278" s="31">
        <f>IF(X278="Growing Industry",10,IF(X278="Cyclical in an Upturn",5,0))</f>
        <v/>
      </c>
      <c r="Z278" s="31" t="inlineStr">
        <is>
          <t>Oligopoly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Yes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Cyclical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Volatile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20 to 40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IF(B279=0,"",RANK(B279,$B$2:$B$304,0))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RATNAVEER</t>
        </is>
      </c>
      <c r="D279" s="31" t="inlineStr">
        <is>
          <t>Ratnaveer Precision Engineering Ltd</t>
        </is>
      </c>
      <c r="E279" s="31" t="inlineStr">
        <is>
          <t>metals &amp; mining</t>
        </is>
      </c>
      <c r="F279" s="31" t="inlineStr">
        <is>
          <t>steel - medium / small</t>
        </is>
      </c>
      <c r="G279" s="31" t="inlineStr">
        <is>
          <t>smallcap</t>
        </is>
      </c>
      <c r="H279" s="32" t="n">
        <v>2218.51</v>
      </c>
      <c r="I279" s="32" t="n">
        <v>288.3</v>
      </c>
      <c r="J279" s="32" t="n">
        <v>-7.18</v>
      </c>
      <c r="K279" s="32" t="n">
        <v>4371239</v>
      </c>
      <c r="L279" s="31" t="n">
        <v>88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75.52</v>
      </c>
      <c r="P279" s="32" t="n">
        <v>57.44</v>
      </c>
      <c r="Q279" s="32" t="n">
        <v>225.68</v>
      </c>
      <c r="R279" s="31" t="inlineStr">
        <is>
          <t>Earnings / Momentum Support</t>
        </is>
      </c>
      <c r="S279" s="31" t="inlineStr">
        <is>
          <t>Nifty Metal</t>
        </is>
      </c>
      <c r="T279" s="32" t="n">
        <v>37.92</v>
      </c>
      <c r="U279" s="32" t="n">
        <v>85.83</v>
      </c>
      <c r="V279" s="32" t="n">
        <v>34.74</v>
      </c>
      <c r="W279" s="32" t="n">
        <v>38.36</v>
      </c>
      <c r="X279" s="31" t="inlineStr">
        <is>
          <t>Cyclical in an Upturn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Cyclical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Volatile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Above 40</t>
        </is>
      </c>
      <c r="AY279" s="31">
        <f>IF(AX279="Above 40",20,IF(AX279="20 to 40",10,IF(AX279="0 to 20",-5,0)))</f>
        <v/>
      </c>
      <c r="AZ279" s="31" t="inlineStr">
        <is>
          <t>Above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IF(B280=0,"",RANK(B280,$B$2:$B$304,0))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ITDC</t>
        </is>
      </c>
      <c r="D280" s="31" t="inlineStr">
        <is>
          <t>India Tourism Development Corporation Ltd</t>
        </is>
      </c>
      <c r="E280" s="31" t="inlineStr">
        <is>
          <t>services</t>
        </is>
      </c>
      <c r="F280" s="31" t="inlineStr">
        <is>
          <t>hotels</t>
        </is>
      </c>
      <c r="G280" s="31" t="inlineStr">
        <is>
          <t>midcap</t>
        </is>
      </c>
      <c r="H280" s="32" t="n">
        <v>5700.23</v>
      </c>
      <c r="I280" s="32" t="n">
        <v>690.85</v>
      </c>
      <c r="J280" s="32" t="n">
        <v>3.95</v>
      </c>
      <c r="K280" s="32" t="n">
        <v>3431057</v>
      </c>
      <c r="L280" s="31" t="n">
        <v>21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57.28</v>
      </c>
      <c r="P280" s="32" t="n">
        <v>43.27</v>
      </c>
      <c r="Q280" s="32" t="n">
        <v>527.71</v>
      </c>
      <c r="R280" s="31" t="inlineStr">
        <is>
          <t>Earnings / Momentum Support</t>
        </is>
      </c>
      <c r="S280" s="31" t="inlineStr">
        <is>
          <t>Nifty 50</t>
        </is>
      </c>
      <c r="T280" s="32" t="n">
        <v>-6.83</v>
      </c>
      <c r="U280" s="32" t="n">
        <v>6.28</v>
      </c>
      <c r="V280" s="32" t="n">
        <v>14.07</v>
      </c>
      <c r="W280" s="32" t="n">
        <v>6.76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Above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Negative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Less than 12%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Yes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IF(B281=0,"",RANK(B281,$B$2:$B$304,0))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3" t="inlineStr">
        <is>
          <t>VENUSPIPES</t>
        </is>
      </c>
      <c r="D281" s="33" t="inlineStr">
        <is>
          <t>Venus Pipes &amp; Tubes Ltd</t>
        </is>
      </c>
      <c r="E281" s="31" t="inlineStr">
        <is>
          <t>metals &amp; mining</t>
        </is>
      </c>
      <c r="F281" s="31" t="inlineStr">
        <is>
          <t>steel - medium / small</t>
        </is>
      </c>
      <c r="G281" s="31" t="inlineStr">
        <is>
          <t>smallcap</t>
        </is>
      </c>
      <c r="H281" s="32" t="n">
        <v>4037.78</v>
      </c>
      <c r="I281" s="32" t="n">
        <v>2020.1</v>
      </c>
      <c r="J281" s="32" t="n">
        <v>3.64</v>
      </c>
      <c r="K281" s="32" t="n">
        <v>301736</v>
      </c>
      <c r="L281" s="31" t="n">
        <v>62</v>
      </c>
      <c r="M281" s="31" t="inlineStr">
        <is>
          <t>Underperforming</t>
        </is>
      </c>
      <c r="N281" s="32">
        <f>IF(M281="Underperforming",-5,IF(L281&gt;=95,15,IF(L281&gt;=90,10,IF(L281&gt;=80,5,0))))</f>
        <v/>
      </c>
      <c r="O281" s="32" t="n">
        <v>73.89</v>
      </c>
      <c r="P281" s="32" t="n">
        <v>32.02</v>
      </c>
      <c r="Q281" s="32" t="n">
        <v>1568.18</v>
      </c>
      <c r="R281" s="31" t="inlineStr">
        <is>
          <t>Volume Spike &amp; Near 52W High Breakout</t>
        </is>
      </c>
      <c r="S281" s="31" t="inlineStr">
        <is>
          <t>Nifty Metal</t>
        </is>
      </c>
      <c r="T281" s="32" t="n">
        <v>37.92</v>
      </c>
      <c r="U281" s="32" t="n">
        <v>37.66</v>
      </c>
      <c r="V281" s="32" t="n">
        <v>-0.19</v>
      </c>
      <c r="W281" s="32" t="n">
        <v>19.98</v>
      </c>
      <c r="X281" s="31" t="inlineStr">
        <is>
          <t>Cyclical in an Upturn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Cyclical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Volatile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Yes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20 to 40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Less than 12%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IF(B282=0,"",RANK(B282,$B$2:$B$304,0))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3" t="inlineStr">
        <is>
          <t>SESHAPAPER</t>
        </is>
      </c>
      <c r="D282" s="33" t="inlineStr">
        <is>
          <t>Seshasayee Paper And Boards Limited</t>
        </is>
      </c>
      <c r="E282" s="31" t="inlineStr">
        <is>
          <t>building materials</t>
        </is>
      </c>
      <c r="F282" s="31" t="inlineStr">
        <is>
          <t>paper</t>
        </is>
      </c>
      <c r="G282" s="31" t="inlineStr">
        <is>
          <t>smallcap</t>
        </is>
      </c>
      <c r="H282" s="32" t="n">
        <v>1557.53</v>
      </c>
      <c r="I282" s="32" t="n">
        <v>251.14</v>
      </c>
      <c r="J282" s="32" t="n">
        <v>1.69</v>
      </c>
      <c r="K282" s="32" t="n">
        <v>179922</v>
      </c>
      <c r="L282" s="31" t="n">
        <v>1</v>
      </c>
      <c r="M282" s="31" t="inlineStr">
        <is>
          <t>Underperforming</t>
        </is>
      </c>
      <c r="N282" s="32">
        <f>IF(M282="Underperforming",-5,IF(L282&gt;=95,15,IF(L282&gt;=90,10,IF(L282&gt;=80,5,0))))</f>
        <v/>
      </c>
      <c r="O282" s="32" t="n">
        <v>56.93</v>
      </c>
      <c r="P282" s="32" t="n">
        <v>20.11</v>
      </c>
      <c r="Q282" s="32" t="n">
        <v>199.2</v>
      </c>
      <c r="R282" s="31" t="inlineStr">
        <is>
          <t>Earnings / Momentum Support</t>
        </is>
      </c>
      <c r="S282" s="31" t="inlineStr">
        <is>
          <t>Nifty Infra</t>
        </is>
      </c>
      <c r="T282" s="32" t="n">
        <v>0.12</v>
      </c>
      <c r="U282" s="32" t="n">
        <v>-11.14</v>
      </c>
      <c r="V282" s="32" t="n">
        <v>-11.24</v>
      </c>
      <c r="W282" s="32" t="n">
        <v>-2.68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Headwind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20 to 40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1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IF(B283=0,"",RANK(B283,$B$2:$B$304,0))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SRHHYPOLTD</t>
        </is>
      </c>
      <c r="D283" s="31" t="inlineStr">
        <is>
          <t>Sree Rayalaseema Hi-strength Hypo Limited</t>
        </is>
      </c>
      <c r="E283" s="31" t="inlineStr">
        <is>
          <t>chemicals</t>
        </is>
      </c>
      <c r="F283" s="31" t="inlineStr">
        <is>
          <t>chemicals</t>
        </is>
      </c>
      <c r="G283" s="31" t="inlineStr">
        <is>
          <t>smallcap</t>
        </is>
      </c>
      <c r="H283" s="32" t="n">
        <v>887.59</v>
      </c>
      <c r="I283" s="32" t="n">
        <v>523.8</v>
      </c>
      <c r="J283" s="32" t="n">
        <v>1.3</v>
      </c>
      <c r="K283" s="32" t="n">
        <v>18998</v>
      </c>
      <c r="L283" s="31" t="n">
        <v>2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55.32</v>
      </c>
      <c r="P283" s="32" t="n">
        <v>8.779999999999999</v>
      </c>
      <c r="Q283" s="32" t="n">
        <v>422.88</v>
      </c>
      <c r="R283" s="31" t="inlineStr">
        <is>
          <t>Earnings / Momentum Support</t>
        </is>
      </c>
      <c r="S283" s="31" t="inlineStr">
        <is>
          <t>Nifty IT</t>
        </is>
      </c>
      <c r="T283" s="32" t="n">
        <v>-19.91</v>
      </c>
      <c r="U283" s="32" t="n">
        <v>-12.73</v>
      </c>
      <c r="V283" s="32" t="n">
        <v>8.960000000000001</v>
      </c>
      <c r="W283" s="32" t="n">
        <v>-0.98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No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0 to 20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1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Less than 12%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No</t>
        </is>
      </c>
      <c r="BS283" s="31">
        <f>IF(BR283="NO",5,0)</f>
        <v/>
      </c>
      <c r="BT283" s="31" t="inlineStr">
        <is>
          <t>Less than 1.5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IF(B284=0,"",RANK(B284,$B$2:$B$304,0))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3" t="inlineStr">
        <is>
          <t>AJAXENGG</t>
        </is>
      </c>
      <c r="D284" s="33" t="inlineStr">
        <is>
          <t>Ajax Engineering Ltd</t>
        </is>
      </c>
      <c r="E284" s="31" t="inlineStr">
        <is>
          <t>industrials</t>
        </is>
      </c>
      <c r="F284" s="31" t="inlineStr">
        <is>
          <t>engineering</t>
        </is>
      </c>
      <c r="G284" s="31" t="inlineStr">
        <is>
          <t>midcap</t>
        </is>
      </c>
      <c r="H284" s="32" t="n">
        <v>6744.28</v>
      </c>
      <c r="I284" s="32" t="n">
        <v>590.6</v>
      </c>
      <c r="J284" s="32" t="n">
        <v>0.19</v>
      </c>
      <c r="K284" s="32" t="n">
        <v>71818</v>
      </c>
      <c r="L284" s="31" t="n">
        <v>3</v>
      </c>
      <c r="M284" s="31" t="inlineStr">
        <is>
          <t>Underperforming</t>
        </is>
      </c>
      <c r="N284" s="32">
        <f>IF(M284="Underperforming",-5,IF(L284&gt;=95,15,IF(L284&gt;=90,10,IF(L284&gt;=80,5,0))))</f>
        <v/>
      </c>
      <c r="O284" s="32" t="n">
        <v>56.4</v>
      </c>
      <c r="P284" s="32" t="n">
        <v>18.73</v>
      </c>
      <c r="Q284" s="32" t="n">
        <v>465.81</v>
      </c>
      <c r="R284" s="31" t="inlineStr">
        <is>
          <t>Earnings / Momentum Support</t>
        </is>
      </c>
      <c r="S284" s="31" t="inlineStr">
        <is>
          <t>Nifty Infra</t>
        </is>
      </c>
      <c r="T284" s="32" t="n">
        <v>0.12</v>
      </c>
      <c r="U284" s="32" t="n">
        <v>-12.27</v>
      </c>
      <c r="V284" s="32" t="n">
        <v>-12.37</v>
      </c>
      <c r="W284" s="32" t="n">
        <v>0.55</v>
      </c>
      <c r="X284" s="31" t="inlineStr">
        <is>
          <t>Cyclical in an Upturn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Less than 12%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IF(B285=0,"",RANK(B285,$B$2:$B$304,0))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3" t="inlineStr">
        <is>
          <t>JTLIND</t>
        </is>
      </c>
      <c r="D285" s="33" t="inlineStr">
        <is>
          <t>JTL Industries Ltd</t>
        </is>
      </c>
      <c r="E285" s="31" t="inlineStr">
        <is>
          <t>metals &amp; mining</t>
        </is>
      </c>
      <c r="F285" s="31" t="inlineStr">
        <is>
          <t>steel - medium / small</t>
        </is>
      </c>
      <c r="G285" s="31" t="inlineStr">
        <is>
          <t>smallcap</t>
        </is>
      </c>
      <c r="H285" s="32" t="n">
        <v>3522.01</v>
      </c>
      <c r="I285" s="32" t="n">
        <v>88.68000000000001</v>
      </c>
      <c r="J285" s="32" t="n">
        <v>-1.03</v>
      </c>
      <c r="K285" s="32" t="n">
        <v>2156849</v>
      </c>
      <c r="L285" s="31" t="n">
        <v>15</v>
      </c>
      <c r="M285" s="31" t="inlineStr">
        <is>
          <t>Underperforming</t>
        </is>
      </c>
      <c r="N285" s="32">
        <f>IF(M285="Underperforming",-5,IF(L285&gt;=95,15,IF(L285&gt;=90,10,IF(L285&gt;=80,5,0))))</f>
        <v/>
      </c>
      <c r="O285" s="32" t="n">
        <v>62.15</v>
      </c>
      <c r="P285" s="32" t="n">
        <v>14.49</v>
      </c>
      <c r="Q285" s="32" t="n">
        <v>67.09999999999999</v>
      </c>
      <c r="R285" s="31" t="inlineStr">
        <is>
          <t>Near 52W High Breakout</t>
        </is>
      </c>
      <c r="S285" s="31" t="inlineStr">
        <is>
          <t>Nifty Metal</t>
        </is>
      </c>
      <c r="T285" s="32" t="n">
        <v>37.92</v>
      </c>
      <c r="U285" s="32" t="n">
        <v>15.56</v>
      </c>
      <c r="V285" s="32" t="n">
        <v>-16.21</v>
      </c>
      <c r="W285" s="32" t="n">
        <v>5.13</v>
      </c>
      <c r="X285" s="31" t="inlineStr">
        <is>
          <t>Cyclical in an Upturn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Cyclical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Volatile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Yes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0 to 20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No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IF(B286=0,"",RANK(B286,$B$2:$B$304,0))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JYOTICNC</t>
        </is>
      </c>
      <c r="D286" s="31" t="inlineStr">
        <is>
          <t>Jyoti CNC Automation Ltd</t>
        </is>
      </c>
      <c r="E286" s="31" t="inlineStr">
        <is>
          <t>industrials</t>
        </is>
      </c>
      <c r="F286" s="31" t="inlineStr">
        <is>
          <t>engineering</t>
        </is>
      </c>
      <c r="G286" s="31" t="inlineStr">
        <is>
          <t>largecap</t>
        </is>
      </c>
      <c r="H286" s="32" t="n">
        <v>22831</v>
      </c>
      <c r="I286" s="32" t="n">
        <v>985</v>
      </c>
      <c r="J286" s="32" t="n">
        <v>-1.88</v>
      </c>
      <c r="K286" s="32" t="n">
        <v>692249</v>
      </c>
      <c r="L286" s="31" t="n">
        <v>41</v>
      </c>
      <c r="M286" s="31" t="inlineStr">
        <is>
          <t>Outperforming</t>
        </is>
      </c>
      <c r="N286" s="32">
        <f>IF(M286="Underperforming",-5,IF(L286&gt;=95,15,IF(L286&gt;=90,10,IF(L286&gt;=80,5,0))))</f>
        <v/>
      </c>
      <c r="O286" s="32" t="n">
        <v>63.9</v>
      </c>
      <c r="P286" s="32" t="n">
        <v>14.73</v>
      </c>
      <c r="Q286" s="32" t="n">
        <v>798.9</v>
      </c>
      <c r="R286" s="31" t="inlineStr">
        <is>
          <t>Earnings / Momentum Support</t>
        </is>
      </c>
      <c r="S286" s="31" t="inlineStr">
        <is>
          <t>Nifty 50</t>
        </is>
      </c>
      <c r="T286" s="32" t="n">
        <v>-6.83</v>
      </c>
      <c r="U286" s="32" t="n">
        <v>9.43</v>
      </c>
      <c r="V286" s="32" t="n">
        <v>17.45</v>
      </c>
      <c r="W286" s="32" t="n">
        <v>13.07</v>
      </c>
      <c r="X286" s="31" t="inlineStr">
        <is>
          <t>Cyclical in an Upturn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0 to 20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Less than 12%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Yes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IF(B287=0,"",RANK(B287,$B$2:$B$304,0))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OIL</t>
        </is>
      </c>
      <c r="D287" s="31" t="inlineStr">
        <is>
          <t>Oil India Limited</t>
        </is>
      </c>
      <c r="E287" s="31" t="inlineStr">
        <is>
          <t>energy</t>
        </is>
      </c>
      <c r="F287" s="31" t="inlineStr">
        <is>
          <t>oil drilling / allied services</t>
        </is>
      </c>
      <c r="G287" s="31" t="inlineStr">
        <is>
          <t>largecap</t>
        </is>
      </c>
      <c r="H287" s="32" t="n">
        <v>81379.19</v>
      </c>
      <c r="I287" s="32" t="n">
        <v>489.8</v>
      </c>
      <c r="J287" s="32" t="n">
        <v>-2.1</v>
      </c>
      <c r="K287" s="32" t="n">
        <v>5273521</v>
      </c>
      <c r="L287" s="31" t="n">
        <v>11</v>
      </c>
      <c r="M287" s="31" t="inlineStr">
        <is>
          <t>Outperforming</t>
        </is>
      </c>
      <c r="N287" s="32">
        <f>IF(M287="Underperforming",-5,IF(L287&gt;=95,15,IF(L287&gt;=90,10,IF(L287&gt;=80,5,0))))</f>
        <v/>
      </c>
      <c r="O287" s="32" t="n">
        <v>58.76</v>
      </c>
      <c r="P287" s="32" t="n">
        <v>15.08</v>
      </c>
      <c r="Q287" s="32" t="n">
        <v>403.13</v>
      </c>
      <c r="R287" s="31" t="inlineStr">
        <is>
          <t>Earnings / Momentum Support</t>
        </is>
      </c>
      <c r="S287" s="31" t="inlineStr">
        <is>
          <t>Nifty Energy</t>
        </is>
      </c>
      <c r="T287" s="32" t="n">
        <v>7.62</v>
      </c>
      <c r="U287" s="32" t="n">
        <v>15.98</v>
      </c>
      <c r="V287" s="32" t="n">
        <v>7.77</v>
      </c>
      <c r="W287" s="32" t="n">
        <v>3.83</v>
      </c>
      <c r="X287" s="31" t="inlineStr">
        <is>
          <t>Cyclical in an Upturn</t>
        </is>
      </c>
      <c r="Y287" s="31">
        <f>IF(X287="Growing Industry",10,IF(X287="Cyclical in an Upturn",5,0))</f>
        <v/>
      </c>
      <c r="Z287" s="31" t="inlineStr">
        <is>
          <t>Oligopoly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Yes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Cyclical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Volatile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No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No</t>
        </is>
      </c>
      <c r="BS287" s="31">
        <f>IF(BR287="NO",5,0)</f>
        <v/>
      </c>
      <c r="BT287" s="31" t="inlineStr">
        <is>
          <t>Less than 1.5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IF(B288=0,"",RANK(B288,$B$2:$B$304,0))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3" t="inlineStr">
        <is>
          <t>TEGA</t>
        </is>
      </c>
      <c r="D288" s="33" t="inlineStr">
        <is>
          <t>Tega Industries Ltd</t>
        </is>
      </c>
      <c r="E288" s="31" t="inlineStr">
        <is>
          <t>industrials</t>
        </is>
      </c>
      <c r="F288" s="31" t="inlineStr">
        <is>
          <t>engineering</t>
        </is>
      </c>
      <c r="G288" s="31" t="inlineStr">
        <is>
          <t>midcap</t>
        </is>
      </c>
      <c r="H288" s="32" t="n">
        <v>12933.98</v>
      </c>
      <c r="I288" s="32" t="n">
        <v>1729.1</v>
      </c>
      <c r="J288" s="32" t="n">
        <v>0.44</v>
      </c>
      <c r="K288" s="32" t="n">
        <v>278676</v>
      </c>
      <c r="L288" s="31" t="n">
        <v>1</v>
      </c>
      <c r="M288" s="31" t="inlineStr">
        <is>
          <t>Underperforming</t>
        </is>
      </c>
      <c r="N288" s="32">
        <f>IF(M288="Underperforming",-5,IF(L288&gt;=95,15,IF(L288&gt;=90,10,IF(L288&gt;=80,5,0))))</f>
        <v/>
      </c>
      <c r="O288" s="32" t="n">
        <v>52.18</v>
      </c>
      <c r="P288" s="32" t="n">
        <v>10.04</v>
      </c>
      <c r="Q288" s="32" t="n">
        <v>1366.37</v>
      </c>
      <c r="R288" s="31" t="inlineStr">
        <is>
          <t>Volume Spike / Accumulation</t>
        </is>
      </c>
      <c r="S288" s="31" t="inlineStr">
        <is>
          <t>Nifty 50</t>
        </is>
      </c>
      <c r="T288" s="32" t="n">
        <v>-6.83</v>
      </c>
      <c r="U288" s="32" t="n">
        <v>-14.14</v>
      </c>
      <c r="V288" s="32" t="n">
        <v>-7.84</v>
      </c>
      <c r="W288" s="32" t="n">
        <v>-3.24</v>
      </c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Yes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0 to 20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1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IF(B289=0,"",RANK(B289,$B$2:$B$304,0))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3" t="inlineStr">
        <is>
          <t>TNPL</t>
        </is>
      </c>
      <c r="D289" s="33" t="inlineStr">
        <is>
          <t>Tamil Nadu Newsprint &amp; Papers Limited</t>
        </is>
      </c>
      <c r="E289" s="31" t="inlineStr">
        <is>
          <t>building materials</t>
        </is>
      </c>
      <c r="F289" s="31" t="inlineStr">
        <is>
          <t>paper</t>
        </is>
      </c>
      <c r="G289" s="31" t="inlineStr">
        <is>
          <t>smallcap</t>
        </is>
      </c>
      <c r="H289" s="32" t="n">
        <v>1066.05</v>
      </c>
      <c r="I289" s="32" t="n">
        <v>153.27</v>
      </c>
      <c r="J289" s="32" t="n">
        <v>-0.49</v>
      </c>
      <c r="K289" s="32" t="n">
        <v>185071</v>
      </c>
      <c r="L289" s="31" t="n">
        <v>4</v>
      </c>
      <c r="M289" s="31" t="inlineStr">
        <is>
          <t>Underperforming</t>
        </is>
      </c>
      <c r="N289" s="32">
        <f>IF(M289="Underperforming",-5,IF(L289&gt;=95,15,IF(L289&gt;=90,10,IF(L289&gt;=80,5,0))))</f>
        <v/>
      </c>
      <c r="O289" s="32" t="n">
        <v>56.31</v>
      </c>
      <c r="P289" s="32" t="n">
        <v>12.28</v>
      </c>
      <c r="Q289" s="32" t="n">
        <v>125.54</v>
      </c>
      <c r="R289" s="31" t="inlineStr">
        <is>
          <t>Earnings / Momentum Support</t>
        </is>
      </c>
      <c r="S289" s="31" t="inlineStr">
        <is>
          <t>Nifty Infra</t>
        </is>
      </c>
      <c r="T289" s="32" t="n">
        <v>0.12</v>
      </c>
      <c r="U289" s="32" t="n">
        <v>-5.35</v>
      </c>
      <c r="V289" s="32" t="n">
        <v>-5.46</v>
      </c>
      <c r="W289" s="32" t="n">
        <v>1.08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1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IF(B290=0,"",RANK(B290,$B$2:$B$304,0))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PFOCUS</t>
        </is>
      </c>
      <c r="D290" s="31" t="inlineStr">
        <is>
          <t>Prime Focus Limited</t>
        </is>
      </c>
      <c r="E290" s="31" t="inlineStr">
        <is>
          <t>realty</t>
        </is>
      </c>
      <c r="F290" s="31" t="inlineStr">
        <is>
          <t>miscellaneous</t>
        </is>
      </c>
      <c r="G290" s="31" t="inlineStr">
        <is>
          <t>largecap</t>
        </is>
      </c>
      <c r="H290" s="32" t="n">
        <v>24346.86</v>
      </c>
      <c r="I290" s="32" t="n">
        <v>310.85</v>
      </c>
      <c r="J290" s="32" t="n">
        <v>-0.86</v>
      </c>
      <c r="K290" s="32" t="n">
        <v>313377</v>
      </c>
      <c r="L290" s="31" t="n">
        <v>53</v>
      </c>
      <c r="M290" s="31" t="inlineStr">
        <is>
          <t>Outperforming</t>
        </is>
      </c>
      <c r="N290" s="32">
        <f>IF(M290="Underperforming",-5,IF(L290&gt;=95,15,IF(L290&gt;=90,10,IF(L290&gt;=80,5,0))))</f>
        <v/>
      </c>
      <c r="O290" s="32" t="n">
        <v>61.83</v>
      </c>
      <c r="P290" s="32" t="n">
        <v>14.32</v>
      </c>
      <c r="Q290" s="32" t="n">
        <v>220.64</v>
      </c>
      <c r="R290" s="31" t="inlineStr">
        <is>
          <t>Earnings / Momentum Support</t>
        </is>
      </c>
      <c r="S290" s="31" t="inlineStr">
        <is>
          <t>Nifty Realty</t>
        </is>
      </c>
      <c r="T290" s="32" t="n">
        <v>-10.74</v>
      </c>
      <c r="U290" s="32" t="n">
        <v>110.49</v>
      </c>
      <c r="V290" s="32" t="n">
        <v>135.82</v>
      </c>
      <c r="W290" s="32" t="n">
        <v>17.28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0 to 20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Yes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More than 1.2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IF(B291=0,"",RANK(B291,$B$2:$B$304,0))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SFL</t>
        </is>
      </c>
      <c r="D291" s="31" t="inlineStr">
        <is>
          <t>Sheela Foam Limited</t>
        </is>
      </c>
      <c r="E291" s="31" t="inlineStr">
        <is>
          <t>consumer discretionary</t>
        </is>
      </c>
      <c r="F291" s="31" t="inlineStr">
        <is>
          <t>miscellaneous</t>
        </is>
      </c>
      <c r="G291" s="31" t="inlineStr">
        <is>
          <t>midcap</t>
        </is>
      </c>
      <c r="H291" s="32" t="n">
        <v>7621.85</v>
      </c>
      <c r="I291" s="32" t="n">
        <v>691.55</v>
      </c>
      <c r="J291" s="32" t="n">
        <v>-0.92</v>
      </c>
      <c r="K291" s="32" t="n">
        <v>216987</v>
      </c>
      <c r="L291" s="31" t="n">
        <v>2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54.26</v>
      </c>
      <c r="P291" s="32" t="n">
        <v>35.32</v>
      </c>
      <c r="Q291" s="32" t="n">
        <v>613.86</v>
      </c>
      <c r="R291" s="31" t="inlineStr">
        <is>
          <t>Volume Spike / Accumulation</t>
        </is>
      </c>
      <c r="S291" s="31" t="inlineStr">
        <is>
          <t>Nifty 50</t>
        </is>
      </c>
      <c r="T291" s="32" t="n">
        <v>-6.83</v>
      </c>
      <c r="U291" s="32" t="n">
        <v>-6.07</v>
      </c>
      <c r="V291" s="32" t="n">
        <v>0.82</v>
      </c>
      <c r="W291" s="32" t="n">
        <v>0.19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Yes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20 to 40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1</t>
        </is>
      </c>
      <c r="BC291" s="31">
        <f>IF(BB291="Stage 2",20,IF(BB291="Stage 1",0,IF(BB291="Stage 3",5,IF(BB291="Stage 4",-5,0))))</f>
        <v/>
      </c>
      <c r="BD291" s="31" t="inlineStr">
        <is>
          <t>Negative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No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IF(B292=0,"",RANK(B292,$B$2:$B$304,0))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3" t="inlineStr">
        <is>
          <t>INDIQUBE</t>
        </is>
      </c>
      <c r="D292" s="33" t="inlineStr">
        <is>
          <t>Indiqube Spaces Ltd</t>
        </is>
      </c>
      <c r="E292" s="31" t="inlineStr">
        <is>
          <t>co-working</t>
        </is>
      </c>
      <c r="F292" s="31" t="inlineStr">
        <is>
          <t>miscellaneous</t>
        </is>
      </c>
      <c r="G292" s="31" t="inlineStr">
        <is>
          <t>smallcap</t>
        </is>
      </c>
      <c r="H292" s="32" t="n">
        <v>4357.82</v>
      </c>
      <c r="I292" s="32" t="n">
        <v>202.87</v>
      </c>
      <c r="J292" s="32" t="n">
        <v>-1.31</v>
      </c>
      <c r="K292" s="32" t="n">
        <v>14391</v>
      </c>
      <c r="L292" s="31" t="n">
        <v>18</v>
      </c>
      <c r="M292" s="31" t="inlineStr">
        <is>
          <t>Underperforming</t>
        </is>
      </c>
      <c r="N292" s="32">
        <f>IF(M292="Underperforming",-5,IF(L292&gt;=95,15,IF(L292&gt;=90,10,IF(L292&gt;=80,5,0))))</f>
        <v/>
      </c>
      <c r="O292" s="32" t="n">
        <v>62.06</v>
      </c>
      <c r="P292" s="32" t="n">
        <v>17.07</v>
      </c>
      <c r="Q292" s="32" t="n">
        <v>151.87</v>
      </c>
      <c r="R292" s="31" t="inlineStr">
        <is>
          <t>Earnings / Momentum Support</t>
        </is>
      </c>
      <c r="S292" s="31" t="inlineStr">
        <is>
          <t>Nifty 50</t>
        </is>
      </c>
      <c r="T292" s="32" t="n">
        <v>-6.83</v>
      </c>
      <c r="U292" s="32" t="n">
        <v>-10.05</v>
      </c>
      <c r="V292" s="32" t="n">
        <v>-3.46</v>
      </c>
      <c r="W292" s="32" t="n">
        <v>6.25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0 to 20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More than 1.2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IF(B293=0,"",RANK(B293,$B$2:$B$304,0))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EMIL</t>
        </is>
      </c>
      <c r="D293" s="31" t="inlineStr">
        <is>
          <t>Electronics Mart India Ltd</t>
        </is>
      </c>
      <c r="E293" s="31" t="inlineStr">
        <is>
          <t>consumer discretionary</t>
        </is>
      </c>
      <c r="F293" s="31" t="inlineStr">
        <is>
          <t>trading</t>
        </is>
      </c>
      <c r="G293" s="31" t="inlineStr">
        <is>
          <t>midcap</t>
        </is>
      </c>
      <c r="H293" s="32" t="n">
        <v>7380.25</v>
      </c>
      <c r="I293" s="32" t="n">
        <v>188.38</v>
      </c>
      <c r="J293" s="32" t="n">
        <v>-1.79</v>
      </c>
      <c r="K293" s="32" t="n">
        <v>2336802</v>
      </c>
      <c r="L293" s="31" t="n">
        <v>74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71.44</v>
      </c>
      <c r="P293" s="32" t="n">
        <v>36.16</v>
      </c>
      <c r="Q293" s="32" t="n">
        <v>143.6</v>
      </c>
      <c r="R293" s="31" t="inlineStr">
        <is>
          <t>Near 52W High Breakout</t>
        </is>
      </c>
      <c r="S293" s="31" t="inlineStr">
        <is>
          <t>Nifty 50</t>
        </is>
      </c>
      <c r="T293" s="32" t="n">
        <v>-6.83</v>
      </c>
      <c r="U293" s="32" t="n">
        <v>26.55</v>
      </c>
      <c r="V293" s="32" t="n">
        <v>35.83</v>
      </c>
      <c r="W293" s="32" t="n">
        <v>25.86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Yes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Negative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More than 1.2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IF(B294=0,"",RANK(B294,$B$2:$B$304,0))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3" t="inlineStr">
        <is>
          <t>JUBLPHARMA</t>
        </is>
      </c>
      <c r="D294" s="33" t="inlineStr">
        <is>
          <t>Jubilant Pharmova Ltd</t>
        </is>
      </c>
      <c r="E294" s="31" t="inlineStr">
        <is>
          <t>healthcare</t>
        </is>
      </c>
      <c r="F294" s="31" t="inlineStr">
        <is>
          <t>pharmaceuticals - indian - bulk drugs</t>
        </is>
      </c>
      <c r="G294" s="31" t="inlineStr">
        <is>
          <t>midcap</t>
        </is>
      </c>
      <c r="H294" s="32" t="n">
        <v>16336.67</v>
      </c>
      <c r="I294" s="32" t="n">
        <v>1025.2</v>
      </c>
      <c r="J294" s="32" t="n">
        <v>-0.04</v>
      </c>
      <c r="K294" s="32" t="n">
        <v>230939</v>
      </c>
      <c r="L294" s="31" t="n">
        <v>3</v>
      </c>
      <c r="M294" s="31" t="inlineStr">
        <is>
          <t>Underperforming</t>
        </is>
      </c>
      <c r="N294" s="32">
        <f>IF(M294="Underperforming",-5,IF(L294&gt;=95,15,IF(L294&gt;=90,10,IF(L294&gt;=80,5,0))))</f>
        <v/>
      </c>
      <c r="O294" s="32" t="n">
        <v>59.52</v>
      </c>
      <c r="P294" s="32" t="n">
        <v>9.300000000000001</v>
      </c>
      <c r="Q294" s="32" t="n">
        <v>826.28</v>
      </c>
      <c r="R294" s="31" t="inlineStr">
        <is>
          <t>Volume Spike / Accumulation</t>
        </is>
      </c>
      <c r="S294" s="31" t="inlineStr">
        <is>
          <t>Nifty Pharma</t>
        </is>
      </c>
      <c r="T294" s="32" t="n">
        <v>18.76</v>
      </c>
      <c r="U294" s="32" t="n">
        <v>-8.18</v>
      </c>
      <c r="V294" s="32" t="n">
        <v>-22.68</v>
      </c>
      <c r="W294" s="32" t="n">
        <v>0.24</v>
      </c>
      <c r="X294" s="31" t="inlineStr">
        <is>
          <t>Growing Industry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Yes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Yes</t>
        </is>
      </c>
      <c r="AQ294" s="31">
        <f>IF(AP294="Yes",10,0)</f>
        <v/>
      </c>
      <c r="AR294" s="31" t="inlineStr">
        <is>
          <t>Higher Annuity, Lower One Time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0 to 20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1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Less than 12%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Yes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IF(B295=0,"",RANK(B295,$B$2:$B$304,0))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TIMKEN</t>
        </is>
      </c>
      <c r="D295" s="31" t="inlineStr">
        <is>
          <t>Timken India Limited</t>
        </is>
      </c>
      <c r="E295" s="31" t="inlineStr">
        <is>
          <t>industrials</t>
        </is>
      </c>
      <c r="F295" s="31" t="inlineStr">
        <is>
          <t>bearings</t>
        </is>
      </c>
      <c r="G295" s="31" t="inlineStr">
        <is>
          <t>largecap</t>
        </is>
      </c>
      <c r="H295" s="32" t="n">
        <v>24801.12</v>
      </c>
      <c r="I295" s="32" t="n">
        <v>3302.4</v>
      </c>
      <c r="J295" s="32" t="n">
        <v>0.16</v>
      </c>
      <c r="K295" s="32" t="n">
        <v>43706</v>
      </c>
      <c r="L295" s="31" t="n">
        <v>3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50.1</v>
      </c>
      <c r="P295" s="32" t="n">
        <v>12.89</v>
      </c>
      <c r="Q295" s="32" t="n">
        <v>3056.09</v>
      </c>
      <c r="R295" s="31" t="inlineStr">
        <is>
          <t>Earnings / Momentum Support</t>
        </is>
      </c>
      <c r="S295" s="31" t="inlineStr">
        <is>
          <t>Nifty 50</t>
        </is>
      </c>
      <c r="T295" s="32" t="n">
        <v>-6.83</v>
      </c>
      <c r="U295" s="32" t="n">
        <v>9.23</v>
      </c>
      <c r="V295" s="32" t="n">
        <v>17.24</v>
      </c>
      <c r="W295" s="32" t="n">
        <v>0.6899999999999999</v>
      </c>
      <c r="X295" s="31" t="inlineStr">
        <is>
          <t>Cyclical in an Upturn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0 to 20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1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Between 12 to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IF(B296=0,"",RANK(B296,$B$2:$B$304,0))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3" t="inlineStr">
        <is>
          <t>KIRLFER</t>
        </is>
      </c>
      <c r="D296" s="33" t="inlineStr">
        <is>
          <t>Kirloskar Ferrous Industries Ltd</t>
        </is>
      </c>
      <c r="E296" s="31" t="inlineStr">
        <is>
          <t>metals &amp; mining</t>
        </is>
      </c>
      <c r="F296" s="31" t="inlineStr">
        <is>
          <t>steel - large</t>
        </is>
      </c>
      <c r="G296" s="31" t="inlineStr">
        <is>
          <t>midcap</t>
        </is>
      </c>
      <c r="H296" s="32" t="n">
        <v>7690.3</v>
      </c>
      <c r="I296" s="32" t="n">
        <v>465.1</v>
      </c>
      <c r="J296" s="32" t="n">
        <v>-0.21</v>
      </c>
      <c r="K296" s="32" t="n">
        <v>91717</v>
      </c>
      <c r="L296" s="31" t="n">
        <v>1</v>
      </c>
      <c r="M296" s="31" t="inlineStr">
        <is>
          <t>Underperforming</t>
        </is>
      </c>
      <c r="N296" s="32">
        <f>IF(M296="Underperforming",-5,IF(L296&gt;=95,15,IF(L296&gt;=90,10,IF(L296&gt;=80,5,0))))</f>
        <v/>
      </c>
      <c r="O296" s="32" t="n">
        <v>54.81</v>
      </c>
      <c r="P296" s="32" t="n">
        <v>12.98</v>
      </c>
      <c r="Q296" s="32" t="n">
        <v>389.9</v>
      </c>
      <c r="R296" s="31" t="inlineStr">
        <is>
          <t>Earnings / Momentum Support</t>
        </is>
      </c>
      <c r="S296" s="31" t="inlineStr">
        <is>
          <t>Nifty Metal</t>
        </is>
      </c>
      <c r="T296" s="32" t="n">
        <v>37.92</v>
      </c>
      <c r="U296" s="32" t="n">
        <v>-17.27</v>
      </c>
      <c r="V296" s="32" t="n">
        <v>-40.01</v>
      </c>
      <c r="W296" s="32" t="n">
        <v>-1.63</v>
      </c>
      <c r="X296" s="31" t="inlineStr">
        <is>
          <t>Cyclical in an Upturn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Cyclical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Volatile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1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No</t>
        </is>
      </c>
      <c r="BS296" s="31">
        <f>IF(BR296="NO",5,0)</f>
        <v/>
      </c>
      <c r="BT296" s="31" t="inlineStr">
        <is>
          <t>Less than 1.5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IF(B297=0,"",RANK(B297,$B$2:$B$304,0))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PRIMO</t>
        </is>
      </c>
      <c r="D297" s="31" t="inlineStr">
        <is>
          <t>Primo Chemicals Ltd</t>
        </is>
      </c>
      <c r="E297" s="31" t="inlineStr">
        <is>
          <t>chemicals</t>
        </is>
      </c>
      <c r="F297" s="31" t="inlineStr">
        <is>
          <t>chlor alkali / soda ash</t>
        </is>
      </c>
      <c r="G297" s="31" t="inlineStr">
        <is>
          <t>smallcap</t>
        </is>
      </c>
      <c r="H297" s="32" t="n">
        <v>525.88</v>
      </c>
      <c r="I297" s="32" t="n">
        <v>23.71</v>
      </c>
      <c r="J297" s="32" t="n">
        <v>9.26</v>
      </c>
      <c r="K297" s="32" t="n">
        <v>1605579</v>
      </c>
      <c r="L297" s="31" t="n">
        <v>2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51.35</v>
      </c>
      <c r="P297" s="32" t="n">
        <v>17.37</v>
      </c>
      <c r="Q297" s="32" t="n">
        <v>16.83</v>
      </c>
      <c r="R297" s="31" t="inlineStr">
        <is>
          <t>Volume Spike / Accumulation</t>
        </is>
      </c>
      <c r="S297" s="31" t="inlineStr">
        <is>
          <t>Nifty IT</t>
        </is>
      </c>
      <c r="T297" s="32" t="n">
        <v>-19.91</v>
      </c>
      <c r="U297" s="32" t="n">
        <v>-9.57</v>
      </c>
      <c r="V297" s="32" t="n">
        <v>12.91</v>
      </c>
      <c r="W297" s="32" t="n">
        <v>-1.02</v>
      </c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Yes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0 to 20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1</t>
        </is>
      </c>
      <c r="BC297" s="31">
        <f>IF(BB297="Stage 2",20,IF(BB297="Stage 1",0,IF(BB297="Stage 3",5,IF(BB297="Stage 4",-5,0))))</f>
        <v/>
      </c>
      <c r="BD297" s="31" t="inlineStr">
        <is>
          <t>Negative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Less than 12%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IF(B298=0,"",RANK(B298,$B$2:$B$304,0))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3" t="inlineStr">
        <is>
          <t>JSL</t>
        </is>
      </c>
      <c r="D298" s="33" t="inlineStr">
        <is>
          <t>Jindal Stainless Limited</t>
        </is>
      </c>
      <c r="E298" s="31" t="inlineStr">
        <is>
          <t>metals &amp; mining</t>
        </is>
      </c>
      <c r="F298" s="31" t="inlineStr">
        <is>
          <t>steel - large</t>
        </is>
      </c>
      <c r="G298" s="31" t="inlineStr">
        <is>
          <t>largecap</t>
        </is>
      </c>
      <c r="H298" s="32" t="n">
        <v>62833.14</v>
      </c>
      <c r="I298" s="32" t="n">
        <v>756.1</v>
      </c>
      <c r="J298" s="32" t="n">
        <v>-0.79</v>
      </c>
      <c r="K298" s="32" t="n">
        <v>1619515</v>
      </c>
      <c r="L298" s="31" t="n">
        <v>9</v>
      </c>
      <c r="M298" s="31" t="inlineStr">
        <is>
          <t>Underperforming</t>
        </is>
      </c>
      <c r="N298" s="32">
        <f>IF(M298="Underperforming",-5,IF(L298&gt;=95,15,IF(L298&gt;=90,10,IF(L298&gt;=80,5,0))))</f>
        <v/>
      </c>
      <c r="O298" s="32" t="n">
        <v>56.24</v>
      </c>
      <c r="P298" s="32" t="n">
        <v>11.8</v>
      </c>
      <c r="Q298" s="32" t="n">
        <v>624.61</v>
      </c>
      <c r="R298" s="31" t="inlineStr">
        <is>
          <t>Volume Spike / Accumulation</t>
        </is>
      </c>
      <c r="S298" s="31" t="inlineStr">
        <is>
          <t>Nifty Metal</t>
        </is>
      </c>
      <c r="T298" s="32" t="n">
        <v>37.92</v>
      </c>
      <c r="U298" s="32" t="n">
        <v>16.18</v>
      </c>
      <c r="V298" s="32" t="n">
        <v>-15.76</v>
      </c>
      <c r="W298" s="32" t="n">
        <v>3.32</v>
      </c>
      <c r="X298" s="31" t="inlineStr">
        <is>
          <t>Cyclical in an Upturn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Cyclical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Volatile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Yes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1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Less than 12%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No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IF(B299=0,"",RANK(B299,$B$2:$B$304,0))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UNITEDPOLY</t>
        </is>
      </c>
      <c r="D299" s="31" t="inlineStr">
        <is>
          <t>United Polyfab Gujarat Ltd</t>
        </is>
      </c>
      <c r="E299" s="31" t="inlineStr">
        <is>
          <t>textiles</t>
        </is>
      </c>
      <c r="F299" s="31" t="inlineStr">
        <is>
          <t>textiles - products</t>
        </is>
      </c>
      <c r="G299" s="31" t="inlineStr">
        <is>
          <t>smallcap</t>
        </is>
      </c>
      <c r="H299" s="32" t="n">
        <v>988.52</v>
      </c>
      <c r="I299" s="32" t="n">
        <v>43.28</v>
      </c>
      <c r="J299" s="32" t="n">
        <v>0.49</v>
      </c>
      <c r="K299" s="32" t="n">
        <v>144169</v>
      </c>
      <c r="L299" s="31" t="n">
        <v>36</v>
      </c>
      <c r="M299" s="31" t="inlineStr">
        <is>
          <t>Outperforming</t>
        </is>
      </c>
      <c r="N299" s="32">
        <f>IF(M299="Underperforming",-5,IF(L299&gt;=95,15,IF(L299&gt;=90,10,IF(L299&gt;=80,5,0))))</f>
        <v/>
      </c>
      <c r="O299" s="32" t="n">
        <v>71.18000000000001</v>
      </c>
      <c r="P299" s="32" t="n">
        <v>18.89</v>
      </c>
      <c r="Q299" s="32" t="n">
        <v>31.14</v>
      </c>
      <c r="R299" s="31" t="inlineStr">
        <is>
          <t>Earnings / Momentum Support</t>
        </is>
      </c>
      <c r="S299" s="31" t="inlineStr">
        <is>
          <t>Nifty 50</t>
        </is>
      </c>
      <c r="T299" s="32" t="n">
        <v>-6.83</v>
      </c>
      <c r="U299" s="32" t="n">
        <v>19.1</v>
      </c>
      <c r="V299" s="32" t="n">
        <v>27.83</v>
      </c>
      <c r="W299" s="32" t="n">
        <v>11.74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Oligopoly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Shallow Cyclical (2 to 3 Years Growth)</t>
        </is>
      </c>
      <c r="AG299" s="31">
        <f>IF(AF299="Structural (10 Years Consistency)",10,IF(AF299="Shallow Cyclical (2 to 3 years growth)",5,0))</f>
        <v/>
      </c>
      <c r="AH299" s="31" t="inlineStr">
        <is>
          <t>Yes due to Product Mix change or Operating Leverage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Volatile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Yes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Allocated capital in Non-core Areas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Above 40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3</t>
        </is>
      </c>
      <c r="BC299" s="31">
        <f>IF(BB299="Stage 2",20,IF(BB299="Stage 1",0,IF(BB299="Stage 3",5,IF(BB299="Stage 4",-5,0))))</f>
        <v/>
      </c>
      <c r="BD299" s="31" t="inlineStr">
        <is>
          <t>Negative Trend</t>
        </is>
      </c>
      <c r="BE299" s="31">
        <f>IF(BD299="Positive Trend",20,IF(BD299="Negative Trend",-10,0))</f>
        <v/>
      </c>
      <c r="BF299" s="31" t="inlineStr">
        <is>
          <t>Sideways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Overhead supply in last 2 years in last 2 years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More than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Less than 1.5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More than 15%</t>
        </is>
      </c>
      <c r="CC299" s="31">
        <f>IF(CB299="More than 15%",-10,IF(CB299="Less than 15%",10,0))</f>
        <v/>
      </c>
      <c r="CD299" s="31" t="inlineStr">
        <is>
          <t>Yes Upto 10%</t>
        </is>
      </c>
      <c r="CE299" s="31">
        <f>IF(CD299="Yes, more than 10%",-10,IF(CD299="No",10,0))</f>
        <v/>
      </c>
    </row>
    <row r="300">
      <c r="A300" s="31">
        <f>IF(B300=0,"",RANK(B300,$B$2:$B$304,0))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FLUOROCHEM</t>
        </is>
      </c>
      <c r="D300" s="31" t="inlineStr">
        <is>
          <t>Gujarat Fluorochemicals Ltd</t>
        </is>
      </c>
      <c r="E300" s="31" t="inlineStr">
        <is>
          <t>chemicals</t>
        </is>
      </c>
      <c r="F300" s="31" t="inlineStr">
        <is>
          <t>chemicals</t>
        </is>
      </c>
      <c r="G300" s="31" t="inlineStr">
        <is>
          <t>largecap</t>
        </is>
      </c>
      <c r="H300" s="32" t="n">
        <v>52577.51</v>
      </c>
      <c r="I300" s="32" t="n">
        <v>4773.2</v>
      </c>
      <c r="J300" s="32" t="n">
        <v>-0.27</v>
      </c>
      <c r="K300" s="32" t="n">
        <v>130082</v>
      </c>
      <c r="L300" s="31" t="n">
        <v>39</v>
      </c>
      <c r="M300" s="31" t="inlineStr">
        <is>
          <t>Outperforming</t>
        </is>
      </c>
      <c r="N300" s="32">
        <f>IF(M300="Underperforming",-5,IF(L300&gt;=95,15,IF(L300&gt;=90,10,IF(L300&gt;=80,5,0))))</f>
        <v/>
      </c>
      <c r="O300" s="32" t="n">
        <v>66.95999999999999</v>
      </c>
      <c r="P300" s="32" t="n">
        <v>40.13</v>
      </c>
      <c r="Q300" s="32" t="n">
        <v>3887.73</v>
      </c>
      <c r="R300" s="31" t="inlineStr">
        <is>
          <t>Near 52W High Breakout</t>
        </is>
      </c>
      <c r="S300" s="31" t="inlineStr">
        <is>
          <t>Nifty 500</t>
        </is>
      </c>
      <c r="T300" s="32" t="n">
        <v>-1.4</v>
      </c>
      <c r="U300" s="32" t="n">
        <v>28.56</v>
      </c>
      <c r="V300" s="32" t="n">
        <v>30.38</v>
      </c>
      <c r="W300" s="32" t="n">
        <v>12.43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Oligopoly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Shallow Cyclical (2 to 3 Years Growth)</t>
        </is>
      </c>
      <c r="AG300" s="31">
        <f>IF(AF300="Structural (10 Years Consistency)",10,IF(AF300="Shallow Cyclical (2 to 3 years growth)",5,0))</f>
        <v/>
      </c>
      <c r="AH300" s="31" t="inlineStr">
        <is>
          <t>Yes due to Product Mix change or Operating Leverage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Volatile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Yes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Allocated capital in Non-core Areas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Above 40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3</t>
        </is>
      </c>
      <c r="BC300" s="31">
        <f>IF(BB300="Stage 2",20,IF(BB300="Stage 1",0,IF(BB300="Stage 3",5,IF(BB300="Stage 4",-5,0))))</f>
        <v/>
      </c>
      <c r="BD300" s="31" t="inlineStr">
        <is>
          <t>Negative Trend</t>
        </is>
      </c>
      <c r="BE300" s="31">
        <f>IF(BD300="Positive Trend",20,IF(BD300="Negative Trend",-10,0))</f>
        <v/>
      </c>
      <c r="BF300" s="31" t="inlineStr">
        <is>
          <t>Sideways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Overhead supply in last 2 years in last 2 years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More than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Less than 1.5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More than 15%</t>
        </is>
      </c>
      <c r="CC300" s="31">
        <f>IF(CB300="More than 15%",-10,IF(CB300="Less than 15%",10,0))</f>
        <v/>
      </c>
      <c r="CD300" s="31" t="inlineStr">
        <is>
          <t>Yes Upto 10%</t>
        </is>
      </c>
      <c r="CE300" s="31">
        <f>IF(CD300="Yes, more than 10%",-10,IF(CD300="No",10,0))</f>
        <v/>
      </c>
    </row>
    <row r="301">
      <c r="A301" s="31">
        <f>IF(B301=0,"",RANK(B301,$B$2:$B$304,0))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1" t="inlineStr">
        <is>
          <t>GIPCL</t>
        </is>
      </c>
      <c r="D301" s="31" t="inlineStr">
        <is>
          <t>Gujarat Industries Power Company Limited</t>
        </is>
      </c>
      <c r="E301" s="31" t="inlineStr">
        <is>
          <t>power &amp; utilities</t>
        </is>
      </c>
      <c r="F301" s="31" t="inlineStr">
        <is>
          <t>power generation and supply</t>
        </is>
      </c>
      <c r="G301" s="31" t="inlineStr">
        <is>
          <t>smallcap</t>
        </is>
      </c>
      <c r="H301" s="32" t="n">
        <v>3124.5</v>
      </c>
      <c r="I301" s="32" t="n">
        <v>199.72</v>
      </c>
      <c r="J301" s="32" t="n">
        <v>-0.78</v>
      </c>
      <c r="K301" s="32" t="n">
        <v>428319</v>
      </c>
      <c r="L301" s="31" t="n">
        <v>27</v>
      </c>
      <c r="M301" s="31" t="inlineStr">
        <is>
          <t>Outperforming</t>
        </is>
      </c>
      <c r="N301" s="32">
        <f>IF(M301="Underperforming",-5,IF(L301&gt;=95,15,IF(L301&gt;=90,10,IF(L301&gt;=80,5,0))))</f>
        <v/>
      </c>
      <c r="O301" s="32" t="n">
        <v>70.77</v>
      </c>
      <c r="P301" s="32" t="n">
        <v>21.28</v>
      </c>
      <c r="Q301" s="32" t="n">
        <v>163.53</v>
      </c>
      <c r="R301" s="31" t="inlineStr">
        <is>
          <t>Near 52W High Breakout</t>
        </is>
      </c>
      <c r="S301" s="31" t="inlineStr">
        <is>
          <t>Nifty IT</t>
        </is>
      </c>
      <c r="T301" s="32" t="n">
        <v>-19.91</v>
      </c>
      <c r="U301" s="32" t="n">
        <v>9.16</v>
      </c>
      <c r="V301" s="32" t="n">
        <v>36.29</v>
      </c>
      <c r="W301" s="32" t="n">
        <v>8.84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Oligopoly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Shallow Cyclical (2 to 3 Years Growth)</t>
        </is>
      </c>
      <c r="AG301" s="31">
        <f>IF(AF301="Structural (10 Years Consistency)",10,IF(AF301="Shallow Cyclical (2 to 3 years growth)",5,0))</f>
        <v/>
      </c>
      <c r="AH301" s="31" t="inlineStr">
        <is>
          <t>Yes due to Product Mix change or Operating Leverage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Volatile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Yes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Allocated capital in Non-core Areas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Above 40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3</t>
        </is>
      </c>
      <c r="BC301" s="31">
        <f>IF(BB301="Stage 2",20,IF(BB301="Stage 1",0,IF(BB301="Stage 3",5,IF(BB301="Stage 4",-5,0))))</f>
        <v/>
      </c>
      <c r="BD301" s="31" t="inlineStr">
        <is>
          <t>Negative Trend</t>
        </is>
      </c>
      <c r="BE301" s="31">
        <f>IF(BD301="Positive Trend",20,IF(BD301="Negative Trend",-10,0))</f>
        <v/>
      </c>
      <c r="BF301" s="31" t="inlineStr">
        <is>
          <t>Sideways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Overhead supply in last 2 years in last 2 years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More than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Less than 1.5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More than 15%</t>
        </is>
      </c>
      <c r="CC301" s="31">
        <f>IF(CB301="More than 15%",-10,IF(CB301="Less than 15%",10,0))</f>
        <v/>
      </c>
      <c r="CD301" s="31" t="inlineStr">
        <is>
          <t>Yes Upto 10%</t>
        </is>
      </c>
      <c r="CE301" s="31">
        <f>IF(CD301="Yes, more than 10%",-10,IF(CD301="No",10,0))</f>
        <v/>
      </c>
    </row>
    <row r="302">
      <c r="A302" s="31">
        <f>IF(B302=0,"",RANK(B302,$B$2:$B$304,0))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3" t="inlineStr">
        <is>
          <t>COALINDIA</t>
        </is>
      </c>
      <c r="D302" s="33" t="inlineStr">
        <is>
          <t>Coal India Limited</t>
        </is>
      </c>
      <c r="E302" s="31" t="inlineStr">
        <is>
          <t>metals &amp; mining</t>
        </is>
      </c>
      <c r="F302" s="31" t="inlineStr">
        <is>
          <t>mining / minerals / metals</t>
        </is>
      </c>
      <c r="G302" s="31" t="inlineStr">
        <is>
          <t>largecap</t>
        </is>
      </c>
      <c r="H302" s="32" t="n">
        <v>266229.86</v>
      </c>
      <c r="I302" s="32" t="n">
        <v>426.4</v>
      </c>
      <c r="J302" s="32" t="n">
        <v>-1.3</v>
      </c>
      <c r="K302" s="32" t="n">
        <v>3868222</v>
      </c>
      <c r="L302" s="31" t="n">
        <v>10</v>
      </c>
      <c r="M302" s="31" t="inlineStr">
        <is>
          <t>Underperforming</t>
        </is>
      </c>
      <c r="N302" s="32">
        <f>IF(M302="Underperforming",-5,IF(L302&gt;=95,15,IF(L302&gt;=90,10,IF(L302&gt;=80,5,0))))</f>
        <v/>
      </c>
      <c r="O302" s="32" t="n">
        <v>53.42</v>
      </c>
      <c r="P302" s="32" t="n">
        <v>10.61</v>
      </c>
      <c r="Q302" s="32" t="n">
        <v>377.98</v>
      </c>
      <c r="R302" s="31" t="inlineStr">
        <is>
          <t>Earnings / Momentum Support</t>
        </is>
      </c>
      <c r="S302" s="31" t="inlineStr">
        <is>
          <t>Nifty Metal</t>
        </is>
      </c>
      <c r="T302" s="32" t="n">
        <v>37.92</v>
      </c>
      <c r="U302" s="32" t="n">
        <v>22.99</v>
      </c>
      <c r="V302" s="32" t="n">
        <v>-10.83</v>
      </c>
      <c r="W302" s="32" t="n">
        <v>3.56</v>
      </c>
      <c r="X302" s="31" t="inlineStr">
        <is>
          <t>Cyclical in an Upturn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Headwind</t>
        </is>
      </c>
      <c r="AE302" s="31">
        <f>IF(AD302="Tailwind",10,0)</f>
        <v/>
      </c>
      <c r="AF302" s="31" t="inlineStr">
        <is>
          <t>Cyclical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Volatile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0 to 20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1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Less than 12%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IF(B303=0,"",RANK(B303,$B$2:$B$304,0))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3" t="inlineStr">
        <is>
          <t>GUJTHEM</t>
        </is>
      </c>
      <c r="D303" s="33" t="inlineStr">
        <is>
          <t>Gujarat Themis Biosyn Ltd</t>
        </is>
      </c>
      <c r="E303" s="31" t="inlineStr">
        <is>
          <t>healthcare</t>
        </is>
      </c>
      <c r="F303" s="31" t="inlineStr">
        <is>
          <t>pharmaceuticals - indian - bulk drugs</t>
        </is>
      </c>
      <c r="G303" s="31" t="inlineStr">
        <is>
          <t>smallcap</t>
        </is>
      </c>
      <c r="H303" s="32" t="n">
        <v>4686.6</v>
      </c>
      <c r="I303" s="32" t="n">
        <v>422.65</v>
      </c>
      <c r="J303" s="32" t="n">
        <v>-1.73</v>
      </c>
      <c r="K303" s="32" t="n">
        <v>390855</v>
      </c>
      <c r="L303" s="31" t="n">
        <v>18</v>
      </c>
      <c r="M303" s="31" t="inlineStr">
        <is>
          <t>Underperforming</t>
        </is>
      </c>
      <c r="N303" s="32">
        <f>IF(M303="Underperforming",-5,IF(L303&gt;=95,15,IF(L303&gt;=90,10,IF(L303&gt;=80,5,0))))</f>
        <v/>
      </c>
      <c r="O303" s="32" t="n">
        <v>63.25</v>
      </c>
      <c r="P303" s="32" t="n">
        <v>24.88</v>
      </c>
      <c r="Q303" s="32" t="n">
        <v>305.8</v>
      </c>
      <c r="R303" s="31" t="inlineStr">
        <is>
          <t>Volume Spike / Accumulation</t>
        </is>
      </c>
      <c r="S303" s="31" t="inlineStr">
        <is>
          <t>Nifty Pharma</t>
        </is>
      </c>
      <c r="T303" s="32" t="n">
        <v>18.76</v>
      </c>
      <c r="U303" s="32" t="n">
        <v>12</v>
      </c>
      <c r="V303" s="32" t="n">
        <v>-5.69</v>
      </c>
      <c r="W303" s="32" t="n">
        <v>6.3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Oligopoly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Shallow Cyclical (2 to 3 Years Growth)</t>
        </is>
      </c>
      <c r="AG303" s="31">
        <f>IF(AF303="Structural (10 Years Consistency)",10,IF(AF303="Shallow Cyclical (2 to 3 years growth)",5,0))</f>
        <v/>
      </c>
      <c r="AH303" s="31" t="inlineStr">
        <is>
          <t>Yes due to Product Mix change or Operating Leverage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Volatile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Yes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Allocated capital in Non-core Areas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Above 40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3</t>
        </is>
      </c>
      <c r="BC303" s="31">
        <f>IF(BB303="Stage 2",20,IF(BB303="Stage 1",0,IF(BB303="Stage 3",5,IF(BB303="Stage 4",-5,0))))</f>
        <v/>
      </c>
      <c r="BD303" s="31" t="inlineStr">
        <is>
          <t>Negative Trend</t>
        </is>
      </c>
      <c r="BE303" s="31">
        <f>IF(BD303="Positive Trend",20,IF(BD303="Negative Trend",-10,0))</f>
        <v/>
      </c>
      <c r="BF303" s="31" t="inlineStr">
        <is>
          <t>Sideways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Overhead supply in last 2 years in last 2 years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No</t>
        </is>
      </c>
      <c r="BS303" s="31">
        <f>IF(BR303="NO",5,0)</f>
        <v/>
      </c>
      <c r="BT303" s="31" t="inlineStr">
        <is>
          <t>Less than 1.5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More than 15%</t>
        </is>
      </c>
      <c r="CC303" s="31">
        <f>IF(CB303="More than 15%",-10,IF(CB303="Less than 15%",10,0))</f>
        <v/>
      </c>
      <c r="CD303" s="31" t="inlineStr">
        <is>
          <t>Yes Upto 10%</t>
        </is>
      </c>
      <c r="CE303" s="31">
        <f>IF(CD303="Yes, more than 10%",-10,IF(CD303="No",10,0))</f>
        <v/>
      </c>
    </row>
    <row r="304">
      <c r="A304" s="31">
        <f>IF(B304=0,"",RANK(B304,$B$2:$B$304,0))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3" t="inlineStr">
        <is>
          <t>SARDAEN</t>
        </is>
      </c>
      <c r="D304" s="33" t="inlineStr">
        <is>
          <t>Sarda Energy &amp; Minerals Limited</t>
        </is>
      </c>
      <c r="E304" s="31" t="inlineStr">
        <is>
          <t>metals &amp; mining</t>
        </is>
      </c>
      <c r="F304" s="31" t="inlineStr">
        <is>
          <t>steel - medium / small</t>
        </is>
      </c>
      <c r="G304" s="31" t="inlineStr">
        <is>
          <t>midcap</t>
        </is>
      </c>
      <c r="H304" s="32" t="n">
        <v>18931.68</v>
      </c>
      <c r="I304" s="32" t="n">
        <v>524.15</v>
      </c>
      <c r="J304" s="32" t="n">
        <v>-2.44</v>
      </c>
      <c r="K304" s="32" t="n">
        <v>374526</v>
      </c>
      <c r="L304" s="31" t="n">
        <v>8</v>
      </c>
      <c r="M304" s="31" t="inlineStr">
        <is>
          <t>Underperforming</t>
        </is>
      </c>
      <c r="N304" s="32">
        <f>IF(M304="Underperforming",-5,IF(L304&gt;=95,15,IF(L304&gt;=90,10,IF(L304&gt;=80,5,0))))</f>
        <v/>
      </c>
      <c r="O304" s="32" t="n">
        <v>51.1</v>
      </c>
      <c r="P304" s="32" t="n">
        <v>7.68</v>
      </c>
      <c r="Q304" s="32" t="n">
        <v>424.65</v>
      </c>
      <c r="R304" s="31" t="inlineStr">
        <is>
          <t>Volume Spike / Accumulation</t>
        </is>
      </c>
      <c r="S304" s="31" t="inlineStr">
        <is>
          <t>Nifty Metal</t>
        </is>
      </c>
      <c r="T304" s="32" t="n">
        <v>37.92</v>
      </c>
      <c r="U304" s="32" t="n">
        <v>20.97</v>
      </c>
      <c r="V304" s="32" t="n">
        <v>-12.29</v>
      </c>
      <c r="W304" s="32" t="n">
        <v>3.26</v>
      </c>
      <c r="X304" s="31" t="inlineStr">
        <is>
          <t>Cyclical in an Upturn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Cyclical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Volatile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Yes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0 to 20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1</t>
        </is>
      </c>
      <c r="BC304" s="31">
        <f>IF(BB304="Stage 2",20,IF(BB304="Stage 1",0,IF(BB304="Stage 3",5,IF(BB304="Stage 4",-5,0))))</f>
        <v/>
      </c>
      <c r="BD304" s="31" t="inlineStr">
        <is>
          <t>Negative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Less than 12%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</sheetData>
  <autoFilter ref="A1:CE304"/>
  <conditionalFormatting sqref="B2:B30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0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0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0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0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0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0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0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0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0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0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0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0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0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0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0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0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0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0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0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0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0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0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0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0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0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0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0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0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0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0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04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04">
    <cfRule type="cellIs" priority="36" operator="equal" dxfId="3" stopIfTrue="1">
      <formula>"Underperforming"</formula>
    </cfRule>
  </conditionalFormatting>
  <conditionalFormatting sqref="N2:N304">
    <cfRule type="cellIs" priority="37" operator="equal" dxfId="3" stopIfTrue="1">
      <formula>-5</formula>
    </cfRule>
  </conditionalFormatting>
  <conditionalFormatting sqref="Q2:Q304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04" showDropDown="0" showInputMessage="0" showErrorMessage="0" allowBlank="1" type="list">
      <formula1>"Growing Industry,Stagnant Industry,Cyclical in an Upturn"</formula1>
    </dataValidation>
    <dataValidation sqref="Z2:Z30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04" showDropDown="0" showInputMessage="0" showErrorMessage="0" allowBlank="1" type="list">
      <formula1>"Yes,No"</formula1>
    </dataValidation>
    <dataValidation sqref="AD2:AD304" showDropDown="0" showInputMessage="0" showErrorMessage="0" allowBlank="1" type="list">
      <formula1>"Tailwind,Headwind"</formula1>
    </dataValidation>
    <dataValidation sqref="AF2:AF304" showDropDown="0" showInputMessage="0" showErrorMessage="0" allowBlank="1" type="list">
      <formula1>"Structural (10 Years Consistency),Shallow Cyclical (2 to 3 Years Growth),Cyclical"</formula1>
    </dataValidation>
    <dataValidation sqref="AH2:AH304" showDropDown="0" showInputMessage="0" showErrorMessage="0" allowBlank="1" type="list">
      <formula1>"Yes due to Product Mix change or Operating Leverage,Yes, these are peak margins,No"</formula1>
    </dataValidation>
    <dataValidation sqref="AJ2:AJ304" showDropDown="0" showInputMessage="0" showErrorMessage="0" allowBlank="1" type="list">
      <formula1>"Stable,Volatile"</formula1>
    </dataValidation>
    <dataValidation sqref="AL2:AL304" showDropDown="0" showInputMessage="0" showErrorMessage="0" allowBlank="1" type="list">
      <formula1>"Yes,No"</formula1>
    </dataValidation>
    <dataValidation sqref="AN2:AN304" showDropDown="0" showInputMessage="0" showErrorMessage="0" allowBlank="1" type="list">
      <formula1>"B2C,B2B,B2G"</formula1>
    </dataValidation>
    <dataValidation sqref="AP2:AP304" showDropDown="0" showInputMessage="0" showErrorMessage="0" allowBlank="1" type="list">
      <formula1>"Yes,No"</formula1>
    </dataValidation>
    <dataValidation sqref="AR2:AR304" showDropDown="0" showInputMessage="0" showErrorMessage="0" allowBlank="1" type="list">
      <formula1>"Fully Annuity,Higher Annuity, Lower One time,Higher One Time, Lower Annuity,Fully One Time"</formula1>
    </dataValidation>
    <dataValidation sqref="AT2:AT304" showDropDown="0" showInputMessage="0" showErrorMessage="0" allowBlank="1" type="list">
      <formula1>"Good,Allocated capital in Non-core Areas"</formula1>
    </dataValidation>
    <dataValidation sqref="AV2:AV304" showDropDown="0" showInputMessage="0" showErrorMessage="0" allowBlank="1" type="list">
      <formula1>"Yes for more than 2 years,Yes only for next 1 to 2 years,No"</formula1>
    </dataValidation>
    <dataValidation sqref="AX2:AX304" showDropDown="0" showInputMessage="0" showErrorMessage="0" allowBlank="1" type="list">
      <formula1>"Above 40,20 to 40,0 to 20"</formula1>
    </dataValidation>
    <dataValidation sqref="AZ2:AZ304" showDropDown="0" showInputMessage="0" showErrorMessage="0" allowBlank="1" type="list">
      <formula1>"Between 50 to 75,Above 75,Below 45"</formula1>
    </dataValidation>
    <dataValidation sqref="BB2:BB304" showDropDown="0" showInputMessage="0" showErrorMessage="0" allowBlank="1" type="list">
      <formula1>"Stage 1,Stage 2,Stage 3,Stage 4"</formula1>
    </dataValidation>
    <dataValidation sqref="BD2:BD304" showDropDown="0" showInputMessage="0" showErrorMessage="0" allowBlank="1" type="list">
      <formula1>"Positive Trend,Negative Trend"</formula1>
    </dataValidation>
    <dataValidation sqref="BF2:BF304" showDropDown="0" showInputMessage="0" showErrorMessage="0" allowBlank="1" type="list">
      <formula1>"Uptrend,Sideways,Downtrend"</formula1>
    </dataValidation>
    <dataValidation sqref="BH2:BH304" showDropDown="0" showInputMessage="0" showErrorMessage="0" allowBlank="1" type="list">
      <formula1>"Uptrend,Sideways,Downtrend"</formula1>
    </dataValidation>
    <dataValidation sqref="BJ2:BJ30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04" showDropDown="0" showInputMessage="0" showErrorMessage="0" allowBlank="1" type="list">
      <formula1>"Yes,No"</formula1>
    </dataValidation>
    <dataValidation sqref="BN2:BN304" showDropDown="0" showInputMessage="0" showErrorMessage="0" allowBlank="1" type="list">
      <formula1>"More than 20%,Between 12 to 20%,Less than 12%"</formula1>
    </dataValidation>
    <dataValidation sqref="BP2:BP304" showDropDown="0" showInputMessage="0" showErrorMessage="0" allowBlank="1" type="list">
      <formula1>"Yes,No"</formula1>
    </dataValidation>
    <dataValidation sqref="BR2:BR304" showDropDown="0" showInputMessage="0" showErrorMessage="0" allowBlank="1" type="list">
      <formula1>"Yes,No"</formula1>
    </dataValidation>
    <dataValidation sqref="BT2:BT304" showDropDown="0" showInputMessage="0" showErrorMessage="0" allowBlank="1" type="list">
      <formula1>"Above 2,Between 1.5 to 2,Less than 1.5"</formula1>
    </dataValidation>
    <dataValidation sqref="BV2:BV304" showDropDown="0" showInputMessage="0" showErrorMessage="0" allowBlank="1" type="list">
      <formula1>"Above 70%,Between 50% to 70%,Less than 50%,Less than 50% and Borrowings are increasing,Negative"</formula1>
    </dataValidation>
    <dataValidation sqref="BX2:BX304" showDropDown="0" showInputMessage="0" showErrorMessage="0" allowBlank="1" type="list">
      <formula1>"More than 1.2,Between 0.7 to 1.2,Less than 0.7"</formula1>
    </dataValidation>
    <dataValidation sqref="BZ2:BZ304" showDropDown="0" showInputMessage="0" showErrorMessage="0" allowBlank="1" type="list">
      <formula1>"Yes,No"</formula1>
    </dataValidation>
    <dataValidation sqref="CB2:CB304" showDropDown="0" showInputMessage="0" showErrorMessage="0" allowBlank="1" type="list">
      <formula1>"More than 15%,Less than 15%"</formula1>
    </dataValidation>
    <dataValidation sqref="CD2:CD30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3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IF(B2=0,"",RANK(B2,$B$2:$B$33,0))</f>
        <v/>
      </c>
      <c r="B2" s="32">
        <f>SUM(N2,Y2,AA2,AC2,AE2,AG2,AI2,AK2,AM2,AO2,AQ2,AS2,AU2,AW2,AY2,BA2,BC2,BE2,BG2,BI2,BK2,BM2,BO2,BQ2,BS2,BU2,BW2,BY2,CA2)</f>
        <v/>
      </c>
      <c r="C2" s="31" t="inlineStr">
        <is>
          <t>TMB</t>
        </is>
      </c>
      <c r="D2" s="31" t="inlineStr">
        <is>
          <t>Tamilnad Mercantile Bank Ltd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14626.13</v>
      </c>
      <c r="I2" s="32" t="n">
        <v>910.9</v>
      </c>
      <c r="J2" s="32" t="n">
        <v>-1.38</v>
      </c>
      <c r="K2" s="32" t="n">
        <v>89596</v>
      </c>
      <c r="L2" s="31" t="n">
        <v>64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70.58</v>
      </c>
      <c r="P2" s="32" t="n">
        <v>44.03</v>
      </c>
      <c r="Q2" s="32" t="n">
        <v>765.49</v>
      </c>
      <c r="R2" s="31" t="inlineStr">
        <is>
          <t>Near 52W High Breakout</t>
        </is>
      </c>
      <c r="S2" s="31" t="inlineStr">
        <is>
          <t>Nifty Bank</t>
        </is>
      </c>
      <c r="T2" s="32" t="n">
        <v>3.28</v>
      </c>
      <c r="U2" s="32" t="n">
        <v>114.35</v>
      </c>
      <c r="V2" s="32" t="n">
        <v>107.54</v>
      </c>
      <c r="W2" s="32" t="n">
        <v>20.63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IF(B3=0,"",RANK(B3,$B$2:$B$33,0))</f>
        <v/>
      </c>
      <c r="B3" s="32">
        <f>SUM(N3,Y3,AA3,AC3,AE3,AG3,AI3,AK3,AM3,AO3,AQ3,AS3,AU3,AW3,AY3,BA3,BC3,BE3,BG3,BI3,BK3,BM3,BO3,BQ3,BS3,BU3,BW3,BY3,CA3)</f>
        <v/>
      </c>
      <c r="C3" s="31" t="inlineStr">
        <is>
          <t>RBLBANK</t>
        </is>
      </c>
      <c r="D3" s="31" t="inlineStr">
        <is>
          <t>Rbl Bank Limited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largecap</t>
        </is>
      </c>
      <c r="H3" s="32" t="n">
        <v>63614.76</v>
      </c>
      <c r="I3" s="32" t="n">
        <v>412.55</v>
      </c>
      <c r="J3" s="32" t="n">
        <v>0.43</v>
      </c>
      <c r="K3" s="32" t="n">
        <v>3209425</v>
      </c>
      <c r="L3" s="31" t="n">
        <v>36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67.47</v>
      </c>
      <c r="P3" s="32" t="n">
        <v>36.51</v>
      </c>
      <c r="Q3" s="32" t="n">
        <v>352.19</v>
      </c>
      <c r="R3" s="31" t="inlineStr">
        <is>
          <t>Near 52W High Breakout</t>
        </is>
      </c>
      <c r="S3" s="31" t="inlineStr">
        <is>
          <t>Nifty Bank</t>
        </is>
      </c>
      <c r="T3" s="32" t="n">
        <v>3.28</v>
      </c>
      <c r="U3" s="32" t="n">
        <v>51.73</v>
      </c>
      <c r="V3" s="32" t="n">
        <v>46.91</v>
      </c>
      <c r="W3" s="32" t="n">
        <v>11.78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IF(B4=0,"",RANK(B4,$B$2:$B$33,0))</f>
        <v/>
      </c>
      <c r="B4" s="32">
        <f>SUM(N4,Y4,AA4,AC4,AE4,AG4,AI4,AK4,AM4,AO4,AQ4,AS4,AU4,AW4,AY4,BA4,BC4,BE4,BG4,BI4,BK4,BM4,BO4,BQ4,BS4,BU4,BW4,BY4,CA4)</f>
        <v/>
      </c>
      <c r="C4" s="31" t="inlineStr">
        <is>
          <t>DCBBANK</t>
        </is>
      </c>
      <c r="D4" s="31" t="inlineStr">
        <is>
          <t>Dcb Bank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midcap</t>
        </is>
      </c>
      <c r="H4" s="32" t="n">
        <v>7315.34</v>
      </c>
      <c r="I4" s="32" t="n">
        <v>226.37</v>
      </c>
      <c r="J4" s="32" t="n">
        <v>-0.33</v>
      </c>
      <c r="K4" s="32" t="n">
        <v>1245963</v>
      </c>
      <c r="L4" s="31" t="n">
        <v>57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73.36</v>
      </c>
      <c r="P4" s="32" t="n">
        <v>32.3</v>
      </c>
      <c r="Q4" s="32" t="n">
        <v>183.28</v>
      </c>
      <c r="R4" s="31" t="inlineStr">
        <is>
          <t>Near 52W High Breakout</t>
        </is>
      </c>
      <c r="S4" s="31" t="inlineStr">
        <is>
          <t>Nifty Bank</t>
        </is>
      </c>
      <c r="T4" s="32" t="n">
        <v>3.28</v>
      </c>
      <c r="U4" s="32" t="n">
        <v>79.65000000000001</v>
      </c>
      <c r="V4" s="32" t="n">
        <v>73.95</v>
      </c>
      <c r="W4" s="32" t="n">
        <v>18.5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IF(B5=0,"",RANK(B5,$B$2:$B$33,0))</f>
        <v/>
      </c>
      <c r="B5" s="32">
        <f>SUM(N5,Y5,AA5,AC5,AE5,AG5,AI5,AK5,AM5,AO5,AQ5,AS5,AU5,AW5,AY5,BA5,BC5,BE5,BG5,BI5,BK5,BM5,BO5,BQ5,BS5,BU5,BW5,BY5,CA5)</f>
        <v/>
      </c>
      <c r="C5" s="31" t="inlineStr">
        <is>
          <t>WELINV</t>
        </is>
      </c>
      <c r="D5" s="31" t="inlineStr">
        <is>
          <t>Welspun Investments And Commercials Limited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smallcap</t>
        </is>
      </c>
      <c r="H5" s="32" t="n">
        <v>856.97</v>
      </c>
      <c r="I5" s="32" t="n">
        <v>2322</v>
      </c>
      <c r="J5" s="32" t="n">
        <v>-0.98</v>
      </c>
      <c r="K5" s="32" t="n">
        <v>236</v>
      </c>
      <c r="L5" s="31" t="n">
        <v>74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82.27</v>
      </c>
      <c r="P5" s="32" t="n">
        <v>57.07</v>
      </c>
      <c r="Q5" s="32" t="n">
        <v>1804.8</v>
      </c>
      <c r="R5" s="31" t="inlineStr">
        <is>
          <t>Near 52W High Breakout</t>
        </is>
      </c>
      <c r="S5" s="31" t="inlineStr">
        <is>
          <t>Nifty Bank</t>
        </is>
      </c>
      <c r="T5" s="32" t="n">
        <v>3.28</v>
      </c>
      <c r="U5" s="32" t="n">
        <v>132.2</v>
      </c>
      <c r="V5" s="32" t="n">
        <v>124.83</v>
      </c>
      <c r="W5" s="32" t="n">
        <v>26.28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IF(B6=0,"",RANK(B6,$B$2:$B$33,0))</f>
        <v/>
      </c>
      <c r="B6" s="32">
        <f>SUM(N6,Y6,AA6,AC6,AE6,AG6,AI6,AK6,AM6,AO6,AQ6,AS6,AU6,AW6,AY6,BA6,BC6,BE6,BG6,BI6,BK6,BM6,BO6,BQ6,BS6,BU6,BW6,BY6,CA6)</f>
        <v/>
      </c>
      <c r="C6" s="31" t="inlineStr">
        <is>
          <t>CGCL</t>
        </is>
      </c>
      <c r="D6" s="31" t="inlineStr">
        <is>
          <t>Capri Global Capital Limited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largecap</t>
        </is>
      </c>
      <c r="H6" s="32" t="n">
        <v>26194.64</v>
      </c>
      <c r="I6" s="32" t="n">
        <v>266</v>
      </c>
      <c r="J6" s="32" t="n">
        <v>-2.3</v>
      </c>
      <c r="K6" s="32" t="n">
        <v>1958467</v>
      </c>
      <c r="L6" s="31" t="n">
        <v>44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66.88</v>
      </c>
      <c r="P6" s="32" t="n">
        <v>40.5</v>
      </c>
      <c r="Q6" s="32" t="n">
        <v>219.48</v>
      </c>
      <c r="R6" s="31" t="inlineStr">
        <is>
          <t>Near 52W High Breakout</t>
        </is>
      </c>
      <c r="S6" s="31" t="inlineStr">
        <is>
          <t>Nifty Bank</t>
        </is>
      </c>
      <c r="T6" s="32" t="n">
        <v>3.28</v>
      </c>
      <c r="U6" s="32" t="n">
        <v>43.09</v>
      </c>
      <c r="V6" s="32" t="n">
        <v>38.54</v>
      </c>
      <c r="W6" s="32" t="n">
        <v>13.86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IF(B7=0,"",RANK(B7,$B$2:$B$33,0))</f>
        <v/>
      </c>
      <c r="B7" s="32">
        <f>SUM(N7,Y7,AA7,AC7,AE7,AG7,AI7,AK7,AM7,AO7,AQ7,AS7,AU7,AW7,AY7,BA7,BC7,BE7,BG7,BI7,BK7,BM7,BO7,BQ7,BS7,BU7,BW7,BY7,CA7)</f>
        <v/>
      </c>
      <c r="C7" s="31" t="inlineStr">
        <is>
          <t>PAISALO</t>
        </is>
      </c>
      <c r="D7" s="31" t="inlineStr">
        <is>
          <t>Paisalo Digital Ltd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midcap</t>
        </is>
      </c>
      <c r="H7" s="32" t="n">
        <v>7553.58</v>
      </c>
      <c r="I7" s="32" t="n">
        <v>84.23</v>
      </c>
      <c r="J7" s="32" t="n">
        <v>1.42</v>
      </c>
      <c r="K7" s="32" t="n">
        <v>16781160</v>
      </c>
      <c r="L7" s="31" t="n">
        <v>80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80.28</v>
      </c>
      <c r="P7" s="32" t="n">
        <v>67.34</v>
      </c>
      <c r="Q7" s="32" t="n">
        <v>66.95999999999999</v>
      </c>
      <c r="R7" s="31" t="inlineStr">
        <is>
          <t>Near 52W High Breakout</t>
        </is>
      </c>
      <c r="S7" s="31" t="inlineStr">
        <is>
          <t>Nifty Bank</t>
        </is>
      </c>
      <c r="T7" s="32" t="n">
        <v>3.28</v>
      </c>
      <c r="U7" s="32" t="n">
        <v>122.26</v>
      </c>
      <c r="V7" s="32" t="n">
        <v>115.2</v>
      </c>
      <c r="W7" s="32" t="n">
        <v>31.49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Above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IF(B8=0,"",RANK(B8,$B$2:$B$33,0))</f>
        <v/>
      </c>
      <c r="B8" s="32">
        <f>SUM(N8,Y8,AA8,AC8,AE8,AG8,AI8,AK8,AM8,AO8,AQ8,AS8,AU8,AW8,AY8,BA8,BC8,BE8,BG8,BI8,BK8,BM8,BO8,BQ8,BS8,BU8,BW8,BY8,CA8)</f>
        <v/>
      </c>
      <c r="C8" s="31" t="inlineStr">
        <is>
          <t>SHAREINDIA</t>
        </is>
      </c>
      <c r="D8" s="31" t="inlineStr">
        <is>
          <t>Share India Securities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4295.98</v>
      </c>
      <c r="I8" s="32" t="n">
        <v>198.93</v>
      </c>
      <c r="J8" s="32" t="n">
        <v>1.33</v>
      </c>
      <c r="K8" s="32" t="n">
        <v>15203480</v>
      </c>
      <c r="L8" s="31" t="n">
        <v>58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66.95</v>
      </c>
      <c r="P8" s="32" t="n">
        <v>31.16</v>
      </c>
      <c r="Q8" s="32" t="n">
        <v>148.59</v>
      </c>
      <c r="R8" s="31" t="inlineStr">
        <is>
          <t>Volume Spike &amp; Near 52W High Breakout</t>
        </is>
      </c>
      <c r="S8" s="31" t="inlineStr">
        <is>
          <t>Nifty Bank</t>
        </is>
      </c>
      <c r="T8" s="32" t="n">
        <v>3.28</v>
      </c>
      <c r="U8" s="32" t="n">
        <v>37.9</v>
      </c>
      <c r="V8" s="32" t="n">
        <v>33.53</v>
      </c>
      <c r="W8" s="32" t="n">
        <v>18.56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IF(B9=0,"",RANK(B9,$B$2:$B$33,0))</f>
        <v/>
      </c>
      <c r="B9" s="32">
        <f>SUM(N9,Y9,AA9,AC9,AE9,AG9,AI9,AK9,AM9,AO9,AQ9,AS9,AU9,AW9,AY9,BA9,BC9,BE9,BG9,BI9,BK9,BM9,BO9,BQ9,BS9,BU9,BW9,BY9,CA9)</f>
        <v/>
      </c>
      <c r="C9" s="31" t="inlineStr">
        <is>
          <t>SMCGLOBAL</t>
        </is>
      </c>
      <c r="D9" s="31" t="inlineStr">
        <is>
          <t>SMC Global Securities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1793.3</v>
      </c>
      <c r="I9" s="32" t="n">
        <v>86</v>
      </c>
      <c r="J9" s="32" t="n">
        <v>0.42</v>
      </c>
      <c r="K9" s="32" t="n">
        <v>3491875</v>
      </c>
      <c r="L9" s="31" t="n">
        <v>32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63.58</v>
      </c>
      <c r="P9" s="32" t="n">
        <v>21.69</v>
      </c>
      <c r="Q9" s="32" t="n">
        <v>66.36</v>
      </c>
      <c r="R9" s="31" t="inlineStr">
        <is>
          <t>Volume Spike / Accumulation</t>
        </is>
      </c>
      <c r="S9" s="31" t="inlineStr">
        <is>
          <t>Nifty Bank</t>
        </is>
      </c>
      <c r="T9" s="32" t="n">
        <v>3.28</v>
      </c>
      <c r="U9" s="32" t="n">
        <v>26.99</v>
      </c>
      <c r="V9" s="32" t="n">
        <v>22.96</v>
      </c>
      <c r="W9" s="32" t="n">
        <v>10.45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IF(B10=0,"",RANK(B10,$B$2:$B$33,0))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MAHABANK</t>
        </is>
      </c>
      <c r="D10" s="31" t="inlineStr">
        <is>
          <t>Bank Of Maharashtra Ltd</t>
        </is>
      </c>
      <c r="E10" s="31" t="inlineStr">
        <is>
          <t>bank</t>
        </is>
      </c>
      <c r="F10" s="31" t="inlineStr">
        <is>
          <t>banks - public sector</t>
        </is>
      </c>
      <c r="G10" s="31" t="inlineStr">
        <is>
          <t>largecap</t>
        </is>
      </c>
      <c r="H10" s="32" t="n">
        <v>64878.27</v>
      </c>
      <c r="I10" s="32" t="n">
        <v>84.2</v>
      </c>
      <c r="J10" s="32" t="n">
        <v>-0.18</v>
      </c>
      <c r="K10" s="32" t="n">
        <v>21676225</v>
      </c>
      <c r="L10" s="31" t="n">
        <v>31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59.59</v>
      </c>
      <c r="P10" s="32" t="n">
        <v>40.65</v>
      </c>
      <c r="Q10" s="32" t="n">
        <v>74.33</v>
      </c>
      <c r="R10" s="31" t="inlineStr">
        <is>
          <t>Earnings / Momentum Support</t>
        </is>
      </c>
      <c r="S10" s="31" t="inlineStr">
        <is>
          <t>Nifty Bank</t>
        </is>
      </c>
      <c r="T10" s="32" t="n">
        <v>3.28</v>
      </c>
      <c r="U10" s="32" t="n">
        <v>60.56</v>
      </c>
      <c r="V10" s="32" t="n">
        <v>55.46</v>
      </c>
      <c r="W10" s="32" t="n">
        <v>10.16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IF(B11=0,"",RANK(B11,$B$2:$B$33,0))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TFCILTD</t>
        </is>
      </c>
      <c r="D11" s="31" t="inlineStr">
        <is>
          <t>Tourism Finance Corporation Of India Limited</t>
        </is>
      </c>
      <c r="E11" s="31" t="inlineStr">
        <is>
          <t>financials</t>
        </is>
      </c>
      <c r="F11" s="31" t="inlineStr">
        <is>
          <t>finance - term-lending institutions</t>
        </is>
      </c>
      <c r="G11" s="31" t="inlineStr">
        <is>
          <t>midcap</t>
        </is>
      </c>
      <c r="H11" s="32" t="n">
        <v>6628.45</v>
      </c>
      <c r="I11" s="32" t="n">
        <v>141.49</v>
      </c>
      <c r="J11" s="32" t="n">
        <v>-1.17</v>
      </c>
      <c r="K11" s="32" t="n">
        <v>6496168</v>
      </c>
      <c r="L11" s="31" t="n">
        <v>87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83.91</v>
      </c>
      <c r="P11" s="32" t="n">
        <v>65.98</v>
      </c>
      <c r="Q11" s="32" t="n">
        <v>114.99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3.28</v>
      </c>
      <c r="U11" s="32" t="n">
        <v>95.20999999999999</v>
      </c>
      <c r="V11" s="32" t="n">
        <v>89.01000000000001</v>
      </c>
      <c r="W11" s="32" t="n">
        <v>37.1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Above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IF(B12=0,"",RANK(B12,$B$2:$B$33,0))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RANEHOLDIN</t>
        </is>
      </c>
      <c r="D12" s="31" t="inlineStr">
        <is>
          <t>Rane Holdings Limited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smallcap</t>
        </is>
      </c>
      <c r="H12" s="32" t="n">
        <v>2434.08</v>
      </c>
      <c r="I12" s="32" t="n">
        <v>1696.2</v>
      </c>
      <c r="J12" s="32" t="n">
        <v>-0.5</v>
      </c>
      <c r="K12" s="32" t="n">
        <v>6389</v>
      </c>
      <c r="L12" s="31" t="n">
        <v>25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62.34</v>
      </c>
      <c r="P12" s="32" t="n">
        <v>43.69</v>
      </c>
      <c r="Q12" s="32" t="n">
        <v>1364.51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3.28</v>
      </c>
      <c r="U12" s="32" t="n">
        <v>15.83</v>
      </c>
      <c r="V12" s="32" t="n">
        <v>12.16</v>
      </c>
      <c r="W12" s="32" t="n">
        <v>8.369999999999999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less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Above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IF(B13=0,"",RANK(B13,$B$2:$B$33,0))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STEL</t>
        </is>
      </c>
      <c r="D13" s="31" t="inlineStr">
        <is>
          <t>Stel Holdings Limited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smallcap</t>
        </is>
      </c>
      <c r="H13" s="32" t="n">
        <v>1089.24</v>
      </c>
      <c r="I13" s="32" t="n">
        <v>611.1</v>
      </c>
      <c r="J13" s="32" t="n">
        <v>3.54</v>
      </c>
      <c r="K13" s="32" t="n">
        <v>4670</v>
      </c>
      <c r="L13" s="31" t="n">
        <v>16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62.06</v>
      </c>
      <c r="P13" s="32" t="n">
        <v>26.24</v>
      </c>
      <c r="Q13" s="32" t="n">
        <v>476.63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3.28</v>
      </c>
      <c r="U13" s="32" t="n">
        <v>16.22</v>
      </c>
      <c r="V13" s="32" t="n">
        <v>12.53</v>
      </c>
      <c r="W13" s="32" t="n">
        <v>5.6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less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IF(B14=0,"",RANK(B14,$B$2:$B$33,0))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PNBHOUSING</t>
        </is>
      </c>
      <c r="D14" s="31" t="inlineStr">
        <is>
          <t>Pnb Housing Finance Limited</t>
        </is>
      </c>
      <c r="E14" s="31" t="inlineStr">
        <is>
          <t>financials</t>
        </is>
      </c>
      <c r="F14" s="31" t="inlineStr">
        <is>
          <t>finance - housing</t>
        </is>
      </c>
      <c r="G14" s="31" t="inlineStr">
        <is>
          <t>largecap</t>
        </is>
      </c>
      <c r="H14" s="32" t="n">
        <v>30723.55</v>
      </c>
      <c r="I14" s="32" t="n">
        <v>1178.9</v>
      </c>
      <c r="J14" s="32" t="n">
        <v>-0.01</v>
      </c>
      <c r="K14" s="32" t="n">
        <v>1152599</v>
      </c>
      <c r="L14" s="31" t="n">
        <v>41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69.34999999999999</v>
      </c>
      <c r="P14" s="32" t="n">
        <v>35.19</v>
      </c>
      <c r="Q14" s="32" t="n">
        <v>979.24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3.28</v>
      </c>
      <c r="U14" s="32" t="n">
        <v>43.12</v>
      </c>
      <c r="V14" s="32" t="n">
        <v>38.57</v>
      </c>
      <c r="W14" s="32" t="n">
        <v>12.81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IF(B15=0,"",RANK(B15,$B$2:$B$33,0))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CONSOFINVT</t>
        </is>
      </c>
      <c r="D15" s="31" t="inlineStr">
        <is>
          <t>Consolidated Finvest &amp; Holdings Limited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981.11</v>
      </c>
      <c r="I15" s="32" t="n">
        <v>301.5</v>
      </c>
      <c r="J15" s="32" t="n">
        <v>-0.66</v>
      </c>
      <c r="K15" s="32" t="n">
        <v>2225</v>
      </c>
      <c r="L15" s="31" t="n">
        <v>57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70.12</v>
      </c>
      <c r="P15" s="32" t="n">
        <v>36.24</v>
      </c>
      <c r="Q15" s="32" t="n">
        <v>234.07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3.28</v>
      </c>
      <c r="U15" s="32" t="n">
        <v>55.36</v>
      </c>
      <c r="V15" s="32" t="n">
        <v>50.43</v>
      </c>
      <c r="W15" s="32" t="n">
        <v>18.54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less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IF(B16=0,"",RANK(B16,$B$2:$B$33,0))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NORTHARC</t>
        </is>
      </c>
      <c r="D16" s="31" t="inlineStr">
        <is>
          <t>Northern ARC Capital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smallcap</t>
        </is>
      </c>
      <c r="H16" s="32" t="n">
        <v>4996.25</v>
      </c>
      <c r="I16" s="32" t="n">
        <v>305.1</v>
      </c>
      <c r="J16" s="32" t="n">
        <v>-1.31</v>
      </c>
      <c r="K16" s="32" t="n">
        <v>699849</v>
      </c>
      <c r="L16" s="31" t="n">
        <v>18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59.27</v>
      </c>
      <c r="P16" s="32" t="n">
        <v>32.8</v>
      </c>
      <c r="Q16" s="32" t="n">
        <v>254.37</v>
      </c>
      <c r="R16" s="31" t="inlineStr">
        <is>
          <t>Earnings / Momentum Support</t>
        </is>
      </c>
      <c r="S16" s="31" t="inlineStr">
        <is>
          <t>Nifty Bank</t>
        </is>
      </c>
      <c r="T16" s="32" t="n">
        <v>3.28</v>
      </c>
      <c r="U16" s="32" t="n">
        <v>23.81</v>
      </c>
      <c r="V16" s="32" t="n">
        <v>19.88</v>
      </c>
      <c r="W16" s="32" t="n">
        <v>6.38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IF(B17=0,"",RANK(B17,$B$2:$B$33,0))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KOTAKBANK</t>
        </is>
      </c>
      <c r="D17" s="31" t="inlineStr">
        <is>
          <t>Kotak Mahindra Bank Limited</t>
        </is>
      </c>
      <c r="E17" s="31" t="inlineStr">
        <is>
          <t>bank</t>
        </is>
      </c>
      <c r="F17" s="31" t="inlineStr">
        <is>
          <t>banks - private sector</t>
        </is>
      </c>
      <c r="G17" s="31" t="inlineStr">
        <is>
          <t>largecap</t>
        </is>
      </c>
      <c r="H17" s="32" t="n">
        <v>414330.17</v>
      </c>
      <c r="I17" s="32" t="n">
        <v>419</v>
      </c>
      <c r="J17" s="32" t="n">
        <v>0.59</v>
      </c>
      <c r="K17" s="32" t="n">
        <v>15197483</v>
      </c>
      <c r="L17" s="31" t="n">
        <v>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59.31</v>
      </c>
      <c r="P17" s="32" t="n">
        <v>11.4</v>
      </c>
      <c r="Q17" s="32" t="n">
        <v>372.75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3.28</v>
      </c>
      <c r="U17" s="32" t="n">
        <v>6.4</v>
      </c>
      <c r="V17" s="32" t="n">
        <v>3.03</v>
      </c>
      <c r="W17" s="32" t="n">
        <v>2.54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0 to 20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IF(B18=0,"",RANK(B18,$B$2:$B$33,0))</f>
        <v/>
      </c>
      <c r="B18" s="32">
        <f>SUM(N18,Y18,AA18,AC18,AE18,AG18,AI18,AK18,AM18,AO18,AQ18,AS18,AU18,AW18,AY18,BA18,BC18,BE18,BG18,BI18,BK18,BM18,BO18,BQ18,BS18,BU18,BW18,BY18,CA18)</f>
        <v/>
      </c>
      <c r="C18" s="33" t="inlineStr">
        <is>
          <t>KIRLOSIND</t>
        </is>
      </c>
      <c r="D18" s="33" t="inlineStr">
        <is>
          <t>Kirloskar Industries Limited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smallcap</t>
        </is>
      </c>
      <c r="H18" s="32" t="n">
        <v>3758.99</v>
      </c>
      <c r="I18" s="32" t="n">
        <v>3828.3</v>
      </c>
      <c r="J18" s="32" t="n">
        <v>7.03</v>
      </c>
      <c r="K18" s="32" t="n">
        <v>639315</v>
      </c>
      <c r="L18" s="31" t="n">
        <v>16</v>
      </c>
      <c r="M18" s="31" t="inlineStr">
        <is>
          <t>Underperforming</t>
        </is>
      </c>
      <c r="N18" s="32">
        <f>IF(M18="Underperforming",-5,IF(L18&gt;=95,15,IF(L18&gt;=90,10,IF(L18&gt;=80,5,0))))</f>
        <v/>
      </c>
      <c r="O18" s="32" t="n">
        <v>58.43</v>
      </c>
      <c r="P18" s="32" t="n">
        <v>34.79</v>
      </c>
      <c r="Q18" s="32" t="n">
        <v>3182.18</v>
      </c>
      <c r="R18" s="31" t="inlineStr">
        <is>
          <t>Volume Spike / Accumulation</t>
        </is>
      </c>
      <c r="S18" s="31" t="inlineStr">
        <is>
          <t>Nifty Bank</t>
        </is>
      </c>
      <c r="T18" s="32" t="n">
        <v>3.28</v>
      </c>
      <c r="U18" s="32" t="n">
        <v>-1.65</v>
      </c>
      <c r="V18" s="32" t="n">
        <v>-4.77</v>
      </c>
      <c r="W18" s="32" t="n">
        <v>5.57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less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IF(B19=0,"",RANK(B19,$B$2:$B$33,0))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ABSLAMC</t>
        </is>
      </c>
      <c r="D19" s="31" t="inlineStr">
        <is>
          <t>Aditya Birla Sun Life AMC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largecap</t>
        </is>
      </c>
      <c r="H19" s="32" t="n">
        <v>31436.55</v>
      </c>
      <c r="I19" s="32" t="n">
        <v>1109.9</v>
      </c>
      <c r="J19" s="32" t="n">
        <v>1.97</v>
      </c>
      <c r="K19" s="32" t="n">
        <v>578949</v>
      </c>
      <c r="L19" s="31" t="n">
        <v>22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61.51</v>
      </c>
      <c r="P19" s="32" t="n">
        <v>33.92</v>
      </c>
      <c r="Q19" s="32" t="n">
        <v>929.33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3.28</v>
      </c>
      <c r="U19" s="32" t="n">
        <v>34.3</v>
      </c>
      <c r="V19" s="32" t="n">
        <v>30.03</v>
      </c>
      <c r="W19" s="32" t="n">
        <v>7.5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above 5x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IF(B20=0,"",RANK(B20,$B$2:$B$33,0))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ANANDRATHI</t>
        </is>
      </c>
      <c r="D20" s="31" t="inlineStr">
        <is>
          <t>Anand Rathi Wealth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largecap</t>
        </is>
      </c>
      <c r="H20" s="32" t="n">
        <v>36570.59</v>
      </c>
      <c r="I20" s="32" t="n">
        <v>2211</v>
      </c>
      <c r="J20" s="32" t="n">
        <v>0.39</v>
      </c>
      <c r="K20" s="32" t="n">
        <v>175283</v>
      </c>
      <c r="L20" s="31" t="n">
        <v>44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75.97</v>
      </c>
      <c r="P20" s="32" t="n">
        <v>58.44</v>
      </c>
      <c r="Q20" s="32" t="n">
        <v>1924.8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3.28</v>
      </c>
      <c r="U20" s="32" t="n">
        <v>49.11</v>
      </c>
      <c r="V20" s="32" t="n">
        <v>44.38</v>
      </c>
      <c r="W20" s="32" t="n">
        <v>13.84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above 5x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Above 40</t>
        </is>
      </c>
      <c r="BM20" s="31">
        <f>IF(BL20="Above 40",20,IF(BL20="20 to 40",10,IF(BL20="0 to 20",-5,0)))</f>
        <v/>
      </c>
      <c r="BN20" s="31" t="inlineStr">
        <is>
          <t>Above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IF(B21=0,"",RANK(B21,$B$2:$B$33,0))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MCX</t>
        </is>
      </c>
      <c r="D21" s="31" t="inlineStr">
        <is>
          <t>Multi Commodity Exchange Of India Limited</t>
        </is>
      </c>
      <c r="E21" s="31" t="inlineStr">
        <is>
          <t>financials</t>
        </is>
      </c>
      <c r="F21" s="31" t="inlineStr">
        <is>
          <t>miscellaneous</t>
        </is>
      </c>
      <c r="G21" s="31" t="inlineStr">
        <is>
          <t>largecap</t>
        </is>
      </c>
      <c r="H21" s="32" t="n">
        <v>84147.31</v>
      </c>
      <c r="I21" s="32" t="n">
        <v>3276</v>
      </c>
      <c r="J21" s="32" t="n">
        <v>-0.73</v>
      </c>
      <c r="K21" s="32" t="n">
        <v>1686562</v>
      </c>
      <c r="L21" s="31" t="n">
        <v>60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67.19</v>
      </c>
      <c r="P21" s="32" t="n">
        <v>22.28</v>
      </c>
      <c r="Q21" s="32" t="n">
        <v>2673.19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3.28</v>
      </c>
      <c r="U21" s="32" t="n">
        <v>112.46</v>
      </c>
      <c r="V21" s="32" t="n">
        <v>105.72</v>
      </c>
      <c r="W21" s="32" t="n">
        <v>19.77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above 5x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IF(B22=0,"",RANK(B22,$B$2:$B$33,0))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GCSL</t>
        </is>
      </c>
      <c r="D22" s="31" t="inlineStr">
        <is>
          <t>Gretex Corporate Services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smallcap</t>
        </is>
      </c>
      <c r="H22" s="32" t="n">
        <v>1485.32</v>
      </c>
      <c r="I22" s="32" t="n">
        <v>600.7</v>
      </c>
      <c r="J22" s="32" t="n">
        <v>-2.29</v>
      </c>
      <c r="K22" s="32" t="n">
        <v>862249</v>
      </c>
      <c r="L22" s="31" t="n">
        <v>72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74.39</v>
      </c>
      <c r="P22" s="32" t="n">
        <v>34.17</v>
      </c>
      <c r="Q22" s="32" t="n">
        <v>466.47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3.28</v>
      </c>
      <c r="U22" s="32" t="n">
        <v>114.52</v>
      </c>
      <c r="V22" s="32" t="n">
        <v>107.71</v>
      </c>
      <c r="W22" s="32" t="n">
        <v>25.19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above 5x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IF(B23=0,"",RANK(B23,$B$2:$B$33,0))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EDELWEISS</t>
        </is>
      </c>
      <c r="D23" s="31" t="inlineStr">
        <is>
          <t>Edelweiss Financial Services Limited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midcap</t>
        </is>
      </c>
      <c r="H23" s="32" t="n">
        <v>12942.87</v>
      </c>
      <c r="I23" s="32" t="n">
        <v>132.43</v>
      </c>
      <c r="J23" s="32" t="n">
        <v>-3.15</v>
      </c>
      <c r="K23" s="32" t="n">
        <v>9724312</v>
      </c>
      <c r="L23" s="31" t="n">
        <v>23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62.09</v>
      </c>
      <c r="P23" s="32" t="n">
        <v>17.54</v>
      </c>
      <c r="Q23" s="32" t="n">
        <v>102.69</v>
      </c>
      <c r="R23" s="31" t="inlineStr">
        <is>
          <t>Volume Spike &amp; Near 52W High Breakout</t>
        </is>
      </c>
      <c r="S23" s="31" t="inlineStr">
        <is>
          <t>Nifty Bank</t>
        </is>
      </c>
      <c r="T23" s="32" t="n">
        <v>3.28</v>
      </c>
      <c r="U23" s="32" t="n">
        <v>16.06</v>
      </c>
      <c r="V23" s="32" t="n">
        <v>12.38</v>
      </c>
      <c r="W23" s="32" t="n">
        <v>7.89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between 2.5x to 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Blue sky scenario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IF(B24=0,"",RANK(B24,$B$2:$B$33,0))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YESBANK</t>
        </is>
      </c>
      <c r="D24" s="31" t="inlineStr">
        <is>
          <t>Yes Bank Limited</t>
        </is>
      </c>
      <c r="E24" s="31" t="inlineStr">
        <is>
          <t>bank</t>
        </is>
      </c>
      <c r="F24" s="31" t="inlineStr">
        <is>
          <t>banks - private sector</t>
        </is>
      </c>
      <c r="G24" s="31" t="inlineStr">
        <is>
          <t>largecap</t>
        </is>
      </c>
      <c r="H24" s="32" t="n">
        <v>69992.48</v>
      </c>
      <c r="I24" s="32" t="n">
        <v>23.48</v>
      </c>
      <c r="J24" s="32" t="n">
        <v>5.29</v>
      </c>
      <c r="K24" s="32" t="n">
        <v>234792571</v>
      </c>
      <c r="L24" s="31" t="n">
        <v>9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56.82</v>
      </c>
      <c r="P24" s="32" t="n">
        <v>22.25</v>
      </c>
      <c r="Q24" s="32" t="n">
        <v>21.88</v>
      </c>
      <c r="R24" s="31" t="inlineStr">
        <is>
          <t>Earnings / Momentum Support</t>
        </is>
      </c>
      <c r="S24" s="31" t="inlineStr">
        <is>
          <t>Nifty Bank</t>
        </is>
      </c>
      <c r="T24" s="32" t="n">
        <v>3.28</v>
      </c>
      <c r="U24" s="32" t="n">
        <v>12.56</v>
      </c>
      <c r="V24" s="32" t="n">
        <v>8.99</v>
      </c>
      <c r="W24" s="32" t="n">
        <v>3.46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IF(B25=0,"",RANK(B25,$B$2:$B$33,0))</f>
        <v/>
      </c>
      <c r="B25" s="32">
        <f>SUM(N25,Y25,AA25,AC25,AE25,AG25,AI25,AK25,AM25,AO25,AQ25,AS25,AU25,AW25,AY25,BA25,BC25,BE25,BG25,BI25,BK25,BM25,BO25,BQ25,BS25,BU25,BW25,BY25,CA25)</f>
        <v/>
      </c>
      <c r="C25" s="33" t="inlineStr">
        <is>
          <t>LICHSGFIN</t>
        </is>
      </c>
      <c r="D25" s="33" t="inlineStr">
        <is>
          <t>Lic Housing Finance Limited</t>
        </is>
      </c>
      <c r="E25" s="31" t="inlineStr">
        <is>
          <t>financials</t>
        </is>
      </c>
      <c r="F25" s="31" t="inlineStr">
        <is>
          <t>finance - housing</t>
        </is>
      </c>
      <c r="G25" s="31" t="inlineStr">
        <is>
          <t>largecap</t>
        </is>
      </c>
      <c r="H25" s="32" t="n">
        <v>30379.98</v>
      </c>
      <c r="I25" s="32" t="n">
        <v>562.9</v>
      </c>
      <c r="J25" s="32" t="n">
        <v>1.92</v>
      </c>
      <c r="K25" s="32" t="n">
        <v>11556446</v>
      </c>
      <c r="L25" s="31" t="n">
        <v>4</v>
      </c>
      <c r="M25" s="31" t="inlineStr">
        <is>
          <t>Underperforming</t>
        </is>
      </c>
      <c r="N25" s="32">
        <f>IF(M25="Underperforming",-5,IF(L25&gt;=95,15,IF(L25&gt;=90,10,IF(L25&gt;=80,5,0))))</f>
        <v/>
      </c>
      <c r="O25" s="32" t="n">
        <v>60.13</v>
      </c>
      <c r="P25" s="32" t="n">
        <v>14.34</v>
      </c>
      <c r="Q25" s="32" t="n">
        <v>472.15</v>
      </c>
      <c r="R25" s="31" t="inlineStr">
        <is>
          <t>Volume Spike &amp; Near 52W High Breakout</t>
        </is>
      </c>
      <c r="S25" s="31" t="inlineStr">
        <is>
          <t>Nifty Bank</t>
        </is>
      </c>
      <c r="T25" s="32" t="n">
        <v>3.28</v>
      </c>
      <c r="U25" s="32" t="n">
        <v>1.25</v>
      </c>
      <c r="V25" s="32" t="n">
        <v>-1.96</v>
      </c>
      <c r="W25" s="32" t="n">
        <v>1.02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less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IF(B26=0,"",RANK(B26,$B$2:$B$33,0))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MOTILALOFS</t>
        </is>
      </c>
      <c r="D26" s="31" t="inlineStr">
        <is>
          <t>Motilal Oswal Financial Services Limited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largecap</t>
        </is>
      </c>
      <c r="H26" s="32" t="n">
        <v>61117.89</v>
      </c>
      <c r="I26" s="32" t="n">
        <v>1026.5</v>
      </c>
      <c r="J26" s="32" t="n">
        <v>1.13</v>
      </c>
      <c r="K26" s="32" t="n">
        <v>625141</v>
      </c>
      <c r="L26" s="31" t="n">
        <v>21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64.11</v>
      </c>
      <c r="P26" s="32" t="n">
        <v>18</v>
      </c>
      <c r="Q26" s="32" t="n">
        <v>843.99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3.28</v>
      </c>
      <c r="U26" s="32" t="n">
        <v>12.72</v>
      </c>
      <c r="V26" s="32" t="n">
        <v>9.140000000000001</v>
      </c>
      <c r="W26" s="32" t="n">
        <v>7.04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between 2.5x to 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Blue sky scenario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IF(B27=0,"",RANK(B27,$B$2:$B$33,0))</f>
        <v/>
      </c>
      <c r="B27" s="32">
        <f>SUM(N27,Y27,AA27,AC27,AE27,AG27,AI27,AK27,AM27,AO27,AQ27,AS27,AU27,AW27,AY27,BA27,BC27,BE27,BG27,BI27,BK27,BM27,BO27,BQ27,BS27,BU27,BW27,BY27,CA27)</f>
        <v/>
      </c>
      <c r="C27" s="33" t="inlineStr">
        <is>
          <t>FIVESTAR</t>
        </is>
      </c>
      <c r="D27" s="33" t="inlineStr">
        <is>
          <t>Five-Star Business Finance Ltd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midcap</t>
        </is>
      </c>
      <c r="H27" s="32" t="n">
        <v>15663.72</v>
      </c>
      <c r="I27" s="32" t="n">
        <v>551.05</v>
      </c>
      <c r="J27" s="32" t="n">
        <v>3.84</v>
      </c>
      <c r="K27" s="32" t="n">
        <v>1960216</v>
      </c>
      <c r="L27" s="31" t="n">
        <v>27</v>
      </c>
      <c r="M27" s="31" t="inlineStr">
        <is>
          <t>Underperforming</t>
        </is>
      </c>
      <c r="N27" s="32">
        <f>IF(M27="Underperforming",-5,IF(L27&gt;=95,15,IF(L27&gt;=90,10,IF(L27&gt;=80,5,0))))</f>
        <v/>
      </c>
      <c r="O27" s="32" t="n">
        <v>57.79</v>
      </c>
      <c r="P27" s="32" t="n">
        <v>14.82</v>
      </c>
      <c r="Q27" s="32" t="n">
        <v>433.21</v>
      </c>
      <c r="R27" s="31" t="inlineStr">
        <is>
          <t>Earnings / Momentum Support</t>
        </is>
      </c>
      <c r="S27" s="31" t="inlineStr">
        <is>
          <t>Nifty Bank</t>
        </is>
      </c>
      <c r="T27" s="32" t="n">
        <v>3.28</v>
      </c>
      <c r="U27" s="32" t="n">
        <v>2.32</v>
      </c>
      <c r="V27" s="32" t="n">
        <v>-0.93</v>
      </c>
      <c r="W27" s="32" t="n">
        <v>8.68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IF(B28=0,"",RANK(B28,$B$2:$B$33,0))</f>
        <v/>
      </c>
      <c r="B28" s="32">
        <f>SUM(N28,Y28,AA28,AC28,AE28,AG28,AI28,AK28,AM28,AO28,AQ28,AS28,AU28,AW28,AY28,BA28,BC28,BE28,BG28,BI28,BK28,BM28,BO28,BQ28,BS28,BU28,BW28,BY28,CA28)</f>
        <v/>
      </c>
      <c r="C28" s="33" t="inlineStr">
        <is>
          <t>CRISIL</t>
        </is>
      </c>
      <c r="D28" s="33" t="inlineStr">
        <is>
          <t>Crisil Limited</t>
        </is>
      </c>
      <c r="E28" s="31" t="inlineStr">
        <is>
          <t>financials</t>
        </is>
      </c>
      <c r="F28" s="31" t="inlineStr">
        <is>
          <t>miscellaneous</t>
        </is>
      </c>
      <c r="G28" s="31" t="inlineStr">
        <is>
          <t>largecap</t>
        </is>
      </c>
      <c r="H28" s="32" t="n">
        <v>34529.8</v>
      </c>
      <c r="I28" s="32" t="n">
        <v>4697.9</v>
      </c>
      <c r="J28" s="32" t="n">
        <v>-0.5</v>
      </c>
      <c r="K28" s="32" t="n">
        <v>24019</v>
      </c>
      <c r="L28" s="31" t="n">
        <v>11</v>
      </c>
      <c r="M28" s="31" t="inlineStr">
        <is>
          <t>Underperforming</t>
        </is>
      </c>
      <c r="N28" s="32">
        <f>IF(M28="Underperforming",-5,IF(L28&gt;=95,15,IF(L28&gt;=90,10,IF(L28&gt;=80,5,0))))</f>
        <v/>
      </c>
      <c r="O28" s="32" t="n">
        <v>60.74</v>
      </c>
      <c r="P28" s="32" t="n">
        <v>14.39</v>
      </c>
      <c r="Q28" s="32" t="n">
        <v>4033.08</v>
      </c>
      <c r="R28" s="31" t="inlineStr">
        <is>
          <t>Near 52W High Breakout</t>
        </is>
      </c>
      <c r="S28" s="31" t="inlineStr">
        <is>
          <t>Nifty Bank</t>
        </is>
      </c>
      <c r="T28" s="32" t="n">
        <v>3.28</v>
      </c>
      <c r="U28" s="32" t="n">
        <v>-4.65</v>
      </c>
      <c r="V28" s="32" t="n">
        <v>-7.67</v>
      </c>
      <c r="W28" s="32" t="n">
        <v>3.81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above 5x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IF(B29=0,"",RANK(B29,$B$2:$B$33,0))</f>
        <v/>
      </c>
      <c r="B29" s="32">
        <f>SUM(N29,Y29,AA29,AC29,AE29,AG29,AI29,AK29,AM29,AO29,AQ29,AS29,AU29,AW29,AY29,BA29,BC29,BE29,BG29,BI29,BK29,BM29,BO29,BQ29,BS29,BU29,BW29,BY29,CA29)</f>
        <v/>
      </c>
      <c r="C29" s="33" t="inlineStr">
        <is>
          <t>HEALTHX</t>
        </is>
      </c>
      <c r="D29" s="33" t="inlineStr">
        <is>
          <t>Health X Platform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smallcap</t>
        </is>
      </c>
      <c r="H29" s="32" t="n">
        <v>971.33</v>
      </c>
      <c r="I29" s="32" t="n">
        <v>308.15</v>
      </c>
      <c r="J29" s="32" t="n">
        <v>0.92</v>
      </c>
      <c r="K29" s="32" t="n">
        <v>3397</v>
      </c>
      <c r="L29" s="31" t="n">
        <v>6</v>
      </c>
      <c r="M29" s="31" t="inlineStr">
        <is>
          <t>Underperforming</t>
        </is>
      </c>
      <c r="N29" s="32">
        <f>IF(M29="Underperforming",-5,IF(L29&gt;=95,15,IF(L29&gt;=90,10,IF(L29&gt;=80,5,0))))</f>
        <v/>
      </c>
      <c r="O29" s="32" t="n">
        <v>53.24</v>
      </c>
      <c r="P29" s="32" t="n">
        <v>25.08</v>
      </c>
      <c r="Q29" s="32" t="n">
        <v>246.75</v>
      </c>
      <c r="R29" s="31" t="inlineStr">
        <is>
          <t>Earnings / Momentum Support</t>
        </is>
      </c>
      <c r="S29" s="31" t="inlineStr">
        <is>
          <t>Nifty Bank</t>
        </is>
      </c>
      <c r="T29" s="32" t="n">
        <v>3.28</v>
      </c>
      <c r="U29" s="32" t="n">
        <v>1.18</v>
      </c>
      <c r="V29" s="32" t="n">
        <v>-2.03</v>
      </c>
      <c r="W29" s="32" t="n">
        <v>2.31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1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IF(B30=0,"",RANK(B30,$B$2:$B$33,0))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ANGELONE</t>
        </is>
      </c>
      <c r="D30" s="31" t="inlineStr">
        <is>
          <t>Angel One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largecap</t>
        </is>
      </c>
      <c r="H30" s="32" t="n">
        <v>27158.92</v>
      </c>
      <c r="I30" s="32" t="n">
        <v>305</v>
      </c>
      <c r="J30" s="32" t="n">
        <v>2.59</v>
      </c>
      <c r="K30" s="32" t="n">
        <v>5942668</v>
      </c>
      <c r="L30" s="31" t="n">
        <v>23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51.97</v>
      </c>
      <c r="P30" s="32" t="n">
        <v>14.01</v>
      </c>
      <c r="Q30" s="32" t="n">
        <v>280.94</v>
      </c>
      <c r="R30" s="31" t="inlineStr">
        <is>
          <t>Earnings / Momentum Support</t>
        </is>
      </c>
      <c r="S30" s="31" t="inlineStr">
        <is>
          <t>Nifty Bank</t>
        </is>
      </c>
      <c r="T30" s="32" t="n">
        <v>3.28</v>
      </c>
      <c r="U30" s="32" t="n">
        <v>39.89</v>
      </c>
      <c r="V30" s="32" t="n">
        <v>35.45</v>
      </c>
      <c r="W30" s="32" t="n">
        <v>7.89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between 2.5x to 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1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IF(B31=0,"",RANK(B31,$B$2:$B$33,0))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SUNDARMFIN</t>
        </is>
      </c>
      <c r="D31" s="31" t="inlineStr">
        <is>
          <t>Sundaram Finance Limited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largecap</t>
        </is>
      </c>
      <c r="H31" s="32" t="n">
        <v>52252.15</v>
      </c>
      <c r="I31" s="32" t="n">
        <v>4710.7</v>
      </c>
      <c r="J31" s="32" t="n">
        <v>0.16</v>
      </c>
      <c r="K31" s="32" t="n">
        <v>25632</v>
      </c>
      <c r="L31" s="31" t="n">
        <v>14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53.08</v>
      </c>
      <c r="P31" s="32" t="n">
        <v>10.52</v>
      </c>
      <c r="Q31" s="32" t="n">
        <v>3900.16</v>
      </c>
      <c r="R31" s="31" t="inlineStr">
        <is>
          <t>Earnings / Momentum Support</t>
        </is>
      </c>
      <c r="S31" s="31" t="inlineStr">
        <is>
          <t>Nifty Bank</t>
        </is>
      </c>
      <c r="T31" s="32" t="n">
        <v>3.28</v>
      </c>
      <c r="U31" s="32" t="n">
        <v>6.21</v>
      </c>
      <c r="V31" s="32" t="n">
        <v>2.83</v>
      </c>
      <c r="W31" s="32" t="n">
        <v>4.67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between 2.5x to 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1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IF(B32=0,"",RANK(B32,$B$2:$B$33,0))</f>
        <v/>
      </c>
      <c r="B32" s="32">
        <f>SUM(N32,Y32,AA32,AC32,AE32,AG32,AI32,AK32,AM32,AO32,AQ32,AS32,AU32,AW32,AY32,BA32,BC32,BE32,BG32,BI32,BK32,BM32,BO32,BQ32,BS32,BU32,BW32,BY32,CA32)</f>
        <v/>
      </c>
      <c r="C32" s="33" t="inlineStr">
        <is>
          <t>RELIGARE</t>
        </is>
      </c>
      <c r="D32" s="33" t="inlineStr">
        <is>
          <t>Religare Enterprises Limited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midcap</t>
        </is>
      </c>
      <c r="H32" s="32" t="n">
        <v>8830.450000000001</v>
      </c>
      <c r="I32" s="32" t="n">
        <v>256.81</v>
      </c>
      <c r="J32" s="32" t="n">
        <v>-0.76</v>
      </c>
      <c r="K32" s="32" t="n">
        <v>416095</v>
      </c>
      <c r="L32" s="31" t="n">
        <v>6</v>
      </c>
      <c r="M32" s="31" t="inlineStr">
        <is>
          <t>Underperforming</t>
        </is>
      </c>
      <c r="N32" s="32">
        <f>IF(M32="Underperforming",-5,IF(L32&gt;=95,15,IF(L32&gt;=90,10,IF(L32&gt;=80,5,0))))</f>
        <v/>
      </c>
      <c r="O32" s="32" t="n">
        <v>56.51</v>
      </c>
      <c r="P32" s="32" t="n">
        <v>18.03</v>
      </c>
      <c r="Q32" s="32" t="n">
        <v>221.4</v>
      </c>
      <c r="R32" s="31" t="inlineStr">
        <is>
          <t>Earnings / Momentum Support</t>
        </is>
      </c>
      <c r="S32" s="31" t="inlineStr">
        <is>
          <t>Nifty Bank</t>
        </is>
      </c>
      <c r="T32" s="32" t="n">
        <v>3.28</v>
      </c>
      <c r="U32" s="32" t="n">
        <v>1.36</v>
      </c>
      <c r="V32" s="32" t="n">
        <v>-1.86</v>
      </c>
      <c r="W32" s="32" t="n">
        <v>1.92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between 2.5x to 5x and Growth more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1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IF(B33=0,"",RANK(B33,$B$2:$B$33,0))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PNB</t>
        </is>
      </c>
      <c r="D33" s="31" t="inlineStr">
        <is>
          <t>Punjab National Bank Ltd</t>
        </is>
      </c>
      <c r="E33" s="31" t="inlineStr">
        <is>
          <t>bank</t>
        </is>
      </c>
      <c r="F33" s="31" t="inlineStr">
        <is>
          <t>banks - public sector</t>
        </is>
      </c>
      <c r="G33" s="31" t="inlineStr">
        <is>
          <t>largecap</t>
        </is>
      </c>
      <c r="H33" s="32" t="n">
        <v>134295.04</v>
      </c>
      <c r="I33" s="32" t="n">
        <v>116.75</v>
      </c>
      <c r="J33" s="32" t="n">
        <v>-0.09</v>
      </c>
      <c r="K33" s="32" t="n">
        <v>11479971</v>
      </c>
      <c r="L33" s="31" t="n">
        <v>13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58.81</v>
      </c>
      <c r="P33" s="32" t="n">
        <v>9.140000000000001</v>
      </c>
      <c r="Q33" s="32" t="n">
        <v>102.26</v>
      </c>
      <c r="R33" s="31" t="inlineStr">
        <is>
          <t>Earnings / Momentum Support</t>
        </is>
      </c>
      <c r="S33" s="31" t="inlineStr">
        <is>
          <t>Nifty Bank</t>
        </is>
      </c>
      <c r="T33" s="32" t="n">
        <v>3.28</v>
      </c>
      <c r="U33" s="32" t="n">
        <v>11.96</v>
      </c>
      <c r="V33" s="32" t="n">
        <v>8.41</v>
      </c>
      <c r="W33" s="32" t="n">
        <v>4.31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less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Negative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</sheetData>
  <autoFilter ref="A1:CA33"/>
  <conditionalFormatting sqref="B2:B3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3">
    <cfRule type="cellIs" priority="34" operator="equal" dxfId="3" stopIfTrue="1">
      <formula>"Underperforming"</formula>
    </cfRule>
  </conditionalFormatting>
  <conditionalFormatting sqref="N2:N33">
    <cfRule type="cellIs" priority="35" operator="equal" dxfId="3" stopIfTrue="1">
      <formula>-5</formula>
    </cfRule>
  </conditionalFormatting>
  <conditionalFormatting sqref="Q2:Q33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33" showDropDown="0" showInputMessage="0" showErrorMessage="0" allowBlank="1" type="list">
      <formula1>"Growing Industry,Stagnant Industry,Cyclical in an Upturn"</formula1>
    </dataValidation>
    <dataValidation sqref="Z2:Z33" showDropDown="0" showInputMessage="0" showErrorMessage="0" allowBlank="1" type="list">
      <formula1>"Fragmented with Low ROE,Fragmented with High ROE,Highly Cyclical"</formula1>
    </dataValidation>
    <dataValidation sqref="AB2:AB33" showDropDown="0" showInputMessage="0" showErrorMessage="0" allowBlank="1" type="list">
      <formula1>"Yes,No"</formula1>
    </dataValidation>
    <dataValidation sqref="AD2:AD33" showDropDown="0" showInputMessage="0" showErrorMessage="0" allowBlank="1" type="list">
      <formula1>"Tailwind,Headwind"</formula1>
    </dataValidation>
    <dataValidation sqref="AF2:AF3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3" showDropDown="0" showInputMessage="0" showErrorMessage="0" allowBlank="1" type="list">
      <formula1>"Yes,No"</formula1>
    </dataValidation>
    <dataValidation sqref="AJ2:AJ33" showDropDown="0" showInputMessage="0" showErrorMessage="0" allowBlank="1" type="list">
      <formula1>"Yes,No,Not Applicable"</formula1>
    </dataValidation>
    <dataValidation sqref="AL2:AL33" showDropDown="0" showInputMessage="0" showErrorMessage="0" allowBlank="1" type="list">
      <formula1>"Yes,No"</formula1>
    </dataValidation>
    <dataValidation sqref="AN2:AN33" showDropDown="0" showInputMessage="0" showErrorMessage="0" allowBlank="1" type="list">
      <formula1>"Yes,No"</formula1>
    </dataValidation>
    <dataValidation sqref="AP2:AP33" showDropDown="0" showInputMessage="0" showErrorMessage="0" allowBlank="1" type="list">
      <formula1>"Yes,No"</formula1>
    </dataValidation>
    <dataValidation sqref="AR2:AR33" showDropDown="0" showInputMessage="0" showErrorMessage="0" allowBlank="1" type="list">
      <formula1>"Yes,No"</formula1>
    </dataValidation>
    <dataValidation sqref="AT2:AT33" showDropDown="0" showInputMessage="0" showErrorMessage="0" allowBlank="1" type="list">
      <formula1>"No,Yes"</formula1>
    </dataValidation>
    <dataValidation sqref="AV2:AV33" showDropDown="0" showInputMessage="0" showErrorMessage="0" allowBlank="1" type="list">
      <formula1>"No,Yes"</formula1>
    </dataValidation>
    <dataValidation sqref="AX2:AX33" showDropDown="0" showInputMessage="0" showErrorMessage="0" allowBlank="1" type="list">
      <formula1>"No,Yes CEO Resignation,Yes CEO Retirement"</formula1>
    </dataValidation>
    <dataValidation sqref="AZ2:AZ33" showDropDown="0" showInputMessage="0" showErrorMessage="0" allowBlank="1" type="list">
      <formula1>"No,Yes"</formula1>
    </dataValidation>
    <dataValidation sqref="BB2:BB33" showDropDown="0" showInputMessage="0" showErrorMessage="0" allowBlank="1" type="list">
      <formula1>"No,Yes"</formula1>
    </dataValidation>
    <dataValidation sqref="BD2:BD33" showDropDown="0" showInputMessage="0" showErrorMessage="0" allowBlank="1" type="list">
      <formula1>"Yes,No"</formula1>
    </dataValidation>
    <dataValidation sqref="BF2:BF33" showDropDown="0" showInputMessage="0" showErrorMessage="0" allowBlank="1" type="list">
      <formula1>"Yes,No"</formula1>
    </dataValidation>
    <dataValidation sqref="BH2:BH33" showDropDown="0" showInputMessage="0" showErrorMessage="0" allowBlank="1" type="list">
      <formula1>"Yes,No"</formula1>
    </dataValidation>
    <dataValidation sqref="BJ2:BJ3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3" showDropDown="0" showInputMessage="0" showErrorMessage="0" allowBlank="1" type="list">
      <formula1>"Above 40,20 to 40,0 to 20"</formula1>
    </dataValidation>
    <dataValidation sqref="BN2:BN33" showDropDown="0" showInputMessage="0" showErrorMessage="0" allowBlank="1" type="list">
      <formula1>"Between 50 to 75,Above 75,Below 45"</formula1>
    </dataValidation>
    <dataValidation sqref="BP2:BP33" showDropDown="0" showInputMessage="0" showErrorMessage="0" allowBlank="1" type="list">
      <formula1>"Stage 1,Stage 2,Stage 3,Stage 4"</formula1>
    </dataValidation>
    <dataValidation sqref="BR2:BR33" showDropDown="0" showInputMessage="0" showErrorMessage="0" allowBlank="1" type="list">
      <formula1>"Positive Trend,Negative Trend"</formula1>
    </dataValidation>
    <dataValidation sqref="BT2:BT33" showDropDown="0" showInputMessage="0" showErrorMessage="0" allowBlank="1" type="list">
      <formula1>"Uptrend,Sideways,Downtrend"</formula1>
    </dataValidation>
    <dataValidation sqref="BV2:BV33" showDropDown="0" showInputMessage="0" showErrorMessage="0" allowBlank="1" type="list">
      <formula1>"Uptrend,Sideways,Downtrend"</formula1>
    </dataValidation>
    <dataValidation sqref="BX2:BX3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IF(B2=0,"",RANK(B2,$B$2:$B$22,0))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139.7</v>
      </c>
      <c r="E2" s="32" t="inlineStr">
        <is>
          <t>5%</t>
        </is>
      </c>
      <c r="F2" s="32" t="n">
        <v>50000</v>
      </c>
      <c r="G2" s="32" t="n">
        <v>127</v>
      </c>
      <c r="H2" s="31" t="inlineStr">
        <is>
          <t>BIRLACABLE</t>
        </is>
      </c>
      <c r="I2" s="31" t="inlineStr">
        <is>
          <t>Birla Cable Limited</t>
        </is>
      </c>
      <c r="J2" s="31" t="inlineStr">
        <is>
          <t>industrials</t>
        </is>
      </c>
      <c r="K2" s="31" t="inlineStr">
        <is>
          <t>cables - telephone</t>
        </is>
      </c>
      <c r="L2" s="31" t="inlineStr">
        <is>
          <t>smallcap</t>
        </is>
      </c>
      <c r="M2" s="32" t="n">
        <v>1123.95</v>
      </c>
      <c r="N2" s="32" t="n">
        <v>392.35</v>
      </c>
      <c r="O2" s="32" t="n">
        <v>4.72</v>
      </c>
      <c r="P2" s="32" t="n">
        <v>996485</v>
      </c>
      <c r="Q2" s="31" t="n">
        <v>96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80.65000000000001</v>
      </c>
      <c r="U2" s="32" t="n">
        <v>51.15</v>
      </c>
      <c r="V2" s="32" t="n">
        <v>289.7</v>
      </c>
      <c r="W2" s="31" t="inlineStr">
        <is>
          <t>Volume Spike &amp; Near 52W High Breakout</t>
        </is>
      </c>
      <c r="X2" s="31" t="inlineStr">
        <is>
          <t>Nifty Infra</t>
        </is>
      </c>
      <c r="Y2" s="32" t="n">
        <v>0.12</v>
      </c>
      <c r="Z2" s="32" t="n">
        <v>130.61</v>
      </c>
      <c r="AA2" s="32" t="n">
        <v>130.34</v>
      </c>
      <c r="AB2" s="32" t="n">
        <v>60.22</v>
      </c>
      <c r="AC2" s="31" t="inlineStr">
        <is>
          <t>Cyclical in an Upturn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IF(B3=0,"",RANK(B3,$B$2:$B$22,0))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137.6</v>
      </c>
      <c r="E3" s="32" t="inlineStr">
        <is>
          <t>5%</t>
        </is>
      </c>
      <c r="F3" s="32" t="n">
        <v>50000</v>
      </c>
      <c r="G3" s="32" t="n">
        <v>127</v>
      </c>
      <c r="H3" s="31" t="inlineStr">
        <is>
          <t>REDINGTON</t>
        </is>
      </c>
      <c r="I3" s="31" t="inlineStr">
        <is>
          <t>Redington (india) Limited</t>
        </is>
      </c>
      <c r="J3" s="31" t="inlineStr">
        <is>
          <t>services</t>
        </is>
      </c>
      <c r="K3" s="31" t="inlineStr">
        <is>
          <t>trading</t>
        </is>
      </c>
      <c r="L3" s="31" t="inlineStr">
        <is>
          <t>largecap</t>
        </is>
      </c>
      <c r="M3" s="32" t="n">
        <v>30645.56</v>
      </c>
      <c r="N3" s="32" t="n">
        <v>393.7</v>
      </c>
      <c r="O3" s="32" t="n">
        <v>0.43</v>
      </c>
      <c r="P3" s="32" t="n">
        <v>7473984</v>
      </c>
      <c r="Q3" s="31" t="n">
        <v>77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74.31</v>
      </c>
      <c r="U3" s="32" t="n">
        <v>44.86</v>
      </c>
      <c r="V3" s="32" t="n">
        <v>307.24</v>
      </c>
      <c r="W3" s="31" t="inlineStr">
        <is>
          <t>Near 52W High Breakout</t>
        </is>
      </c>
      <c r="X3" s="31" t="inlineStr">
        <is>
          <t>Nifty 50</t>
        </is>
      </c>
      <c r="Y3" s="32" t="n">
        <v>-6.83</v>
      </c>
      <c r="Z3" s="32" t="n">
        <v>65.03</v>
      </c>
      <c r="AA3" s="32" t="n">
        <v>77.13</v>
      </c>
      <c r="AB3" s="32" t="n">
        <v>28.03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IF(B4=0,"",RANK(B4,$B$2:$B$22,0))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139.2</v>
      </c>
      <c r="E4" s="32" t="inlineStr">
        <is>
          <t>5%</t>
        </is>
      </c>
      <c r="F4" s="32" t="n">
        <v>50000</v>
      </c>
      <c r="G4" s="32" t="n">
        <v>18</v>
      </c>
      <c r="H4" s="31" t="inlineStr">
        <is>
          <t>SWANDEF</t>
        </is>
      </c>
      <c r="I4" s="31" t="inlineStr">
        <is>
          <t>Swan Defence and Heavy Industries Ltd</t>
        </is>
      </c>
      <c r="J4" s="31" t="inlineStr">
        <is>
          <t>transportation</t>
        </is>
      </c>
      <c r="K4" s="31" t="inlineStr">
        <is>
          <t>miscellaneous</t>
        </is>
      </c>
      <c r="L4" s="31" t="inlineStr">
        <is>
          <t>midcap</t>
        </is>
      </c>
      <c r="M4" s="32" t="n">
        <v>14028.2</v>
      </c>
      <c r="N4" s="32" t="n">
        <v>2727.9</v>
      </c>
      <c r="O4" s="32" t="n">
        <v>2.44</v>
      </c>
      <c r="P4" s="32" t="n">
        <v>20275</v>
      </c>
      <c r="Q4" s="31" t="n">
        <v>95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68.45</v>
      </c>
      <c r="U4" s="32" t="n">
        <v>55.49</v>
      </c>
      <c r="V4" s="32" t="n">
        <v>2070.47</v>
      </c>
      <c r="W4" s="31" t="inlineStr">
        <is>
          <t>Near 52W High Breakout</t>
        </is>
      </c>
      <c r="X4" s="31" t="inlineStr">
        <is>
          <t>Nifty 50</t>
        </is>
      </c>
      <c r="Y4" s="32" t="n">
        <v>-6.83</v>
      </c>
      <c r="Z4" s="32" t="n">
        <v>421.09</v>
      </c>
      <c r="AA4" s="32" t="n">
        <v>459.3</v>
      </c>
      <c r="AB4" s="32" t="n">
        <v>57.44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More than 1.2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IF(B5=0,"",RANK(B5,$B$2:$B$22,0))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138.2</v>
      </c>
      <c r="E5" s="32" t="inlineStr">
        <is>
          <t>5%</t>
        </is>
      </c>
      <c r="F5" s="32" t="n">
        <v>50000</v>
      </c>
      <c r="G5" s="32" t="n">
        <v>21</v>
      </c>
      <c r="H5" s="31" t="inlineStr">
        <is>
          <t>WABAG</t>
        </is>
      </c>
      <c r="I5" s="31" t="inlineStr">
        <is>
          <t>Va Tech Wabag Limited</t>
        </is>
      </c>
      <c r="J5" s="31" t="inlineStr">
        <is>
          <t>realty</t>
        </is>
      </c>
      <c r="K5" s="31" t="inlineStr">
        <is>
          <t>engineering - turnkey services</t>
        </is>
      </c>
      <c r="L5" s="31" t="inlineStr">
        <is>
          <t>midcap</t>
        </is>
      </c>
      <c r="M5" s="32" t="n">
        <v>13791.63</v>
      </c>
      <c r="N5" s="32" t="n">
        <v>2277.9</v>
      </c>
      <c r="O5" s="32" t="n">
        <v>2.99</v>
      </c>
      <c r="P5" s="32" t="n">
        <v>2231415</v>
      </c>
      <c r="Q5" s="31" t="n">
        <v>66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69.42</v>
      </c>
      <c r="U5" s="32" t="n">
        <v>37.23</v>
      </c>
      <c r="V5" s="32" t="n">
        <v>1755</v>
      </c>
      <c r="W5" s="31" t="inlineStr">
        <is>
          <t>Volume Spike &amp; Near 52W High Breakout</t>
        </is>
      </c>
      <c r="X5" s="31" t="inlineStr">
        <is>
          <t>Nifty Realty</t>
        </is>
      </c>
      <c r="Y5" s="32" t="n">
        <v>-10.74</v>
      </c>
      <c r="Z5" s="32" t="n">
        <v>40.96</v>
      </c>
      <c r="AA5" s="32" t="n">
        <v>57.92</v>
      </c>
      <c r="AB5" s="32" t="n">
        <v>21.77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20 to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IF(B6=0,"",RANK(B6,$B$2:$B$22,0))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137.8</v>
      </c>
      <c r="E6" s="32" t="inlineStr">
        <is>
          <t>5%</t>
        </is>
      </c>
      <c r="F6" s="32" t="n">
        <v>50000</v>
      </c>
      <c r="G6" s="32" t="n">
        <v>34</v>
      </c>
      <c r="H6" s="31" t="inlineStr">
        <is>
          <t>KPIL</t>
        </is>
      </c>
      <c r="I6" s="31" t="inlineStr">
        <is>
          <t>Kalpataru Projects International Ltd</t>
        </is>
      </c>
      <c r="J6" s="31" t="inlineStr">
        <is>
          <t>realty</t>
        </is>
      </c>
      <c r="K6" s="31" t="inlineStr">
        <is>
          <t>transmisson line towers / equipment</t>
        </is>
      </c>
      <c r="L6" s="31" t="inlineStr">
        <is>
          <t>largecap</t>
        </is>
      </c>
      <c r="M6" s="32" t="n">
        <v>24454.63</v>
      </c>
      <c r="N6" s="32" t="n">
        <v>1435.7</v>
      </c>
      <c r="O6" s="32" t="n">
        <v>0.26</v>
      </c>
      <c r="P6" s="32" t="n">
        <v>107494</v>
      </c>
      <c r="Q6" s="31" t="n">
        <v>25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66.90000000000001</v>
      </c>
      <c r="U6" s="32" t="n">
        <v>34.5</v>
      </c>
      <c r="V6" s="32" t="n">
        <v>1197.12</v>
      </c>
      <c r="W6" s="31" t="inlineStr">
        <is>
          <t>Near 52W High Breakout</t>
        </is>
      </c>
      <c r="X6" s="31" t="inlineStr">
        <is>
          <t>Nifty Realty</t>
        </is>
      </c>
      <c r="Y6" s="32" t="n">
        <v>-10.74</v>
      </c>
      <c r="Z6" s="32" t="n">
        <v>25.63</v>
      </c>
      <c r="AA6" s="32" t="n">
        <v>40.74</v>
      </c>
      <c r="AB6" s="32" t="n">
        <v>8.48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20 to 40</t>
        </is>
      </c>
      <c r="BD6" s="31">
        <f>IF(BC6="Above 40",20,IF(BC6="20 to 40",10,IF(BC6="0 to 20",-5,0)))</f>
        <v/>
      </c>
      <c r="BE6" s="31" t="inlineStr">
        <is>
          <t>Between 50 to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IF(B7=0,"",RANK(B7,$B$2:$B$22,0))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139.4</v>
      </c>
      <c r="E7" s="32" t="inlineStr">
        <is>
          <t>5%</t>
        </is>
      </c>
      <c r="F7" s="32" t="n">
        <v>50000</v>
      </c>
      <c r="G7" s="32" t="n">
        <v>54</v>
      </c>
      <c r="H7" s="31" t="inlineStr">
        <is>
          <t>GRANULES</t>
        </is>
      </c>
      <c r="I7" s="31" t="inlineStr">
        <is>
          <t>Granules India Limited</t>
        </is>
      </c>
      <c r="J7" s="31" t="inlineStr">
        <is>
          <t>healthcare</t>
        </is>
      </c>
      <c r="K7" s="31" t="inlineStr">
        <is>
          <t>pharmaceuticals - indian - bulk drugs &amp; formln</t>
        </is>
      </c>
      <c r="L7" s="31" t="inlineStr">
        <is>
          <t>largecap</t>
        </is>
      </c>
      <c r="M7" s="32" t="n">
        <v>22283.14</v>
      </c>
      <c r="N7" s="32" t="n">
        <v>909.3</v>
      </c>
      <c r="O7" s="32" t="n">
        <v>1.12</v>
      </c>
      <c r="P7" s="32" t="n">
        <v>7851231</v>
      </c>
      <c r="Q7" s="31" t="n">
        <v>49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69.90000000000001</v>
      </c>
      <c r="U7" s="32" t="n">
        <v>39.76</v>
      </c>
      <c r="V7" s="32" t="n">
        <v>756.1900000000001</v>
      </c>
      <c r="W7" s="31" t="inlineStr">
        <is>
          <t>Volume Spike &amp; Near 52W High Breakout</t>
        </is>
      </c>
      <c r="X7" s="31" t="inlineStr">
        <is>
          <t>Nifty Pharma</t>
        </is>
      </c>
      <c r="Y7" s="32" t="n">
        <v>18.76</v>
      </c>
      <c r="Z7" s="32" t="n">
        <v>70.52</v>
      </c>
      <c r="AA7" s="32" t="n">
        <v>43.59</v>
      </c>
      <c r="AB7" s="32" t="n">
        <v>15.89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Yes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Annuity, Lower One Time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IF(B8=0,"",RANK(B8,$B$2:$B$22,0))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137.8</v>
      </c>
      <c r="E8" s="32" t="inlineStr">
        <is>
          <t>5%</t>
        </is>
      </c>
      <c r="F8" s="32" t="n">
        <v>50000</v>
      </c>
      <c r="G8" s="32" t="n">
        <v>2554</v>
      </c>
      <c r="H8" s="31" t="inlineStr">
        <is>
          <t>AHCL</t>
        </is>
      </c>
      <c r="I8" s="31" t="inlineStr">
        <is>
          <t>Anlon Healthcare Ltd</t>
        </is>
      </c>
      <c r="J8" s="31" t="inlineStr">
        <is>
          <t>healthcare</t>
        </is>
      </c>
      <c r="K8" s="31" t="inlineStr">
        <is>
          <t>pharmaceuticals - indian - bulk drugs &amp; formln</t>
        </is>
      </c>
      <c r="L8" s="31" t="inlineStr">
        <is>
          <t>smallcap</t>
        </is>
      </c>
      <c r="M8" s="32" t="n">
        <v>932.28</v>
      </c>
      <c r="N8" s="32" t="n">
        <v>19.57</v>
      </c>
      <c r="O8" s="32" t="n">
        <v>11.57</v>
      </c>
      <c r="P8" s="32" t="n">
        <v>150749037</v>
      </c>
      <c r="Q8" s="31" t="n">
        <v>62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73.33</v>
      </c>
      <c r="U8" s="32" t="n">
        <v>40.07</v>
      </c>
      <c r="V8" s="32" t="n">
        <v>14.66</v>
      </c>
      <c r="W8" s="31" t="inlineStr">
        <is>
          <t>Volume Spike &amp; Near 52W High Breakout</t>
        </is>
      </c>
      <c r="X8" s="31" t="inlineStr">
        <is>
          <t>Nifty Pharma</t>
        </is>
      </c>
      <c r="Y8" s="32" t="n">
        <v>18.76</v>
      </c>
      <c r="Z8" s="32" t="n">
        <v>78.84</v>
      </c>
      <c r="AA8" s="32" t="n">
        <v>50.59</v>
      </c>
      <c r="AB8" s="32" t="n">
        <v>20.17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Yes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Annuity, Lower One Time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IF(B9=0,"",RANK(B9,$B$2:$B$22,0))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140</v>
      </c>
      <c r="E9" s="32" t="inlineStr">
        <is>
          <t>5%</t>
        </is>
      </c>
      <c r="F9" s="32" t="n">
        <v>50000</v>
      </c>
      <c r="G9" s="32" t="n">
        <v>106</v>
      </c>
      <c r="H9" s="31" t="inlineStr">
        <is>
          <t>SETL</t>
        </is>
      </c>
      <c r="I9" s="31" t="inlineStr">
        <is>
          <t>Standard Enginnering Technology Ltd</t>
        </is>
      </c>
      <c r="J9" s="31" t="inlineStr">
        <is>
          <t>industrials</t>
        </is>
      </c>
      <c r="K9" s="31" t="inlineStr">
        <is>
          <t>engineering</t>
        </is>
      </c>
      <c r="L9" s="31" t="inlineStr">
        <is>
          <t>midcap</t>
        </is>
      </c>
      <c r="M9" s="32" t="n">
        <v>8895.33</v>
      </c>
      <c r="N9" s="32" t="n">
        <v>468.15</v>
      </c>
      <c r="O9" s="32" t="n">
        <v>4.99</v>
      </c>
      <c r="P9" s="32" t="n">
        <v>2933978</v>
      </c>
      <c r="Q9" s="31" t="n">
        <v>98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91.75</v>
      </c>
      <c r="U9" s="32" t="n">
        <v>67.78</v>
      </c>
      <c r="V9" s="32" t="n">
        <v>367.65</v>
      </c>
      <c r="W9" s="31" t="inlineStr">
        <is>
          <t>Near 52W High Breakout</t>
        </is>
      </c>
      <c r="X9" s="31" t="inlineStr">
        <is>
          <t>Nifty Infra</t>
        </is>
      </c>
      <c r="Y9" s="32" t="n">
        <v>0.12</v>
      </c>
      <c r="Z9" s="32" t="n">
        <v>168.25</v>
      </c>
      <c r="AA9" s="32" t="n">
        <v>167.94</v>
      </c>
      <c r="AB9" s="32" t="n">
        <v>92.34999999999999</v>
      </c>
      <c r="AC9" s="31" t="inlineStr">
        <is>
          <t>Cyclical in an Upturn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IF(B10=0,"",RANK(B10,$B$2:$B$22,0))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138.7</v>
      </c>
      <c r="E10" s="32" t="inlineStr">
        <is>
          <t>5%</t>
        </is>
      </c>
      <c r="F10" s="32" t="n">
        <v>50000</v>
      </c>
      <c r="G10" s="32" t="n">
        <v>69</v>
      </c>
      <c r="H10" s="31" t="inlineStr">
        <is>
          <t>KABRAEXTRU</t>
        </is>
      </c>
      <c r="I10" s="31" t="inlineStr">
        <is>
          <t>Kabra Extrusion Technik Limited</t>
        </is>
      </c>
      <c r="J10" s="31" t="inlineStr">
        <is>
          <t>industrials</t>
        </is>
      </c>
      <c r="K10" s="31" t="inlineStr">
        <is>
          <t>engineering</t>
        </is>
      </c>
      <c r="L10" s="31" t="inlineStr">
        <is>
          <t>smallcap</t>
        </is>
      </c>
      <c r="M10" s="32" t="n">
        <v>2474.5</v>
      </c>
      <c r="N10" s="32" t="n">
        <v>723.15</v>
      </c>
      <c r="O10" s="32" t="n">
        <v>2.2</v>
      </c>
      <c r="P10" s="32" t="n">
        <v>479794</v>
      </c>
      <c r="Q10" s="31" t="n">
        <v>98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88.63</v>
      </c>
      <c r="U10" s="32" t="n">
        <v>55.74</v>
      </c>
      <c r="V10" s="32" t="n">
        <v>563.88</v>
      </c>
      <c r="W10" s="31" t="inlineStr">
        <is>
          <t>Near 52W High Breakout</t>
        </is>
      </c>
      <c r="X10" s="31" t="inlineStr">
        <is>
          <t>Nifty Infra</t>
        </is>
      </c>
      <c r="Y10" s="32" t="n">
        <v>0.12</v>
      </c>
      <c r="Z10" s="32" t="n">
        <v>148.68</v>
      </c>
      <c r="AA10" s="32" t="n">
        <v>148.38</v>
      </c>
      <c r="AB10" s="32" t="n">
        <v>77.09999999999999</v>
      </c>
      <c r="AC10" s="31" t="inlineStr">
        <is>
          <t>Cyclical in an Upturn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IF(B11=0,"",RANK(B11,$B$2:$B$22,0))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138.8</v>
      </c>
      <c r="E11" s="32" t="inlineStr">
        <is>
          <t>5%</t>
        </is>
      </c>
      <c r="F11" s="32" t="n">
        <v>50000</v>
      </c>
      <c r="G11" s="32" t="n">
        <v>70</v>
      </c>
      <c r="H11" s="31" t="inlineStr">
        <is>
          <t>WSTCSTPAPR</t>
        </is>
      </c>
      <c r="I11" s="31" t="inlineStr">
        <is>
          <t>West Coast Paper Mills Limited</t>
        </is>
      </c>
      <c r="J11" s="31" t="inlineStr">
        <is>
          <t>building materials</t>
        </is>
      </c>
      <c r="K11" s="31" t="inlineStr">
        <is>
          <t>paper</t>
        </is>
      </c>
      <c r="L11" s="31" t="inlineStr">
        <is>
          <t>smallcap</t>
        </is>
      </c>
      <c r="M11" s="32" t="n">
        <v>4690.13</v>
      </c>
      <c r="N11" s="32" t="n">
        <v>713.8</v>
      </c>
      <c r="O11" s="32" t="n">
        <v>0.52</v>
      </c>
      <c r="P11" s="32" t="n">
        <v>271781</v>
      </c>
      <c r="Q11" s="31" t="n">
        <v>56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76.12</v>
      </c>
      <c r="U11" s="32" t="n">
        <v>51.33</v>
      </c>
      <c r="V11" s="32" t="n">
        <v>571.09</v>
      </c>
      <c r="W11" s="31" t="inlineStr">
        <is>
          <t>Near 52W High Breakout</t>
        </is>
      </c>
      <c r="X11" s="31" t="inlineStr">
        <is>
          <t>Nifty Infra</t>
        </is>
      </c>
      <c r="Y11" s="32" t="n">
        <v>0.12</v>
      </c>
      <c r="Z11" s="32" t="n">
        <v>33.58</v>
      </c>
      <c r="AA11" s="32" t="n">
        <v>33.43</v>
      </c>
      <c r="AB11" s="32" t="n">
        <v>18.25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No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IF(B12=0,"",RANK(B12,$B$2:$B$22,0))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140</v>
      </c>
      <c r="E12" s="32" t="inlineStr">
        <is>
          <t>5%</t>
        </is>
      </c>
      <c r="F12" s="32" t="n">
        <v>50000</v>
      </c>
      <c r="G12" s="32" t="n">
        <v>16</v>
      </c>
      <c r="H12" s="31" t="inlineStr">
        <is>
          <t>SPECTRUM</t>
        </is>
      </c>
      <c r="I12" s="31" t="inlineStr">
        <is>
          <t>Spectrum Electrical Industries Ltd</t>
        </is>
      </c>
      <c r="J12" s="31" t="inlineStr">
        <is>
          <t>industrials</t>
        </is>
      </c>
      <c r="K12" s="31" t="inlineStr">
        <is>
          <t>electric equipment</t>
        </is>
      </c>
      <c r="L12" s="31" t="inlineStr">
        <is>
          <t>smallcap</t>
        </is>
      </c>
      <c r="M12" s="32" t="n">
        <v>4523.39</v>
      </c>
      <c r="N12" s="32" t="n">
        <v>3022.5</v>
      </c>
      <c r="O12" s="32" t="n">
        <v>5</v>
      </c>
      <c r="P12" s="32" t="n">
        <v>47215</v>
      </c>
      <c r="Q12" s="31" t="n">
        <v>96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77.83</v>
      </c>
      <c r="U12" s="32" t="n">
        <v>60.23</v>
      </c>
      <c r="V12" s="32" t="n">
        <v>2185.5</v>
      </c>
      <c r="W12" s="31" t="inlineStr">
        <is>
          <t>Near 52W High Breakout</t>
        </is>
      </c>
      <c r="X12" s="31" t="inlineStr">
        <is>
          <t>Nifty Infra</t>
        </is>
      </c>
      <c r="Y12" s="32" t="n">
        <v>0.12</v>
      </c>
      <c r="Z12" s="32" t="n">
        <v>93.11</v>
      </c>
      <c r="AA12" s="32" t="n">
        <v>92.88</v>
      </c>
      <c r="AB12" s="32" t="n">
        <v>60.59</v>
      </c>
      <c r="AC12" s="31" t="inlineStr">
        <is>
          <t>Cyclical in an Upturn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Between 0.7 to 1.2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IF(B13=0,"",RANK(B13,$B$2:$B$22,0))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140</v>
      </c>
      <c r="E13" s="32" t="inlineStr">
        <is>
          <t>5%</t>
        </is>
      </c>
      <c r="F13" s="32" t="n">
        <v>50000</v>
      </c>
      <c r="G13" s="32" t="n">
        <v>55</v>
      </c>
      <c r="H13" s="31" t="inlineStr">
        <is>
          <t>STLTECH</t>
        </is>
      </c>
      <c r="I13" s="31" t="inlineStr">
        <is>
          <t>Sterlite Technologies Limited</t>
        </is>
      </c>
      <c r="J13" s="31" t="inlineStr">
        <is>
          <t>industrials</t>
        </is>
      </c>
      <c r="K13" s="31" t="inlineStr">
        <is>
          <t>cables - telephone</t>
        </is>
      </c>
      <c r="L13" s="31" t="inlineStr">
        <is>
          <t>largecap</t>
        </is>
      </c>
      <c r="M13" s="32" t="n">
        <v>43925.27</v>
      </c>
      <c r="N13" s="32" t="n">
        <v>897.4</v>
      </c>
      <c r="O13" s="32" t="n">
        <v>4.99</v>
      </c>
      <c r="P13" s="32" t="n">
        <v>2409510</v>
      </c>
      <c r="Q13" s="31" t="n">
        <v>99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82.90000000000001</v>
      </c>
      <c r="U13" s="32" t="n">
        <v>74.48999999999999</v>
      </c>
      <c r="V13" s="32" t="n">
        <v>666.48</v>
      </c>
      <c r="W13" s="31" t="inlineStr">
        <is>
          <t>Near 52W High Breakout</t>
        </is>
      </c>
      <c r="X13" s="31" t="inlineStr">
        <is>
          <t>Nifty Infra</t>
        </is>
      </c>
      <c r="Y13" s="32" t="n">
        <v>0.12</v>
      </c>
      <c r="Z13" s="32" t="n">
        <v>665.11</v>
      </c>
      <c r="AA13" s="32" t="n">
        <v>664.21</v>
      </c>
      <c r="AB13" s="32" t="n">
        <v>130.21</v>
      </c>
      <c r="AC13" s="31" t="inlineStr">
        <is>
          <t>Cyclical in an Upturn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Between 0.7 to 1.2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IF(B14=0,"",RANK(B14,$B$2:$B$22,0))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140</v>
      </c>
      <c r="E14" s="32" t="inlineStr">
        <is>
          <t>5%</t>
        </is>
      </c>
      <c r="F14" s="32" t="n">
        <v>50000</v>
      </c>
      <c r="G14" s="32" t="n">
        <v>1366</v>
      </c>
      <c r="H14" s="31" t="inlineStr">
        <is>
          <t>STLNETWORK</t>
        </is>
      </c>
      <c r="I14" s="31" t="inlineStr">
        <is>
          <t>STL Networks Ltd</t>
        </is>
      </c>
      <c r="J14" s="31" t="inlineStr">
        <is>
          <t>telecom-service</t>
        </is>
      </c>
      <c r="K14" s="31" t="inlineStr">
        <is>
          <t>telecommunications - service provider</t>
        </is>
      </c>
      <c r="L14" s="31" t="inlineStr">
        <is>
          <t>smallcap</t>
        </is>
      </c>
      <c r="M14" s="32" t="n">
        <v>1701.43</v>
      </c>
      <c r="N14" s="32" t="n">
        <v>36.6</v>
      </c>
      <c r="O14" s="32" t="n">
        <v>4.99</v>
      </c>
      <c r="P14" s="32" t="n">
        <v>5579818</v>
      </c>
      <c r="Q14" s="31" t="n">
        <v>61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73.86</v>
      </c>
      <c r="U14" s="32" t="n">
        <v>26.7</v>
      </c>
      <c r="V14" s="32" t="n">
        <v>27.85</v>
      </c>
      <c r="W14" s="31" t="inlineStr">
        <is>
          <t>Volume Spike &amp; Near 52W High Breakout</t>
        </is>
      </c>
      <c r="X14" s="31" t="inlineStr">
        <is>
          <t>Nifty 50</t>
        </is>
      </c>
      <c r="Y14" s="32" t="n">
        <v>-6.83</v>
      </c>
      <c r="Z14" s="32" t="n">
        <v>67.66</v>
      </c>
      <c r="AA14" s="32" t="n">
        <v>79.95</v>
      </c>
      <c r="AB14" s="32" t="n">
        <v>19.95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Oligopoly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Yes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No</t>
        </is>
      </c>
      <c r="BX14" s="31">
        <f>IF(BW14="NO",5,0)</f>
        <v/>
      </c>
      <c r="BY14" s="31" t="inlineStr">
        <is>
          <t>Less than 1.5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Between 0.7 to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IF(B15=0,"",RANK(B15,$B$2:$B$22,0))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137.4</v>
      </c>
      <c r="E15" s="32" t="inlineStr">
        <is>
          <t>5%</t>
        </is>
      </c>
      <c r="F15" s="32" t="n">
        <v>50000</v>
      </c>
      <c r="G15" s="32" t="n">
        <v>60</v>
      </c>
      <c r="H15" s="31" t="inlineStr">
        <is>
          <t>RISHABH</t>
        </is>
      </c>
      <c r="I15" s="31" t="inlineStr">
        <is>
          <t>Rishabh Instruments Ltd</t>
        </is>
      </c>
      <c r="J15" s="31" t="inlineStr">
        <is>
          <t>industrials</t>
        </is>
      </c>
      <c r="K15" s="31" t="inlineStr">
        <is>
          <t>electric equipment</t>
        </is>
      </c>
      <c r="L15" s="31" t="inlineStr">
        <is>
          <t>smallcap</t>
        </is>
      </c>
      <c r="M15" s="32" t="n">
        <v>3120.49</v>
      </c>
      <c r="N15" s="32" t="n">
        <v>829.6</v>
      </c>
      <c r="O15" s="32" t="n">
        <v>2.48</v>
      </c>
      <c r="P15" s="32" t="n">
        <v>223706</v>
      </c>
      <c r="Q15" s="31" t="n">
        <v>90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80.36</v>
      </c>
      <c r="U15" s="32" t="n">
        <v>48.64</v>
      </c>
      <c r="V15" s="32" t="n">
        <v>632.22</v>
      </c>
      <c r="W15" s="31" t="inlineStr">
        <is>
          <t>Near 52W High Breakout</t>
        </is>
      </c>
      <c r="X15" s="31" t="inlineStr">
        <is>
          <t>Nifty Infra</t>
        </is>
      </c>
      <c r="Y15" s="32" t="n">
        <v>0.12</v>
      </c>
      <c r="Z15" s="32" t="n">
        <v>192.06</v>
      </c>
      <c r="AA15" s="32" t="n">
        <v>191.72</v>
      </c>
      <c r="AB15" s="32" t="n">
        <v>41.65</v>
      </c>
      <c r="AC15" s="31" t="inlineStr">
        <is>
          <t>Cyclical in an Upturn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Less than 12%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No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IF(B16=0,"",RANK(B16,$B$2:$B$22,0))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136.4</v>
      </c>
      <c r="E16" s="32" t="inlineStr">
        <is>
          <t>5%</t>
        </is>
      </c>
      <c r="F16" s="32" t="n">
        <v>50000</v>
      </c>
      <c r="G16" s="32" t="n">
        <v>73</v>
      </c>
      <c r="H16" s="31" t="inlineStr">
        <is>
          <t>EBGNG</t>
        </is>
      </c>
      <c r="I16" s="31" t="inlineStr">
        <is>
          <t>GNG Electronics Ltd</t>
        </is>
      </c>
      <c r="J16" s="31" t="inlineStr">
        <is>
          <t>services</t>
        </is>
      </c>
      <c r="K16" s="31" t="inlineStr">
        <is>
          <t>trading</t>
        </is>
      </c>
      <c r="L16" s="31" t="inlineStr">
        <is>
          <t>midcap</t>
        </is>
      </c>
      <c r="M16" s="32" t="n">
        <v>7729.41</v>
      </c>
      <c r="N16" s="32" t="n">
        <v>679.65</v>
      </c>
      <c r="O16" s="32" t="n">
        <v>0.25</v>
      </c>
      <c r="P16" s="32" t="n">
        <v>518414</v>
      </c>
      <c r="Q16" s="31" t="n">
        <v>78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68.53</v>
      </c>
      <c r="U16" s="32" t="n">
        <v>35.31</v>
      </c>
      <c r="V16" s="32" t="n">
        <v>481.83</v>
      </c>
      <c r="W16" s="31" t="inlineStr">
        <is>
          <t>Near 52W High Breakout</t>
        </is>
      </c>
      <c r="X16" s="31" t="inlineStr">
        <is>
          <t>Nifty 50</t>
        </is>
      </c>
      <c r="Y16" s="32" t="n">
        <v>-6.83</v>
      </c>
      <c r="Z16" s="32" t="n">
        <v>91.40000000000001</v>
      </c>
      <c r="AA16" s="32" t="n">
        <v>105.43</v>
      </c>
      <c r="AB16" s="32" t="n">
        <v>28.66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IF(B17=0,"",RANK(B17,$B$2:$B$22,0))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139.4</v>
      </c>
      <c r="E17" s="32" t="inlineStr">
        <is>
          <t>5%</t>
        </is>
      </c>
      <c r="F17" s="32" t="n">
        <v>50000</v>
      </c>
      <c r="G17" s="32" t="n">
        <v>25</v>
      </c>
      <c r="H17" s="31" t="inlineStr">
        <is>
          <t>LAURUSLABS</t>
        </is>
      </c>
      <c r="I17" s="31" t="inlineStr">
        <is>
          <t>Laurus Labs Limited</t>
        </is>
      </c>
      <c r="J17" s="31" t="inlineStr">
        <is>
          <t>healthcare</t>
        </is>
      </c>
      <c r="K17" s="31" t="inlineStr">
        <is>
          <t>pharmaceuticals - indian - bulk drugs &amp; formln</t>
        </is>
      </c>
      <c r="L17" s="31" t="inlineStr">
        <is>
          <t>largecap</t>
        </is>
      </c>
      <c r="M17" s="32" t="n">
        <v>105078.54</v>
      </c>
      <c r="N17" s="32" t="n">
        <v>1969</v>
      </c>
      <c r="O17" s="32" t="n">
        <v>1.23</v>
      </c>
      <c r="P17" s="32" t="n">
        <v>2277375</v>
      </c>
      <c r="Q17" s="31" t="n">
        <v>75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77.37</v>
      </c>
      <c r="U17" s="32" t="n">
        <v>71.22</v>
      </c>
      <c r="V17" s="32" t="n">
        <v>1676.45</v>
      </c>
      <c r="W17" s="31" t="inlineStr">
        <is>
          <t>Near 52W High Breakout</t>
        </is>
      </c>
      <c r="X17" s="31" t="inlineStr">
        <is>
          <t>Nifty Pharma</t>
        </is>
      </c>
      <c r="Y17" s="32" t="n">
        <v>18.76</v>
      </c>
      <c r="Z17" s="32" t="n">
        <v>120.14</v>
      </c>
      <c r="AA17" s="32" t="n">
        <v>85.37</v>
      </c>
      <c r="AB17" s="32" t="n">
        <v>26.74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Yes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Annuity, Lower One Time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IF(B18=0,"",RANK(B18,$B$2:$B$22,0))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140</v>
      </c>
      <c r="E18" s="32" t="inlineStr">
        <is>
          <t>5%</t>
        </is>
      </c>
      <c r="F18" s="32" t="n">
        <v>50000</v>
      </c>
      <c r="G18" s="32" t="n">
        <v>60</v>
      </c>
      <c r="H18" s="31" t="inlineStr">
        <is>
          <t>SIGMAADV</t>
        </is>
      </c>
      <c r="I18" s="31" t="inlineStr">
        <is>
          <t>Sigma Advanced System Ltd</t>
        </is>
      </c>
      <c r="J18" s="31" t="inlineStr">
        <is>
          <t>aerospace &amp; defence</t>
        </is>
      </c>
      <c r="K18" s="31" t="inlineStr">
        <is>
          <t>electronics - components</t>
        </is>
      </c>
      <c r="L18" s="31" t="inlineStr">
        <is>
          <t>midcap</t>
        </is>
      </c>
      <c r="M18" s="32" t="n">
        <v>15024.2</v>
      </c>
      <c r="N18" s="32" t="n">
        <v>832.45</v>
      </c>
      <c r="O18" s="32" t="n">
        <v>4.99</v>
      </c>
      <c r="P18" s="32" t="n">
        <v>366669</v>
      </c>
      <c r="Q18" s="31" t="n">
        <v>98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78.69</v>
      </c>
      <c r="U18" s="32" t="n">
        <v>64.93000000000001</v>
      </c>
      <c r="V18" s="32" t="n">
        <v>619.29</v>
      </c>
      <c r="W18" s="31" t="inlineStr">
        <is>
          <t>Near 52W High Breakout</t>
        </is>
      </c>
      <c r="X18" s="31" t="inlineStr">
        <is>
          <t>Nifty 50</t>
        </is>
      </c>
      <c r="Y18" s="32" t="n">
        <v>-6.83</v>
      </c>
      <c r="Z18" s="32" t="n">
        <v>429.28</v>
      </c>
      <c r="AA18" s="32" t="n">
        <v>468.09</v>
      </c>
      <c r="AB18" s="32" t="n">
        <v>74.64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Above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Less than 12%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Between 0.7 to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IF(B19=0,"",RANK(B19,$B$2:$B$22,0))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138.9</v>
      </c>
      <c r="E19" s="32" t="inlineStr">
        <is>
          <t>5%</t>
        </is>
      </c>
      <c r="F19" s="32" t="n">
        <v>50000</v>
      </c>
      <c r="G19" s="32" t="n">
        <v>7</v>
      </c>
      <c r="H19" s="31" t="inlineStr">
        <is>
          <t>SMLMAH</t>
        </is>
      </c>
      <c r="I19" s="31" t="inlineStr">
        <is>
          <t>SML Mahindra Ltd</t>
        </is>
      </c>
      <c r="J19" s="31" t="inlineStr">
        <is>
          <t>auto</t>
        </is>
      </c>
      <c r="K19" s="31" t="inlineStr">
        <is>
          <t>automobiles - lcvs / hcvs</t>
        </is>
      </c>
      <c r="L19" s="31" t="inlineStr">
        <is>
          <t>midcap</t>
        </is>
      </c>
      <c r="M19" s="32" t="n">
        <v>9085.299999999999</v>
      </c>
      <c r="N19" s="32" t="n">
        <v>6583</v>
      </c>
      <c r="O19" s="32" t="n">
        <v>4.86</v>
      </c>
      <c r="P19" s="32" t="n">
        <v>109374</v>
      </c>
      <c r="Q19" s="31" t="n">
        <v>79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72.28</v>
      </c>
      <c r="U19" s="32" t="n">
        <v>23.54</v>
      </c>
      <c r="V19" s="32" t="n">
        <v>4886.62</v>
      </c>
      <c r="W19" s="31" t="inlineStr">
        <is>
          <t>Near 52W High Breakout</t>
        </is>
      </c>
      <c r="X19" s="31" t="inlineStr">
        <is>
          <t>Nifty Auto</t>
        </is>
      </c>
      <c r="Y19" s="32" t="n">
        <v>14.81</v>
      </c>
      <c r="Z19" s="32" t="n">
        <v>74.29000000000001</v>
      </c>
      <c r="AA19" s="32" t="n">
        <v>51.8</v>
      </c>
      <c r="AB19" s="32" t="n">
        <v>29.98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20 to 40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Less than 12%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IF(B20=0,"",RANK(B20,$B$2:$B$22,0))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138.8</v>
      </c>
      <c r="E20" s="32" t="inlineStr">
        <is>
          <t>5%</t>
        </is>
      </c>
      <c r="F20" s="32" t="n">
        <v>50000</v>
      </c>
      <c r="G20" s="32" t="n">
        <v>107</v>
      </c>
      <c r="H20" s="31" t="inlineStr">
        <is>
          <t>SMSPHARMA</t>
        </is>
      </c>
      <c r="I20" s="31" t="inlineStr">
        <is>
          <t>Sms Pharmaceuticals Limited</t>
        </is>
      </c>
      <c r="J20" s="31" t="inlineStr">
        <is>
          <t>healthcare</t>
        </is>
      </c>
      <c r="K20" s="31" t="inlineStr">
        <is>
          <t>pharmaceuticals - indian - bulk drugs</t>
        </is>
      </c>
      <c r="L20" s="31" t="inlineStr">
        <is>
          <t>smallcap</t>
        </is>
      </c>
      <c r="M20" s="32" t="n">
        <v>3909.5</v>
      </c>
      <c r="N20" s="32" t="n">
        <v>463.45</v>
      </c>
      <c r="O20" s="32" t="n">
        <v>11.02</v>
      </c>
      <c r="P20" s="32" t="n">
        <v>10401534</v>
      </c>
      <c r="Q20" s="31" t="n">
        <v>44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68.5</v>
      </c>
      <c r="U20" s="32" t="n">
        <v>31.29</v>
      </c>
      <c r="V20" s="32" t="n">
        <v>357.07</v>
      </c>
      <c r="W20" s="31" t="inlineStr">
        <is>
          <t>Volume Spike &amp; Near 52W High Breakout</t>
        </is>
      </c>
      <c r="X20" s="31" t="inlineStr">
        <is>
          <t>Nifty Pharma</t>
        </is>
      </c>
      <c r="Y20" s="32" t="n">
        <v>18.76</v>
      </c>
      <c r="Z20" s="32" t="n">
        <v>59.33</v>
      </c>
      <c r="AA20" s="32" t="n">
        <v>34.16</v>
      </c>
      <c r="AB20" s="32" t="n">
        <v>14.19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Yes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Annuity, Lower One Time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IF(B21=0,"",RANK(B21,$B$2:$B$22,0))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137.6</v>
      </c>
      <c r="E21" s="32" t="inlineStr">
        <is>
          <t>5%</t>
        </is>
      </c>
      <c r="F21" s="32" t="n">
        <v>50000</v>
      </c>
      <c r="G21" s="32" t="n">
        <v>424</v>
      </c>
      <c r="H21" s="31" t="inlineStr">
        <is>
          <t>MANAKSTEEL</t>
        </is>
      </c>
      <c r="I21" s="31" t="inlineStr">
        <is>
          <t>Manaksia Steels Limited</t>
        </is>
      </c>
      <c r="J21" s="31" t="inlineStr">
        <is>
          <t>metals &amp; mining</t>
        </is>
      </c>
      <c r="K21" s="31" t="inlineStr">
        <is>
          <t>steel - medium / small</t>
        </is>
      </c>
      <c r="L21" s="31" t="inlineStr">
        <is>
          <t>smallcap</t>
        </is>
      </c>
      <c r="M21" s="32" t="n">
        <v>753.71</v>
      </c>
      <c r="N21" s="32" t="n">
        <v>117.91</v>
      </c>
      <c r="O21" s="32" t="n">
        <v>2.52</v>
      </c>
      <c r="P21" s="32" t="n">
        <v>149999</v>
      </c>
      <c r="Q21" s="31" t="n">
        <v>76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80.40000000000001</v>
      </c>
      <c r="U21" s="32" t="n">
        <v>44.51</v>
      </c>
      <c r="V21" s="32" t="n">
        <v>88.47</v>
      </c>
      <c r="W21" s="31" t="inlineStr">
        <is>
          <t>Near 52W High Breakout</t>
        </is>
      </c>
      <c r="X21" s="31" t="inlineStr">
        <is>
          <t>Nifty Metal</t>
        </is>
      </c>
      <c r="Y21" s="32" t="n">
        <v>37.92</v>
      </c>
      <c r="Z21" s="32" t="n">
        <v>91.09999999999999</v>
      </c>
      <c r="AA21" s="32" t="n">
        <v>38.56</v>
      </c>
      <c r="AB21" s="32" t="n">
        <v>27.15</v>
      </c>
      <c r="AC21" s="31" t="inlineStr">
        <is>
          <t>Cyclical in an Upturn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Cyclical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Volatile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Above 40</t>
        </is>
      </c>
      <c r="BD21" s="31">
        <f>IF(BC21="Above 40",20,IF(BC21="20 to 40",10,IF(BC21="0 to 20",-5,0)))</f>
        <v/>
      </c>
      <c r="BE21" s="31" t="inlineStr">
        <is>
          <t>Above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More than 20%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No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IF(B22=0,"",RANK(B22,$B$2:$B$22,0))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52W Breakout</t>
        </is>
      </c>
      <c r="D22" s="32" t="n">
        <v>138.7</v>
      </c>
      <c r="E22" s="32" t="inlineStr">
        <is>
          <t>5%</t>
        </is>
      </c>
      <c r="F22" s="32" t="n">
        <v>50000</v>
      </c>
      <c r="G22" s="32" t="n">
        <v>40</v>
      </c>
      <c r="H22" s="31" t="inlineStr">
        <is>
          <t>HATSUN</t>
        </is>
      </c>
      <c r="I22" s="31" t="inlineStr">
        <is>
          <t>Hatsun Agro Product Limited</t>
        </is>
      </c>
      <c r="J22" s="31" t="inlineStr">
        <is>
          <t>fmcg</t>
        </is>
      </c>
      <c r="K22" s="31" t="inlineStr">
        <is>
          <t>food - processing - indian</t>
        </is>
      </c>
      <c r="L22" s="31" t="inlineStr">
        <is>
          <t>largecap</t>
        </is>
      </c>
      <c r="M22" s="32" t="n">
        <v>26607.28</v>
      </c>
      <c r="N22" s="32" t="n">
        <v>1224.4</v>
      </c>
      <c r="O22" s="32" t="n">
        <v>2.5</v>
      </c>
      <c r="P22" s="32" t="n">
        <v>113105</v>
      </c>
      <c r="Q22" s="31" t="n">
        <v>35</v>
      </c>
      <c r="R22" s="31" t="inlineStr">
        <is>
          <t>Outperforming</t>
        </is>
      </c>
      <c r="S22" s="32">
        <f>IF(R22="Underperforming",-5,IF(Q22&gt;=95,15,IF(Q22&gt;=90,10,IF(Q22&gt;=80,5,0))))</f>
        <v/>
      </c>
      <c r="T22" s="32" t="n">
        <v>77.66</v>
      </c>
      <c r="U22" s="32" t="n">
        <v>22.68</v>
      </c>
      <c r="V22" s="32" t="n">
        <v>1004.36</v>
      </c>
      <c r="W22" s="31" t="inlineStr">
        <is>
          <t>Near 52W High Breakout</t>
        </is>
      </c>
      <c r="X22" s="31" t="inlineStr">
        <is>
          <t>Nifty FMCG</t>
        </is>
      </c>
      <c r="Y22" s="32" t="n">
        <v>-17.45</v>
      </c>
      <c r="Z22" s="32" t="n">
        <v>34.14</v>
      </c>
      <c r="AA22" s="32" t="n">
        <v>62.5</v>
      </c>
      <c r="AB22" s="32" t="n">
        <v>11.54</v>
      </c>
      <c r="AC22" s="31" t="inlineStr">
        <is>
          <t>Growing Industry</t>
        </is>
      </c>
      <c r="AD22" s="31">
        <f>IF(AC22="Growing Industry",10,IF(AC22="Cyclical in an Upturn",5,0))</f>
        <v/>
      </c>
      <c r="AE22" s="31" t="inlineStr">
        <is>
          <t>Too Many Players with High ROCE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Tailwind</t>
        </is>
      </c>
      <c r="AJ22" s="31">
        <f>IF(AI22="Tailwind",10,0)</f>
        <v/>
      </c>
      <c r="AK22" s="31" t="inlineStr">
        <is>
          <t>Structural (10 Years Consistency)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Stable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B2C</t>
        </is>
      </c>
      <c r="AT22" s="31">
        <f>IF(AS22="B2C",10,IF(AS22="B2B",5,0))</f>
        <v/>
      </c>
      <c r="AU22" s="31" t="inlineStr">
        <is>
          <t>Yes</t>
        </is>
      </c>
      <c r="AV22" s="31">
        <f>IF(AU22="Yes",10,0)</f>
        <v/>
      </c>
      <c r="AW22" s="31" t="inlineStr">
        <is>
          <t>Higher Annuity, Lower One Time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20 to 40</t>
        </is>
      </c>
      <c r="BD22" s="31">
        <f>IF(BC22="Above 40",20,IF(BC22="20 to 40",10,IF(BC22="0 to 20",-5,0)))</f>
        <v/>
      </c>
      <c r="BE22" s="31" t="inlineStr">
        <is>
          <t>Above 75</t>
        </is>
      </c>
      <c r="BF22" s="31">
        <f>IF(BE22="Between 50 to 75",10,IF(BE22="Above 75",0,0))</f>
        <v/>
      </c>
      <c r="BG22" s="31" t="inlineStr">
        <is>
          <t>Stage 2</t>
        </is>
      </c>
      <c r="BH22" s="31">
        <f>IF(BG22="Stage 2",20,IF(BG22="Stage 1",0,IF(BG22="Stage 3",5,IF(BG22="Stage 4",-5,0))))</f>
        <v/>
      </c>
      <c r="BI22" s="31" t="inlineStr">
        <is>
          <t>Positive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Blue sky scenario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Less than 12%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Yes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Above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Between 0.7 to 1.2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IF(B2=0,"",RANK(B2,$B$2:$B$2,0))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139.6</v>
      </c>
      <c r="E2" s="32" t="inlineStr">
        <is>
          <t>5%</t>
        </is>
      </c>
      <c r="F2" s="32" t="n">
        <v>50000</v>
      </c>
      <c r="G2" s="32" t="n">
        <v>593</v>
      </c>
      <c r="H2" s="31" t="inlineStr">
        <is>
          <t>PAISALO</t>
        </is>
      </c>
      <c r="I2" s="31" t="inlineStr">
        <is>
          <t>Paisalo Digital Ltd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midcap</t>
        </is>
      </c>
      <c r="M2" s="32" t="n">
        <v>7553.58</v>
      </c>
      <c r="N2" s="32" t="n">
        <v>84.23</v>
      </c>
      <c r="O2" s="32" t="n">
        <v>1.42</v>
      </c>
      <c r="P2" s="32" t="n">
        <v>16781160</v>
      </c>
      <c r="Q2" s="31" t="n">
        <v>80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80.28</v>
      </c>
      <c r="U2" s="32" t="n">
        <v>67.34</v>
      </c>
      <c r="V2" s="32" t="n">
        <v>66.95999999999999</v>
      </c>
      <c r="W2" s="31" t="inlineStr">
        <is>
          <t>Near 52W High Breakout</t>
        </is>
      </c>
      <c r="X2" s="31" t="inlineStr">
        <is>
          <t>Nifty Bank</t>
        </is>
      </c>
      <c r="Y2" s="32" t="n">
        <v>3.28</v>
      </c>
      <c r="Z2" s="32" t="n">
        <v>122.26</v>
      </c>
      <c r="AA2" s="32" t="n">
        <v>115.2</v>
      </c>
      <c r="AB2" s="32" t="n">
        <v>31.49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between 2.5x to 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5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IF(B2=0,"",RANK(B2,$B$2:$B$95,0))</f>
        <v/>
      </c>
      <c r="B2" s="32">
        <f>SUM(N2,Y2,AA2,AC2,AE2,AG2,AI2,AK2,AM2,AO2,AQ2,AS2,AU2,AW2,AY2,BA2,BC2,BE2,BG2,BI2,BK2,BM2,BO2,BQ2,BS2,BU2,BW2,BY2,CA2,CC2,CE2,CG2)</f>
        <v/>
      </c>
      <c r="C2" s="34" t="inlineStr">
        <is>
          <t>INDNIPPON</t>
        </is>
      </c>
      <c r="D2" s="34" t="inlineStr">
        <is>
          <t>India Nippon Electricals Ltd</t>
        </is>
      </c>
      <c r="E2" s="31" t="inlineStr">
        <is>
          <t>auto</t>
        </is>
      </c>
      <c r="F2" s="31" t="inlineStr">
        <is>
          <t>Auto Ancillaries - Engine Parts</t>
        </is>
      </c>
      <c r="G2" s="31" t="inlineStr">
        <is>
          <t>smallcap</t>
        </is>
      </c>
      <c r="H2" s="32" t="n">
        <v>3105.02</v>
      </c>
      <c r="I2" s="32" t="n">
        <v>1372.6</v>
      </c>
      <c r="J2" s="32" t="n">
        <v>0.26</v>
      </c>
      <c r="K2" s="32" t="n">
        <v>0</v>
      </c>
      <c r="L2" s="31" t="n">
        <v>81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74.61</v>
      </c>
      <c r="P2" s="32" t="n">
        <v>46.15</v>
      </c>
      <c r="Q2" s="32" t="n">
        <v>1017.67</v>
      </c>
      <c r="R2" s="31" t="inlineStr">
        <is>
          <t>Volume Spike &amp; Near 52W High Breakout</t>
        </is>
      </c>
      <c r="S2" s="31" t="inlineStr">
        <is>
          <t>Nifty Auto</t>
        </is>
      </c>
      <c r="T2" s="32" t="n">
        <v>14.81</v>
      </c>
      <c r="U2" s="32" t="n">
        <v>78.81</v>
      </c>
      <c r="V2" s="32" t="n">
        <v>55.74</v>
      </c>
      <c r="W2" s="32" t="n">
        <v>32.07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21</t>
        </is>
      </c>
      <c r="CG2" s="31">
        <f>IF(CF2&gt;20,10,IF(CF2&gt;=10,5,2))</f>
        <v/>
      </c>
    </row>
    <row r="3">
      <c r="A3" s="31">
        <f>IF(B3=0,"",RANK(B3,$B$2:$B$95,0))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VINCOFE</t>
        </is>
      </c>
      <c r="D3" s="31" t="inlineStr">
        <is>
          <t>Vintage Coffee &amp; Beverages Ltd</t>
        </is>
      </c>
      <c r="E3" s="31" t="inlineStr">
        <is>
          <t>consumer discretionary</t>
        </is>
      </c>
      <c r="F3" s="31" t="inlineStr">
        <is>
          <t>FMCG - Coffee</t>
        </is>
      </c>
      <c r="G3" s="31" t="inlineStr">
        <is>
          <t>smallcap</t>
        </is>
      </c>
      <c r="H3" s="32" t="n">
        <v>2550.36</v>
      </c>
      <c r="I3" s="32" t="n">
        <v>174.1</v>
      </c>
      <c r="J3" s="32" t="n">
        <v>-1.64</v>
      </c>
      <c r="K3" s="32" t="n">
        <v>0</v>
      </c>
      <c r="L3" s="31" t="n">
        <v>19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63.08</v>
      </c>
      <c r="P3" s="32" t="n">
        <v>29.4</v>
      </c>
      <c r="Q3" s="32" t="n">
        <v>132.63</v>
      </c>
      <c r="R3" s="31" t="inlineStr">
        <is>
          <t>Near 52W High Breakout</t>
        </is>
      </c>
      <c r="S3" s="31" t="inlineStr">
        <is>
          <t>Nifty 50</t>
        </is>
      </c>
      <c r="T3" s="32" t="n">
        <v>-6.83</v>
      </c>
      <c r="U3" s="32" t="n">
        <v>15.88</v>
      </c>
      <c r="V3" s="32" t="n">
        <v>24.38</v>
      </c>
      <c r="W3" s="32" t="n">
        <v>6.53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20 to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24</t>
        </is>
      </c>
      <c r="CG3" s="31">
        <f>IF(CF3&gt;20,10,IF(CF3&gt;=10,5,2))</f>
        <v/>
      </c>
    </row>
    <row r="4">
      <c r="A4" s="31">
        <f>IF(B4=0,"",RANK(B4,$B$2:$B$95,0))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AVTNPL</t>
        </is>
      </c>
      <c r="D4" s="31" t="inlineStr">
        <is>
          <t>AVT Natural Products Ltd</t>
        </is>
      </c>
      <c r="E4" s="31" t="inlineStr">
        <is>
          <t>fmcg</t>
        </is>
      </c>
      <c r="F4" s="31" t="inlineStr">
        <is>
          <t>Agricultural Processing - Maize</t>
        </is>
      </c>
      <c r="G4" s="31" t="inlineStr">
        <is>
          <t>smallcap</t>
        </is>
      </c>
      <c r="H4" s="32" t="n">
        <v>1379.69</v>
      </c>
      <c r="I4" s="32" t="n">
        <v>90.59999999999999</v>
      </c>
      <c r="J4" s="32" t="n">
        <v>0</v>
      </c>
      <c r="K4" s="32" t="n">
        <v>0</v>
      </c>
      <c r="L4" s="31" t="n">
        <v>36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73.89</v>
      </c>
      <c r="P4" s="32" t="n">
        <v>42.71</v>
      </c>
      <c r="Q4" s="32" t="n">
        <v>72.45</v>
      </c>
      <c r="R4" s="31" t="inlineStr">
        <is>
          <t>Near 52W High Breakout</t>
        </is>
      </c>
      <c r="S4" s="31" t="inlineStr">
        <is>
          <t>Nifty FMCG</t>
        </is>
      </c>
      <c r="T4" s="32" t="n">
        <v>-17.45</v>
      </c>
      <c r="U4" s="32" t="n">
        <v>19.94</v>
      </c>
      <c r="V4" s="32" t="n">
        <v>45.3</v>
      </c>
      <c r="W4" s="32" t="n">
        <v>11.84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24</t>
        </is>
      </c>
      <c r="CG4" s="31">
        <f>IF(CF4&gt;20,10,IF(CF4&gt;=10,5,2))</f>
        <v/>
      </c>
    </row>
    <row r="5">
      <c r="A5" s="31">
        <f>IF(B5=0,"",RANK(B5,$B$2:$B$95,0))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GAYAPROJ</t>
        </is>
      </c>
      <c r="D5" s="31" t="inlineStr">
        <is>
          <t>Gayatri Projects Ltd</t>
        </is>
      </c>
      <c r="E5" s="31" t="inlineStr">
        <is>
          <t>realty</t>
        </is>
      </c>
      <c r="F5" s="31" t="inlineStr">
        <is>
          <t>Construction - Civil/Turnkey</t>
        </is>
      </c>
      <c r="G5" s="31" t="inlineStr">
        <is>
          <t>smallcap</t>
        </is>
      </c>
      <c r="H5" s="32" t="n">
        <v>1209.03</v>
      </c>
      <c r="I5" s="32" t="n">
        <v>26.04</v>
      </c>
      <c r="J5" s="32" t="n">
        <v>5</v>
      </c>
      <c r="K5" s="32" t="n">
        <v>0</v>
      </c>
      <c r="L5" s="31" t="n">
        <v>83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73.05</v>
      </c>
      <c r="P5" s="32" t="n">
        <v>29.33</v>
      </c>
      <c r="Q5" s="32" t="n">
        <v>19.48</v>
      </c>
      <c r="R5" s="31" t="inlineStr">
        <is>
          <t>Volume Spike &amp; Near 52W High Breakout</t>
        </is>
      </c>
      <c r="S5" s="31" t="inlineStr">
        <is>
          <t>Nifty Realty</t>
        </is>
      </c>
      <c r="T5" s="32" t="n">
        <v>-10.74</v>
      </c>
      <c r="U5" s="32" t="n">
        <v>206.24</v>
      </c>
      <c r="V5" s="32" t="n">
        <v>243.08</v>
      </c>
      <c r="W5" s="32" t="n">
        <v>33.72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20 to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32</t>
        </is>
      </c>
      <c r="CG5" s="31">
        <f>IF(CF5&gt;20,10,IF(CF5&gt;=10,5,2))</f>
        <v/>
      </c>
    </row>
    <row r="6">
      <c r="A6" s="31">
        <f>IF(B6=0,"",RANK(B6,$B$2:$B$95,0))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BIRLACABLE</t>
        </is>
      </c>
      <c r="D6" s="31" t="inlineStr">
        <is>
          <t>Birla Cable Ltd</t>
        </is>
      </c>
      <c r="E6" s="31" t="inlineStr">
        <is>
          <t>industrials</t>
        </is>
      </c>
      <c r="F6" s="31" t="inlineStr">
        <is>
          <t>Cables - Telecom</t>
        </is>
      </c>
      <c r="G6" s="31" t="inlineStr">
        <is>
          <t>smallcap</t>
        </is>
      </c>
      <c r="H6" s="32" t="n">
        <v>1180.05</v>
      </c>
      <c r="I6" s="32" t="n">
        <v>393.35</v>
      </c>
      <c r="J6" s="32" t="n">
        <v>4.99</v>
      </c>
      <c r="K6" s="32" t="n">
        <v>0</v>
      </c>
      <c r="L6" s="31" t="n">
        <v>96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80.65000000000001</v>
      </c>
      <c r="P6" s="32" t="n">
        <v>51.15</v>
      </c>
      <c r="Q6" s="32" t="n">
        <v>289.7</v>
      </c>
      <c r="R6" s="31" t="inlineStr">
        <is>
          <t>Volume Spike &amp; Near 52W High Breakout</t>
        </is>
      </c>
      <c r="S6" s="31" t="inlineStr">
        <is>
          <t>Nifty Infra</t>
        </is>
      </c>
      <c r="T6" s="32" t="n">
        <v>0.12</v>
      </c>
      <c r="U6" s="32" t="n">
        <v>130.61</v>
      </c>
      <c r="V6" s="32" t="n">
        <v>130.34</v>
      </c>
      <c r="W6" s="32" t="n">
        <v>60.22</v>
      </c>
      <c r="X6" s="31" t="inlineStr">
        <is>
          <t>Cyclical in an Upturn</t>
        </is>
      </c>
      <c r="Y6" s="31">
        <f>IF(X6="Growing Industry",10,IF(X6="Cyclical in an Upturn",5,0))</f>
        <v/>
      </c>
      <c r="Z6" s="31" t="inlineStr">
        <is>
          <t>Oligopoly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31</t>
        </is>
      </c>
      <c r="CG6" s="31">
        <f>IF(CF6&gt;20,10,IF(CF6&gt;=10,5,2))</f>
        <v/>
      </c>
    </row>
    <row r="7">
      <c r="A7" s="31">
        <f>IF(B7=0,"",RANK(B7,$B$2:$B$95,0))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TBZ</t>
        </is>
      </c>
      <c r="D7" s="31" t="inlineStr">
        <is>
          <t>Tribhovandas Bhimji Zaveri Ltd</t>
        </is>
      </c>
      <c r="E7" s="31" t="inlineStr">
        <is>
          <t>consumer discretionary</t>
        </is>
      </c>
      <c r="F7" s="31" t="inlineStr">
        <is>
          <t>Diamond, Gems &amp; Jewellery</t>
        </is>
      </c>
      <c r="G7" s="31" t="inlineStr">
        <is>
          <t>smallcap</t>
        </is>
      </c>
      <c r="H7" s="32" t="n">
        <v>3512.03</v>
      </c>
      <c r="I7" s="32" t="n">
        <v>526.3</v>
      </c>
      <c r="J7" s="32" t="n">
        <v>5</v>
      </c>
      <c r="K7" s="32" t="n">
        <v>0</v>
      </c>
      <c r="L7" s="31" t="n">
        <v>98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89.81999999999999</v>
      </c>
      <c r="P7" s="32" t="n">
        <v>52.68</v>
      </c>
      <c r="Q7" s="32" t="n">
        <v>392.33</v>
      </c>
      <c r="R7" s="31" t="inlineStr">
        <is>
          <t>Near 52W High Breakout</t>
        </is>
      </c>
      <c r="S7" s="31" t="inlineStr">
        <is>
          <t>Nifty 50</t>
        </is>
      </c>
      <c r="T7" s="32" t="n">
        <v>-6.83</v>
      </c>
      <c r="U7" s="32" t="n">
        <v>183.6</v>
      </c>
      <c r="V7" s="32" t="n">
        <v>204.4</v>
      </c>
      <c r="W7" s="32" t="n">
        <v>76.87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Between 0.7 to 1.2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26</t>
        </is>
      </c>
      <c r="CG7" s="31">
        <f>IF(CF7&gt;20,10,IF(CF7&gt;=10,5,2))</f>
        <v/>
      </c>
    </row>
    <row r="8">
      <c r="A8" s="31">
        <f>IF(B8=0,"",RANK(B8,$B$2:$B$95,0))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RML</t>
        </is>
      </c>
      <c r="D8" s="31" t="inlineStr">
        <is>
          <t>Rane (Madras) Ltd</t>
        </is>
      </c>
      <c r="E8" s="31" t="inlineStr">
        <is>
          <t>auto</t>
        </is>
      </c>
      <c r="F8" s="31" t="inlineStr">
        <is>
          <t>Auto Ancillaries - Gears</t>
        </is>
      </c>
      <c r="G8" s="31" t="inlineStr">
        <is>
          <t>smallcap</t>
        </is>
      </c>
      <c r="H8" s="32" t="n">
        <v>3753.12</v>
      </c>
      <c r="I8" s="32" t="n">
        <v>1358</v>
      </c>
      <c r="J8" s="32" t="n">
        <v>-3.61</v>
      </c>
      <c r="K8" s="32" t="n">
        <v>0</v>
      </c>
      <c r="L8" s="31" t="n">
        <v>80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69.38</v>
      </c>
      <c r="P8" s="32" t="n">
        <v>53.01</v>
      </c>
      <c r="Q8" s="32" t="n">
        <v>1021.69</v>
      </c>
      <c r="R8" s="31" t="inlineStr">
        <is>
          <t>Near 52W High Breakout</t>
        </is>
      </c>
      <c r="S8" s="31" t="inlineStr">
        <is>
          <t>Nifty Auto</t>
        </is>
      </c>
      <c r="T8" s="32" t="n">
        <v>14.81</v>
      </c>
      <c r="U8" s="32" t="n">
        <v>63.33</v>
      </c>
      <c r="V8" s="32" t="n">
        <v>42.26</v>
      </c>
      <c r="W8" s="32" t="n">
        <v>31.5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Between 0.7 to 1.2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23</t>
        </is>
      </c>
      <c r="CG8" s="31">
        <f>IF(CF8&gt;20,10,IF(CF8&gt;=10,5,2))</f>
        <v/>
      </c>
    </row>
    <row r="9">
      <c r="A9" s="31">
        <f>IF(B9=0,"",RANK(B9,$B$2:$B$95,0))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SYRMA</t>
        </is>
      </c>
      <c r="D9" s="31" t="inlineStr">
        <is>
          <t>Syrma SGS Technology Ltd</t>
        </is>
      </c>
      <c r="E9" s="31" t="inlineStr">
        <is>
          <t>consumer discretionary</t>
        </is>
      </c>
      <c r="F9" s="31" t="inlineStr">
        <is>
          <t>Consumer Electronics - EMS</t>
        </is>
      </c>
      <c r="G9" s="31" t="inlineStr">
        <is>
          <t>largecap</t>
        </is>
      </c>
      <c r="H9" s="32" t="n">
        <v>30752.61</v>
      </c>
      <c r="I9" s="32" t="n">
        <v>1594.8</v>
      </c>
      <c r="J9" s="32" t="n">
        <v>-0.25</v>
      </c>
      <c r="K9" s="32" t="n">
        <v>0</v>
      </c>
      <c r="L9" s="31" t="n">
        <v>69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72.36</v>
      </c>
      <c r="P9" s="32" t="n">
        <v>60.74</v>
      </c>
      <c r="Q9" s="32" t="n">
        <v>1248.01</v>
      </c>
      <c r="R9" s="31" t="inlineStr">
        <is>
          <t>Near 52W High Breakout</t>
        </is>
      </c>
      <c r="S9" s="31" t="inlineStr">
        <is>
          <t>Nifty 50</t>
        </is>
      </c>
      <c r="T9" s="32" t="n">
        <v>-6.83</v>
      </c>
      <c r="U9" s="32" t="n">
        <v>93.11</v>
      </c>
      <c r="V9" s="32" t="n">
        <v>107.28</v>
      </c>
      <c r="W9" s="32" t="n">
        <v>22.75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21</t>
        </is>
      </c>
      <c r="CG9" s="31">
        <f>IF(CF9&gt;20,10,IF(CF9&gt;=10,5,2))</f>
        <v/>
      </c>
    </row>
    <row r="10">
      <c r="A10" s="31">
        <f>IF(B10=0,"",RANK(B10,$B$2:$B$95,0))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4" t="inlineStr">
        <is>
          <t>CONFIPET</t>
        </is>
      </c>
      <c r="D10" s="34" t="inlineStr">
        <is>
          <t>Confidence Petroleum India Ltd</t>
        </is>
      </c>
      <c r="E10" s="31" t="inlineStr">
        <is>
          <t>miscellaneous</t>
        </is>
      </c>
      <c r="F10" s="31" t="inlineStr">
        <is>
          <t>LPG Bottling</t>
        </is>
      </c>
      <c r="G10" s="31" t="inlineStr">
        <is>
          <t>smallcap</t>
        </is>
      </c>
      <c r="H10" s="32" t="n">
        <v>2964.25</v>
      </c>
      <c r="I10" s="32" t="n">
        <v>89.22</v>
      </c>
      <c r="J10" s="32" t="n">
        <v>1.57</v>
      </c>
      <c r="K10" s="32" t="n">
        <v>0</v>
      </c>
      <c r="L10" s="31" t="n">
        <v>80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71.36</v>
      </c>
      <c r="P10" s="32" t="n">
        <v>61.02</v>
      </c>
      <c r="Q10" s="32" t="n">
        <v>62.87</v>
      </c>
      <c r="R10" s="31" t="inlineStr">
        <is>
          <t>Volume Spike &amp; Near 52W High Breakout</t>
        </is>
      </c>
      <c r="S10" s="31" t="inlineStr">
        <is>
          <t>Nifty Energy</t>
        </is>
      </c>
      <c r="T10" s="32" t="n">
        <v>7.62</v>
      </c>
      <c r="U10" s="32" t="n">
        <v>71.28</v>
      </c>
      <c r="V10" s="32" t="n">
        <v>59.16</v>
      </c>
      <c r="W10" s="32" t="n">
        <v>30.72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20</t>
        </is>
      </c>
      <c r="CG10" s="31">
        <f>IF(CF10&gt;20,10,IF(CF10&gt;=10,5,2))</f>
        <v/>
      </c>
    </row>
    <row r="11">
      <c r="A11" s="31">
        <f>IF(B11=0,"",RANK(B11,$B$2:$B$95,0))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4" t="inlineStr">
        <is>
          <t>SUNRAKSHAK</t>
        </is>
      </c>
      <c r="D11" s="34" t="inlineStr">
        <is>
          <t>Sunrakshakk Industries India Ltd</t>
        </is>
      </c>
      <c r="E11" s="31" t="inlineStr">
        <is>
          <t>Consumer Cyclical</t>
        </is>
      </c>
      <c r="F11" s="31" t="inlineStr">
        <is>
          <t>Textiles - Processing/Texturising</t>
        </is>
      </c>
      <c r="G11" s="31" t="inlineStr">
        <is>
          <t>smallcap</t>
        </is>
      </c>
      <c r="H11" s="32" t="n">
        <v>1163.53</v>
      </c>
      <c r="I11" s="32" t="n">
        <v>375.25</v>
      </c>
      <c r="J11" s="32" t="n">
        <v>0.07000000000000001</v>
      </c>
      <c r="K11" s="32" t="n">
        <v>0</v>
      </c>
      <c r="L11" s="31" t="n">
        <v>47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66.45999999999999</v>
      </c>
      <c r="P11" s="32" t="n">
        <v>47.27</v>
      </c>
      <c r="Q11" s="32" t="n">
        <v>301.21</v>
      </c>
      <c r="R11" s="31" t="inlineStr">
        <is>
          <t>Near 52W High Breakout</t>
        </is>
      </c>
      <c r="S11" s="31" t="inlineStr">
        <is>
          <t>Nifty 50</t>
        </is>
      </c>
      <c r="T11" s="32" t="n">
        <v>-6.83</v>
      </c>
      <c r="U11" s="32" t="n">
        <v>70.90000000000001</v>
      </c>
      <c r="V11" s="32" t="n">
        <v>83.43000000000001</v>
      </c>
      <c r="W11" s="32" t="n">
        <v>15.55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B2C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19</t>
        </is>
      </c>
      <c r="CG11" s="31">
        <f>IF(CF11&gt;20,10,IF(CF11&gt;=10,5,2))</f>
        <v/>
      </c>
    </row>
    <row r="12">
      <c r="A12" s="31">
        <f>IF(B12=0,"",RANK(B12,$B$2:$B$95,0))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4" t="inlineStr">
        <is>
          <t>VENKEYS</t>
        </is>
      </c>
      <c r="D12" s="34" t="inlineStr">
        <is>
          <t>Venkys (India) Ltd</t>
        </is>
      </c>
      <c r="E12" s="31" t="inlineStr">
        <is>
          <t>fmcg</t>
        </is>
      </c>
      <c r="F12" s="31" t="inlineStr">
        <is>
          <t>FMCG - Animal/Polutry</t>
        </is>
      </c>
      <c r="G12" s="31" t="inlineStr">
        <is>
          <t>smallcap</t>
        </is>
      </c>
      <c r="H12" s="32" t="n">
        <v>2505.29</v>
      </c>
      <c r="I12" s="32" t="n">
        <v>1778.4</v>
      </c>
      <c r="J12" s="32" t="n">
        <v>4.2</v>
      </c>
      <c r="K12" s="32" t="n">
        <v>0</v>
      </c>
      <c r="L12" s="31" t="n">
        <v>21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68.53</v>
      </c>
      <c r="P12" s="32" t="n">
        <v>41.28</v>
      </c>
      <c r="Q12" s="32" t="n">
        <v>1430</v>
      </c>
      <c r="R12" s="31" t="inlineStr">
        <is>
          <t>Near 52W High Breakout</t>
        </is>
      </c>
      <c r="S12" s="31" t="inlineStr">
        <is>
          <t>Nifty FMCG</t>
        </is>
      </c>
      <c r="T12" s="32" t="n">
        <v>-17.45</v>
      </c>
      <c r="U12" s="32" t="n">
        <v>17.12</v>
      </c>
      <c r="V12" s="32" t="n">
        <v>41.88</v>
      </c>
      <c r="W12" s="32" t="n">
        <v>7.16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24</t>
        </is>
      </c>
      <c r="CG12" s="31">
        <f>IF(CF12&gt;20,10,IF(CF12&gt;=10,5,2))</f>
        <v/>
      </c>
    </row>
    <row r="13">
      <c r="A13" s="31">
        <f>IF(B13=0,"",RANK(B13,$B$2:$B$95,0))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4" t="inlineStr">
        <is>
          <t>AEGISLOG</t>
        </is>
      </c>
      <c r="D13" s="34" t="inlineStr">
        <is>
          <t>Aegis Logistics Ltd</t>
        </is>
      </c>
      <c r="E13" s="31" t="inlineStr">
        <is>
          <t>services</t>
        </is>
      </c>
      <c r="F13" s="31" t="inlineStr">
        <is>
          <t>Logistics</t>
        </is>
      </c>
      <c r="G13" s="31" t="inlineStr">
        <is>
          <t>largecap</t>
        </is>
      </c>
      <c r="H13" s="32" t="n">
        <v>47490.3</v>
      </c>
      <c r="I13" s="32" t="n">
        <v>1353</v>
      </c>
      <c r="J13" s="32" t="n">
        <v>3.47</v>
      </c>
      <c r="K13" s="32" t="n">
        <v>0</v>
      </c>
      <c r="L13" s="31" t="n">
        <v>75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65.13</v>
      </c>
      <c r="P13" s="32" t="n">
        <v>60.84</v>
      </c>
      <c r="Q13" s="32" t="n">
        <v>1024.2</v>
      </c>
      <c r="R13" s="31" t="inlineStr">
        <is>
          <t>Near 52W High Breakout</t>
        </is>
      </c>
      <c r="S13" s="31" t="inlineStr">
        <is>
          <t>Nifty 50</t>
        </is>
      </c>
      <c r="T13" s="32" t="n">
        <v>-6.83</v>
      </c>
      <c r="U13" s="32" t="n">
        <v>93.78</v>
      </c>
      <c r="V13" s="32" t="n">
        <v>107.99</v>
      </c>
      <c r="W13" s="32" t="n">
        <v>26.43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25</t>
        </is>
      </c>
      <c r="CG13" s="31">
        <f>IF(CF13&gt;20,10,IF(CF13&gt;=10,5,2))</f>
        <v/>
      </c>
    </row>
    <row r="14">
      <c r="A14" s="31">
        <f>IF(B14=0,"",RANK(B14,$B$2:$B$95,0))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4" t="inlineStr">
        <is>
          <t>BHAGYANGR</t>
        </is>
      </c>
      <c r="D14" s="34" t="inlineStr">
        <is>
          <t>Bhagyanagar India Ltd</t>
        </is>
      </c>
      <c r="E14" s="31" t="inlineStr">
        <is>
          <t>power &amp; utilities</t>
        </is>
      </c>
      <c r="F14" s="31" t="inlineStr">
        <is>
          <t>Recycling</t>
        </is>
      </c>
      <c r="G14" s="31" t="inlineStr">
        <is>
          <t>smallcap</t>
        </is>
      </c>
      <c r="H14" s="32" t="n">
        <v>1413.55</v>
      </c>
      <c r="I14" s="32" t="n">
        <v>422</v>
      </c>
      <c r="J14" s="32" t="n">
        <v>-2.36</v>
      </c>
      <c r="K14" s="32" t="n">
        <v>0</v>
      </c>
      <c r="L14" s="31" t="n">
        <v>92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68.38</v>
      </c>
      <c r="P14" s="32" t="n">
        <v>66.76000000000001</v>
      </c>
      <c r="Q14" s="32" t="n">
        <v>298.74</v>
      </c>
      <c r="R14" s="31" t="inlineStr">
        <is>
          <t>Volume Spike &amp; Near 52W High Breakout</t>
        </is>
      </c>
      <c r="S14" s="31" t="inlineStr">
        <is>
          <t>Nifty IT</t>
        </is>
      </c>
      <c r="T14" s="32" t="n">
        <v>-19.91</v>
      </c>
      <c r="U14" s="32" t="n">
        <v>352.89</v>
      </c>
      <c r="V14" s="32" t="n">
        <v>465.47</v>
      </c>
      <c r="W14" s="32" t="n">
        <v>47.61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Between 0.7 to 1.2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23</t>
        </is>
      </c>
      <c r="CG14" s="31">
        <f>IF(CF14&gt;20,10,IF(CF14&gt;=10,5,2))</f>
        <v/>
      </c>
    </row>
    <row r="15">
      <c r="A15" s="31">
        <f>IF(B15=0,"",RANK(B15,$B$2:$B$95,0))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ACCENTMIC</t>
        </is>
      </c>
      <c r="D15" s="31" t="inlineStr">
        <is>
          <t>Accent Microcell Ltd</t>
        </is>
      </c>
      <c r="E15" s="31" t="inlineStr">
        <is>
          <t>unknown</t>
        </is>
      </c>
      <c r="F15" s="31" t="inlineStr">
        <is>
          <t>Pharma - Formulators</t>
        </is>
      </c>
      <c r="G15" s="31" t="inlineStr">
        <is>
          <t>smallcap</t>
        </is>
      </c>
      <c r="H15" s="32" t="n">
        <v>1744</v>
      </c>
      <c r="I15" s="32" t="n">
        <v>727</v>
      </c>
      <c r="J15" s="32" t="n">
        <v>2.84</v>
      </c>
      <c r="K15" s="32" t="n">
        <v>0</v>
      </c>
      <c r="L15" s="31" t="n">
        <v>84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86.45</v>
      </c>
      <c r="P15" s="32" t="n">
        <v>65.08</v>
      </c>
      <c r="Q15" s="32" t="n">
        <v>582.54</v>
      </c>
      <c r="R15" s="31" t="inlineStr">
        <is>
          <t>Near 52W High Breakout</t>
        </is>
      </c>
      <c r="S15" s="31" t="inlineStr">
        <is>
          <t>Nifty 50</t>
        </is>
      </c>
      <c r="T15" s="32" t="n">
        <v>-6.83</v>
      </c>
      <c r="U15" s="32" t="n">
        <v>168.92</v>
      </c>
      <c r="V15" s="32" t="n">
        <v>188.64</v>
      </c>
      <c r="W15" s="32" t="n">
        <v>34.4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21</t>
        </is>
      </c>
      <c r="CG15" s="31">
        <f>IF(CF15&gt;20,10,IF(CF15&gt;=10,5,2))</f>
        <v/>
      </c>
    </row>
    <row r="16">
      <c r="A16" s="31">
        <f>IF(B16=0,"",RANK(B16,$B$2:$B$95,0))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4" t="inlineStr">
        <is>
          <t>KINGFA</t>
        </is>
      </c>
      <c r="D16" s="34" t="inlineStr">
        <is>
          <t>Kingfa Science &amp; Technology (India) Ltd</t>
        </is>
      </c>
      <c r="E16" s="31" t="inlineStr">
        <is>
          <t>plastic products</t>
        </is>
      </c>
      <c r="F16" s="31" t="inlineStr">
        <is>
          <t>Plastics - Plastic &amp; Plastic Products</t>
        </is>
      </c>
      <c r="G16" s="31" t="inlineStr">
        <is>
          <t>midcap</t>
        </is>
      </c>
      <c r="H16" s="32" t="n">
        <v>8422.18</v>
      </c>
      <c r="I16" s="32" t="n">
        <v>6215</v>
      </c>
      <c r="J16" s="32" t="n">
        <v>-0.2</v>
      </c>
      <c r="K16" s="32" t="n">
        <v>0</v>
      </c>
      <c r="L16" s="31" t="n">
        <v>55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72.8</v>
      </c>
      <c r="P16" s="32" t="n">
        <v>36.44</v>
      </c>
      <c r="Q16" s="32" t="n">
        <v>5001.23</v>
      </c>
      <c r="R16" s="31" t="inlineStr">
        <is>
          <t>Near 52W High Breakout</t>
        </is>
      </c>
      <c r="S16" s="31" t="inlineStr">
        <is>
          <t>Nifty Infra</t>
        </is>
      </c>
      <c r="T16" s="32" t="n">
        <v>0.12</v>
      </c>
      <c r="U16" s="32" t="n">
        <v>71.55</v>
      </c>
      <c r="V16" s="32" t="n">
        <v>71.34999999999999</v>
      </c>
      <c r="W16" s="32" t="n">
        <v>18.05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21</t>
        </is>
      </c>
      <c r="CG16" s="31">
        <f>IF(CF16&gt;20,10,IF(CF16&gt;=10,5,2))</f>
        <v/>
      </c>
    </row>
    <row r="17">
      <c r="A17" s="31">
        <f>IF(B17=0,"",RANK(B17,$B$2:$B$95,0))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4" t="inlineStr">
        <is>
          <t>RPEL</t>
        </is>
      </c>
      <c r="D17" s="34" t="inlineStr">
        <is>
          <t>Raghav Productivity Enhancers Ltd</t>
        </is>
      </c>
      <c r="E17" s="31" t="inlineStr">
        <is>
          <t>building materials</t>
        </is>
      </c>
      <c r="F17" s="31" t="inlineStr">
        <is>
          <t>Steel Products</t>
        </is>
      </c>
      <c r="G17" s="31" t="inlineStr">
        <is>
          <t>midcap</t>
        </is>
      </c>
      <c r="H17" s="32" t="n">
        <v>8477.190000000001</v>
      </c>
      <c r="I17" s="32" t="n">
        <v>1846</v>
      </c>
      <c r="J17" s="32" t="n">
        <v>5.88</v>
      </c>
      <c r="K17" s="32" t="n">
        <v>0</v>
      </c>
      <c r="L17" s="31" t="n">
        <v>97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85.26000000000001</v>
      </c>
      <c r="P17" s="32" t="n">
        <v>63.86</v>
      </c>
      <c r="Q17" s="32" t="n">
        <v>1419.63</v>
      </c>
      <c r="R17" s="31" t="inlineStr">
        <is>
          <t>Volume Spike &amp; Near 52W High Breakout</t>
        </is>
      </c>
      <c r="S17" s="31" t="inlineStr">
        <is>
          <t>Nifty Infra</t>
        </is>
      </c>
      <c r="T17" s="32" t="n">
        <v>0.12</v>
      </c>
      <c r="U17" s="32" t="n">
        <v>179.45</v>
      </c>
      <c r="V17" s="32" t="n">
        <v>179.12</v>
      </c>
      <c r="W17" s="32" t="n">
        <v>69.31999999999999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21</t>
        </is>
      </c>
      <c r="CG17" s="31">
        <f>IF(CF17&gt;20,10,IF(CF17&gt;=10,5,2))</f>
        <v/>
      </c>
    </row>
    <row r="18">
      <c r="A18" s="31">
        <f>IF(B18=0,"",RANK(B18,$B$2:$B$95,0))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MENONBE</t>
        </is>
      </c>
      <c r="D18" s="31" t="inlineStr">
        <is>
          <t>Menon Bearings Ltd</t>
        </is>
      </c>
      <c r="E18" s="31" t="inlineStr">
        <is>
          <t>auto</t>
        </is>
      </c>
      <c r="F18" s="31" t="inlineStr">
        <is>
          <t>Auto Ancillaries - Bearings</t>
        </is>
      </c>
      <c r="G18" s="31" t="inlineStr">
        <is>
          <t>smallcap</t>
        </is>
      </c>
      <c r="H18" s="32" t="n">
        <v>1686.8</v>
      </c>
      <c r="I18" s="32" t="n">
        <v>301</v>
      </c>
      <c r="J18" s="32" t="n">
        <v>-0.22</v>
      </c>
      <c r="K18" s="32" t="n">
        <v>0</v>
      </c>
      <c r="L18" s="31" t="n">
        <v>95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76.03</v>
      </c>
      <c r="P18" s="32" t="n">
        <v>63.59</v>
      </c>
      <c r="Q18" s="32" t="n">
        <v>240.7</v>
      </c>
      <c r="R18" s="31" t="inlineStr">
        <is>
          <t>Earnings / Momentum Support</t>
        </is>
      </c>
      <c r="S18" s="31" t="inlineStr">
        <is>
          <t>Nifty Auto</t>
        </is>
      </c>
      <c r="T18" s="32" t="n">
        <v>14.81</v>
      </c>
      <c r="U18" s="32" t="n">
        <v>134.08</v>
      </c>
      <c r="V18" s="32" t="n">
        <v>103.88</v>
      </c>
      <c r="W18" s="32" t="n">
        <v>59.62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20</t>
        </is>
      </c>
      <c r="CG18" s="31">
        <f>IF(CF18&gt;20,10,IF(CF18&gt;=10,5,2))</f>
        <v/>
      </c>
    </row>
    <row r="19">
      <c r="A19" s="31">
        <f>IF(B19=0,"",RANK(B19,$B$2:$B$95,0))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4" t="inlineStr">
        <is>
          <t>WABAG</t>
        </is>
      </c>
      <c r="D19" s="34" t="inlineStr">
        <is>
          <t>Va Tech Wabag Ltd</t>
        </is>
      </c>
      <c r="E19" s="31" t="inlineStr">
        <is>
          <t>realty</t>
        </is>
      </c>
      <c r="F19" s="31" t="inlineStr">
        <is>
          <t>Water Treatment</t>
        </is>
      </c>
      <c r="G19" s="31" t="inlineStr">
        <is>
          <t>midcap</t>
        </is>
      </c>
      <c r="H19" s="32" t="n">
        <v>14260.58</v>
      </c>
      <c r="I19" s="32" t="n">
        <v>2282</v>
      </c>
      <c r="J19" s="32" t="n">
        <v>3.17</v>
      </c>
      <c r="K19" s="32" t="n">
        <v>0</v>
      </c>
      <c r="L19" s="31" t="n">
        <v>66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69.42</v>
      </c>
      <c r="P19" s="32" t="n">
        <v>37.23</v>
      </c>
      <c r="Q19" s="32" t="n">
        <v>1755</v>
      </c>
      <c r="R19" s="31" t="inlineStr">
        <is>
          <t>Volume Spike &amp; Near 52W High Breakout</t>
        </is>
      </c>
      <c r="S19" s="31" t="inlineStr">
        <is>
          <t>Nifty Realty</t>
        </is>
      </c>
      <c r="T19" s="32" t="n">
        <v>-10.74</v>
      </c>
      <c r="U19" s="32" t="n">
        <v>40.96</v>
      </c>
      <c r="V19" s="32" t="n">
        <v>57.92</v>
      </c>
      <c r="W19" s="32" t="n">
        <v>21.77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20</t>
        </is>
      </c>
      <c r="CG19" s="31">
        <f>IF(CF19&gt;20,10,IF(CF19&gt;=10,5,2))</f>
        <v/>
      </c>
    </row>
    <row r="20">
      <c r="A20" s="31">
        <f>IF(B20=0,"",RANK(B20,$B$2:$B$95,0))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SSWL</t>
        </is>
      </c>
      <c r="D20" s="31" t="inlineStr">
        <is>
          <t>Steel Strips Wheels Ltd</t>
        </is>
      </c>
      <c r="E20" s="31" t="inlineStr">
        <is>
          <t>auto</t>
        </is>
      </c>
      <c r="F20" s="31" t="inlineStr">
        <is>
          <t>Auto Ancillaries - Wheels</t>
        </is>
      </c>
      <c r="G20" s="31" t="inlineStr">
        <is>
          <t>midcap</t>
        </is>
      </c>
      <c r="H20" s="32" t="n">
        <v>5832.96</v>
      </c>
      <c r="I20" s="32" t="n">
        <v>370.9</v>
      </c>
      <c r="J20" s="32" t="n">
        <v>-0.72</v>
      </c>
      <c r="K20" s="32" t="n">
        <v>0</v>
      </c>
      <c r="L20" s="31" t="n">
        <v>78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79.26000000000001</v>
      </c>
      <c r="P20" s="32" t="n">
        <v>41.97</v>
      </c>
      <c r="Q20" s="32" t="n">
        <v>295.72</v>
      </c>
      <c r="R20" s="31" t="inlineStr">
        <is>
          <t>Near 52W High Breakout</t>
        </is>
      </c>
      <c r="S20" s="31" t="inlineStr">
        <is>
          <t>Nifty Auto</t>
        </is>
      </c>
      <c r="T20" s="32" t="n">
        <v>14.81</v>
      </c>
      <c r="U20" s="32" t="n">
        <v>54.76</v>
      </c>
      <c r="V20" s="32" t="n">
        <v>34.79</v>
      </c>
      <c r="W20" s="32" t="n">
        <v>29.16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19</t>
        </is>
      </c>
      <c r="CG20" s="31">
        <f>IF(CF20&gt;20,10,IF(CF20&gt;=10,5,2))</f>
        <v/>
      </c>
    </row>
    <row r="21">
      <c r="A21" s="31">
        <f>IF(B21=0,"",RANK(B21,$B$2:$B$95,0))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ASMTEC</t>
        </is>
      </c>
      <c r="D21" s="31" t="inlineStr">
        <is>
          <t>ASM Technologies Ltd</t>
        </is>
      </c>
      <c r="E21" s="31" t="inlineStr">
        <is>
          <t>Technology</t>
        </is>
      </c>
      <c r="F21" s="31" t="inlineStr">
        <is>
          <t>IT - Software</t>
        </is>
      </c>
      <c r="G21" s="31" t="inlineStr">
        <is>
          <t>midcap</t>
        </is>
      </c>
      <c r="H21" s="32" t="n">
        <v>10064.8</v>
      </c>
      <c r="I21" s="32" t="n">
        <v>6900</v>
      </c>
      <c r="J21" s="32" t="n">
        <v>-1.33</v>
      </c>
      <c r="K21" s="32" t="n">
        <v>0</v>
      </c>
      <c r="L21" s="31" t="n">
        <v>89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83.26000000000001</v>
      </c>
      <c r="P21" s="32" t="n">
        <v>50.84</v>
      </c>
      <c r="Q21" s="32" t="n">
        <v>5196.2</v>
      </c>
      <c r="R21" s="31" t="inlineStr">
        <is>
          <t>Volume Spike &amp; Near 52W High Breakout</t>
        </is>
      </c>
      <c r="S21" s="31" t="inlineStr">
        <is>
          <t>Nifty 50</t>
        </is>
      </c>
      <c r="T21" s="32" t="n">
        <v>-6.83</v>
      </c>
      <c r="U21" s="32" t="n">
        <v>58.51</v>
      </c>
      <c r="V21" s="32" t="n">
        <v>70.13</v>
      </c>
      <c r="W21" s="32" t="n">
        <v>40.16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Between 1.5 to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25</t>
        </is>
      </c>
      <c r="CG21" s="31">
        <f>IF(CF21&gt;20,10,IF(CF21&gt;=10,5,2))</f>
        <v/>
      </c>
    </row>
    <row r="22">
      <c r="A22" s="31">
        <f>IF(B22=0,"",RANK(B22,$B$2:$B$95,0))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4" t="inlineStr">
        <is>
          <t>GRANULES</t>
        </is>
      </c>
      <c r="D22" s="34" t="inlineStr">
        <is>
          <t>Granules India Ltd</t>
        </is>
      </c>
      <c r="E22" s="31" t="inlineStr">
        <is>
          <t>healthcare</t>
        </is>
      </c>
      <c r="F22" s="31" t="inlineStr">
        <is>
          <t>Pharma - API &amp; CRAMS</t>
        </is>
      </c>
      <c r="G22" s="31" t="inlineStr">
        <is>
          <t>largecap</t>
        </is>
      </c>
      <c r="H22" s="32" t="n">
        <v>22643.68</v>
      </c>
      <c r="I22" s="32" t="n">
        <v>913.8</v>
      </c>
      <c r="J22" s="32" t="n">
        <v>1.62</v>
      </c>
      <c r="K22" s="32" t="n">
        <v>0</v>
      </c>
      <c r="L22" s="31" t="n">
        <v>49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69.90000000000001</v>
      </c>
      <c r="P22" s="32" t="n">
        <v>39.76</v>
      </c>
      <c r="Q22" s="32" t="n">
        <v>756.1900000000001</v>
      </c>
      <c r="R22" s="31" t="inlineStr">
        <is>
          <t>Volume Spike &amp; Near 52W High Breakout</t>
        </is>
      </c>
      <c r="S22" s="31" t="inlineStr">
        <is>
          <t>Nifty Pharma</t>
        </is>
      </c>
      <c r="T22" s="32" t="n">
        <v>18.76</v>
      </c>
      <c r="U22" s="32" t="n">
        <v>70.52</v>
      </c>
      <c r="V22" s="32" t="n">
        <v>43.59</v>
      </c>
      <c r="W22" s="32" t="n">
        <v>15.89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23</t>
        </is>
      </c>
      <c r="CG22" s="31">
        <f>IF(CF22&gt;20,10,IF(CF22&gt;=10,5,2))</f>
        <v/>
      </c>
    </row>
    <row r="23">
      <c r="A23" s="31">
        <f>IF(B23=0,"",RANK(B23,$B$2:$B$95,0))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INDSWFTLAB</t>
        </is>
      </c>
      <c r="D23" s="31" t="inlineStr">
        <is>
          <t>Ind-Swift Laboratories Ltd</t>
        </is>
      </c>
      <c r="E23" s="31" t="inlineStr">
        <is>
          <t>healthcare</t>
        </is>
      </c>
      <c r="F23" s="31" t="inlineStr">
        <is>
          <t>Pharma - API</t>
        </is>
      </c>
      <c r="G23" s="31" t="inlineStr">
        <is>
          <t>smallcap</t>
        </is>
      </c>
      <c r="H23" s="32" t="n">
        <v>3382.8</v>
      </c>
      <c r="I23" s="32" t="n">
        <v>389</v>
      </c>
      <c r="J23" s="32" t="n">
        <v>3.05</v>
      </c>
      <c r="K23" s="32" t="n">
        <v>0</v>
      </c>
      <c r="L23" s="31" t="n">
        <v>97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88.06999999999999</v>
      </c>
      <c r="P23" s="32" t="n">
        <v>74.59999999999999</v>
      </c>
      <c r="Q23" s="32" t="n">
        <v>292.35</v>
      </c>
      <c r="R23" s="31" t="inlineStr">
        <is>
          <t>Near 52W High Breakout</t>
        </is>
      </c>
      <c r="S23" s="31" t="inlineStr">
        <is>
          <t>Nifty Pharma</t>
        </is>
      </c>
      <c r="T23" s="32" t="n">
        <v>18.76</v>
      </c>
      <c r="U23" s="32" t="n">
        <v>264.67</v>
      </c>
      <c r="V23" s="32" t="n">
        <v>207.07</v>
      </c>
      <c r="W23" s="32" t="n">
        <v>64.87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21</t>
        </is>
      </c>
      <c r="CG23" s="31">
        <f>IF(CF23&gt;20,10,IF(CF23&gt;=10,5,2))</f>
        <v/>
      </c>
    </row>
    <row r="24">
      <c r="A24" s="31">
        <f>IF(B24=0,"",RANK(B24,$B$2:$B$95,0))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LENSKART</t>
        </is>
      </c>
      <c r="D24" s="31" t="inlineStr">
        <is>
          <t>Lenskart Solutions Ltd</t>
        </is>
      </c>
      <c r="E24" s="31" t="inlineStr">
        <is>
          <t>Healthcare</t>
        </is>
      </c>
      <c r="F24" s="31" t="inlineStr">
        <is>
          <t>New age - Platform - E-Retail</t>
        </is>
      </c>
      <c r="G24" s="31" t="inlineStr">
        <is>
          <t>largecap</t>
        </is>
      </c>
      <c r="H24" s="32" t="n">
        <v>118603.29</v>
      </c>
      <c r="I24" s="32" t="n">
        <v>681.9</v>
      </c>
      <c r="J24" s="32" t="n">
        <v>-1.64</v>
      </c>
      <c r="K24" s="32" t="n">
        <v>0</v>
      </c>
      <c r="L24" s="31" t="n">
        <v>51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73.25</v>
      </c>
      <c r="P24" s="32" t="n">
        <v>47.44</v>
      </c>
      <c r="Q24" s="32" t="n">
        <v>559.86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16.26</v>
      </c>
      <c r="U24" s="32" t="n">
        <v>66.67</v>
      </c>
      <c r="V24" s="32" t="n">
        <v>43.35</v>
      </c>
      <c r="W24" s="32" t="n">
        <v>16.93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B2C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20</t>
        </is>
      </c>
      <c r="CG24" s="31">
        <f>IF(CF24&gt;20,10,IF(CF24&gt;=10,5,2))</f>
        <v/>
      </c>
    </row>
    <row r="25">
      <c r="A25" s="31">
        <f>IF(B25=0,"",RANK(B25,$B$2:$B$95,0))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MODISONLTD</t>
        </is>
      </c>
      <c r="D25" s="31" t="inlineStr">
        <is>
          <t>Modison Ltd</t>
        </is>
      </c>
      <c r="E25" s="31" t="inlineStr">
        <is>
          <t>industrials</t>
        </is>
      </c>
      <c r="F25" s="31" t="inlineStr">
        <is>
          <t>Capital Goods - Electric General</t>
        </is>
      </c>
      <c r="G25" s="31" t="inlineStr">
        <is>
          <t>smallcap</t>
        </is>
      </c>
      <c r="H25" s="32" t="n">
        <v>1636.78</v>
      </c>
      <c r="I25" s="32" t="n">
        <v>504.4</v>
      </c>
      <c r="J25" s="32" t="n">
        <v>-2.02</v>
      </c>
      <c r="K25" s="32" t="n">
        <v>0</v>
      </c>
      <c r="L25" s="31" t="n">
        <v>94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82.45999999999999</v>
      </c>
      <c r="P25" s="32" t="n">
        <v>59.16</v>
      </c>
      <c r="Q25" s="32" t="n">
        <v>367.73</v>
      </c>
      <c r="R25" s="31" t="inlineStr">
        <is>
          <t>Near 52W High Breakout</t>
        </is>
      </c>
      <c r="S25" s="31" t="inlineStr">
        <is>
          <t>Nifty 50</t>
        </is>
      </c>
      <c r="T25" s="32" t="n">
        <v>-6.83</v>
      </c>
      <c r="U25" s="32" t="n">
        <v>220.81</v>
      </c>
      <c r="V25" s="32" t="n">
        <v>244.34</v>
      </c>
      <c r="W25" s="32" t="n">
        <v>52.88</v>
      </c>
      <c r="X25" s="31" t="inlineStr">
        <is>
          <t>Cyclical in an Upturn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26</t>
        </is>
      </c>
      <c r="CG25" s="31">
        <f>IF(CF25&gt;20,10,IF(CF25&gt;=10,5,2))</f>
        <v/>
      </c>
    </row>
    <row r="26">
      <c r="A26" s="31">
        <f>IF(B26=0,"",RANK(B26,$B$2:$B$95,0))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4" t="inlineStr">
        <is>
          <t>LOTUSDEV</t>
        </is>
      </c>
      <c r="D26" s="34" t="inlineStr">
        <is>
          <t>Sri Lotus Developers &amp; Realty Ltd</t>
        </is>
      </c>
      <c r="E26" s="31" t="inlineStr">
        <is>
          <t>realty</t>
        </is>
      </c>
      <c r="F26" s="31" t="inlineStr">
        <is>
          <t>Construction - Factories/Offices/Commercial</t>
        </is>
      </c>
      <c r="G26" s="31" t="inlineStr">
        <is>
          <t>midcap</t>
        </is>
      </c>
      <c r="H26" s="32" t="n">
        <v>10238.76</v>
      </c>
      <c r="I26" s="32" t="n">
        <v>209.5</v>
      </c>
      <c r="J26" s="32" t="n">
        <v>0.78</v>
      </c>
      <c r="K26" s="32" t="n">
        <v>0</v>
      </c>
      <c r="L26" s="31" t="n">
        <v>39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65.42</v>
      </c>
      <c r="P26" s="32" t="n">
        <v>21.78</v>
      </c>
      <c r="Q26" s="32" t="n">
        <v>157.2</v>
      </c>
      <c r="R26" s="31" t="inlineStr">
        <is>
          <t>Near 52W High Breakout</t>
        </is>
      </c>
      <c r="S26" s="31" t="inlineStr">
        <is>
          <t>Nifty Realty</t>
        </is>
      </c>
      <c r="T26" s="32" t="n">
        <v>-2.93</v>
      </c>
      <c r="U26" s="32" t="n">
        <v>-0.09</v>
      </c>
      <c r="V26" s="32" t="n">
        <v>2.93</v>
      </c>
      <c r="W26" s="32" t="n">
        <v>12.37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25</t>
        </is>
      </c>
      <c r="CG26" s="31">
        <f>IF(CF26&gt;20,10,IF(CF26&gt;=10,5,2))</f>
        <v/>
      </c>
    </row>
    <row r="27">
      <c r="A27" s="31">
        <f>IF(B27=0,"",RANK(B27,$B$2:$B$95,0))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PCJEWELLER</t>
        </is>
      </c>
      <c r="D27" s="31" t="inlineStr">
        <is>
          <t>PC Jeweller Ltd</t>
        </is>
      </c>
      <c r="E27" s="31" t="inlineStr">
        <is>
          <t>consumer discretionary</t>
        </is>
      </c>
      <c r="F27" s="31" t="inlineStr">
        <is>
          <t>Diamond, Gems &amp; Jewellery</t>
        </is>
      </c>
      <c r="G27" s="31" t="inlineStr">
        <is>
          <t>midcap</t>
        </is>
      </c>
      <c r="H27" s="32" t="n">
        <v>13399.43</v>
      </c>
      <c r="I27" s="32" t="n">
        <v>13.74</v>
      </c>
      <c r="J27" s="32" t="n">
        <v>-0.65</v>
      </c>
      <c r="K27" s="32" t="n">
        <v>0</v>
      </c>
      <c r="L27" s="31" t="n">
        <v>46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72.79000000000001</v>
      </c>
      <c r="P27" s="32" t="n">
        <v>22.76</v>
      </c>
      <c r="Q27" s="32" t="n">
        <v>10</v>
      </c>
      <c r="R27" s="31" t="inlineStr">
        <is>
          <t>Near 52W High Breakout</t>
        </is>
      </c>
      <c r="S27" s="31" t="inlineStr">
        <is>
          <t>Nifty 50</t>
        </is>
      </c>
      <c r="T27" s="32" t="n">
        <v>-6.83</v>
      </c>
      <c r="U27" s="32" t="n">
        <v>4.34</v>
      </c>
      <c r="V27" s="32" t="n">
        <v>11.99</v>
      </c>
      <c r="W27" s="32" t="n">
        <v>14.6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24</t>
        </is>
      </c>
      <c r="CG27" s="31">
        <f>IF(CF27&gt;20,10,IF(CF27&gt;=10,5,2))</f>
        <v/>
      </c>
    </row>
    <row r="28">
      <c r="A28" s="31">
        <f>IF(B28=0,"",RANK(B28,$B$2:$B$95,0))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KABRAEXTRU</t>
        </is>
      </c>
      <c r="D28" s="31" t="inlineStr">
        <is>
          <t>Kabra Extrusion Technik Ltd</t>
        </is>
      </c>
      <c r="E28" s="31" t="inlineStr">
        <is>
          <t>industrials</t>
        </is>
      </c>
      <c r="F28" s="31" t="inlineStr">
        <is>
          <t>Capital Goods - Engineering Heavy</t>
        </is>
      </c>
      <c r="G28" s="31" t="inlineStr">
        <is>
          <t>smallcap</t>
        </is>
      </c>
      <c r="H28" s="32" t="n">
        <v>2560.01</v>
      </c>
      <c r="I28" s="32" t="n">
        <v>732</v>
      </c>
      <c r="J28" s="32" t="n">
        <v>3.46</v>
      </c>
      <c r="K28" s="32" t="n">
        <v>0</v>
      </c>
      <c r="L28" s="31" t="n">
        <v>98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88.63</v>
      </c>
      <c r="P28" s="32" t="n">
        <v>55.74</v>
      </c>
      <c r="Q28" s="32" t="n">
        <v>563.88</v>
      </c>
      <c r="R28" s="31" t="inlineStr">
        <is>
          <t>Near 52W High Breakout</t>
        </is>
      </c>
      <c r="S28" s="31" t="inlineStr">
        <is>
          <t>Nifty Infra</t>
        </is>
      </c>
      <c r="T28" s="32" t="n">
        <v>0.12</v>
      </c>
      <c r="U28" s="32" t="n">
        <v>148.68</v>
      </c>
      <c r="V28" s="32" t="n">
        <v>148.38</v>
      </c>
      <c r="W28" s="32" t="n">
        <v>77.09999999999999</v>
      </c>
      <c r="X28" s="31" t="inlineStr">
        <is>
          <t>Cyclical in an Upturn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22</t>
        </is>
      </c>
      <c r="CG28" s="31">
        <f>IF(CF28&gt;20,10,IF(CF28&gt;=10,5,2))</f>
        <v/>
      </c>
    </row>
    <row r="29">
      <c r="A29" s="31">
        <f>IF(B29=0,"",RANK(B29,$B$2:$B$95,0))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4" t="inlineStr">
        <is>
          <t>TAALTECH</t>
        </is>
      </c>
      <c r="D29" s="34" t="inlineStr">
        <is>
          <t>TAAL Tech Ltd</t>
        </is>
      </c>
      <c r="E29" s="31" t="inlineStr">
        <is>
          <t>Industrials</t>
        </is>
      </c>
      <c r="F29" s="31" t="inlineStr">
        <is>
          <t>Air Transport Service</t>
        </is>
      </c>
      <c r="G29" s="31" t="inlineStr">
        <is>
          <t>smallcap</t>
        </is>
      </c>
      <c r="H29" s="32" t="n">
        <v>1682.82</v>
      </c>
      <c r="I29" s="32" t="n">
        <v>5400</v>
      </c>
      <c r="J29" s="32" t="n">
        <v>4.08</v>
      </c>
      <c r="K29" s="32" t="n">
        <v>0</v>
      </c>
      <c r="L29" s="31" t="n">
        <v>75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77.09</v>
      </c>
      <c r="P29" s="32" t="n">
        <v>52.72</v>
      </c>
      <c r="Q29" s="32" t="n">
        <v>4094.61</v>
      </c>
      <c r="R29" s="31" t="inlineStr">
        <is>
          <t>Volume Spike &amp; Near 52W High Breakout</t>
        </is>
      </c>
      <c r="S29" s="31" t="inlineStr">
        <is>
          <t>Nifty 50</t>
        </is>
      </c>
      <c r="T29" s="32" t="n">
        <v>-6.83</v>
      </c>
      <c r="U29" s="32" t="n">
        <v>77.83</v>
      </c>
      <c r="V29" s="32" t="n">
        <v>90.87</v>
      </c>
      <c r="W29" s="32" t="n">
        <v>26.54</v>
      </c>
      <c r="X29" s="31" t="inlineStr">
        <is>
          <t>Cyclical in an Upturn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22</t>
        </is>
      </c>
      <c r="CG29" s="31">
        <f>IF(CF29&gt;20,10,IF(CF29&gt;=10,5,2))</f>
        <v/>
      </c>
    </row>
    <row r="30">
      <c r="A30" s="31">
        <f>IF(B30=0,"",RANK(B30,$B$2:$B$95,0))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UNIPARTS</t>
        </is>
      </c>
      <c r="D30" s="31" t="inlineStr">
        <is>
          <t>Uniparts India Ltd</t>
        </is>
      </c>
      <c r="E30" s="31" t="inlineStr">
        <is>
          <t>industrials</t>
        </is>
      </c>
      <c r="F30" s="31" t="inlineStr">
        <is>
          <t>Castings, Forgings &amp; Fastners</t>
        </is>
      </c>
      <c r="G30" s="31" t="inlineStr">
        <is>
          <t>smallcap</t>
        </is>
      </c>
      <c r="H30" s="32" t="n">
        <v>4073.52</v>
      </c>
      <c r="I30" s="32" t="n">
        <v>902</v>
      </c>
      <c r="J30" s="32" t="n">
        <v>0.91</v>
      </c>
      <c r="K30" s="32" t="n">
        <v>0</v>
      </c>
      <c r="L30" s="31" t="n">
        <v>77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83.61</v>
      </c>
      <c r="P30" s="32" t="n">
        <v>69.69</v>
      </c>
      <c r="Q30" s="32" t="n">
        <v>730.8200000000001</v>
      </c>
      <c r="R30" s="31" t="inlineStr">
        <is>
          <t>Near 52W High Breakout</t>
        </is>
      </c>
      <c r="S30" s="31" t="inlineStr">
        <is>
          <t>Nifty 50</t>
        </is>
      </c>
      <c r="T30" s="32" t="n">
        <v>-6.83</v>
      </c>
      <c r="U30" s="32" t="n">
        <v>133.29</v>
      </c>
      <c r="V30" s="32" t="n">
        <v>150.4</v>
      </c>
      <c r="W30" s="32" t="n">
        <v>28.05</v>
      </c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22</t>
        </is>
      </c>
      <c r="CG30" s="31">
        <f>IF(CF30&gt;20,10,IF(CF30&gt;=10,5,2))</f>
        <v/>
      </c>
    </row>
    <row r="31">
      <c r="A31" s="31">
        <f>IF(B31=0,"",RANK(B31,$B$2:$B$95,0))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4" t="inlineStr">
        <is>
          <t>SOLARINDS</t>
        </is>
      </c>
      <c r="D31" s="34" t="inlineStr">
        <is>
          <t>Solar Industries India Ltd</t>
        </is>
      </c>
      <c r="E31" s="31" t="inlineStr">
        <is>
          <t>aerospace &amp; defence</t>
        </is>
      </c>
      <c r="F31" s="31" t="inlineStr">
        <is>
          <t>Industrial Explosives</t>
        </is>
      </c>
      <c r="G31" s="31" t="inlineStr">
        <is>
          <t>largecap</t>
        </is>
      </c>
      <c r="H31" s="32" t="n">
        <v>201702.33</v>
      </c>
      <c r="I31" s="32" t="n">
        <v>22290</v>
      </c>
      <c r="J31" s="32" t="n">
        <v>-0.36</v>
      </c>
      <c r="K31" s="32" t="n">
        <v>0</v>
      </c>
      <c r="L31" s="31" t="n">
        <v>49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78.73</v>
      </c>
      <c r="P31" s="32" t="n">
        <v>40.15</v>
      </c>
      <c r="Q31" s="32" t="n">
        <v>18547.95</v>
      </c>
      <c r="R31" s="31" t="inlineStr">
        <is>
          <t>Near 52W High Breakout</t>
        </is>
      </c>
      <c r="S31" s="31" t="inlineStr">
        <is>
          <t>Nifty 50</t>
        </is>
      </c>
      <c r="T31" s="32" t="n">
        <v>-6.83</v>
      </c>
      <c r="U31" s="32" t="n">
        <v>54.85</v>
      </c>
      <c r="V31" s="32" t="n">
        <v>66.20999999999999</v>
      </c>
      <c r="W31" s="32" t="n">
        <v>16.35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20</t>
        </is>
      </c>
      <c r="CG31" s="31">
        <f>IF(CF31&gt;20,10,IF(CF31&gt;=10,5,2))</f>
        <v/>
      </c>
    </row>
    <row r="32">
      <c r="A32" s="31">
        <f>IF(B32=0,"",RANK(B32,$B$2:$B$95,0))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4" t="inlineStr">
        <is>
          <t>TDPOWERSYS</t>
        </is>
      </c>
      <c r="D32" s="34" t="inlineStr">
        <is>
          <t>TD Power Systems Ltd</t>
        </is>
      </c>
      <c r="E32" s="31" t="inlineStr">
        <is>
          <t>Industrials</t>
        </is>
      </c>
      <c r="F32" s="31" t="inlineStr">
        <is>
          <t>Capital Goods - Gensets/Turbines</t>
        </is>
      </c>
      <c r="G32" s="31" t="inlineStr">
        <is>
          <t>largecap</t>
        </is>
      </c>
      <c r="H32" s="32" t="n">
        <v>25082.47</v>
      </c>
      <c r="I32" s="32" t="n">
        <v>802.75</v>
      </c>
      <c r="J32" s="32" t="n">
        <v>5.24</v>
      </c>
      <c r="K32" s="32" t="n">
        <v>0</v>
      </c>
      <c r="L32" s="31" t="n">
        <v>81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73.29000000000001</v>
      </c>
      <c r="P32" s="32" t="n">
        <v>21.6</v>
      </c>
      <c r="Q32" s="32" t="n">
        <v>592.2</v>
      </c>
      <c r="R32" s="31" t="inlineStr">
        <is>
          <t>Near 52W High Breakout</t>
        </is>
      </c>
      <c r="S32" s="31" t="inlineStr">
        <is>
          <t>Nifty 50</t>
        </is>
      </c>
      <c r="T32" s="32" t="n">
        <v>-6.83</v>
      </c>
      <c r="U32" s="32" t="n">
        <v>192.46</v>
      </c>
      <c r="V32" s="32" t="n">
        <v>213.9</v>
      </c>
      <c r="W32" s="32" t="n">
        <v>32.26</v>
      </c>
      <c r="X32" s="31" t="inlineStr">
        <is>
          <t>Cyclical in an Upturn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19</t>
        </is>
      </c>
      <c r="CG32" s="31">
        <f>IF(CF32&gt;20,10,IF(CF32&gt;=10,5,2))</f>
        <v/>
      </c>
    </row>
    <row r="33">
      <c r="A33" s="31">
        <f>IF(B33=0,"",RANK(B33,$B$2:$B$95,0))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TIMEX</t>
        </is>
      </c>
      <c r="D33" s="31" t="inlineStr">
        <is>
          <t>Timex Group India Ltd</t>
        </is>
      </c>
      <c r="E33" s="31" t="inlineStr">
        <is>
          <t>Consumer Cyclical</t>
        </is>
      </c>
      <c r="F33" s="31" t="inlineStr">
        <is>
          <t>Watches</t>
        </is>
      </c>
      <c r="G33" s="31" t="inlineStr">
        <is>
          <t>midcap</t>
        </is>
      </c>
      <c r="H33" s="32" t="n">
        <v>6358.84</v>
      </c>
      <c r="I33" s="32" t="n">
        <v>629.9</v>
      </c>
      <c r="J33" s="32" t="n">
        <v>0.51</v>
      </c>
      <c r="K33" s="32" t="n">
        <v>0</v>
      </c>
      <c r="L33" s="31" t="n">
        <v>71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66.95999999999999</v>
      </c>
      <c r="P33" s="32" t="n">
        <v>61.07</v>
      </c>
      <c r="Q33" s="32" t="n">
        <v>508.54</v>
      </c>
      <c r="R33" s="31" t="inlineStr">
        <is>
          <t>Earnings / Momentum Support</t>
        </is>
      </c>
      <c r="S33" s="31" t="inlineStr">
        <is>
          <t>Nifty 50</t>
        </is>
      </c>
      <c r="T33" s="32" t="n">
        <v>-6.83</v>
      </c>
      <c r="U33" s="32" t="n">
        <v>97.02</v>
      </c>
      <c r="V33" s="32" t="n">
        <v>111.47</v>
      </c>
      <c r="W33" s="32" t="n">
        <v>24.39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B2C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19</t>
        </is>
      </c>
      <c r="CG33" s="31">
        <f>IF(CF33&gt;20,10,IF(CF33&gt;=10,5,2))</f>
        <v/>
      </c>
    </row>
    <row r="34">
      <c r="A34" s="31">
        <f>IF(B34=0,"",RANK(B34,$B$2:$B$95,0))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KPL</t>
        </is>
      </c>
      <c r="D34" s="31" t="inlineStr">
        <is>
          <t>Kwality Pharmaceuticals Ltd</t>
        </is>
      </c>
      <c r="E34" s="31" t="inlineStr">
        <is>
          <t>Healthcare</t>
        </is>
      </c>
      <c r="F34" s="31" t="inlineStr">
        <is>
          <t>Pharma - Formulators</t>
        </is>
      </c>
      <c r="G34" s="31" t="inlineStr">
        <is>
          <t>smallcap</t>
        </is>
      </c>
      <c r="H34" s="32" t="n">
        <v>3813.25</v>
      </c>
      <c r="I34" s="32" t="n">
        <v>3675</v>
      </c>
      <c r="J34" s="32" t="n">
        <v>4.57</v>
      </c>
      <c r="K34" s="32" t="n">
        <v>0</v>
      </c>
      <c r="L34" s="31" t="n">
        <v>91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78.78</v>
      </c>
      <c r="P34" s="32" t="n">
        <v>70.73999999999999</v>
      </c>
      <c r="Q34" s="32" t="n">
        <v>2720.38</v>
      </c>
      <c r="R34" s="31" t="inlineStr">
        <is>
          <t>Near 52W High Breakout</t>
        </is>
      </c>
      <c r="S34" s="31" t="inlineStr">
        <is>
          <t>Nifty Pharma</t>
        </is>
      </c>
      <c r="T34" s="32" t="n">
        <v>18.76</v>
      </c>
      <c r="U34" s="32" t="n">
        <v>268.66</v>
      </c>
      <c r="V34" s="32" t="n">
        <v>210.42</v>
      </c>
      <c r="W34" s="32" t="n">
        <v>42.23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25</t>
        </is>
      </c>
      <c r="CG34" s="31">
        <f>IF(CF34&gt;20,10,IF(CF34&gt;=10,5,2))</f>
        <v/>
      </c>
    </row>
    <row r="35">
      <c r="A35" s="31">
        <f>IF(B35=0,"",RANK(B35,$B$2:$B$95,0))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4" t="inlineStr">
        <is>
          <t>VIKRAMTH</t>
        </is>
      </c>
      <c r="D35" s="34" t="inlineStr">
        <is>
          <t>Vikram Thermo (India) Ltd</t>
        </is>
      </c>
      <c r="E35" s="31" t="inlineStr">
        <is>
          <t>Healthcare</t>
        </is>
      </c>
      <c r="F35" s="31" t="inlineStr">
        <is>
          <t>Speciality Chemicals</t>
        </is>
      </c>
      <c r="G35" s="31" t="inlineStr">
        <is>
          <t>smallcap</t>
        </is>
      </c>
      <c r="H35" s="32" t="n">
        <v>1064.76</v>
      </c>
      <c r="I35" s="32" t="n">
        <v>339.55</v>
      </c>
      <c r="J35" s="32" t="n">
        <v>4.99</v>
      </c>
      <c r="K35" s="32" t="n">
        <v>0</v>
      </c>
      <c r="L35" s="31" t="n">
        <v>85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88.37</v>
      </c>
      <c r="P35" s="32" t="n">
        <v>64.09</v>
      </c>
      <c r="Q35" s="32" t="n">
        <v>266.83</v>
      </c>
      <c r="R35" s="31" t="inlineStr">
        <is>
          <t>Near 52W High Breakout</t>
        </is>
      </c>
      <c r="S35" s="31" t="inlineStr">
        <is>
          <t>Nifty Pharma</t>
        </is>
      </c>
      <c r="T35" s="32" t="n">
        <v>18.76</v>
      </c>
      <c r="U35" s="32" t="n">
        <v>105.18</v>
      </c>
      <c r="V35" s="32" t="n">
        <v>72.77</v>
      </c>
      <c r="W35" s="32" t="n">
        <v>34.72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22</t>
        </is>
      </c>
      <c r="CG35" s="31">
        <f>IF(CF35&gt;20,10,IF(CF35&gt;=10,5,2))</f>
        <v/>
      </c>
    </row>
    <row r="36">
      <c r="A36" s="31">
        <f>IF(B36=0,"",RANK(B36,$B$2:$B$95,0))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SHILPAMED</t>
        </is>
      </c>
      <c r="D36" s="31" t="inlineStr">
        <is>
          <t>Shilpa Medicare Ltd</t>
        </is>
      </c>
      <c r="E36" s="31" t="inlineStr">
        <is>
          <t>healthcare</t>
        </is>
      </c>
      <c r="F36" s="31" t="inlineStr">
        <is>
          <t>Pharma - API &amp; CRAMS</t>
        </is>
      </c>
      <c r="G36" s="31" t="inlineStr">
        <is>
          <t>midcap</t>
        </is>
      </c>
      <c r="H36" s="32" t="n">
        <v>18757.27</v>
      </c>
      <c r="I36" s="32" t="n">
        <v>959.05</v>
      </c>
      <c r="J36" s="32" t="n">
        <v>2.04</v>
      </c>
      <c r="K36" s="32" t="n">
        <v>0</v>
      </c>
      <c r="L36" s="31" t="n">
        <v>90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90.84</v>
      </c>
      <c r="P36" s="32" t="n">
        <v>79.22</v>
      </c>
      <c r="Q36" s="32" t="n">
        <v>785.4</v>
      </c>
      <c r="R36" s="31" t="inlineStr">
        <is>
          <t>Near 52W High Breakout</t>
        </is>
      </c>
      <c r="S36" s="31" t="inlineStr">
        <is>
          <t>Nifty Pharma</t>
        </is>
      </c>
      <c r="T36" s="32" t="n">
        <v>18.76</v>
      </c>
      <c r="U36" s="32" t="n">
        <v>132.7</v>
      </c>
      <c r="V36" s="32" t="n">
        <v>95.94</v>
      </c>
      <c r="W36" s="32" t="n">
        <v>40.24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21</t>
        </is>
      </c>
      <c r="CG36" s="31">
        <f>IF(CF36&gt;20,10,IF(CF36&gt;=10,5,2))</f>
        <v/>
      </c>
    </row>
    <row r="37">
      <c r="A37" s="31">
        <f>IF(B37=0,"",RANK(B37,$B$2:$B$95,0))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KMCSHIL</t>
        </is>
      </c>
      <c r="D37" s="31" t="inlineStr">
        <is>
          <t>KMC Speciality Hospitals (India) Ltd</t>
        </is>
      </c>
      <c r="E37" s="31" t="inlineStr">
        <is>
          <t>Healthcare</t>
        </is>
      </c>
      <c r="F37" s="31" t="inlineStr">
        <is>
          <t>Hospitals</t>
        </is>
      </c>
      <c r="G37" s="31" t="inlineStr">
        <is>
          <t>smallcap</t>
        </is>
      </c>
      <c r="H37" s="32" t="n">
        <v>2266.88</v>
      </c>
      <c r="I37" s="32" t="n">
        <v>139</v>
      </c>
      <c r="J37" s="32" t="n">
        <v>1.31</v>
      </c>
      <c r="K37" s="32" t="n">
        <v>0</v>
      </c>
      <c r="L37" s="31" t="n">
        <v>61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70.09</v>
      </c>
      <c r="P37" s="32" t="n">
        <v>57.69</v>
      </c>
      <c r="Q37" s="32" t="n">
        <v>110.81</v>
      </c>
      <c r="R37" s="31" t="inlineStr">
        <is>
          <t>Near 52W High Breakout</t>
        </is>
      </c>
      <c r="S37" s="31" t="inlineStr">
        <is>
          <t>Nifty Pharma</t>
        </is>
      </c>
      <c r="T37" s="32" t="n">
        <v>18.76</v>
      </c>
      <c r="U37" s="32" t="n">
        <v>106.37</v>
      </c>
      <c r="V37" s="32" t="n">
        <v>73.77</v>
      </c>
      <c r="W37" s="32" t="n">
        <v>19.83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21</t>
        </is>
      </c>
      <c r="CG37" s="31">
        <f>IF(CF37&gt;20,10,IF(CF37&gt;=10,5,2))</f>
        <v/>
      </c>
    </row>
    <row r="38">
      <c r="A38" s="31">
        <f>IF(B38=0,"",RANK(B38,$B$2:$B$95,0))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MOREPENLAB</t>
        </is>
      </c>
      <c r="D38" s="31" t="inlineStr">
        <is>
          <t>Morepen Laboratories Ltd</t>
        </is>
      </c>
      <c r="E38" s="31" t="inlineStr">
        <is>
          <t>healthcare</t>
        </is>
      </c>
      <c r="F38" s="31" t="inlineStr">
        <is>
          <t>Pharma - API &amp; CRAMS</t>
        </is>
      </c>
      <c r="G38" s="31" t="inlineStr">
        <is>
          <t>midcap</t>
        </is>
      </c>
      <c r="H38" s="32" t="n">
        <v>6356.26</v>
      </c>
      <c r="I38" s="32" t="n">
        <v>116</v>
      </c>
      <c r="J38" s="32" t="n">
        <v>0.62</v>
      </c>
      <c r="K38" s="32" t="n">
        <v>0</v>
      </c>
      <c r="L38" s="31" t="n">
        <v>93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87.65000000000001</v>
      </c>
      <c r="P38" s="32" t="n">
        <v>52.57</v>
      </c>
      <c r="Q38" s="32" t="n">
        <v>88.22</v>
      </c>
      <c r="R38" s="31" t="inlineStr">
        <is>
          <t>Near 52W High Breakout</t>
        </is>
      </c>
      <c r="S38" s="31" t="inlineStr">
        <is>
          <t>Nifty Pharma</t>
        </is>
      </c>
      <c r="T38" s="32" t="n">
        <v>18.76</v>
      </c>
      <c r="U38" s="32" t="n">
        <v>114.81</v>
      </c>
      <c r="V38" s="32" t="n">
        <v>80.87</v>
      </c>
      <c r="W38" s="32" t="n">
        <v>52.47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20</t>
        </is>
      </c>
      <c r="CG38" s="31">
        <f>IF(CF38&gt;20,10,IF(CF38&gt;=10,5,2))</f>
        <v/>
      </c>
    </row>
    <row r="39">
      <c r="A39" s="31">
        <f>IF(B39=0,"",RANK(B39,$B$2:$B$95,0))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VALIANT</t>
        </is>
      </c>
      <c r="D39" s="31" t="inlineStr">
        <is>
          <t>Valiant Communications Ltd</t>
        </is>
      </c>
      <c r="E39" s="31" t="inlineStr">
        <is>
          <t>Technology</t>
        </is>
      </c>
      <c r="F39" s="31" t="inlineStr">
        <is>
          <t>Telecom Services</t>
        </is>
      </c>
      <c r="G39" s="31" t="inlineStr">
        <is>
          <t>smallcap</t>
        </is>
      </c>
      <c r="H39" s="32" t="n">
        <v>1531.66</v>
      </c>
      <c r="I39" s="32" t="n">
        <v>1310</v>
      </c>
      <c r="J39" s="32" t="n">
        <v>-2.6</v>
      </c>
      <c r="K39" s="32" t="n">
        <v>0</v>
      </c>
      <c r="L39" s="31" t="n">
        <v>62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65.84999999999999</v>
      </c>
      <c r="P39" s="32" t="n">
        <v>22.93</v>
      </c>
      <c r="Q39" s="32" t="n">
        <v>891.52</v>
      </c>
      <c r="R39" s="31" t="inlineStr">
        <is>
          <t>Near 52W High Breakout</t>
        </is>
      </c>
      <c r="S39" s="31" t="inlineStr">
        <is>
          <t>Nifty 50</t>
        </is>
      </c>
      <c r="T39" s="32" t="n">
        <v>-6.83</v>
      </c>
      <c r="U39" s="32" t="n">
        <v>123.19</v>
      </c>
      <c r="V39" s="32" t="n">
        <v>139.56</v>
      </c>
      <c r="W39" s="32" t="n">
        <v>19.98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Oligopoly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19</t>
        </is>
      </c>
      <c r="CG39" s="31">
        <f>IF(CF39&gt;20,10,IF(CF39&gt;=10,5,2))</f>
        <v/>
      </c>
    </row>
    <row r="40">
      <c r="A40" s="31">
        <f>IF(B40=0,"",RANK(B40,$B$2:$B$95,0))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MANORAMA</t>
        </is>
      </c>
      <c r="D40" s="31" t="inlineStr">
        <is>
          <t>Manorama Industries Ltd</t>
        </is>
      </c>
      <c r="E40" s="31" t="inlineStr">
        <is>
          <t>fmcg</t>
        </is>
      </c>
      <c r="F40" s="31" t="inlineStr">
        <is>
          <t>FMCG - Chocolate</t>
        </is>
      </c>
      <c r="G40" s="31" t="inlineStr">
        <is>
          <t>midcap</t>
        </is>
      </c>
      <c r="H40" s="32" t="n">
        <v>13009.52</v>
      </c>
      <c r="I40" s="32" t="n">
        <v>2061</v>
      </c>
      <c r="J40" s="32" t="n">
        <v>-1.15</v>
      </c>
      <c r="K40" s="32" t="n">
        <v>0</v>
      </c>
      <c r="L40" s="31" t="n">
        <v>54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76.69</v>
      </c>
      <c r="P40" s="32" t="n">
        <v>27.65</v>
      </c>
      <c r="Q40" s="32" t="n">
        <v>1622.29</v>
      </c>
      <c r="R40" s="31" t="inlineStr">
        <is>
          <t>Near 52W High Breakout</t>
        </is>
      </c>
      <c r="S40" s="31" t="inlineStr">
        <is>
          <t>Nifty FMCG</t>
        </is>
      </c>
      <c r="T40" s="32" t="n">
        <v>-17.45</v>
      </c>
      <c r="U40" s="32" t="n">
        <v>30.48</v>
      </c>
      <c r="V40" s="32" t="n">
        <v>58.07</v>
      </c>
      <c r="W40" s="32" t="n">
        <v>17.57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B2C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19</t>
        </is>
      </c>
      <c r="CG40" s="31">
        <f>IF(CF40&gt;20,10,IF(CF40&gt;=10,5,2))</f>
        <v/>
      </c>
    </row>
    <row r="41">
      <c r="A41" s="31">
        <f>IF(B41=0,"",RANK(B41,$B$2:$B$95,0))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4" t="inlineStr">
        <is>
          <t>FINCABLES</t>
        </is>
      </c>
      <c r="D41" s="34" t="inlineStr">
        <is>
          <t>Finolex Cables Ltd</t>
        </is>
      </c>
      <c r="E41" s="31" t="inlineStr">
        <is>
          <t>industrials</t>
        </is>
      </c>
      <c r="F41" s="31" t="inlineStr">
        <is>
          <t>Cables - Telecom</t>
        </is>
      </c>
      <c r="G41" s="31" t="inlineStr">
        <is>
          <t>largecap</t>
        </is>
      </c>
      <c r="H41" s="32" t="n">
        <v>21916.21</v>
      </c>
      <c r="I41" s="32" t="n">
        <v>1433</v>
      </c>
      <c r="J41" s="32" t="n">
        <v>1.03</v>
      </c>
      <c r="K41" s="32" t="n">
        <v>0</v>
      </c>
      <c r="L41" s="31" t="n">
        <v>67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70.51000000000001</v>
      </c>
      <c r="P41" s="32" t="n">
        <v>36.16</v>
      </c>
      <c r="Q41" s="32" t="n">
        <v>1072.3</v>
      </c>
      <c r="R41" s="31" t="inlineStr">
        <is>
          <t>Volume Spike &amp; Near 52W High Breakout</t>
        </is>
      </c>
      <c r="S41" s="31" t="inlineStr">
        <is>
          <t>Nifty Energy</t>
        </is>
      </c>
      <c r="T41" s="32" t="n">
        <v>7.62</v>
      </c>
      <c r="U41" s="32" t="n">
        <v>61.13</v>
      </c>
      <c r="V41" s="32" t="n">
        <v>49.73</v>
      </c>
      <c r="W41" s="32" t="n">
        <v>21.96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Oligopoly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25</t>
        </is>
      </c>
      <c r="CG41" s="31">
        <f>IF(CF41&gt;20,10,IF(CF41&gt;=10,5,2))</f>
        <v/>
      </c>
    </row>
    <row r="42">
      <c r="A42" s="31">
        <f>IF(B42=0,"",RANK(B42,$B$2:$B$95,0))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FCL</t>
        </is>
      </c>
      <c r="D42" s="31" t="inlineStr">
        <is>
          <t>Fineotex Chemical Ltd</t>
        </is>
      </c>
      <c r="E42" s="31" t="inlineStr">
        <is>
          <t>chemicals</t>
        </is>
      </c>
      <c r="F42" s="31" t="inlineStr">
        <is>
          <t>Speciality Chemicals</t>
        </is>
      </c>
      <c r="G42" s="31" t="inlineStr">
        <is>
          <t>midcap</t>
        </is>
      </c>
      <c r="H42" s="32" t="n">
        <v>6719.17</v>
      </c>
      <c r="I42" s="32" t="n">
        <v>57.7</v>
      </c>
      <c r="J42" s="32" t="n">
        <v>-1.72</v>
      </c>
      <c r="K42" s="32" t="n">
        <v>0</v>
      </c>
      <c r="L42" s="31" t="n">
        <v>83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81.27</v>
      </c>
      <c r="P42" s="32" t="n">
        <v>48.76</v>
      </c>
      <c r="Q42" s="32" t="n">
        <v>43.36</v>
      </c>
      <c r="R42" s="31" t="inlineStr">
        <is>
          <t>Volume Spike &amp; Near 52W High Breakout</t>
        </is>
      </c>
      <c r="S42" s="31" t="inlineStr">
        <is>
          <t>Nifty 50</t>
        </is>
      </c>
      <c r="T42" s="32" t="n">
        <v>-6.83</v>
      </c>
      <c r="U42" s="32" t="n">
        <v>144.65</v>
      </c>
      <c r="V42" s="32" t="n">
        <v>162.59</v>
      </c>
      <c r="W42" s="32" t="n">
        <v>33.31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23</t>
        </is>
      </c>
      <c r="CG42" s="31">
        <f>IF(CF42&gt;20,10,IF(CF42&gt;=10,5,2))</f>
        <v/>
      </c>
    </row>
    <row r="43">
      <c r="A43" s="31">
        <f>IF(B43=0,"",RANK(B43,$B$2:$B$95,0))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4" t="inlineStr">
        <is>
          <t>EBGNG</t>
        </is>
      </c>
      <c r="D43" s="34" t="inlineStr">
        <is>
          <t>GNG Electronics Ltd</t>
        </is>
      </c>
      <c r="E43" s="31" t="inlineStr">
        <is>
          <t>services</t>
        </is>
      </c>
      <c r="F43" s="31" t="inlineStr">
        <is>
          <t>New age - Platform - E-Retail</t>
        </is>
      </c>
      <c r="G43" s="31" t="inlineStr">
        <is>
          <t>midcap</t>
        </is>
      </c>
      <c r="H43" s="32" t="n">
        <v>7809.79</v>
      </c>
      <c r="I43" s="32" t="n">
        <v>685</v>
      </c>
      <c r="J43" s="32" t="n">
        <v>1.04</v>
      </c>
      <c r="K43" s="32" t="n">
        <v>0</v>
      </c>
      <c r="L43" s="31" t="n">
        <v>78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68.53</v>
      </c>
      <c r="P43" s="32" t="n">
        <v>35.31</v>
      </c>
      <c r="Q43" s="32" t="n">
        <v>481.83</v>
      </c>
      <c r="R43" s="31" t="inlineStr">
        <is>
          <t>Near 52W High Breakout</t>
        </is>
      </c>
      <c r="S43" s="31" t="inlineStr">
        <is>
          <t>Nifty 50</t>
        </is>
      </c>
      <c r="T43" s="32" t="n">
        <v>-6.83</v>
      </c>
      <c r="U43" s="32" t="n">
        <v>91.40000000000001</v>
      </c>
      <c r="V43" s="32" t="n">
        <v>105.43</v>
      </c>
      <c r="W43" s="32" t="n">
        <v>28.66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B2C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21</t>
        </is>
      </c>
      <c r="CG43" s="31">
        <f>IF(CF43&gt;20,10,IF(CF43&gt;=10,5,2))</f>
        <v/>
      </c>
    </row>
    <row r="44">
      <c r="A44" s="31">
        <f>IF(B44=0,"",RANK(B44,$B$2:$B$95,0))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4" t="inlineStr">
        <is>
          <t>WHEELS</t>
        </is>
      </c>
      <c r="D44" s="34" t="inlineStr">
        <is>
          <t>Wheels India Ltd</t>
        </is>
      </c>
      <c r="E44" s="31" t="inlineStr">
        <is>
          <t>auto</t>
        </is>
      </c>
      <c r="F44" s="31" t="inlineStr">
        <is>
          <t>Auto Ancillaries - Wheels</t>
        </is>
      </c>
      <c r="G44" s="31" t="inlineStr">
        <is>
          <t>midcap</t>
        </is>
      </c>
      <c r="H44" s="32" t="n">
        <v>5446.12</v>
      </c>
      <c r="I44" s="32" t="n">
        <v>2229</v>
      </c>
      <c r="J44" s="32" t="n">
        <v>-3.63</v>
      </c>
      <c r="K44" s="32" t="n">
        <v>0</v>
      </c>
      <c r="L44" s="31" t="n">
        <v>94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79.16</v>
      </c>
      <c r="P44" s="32" t="n">
        <v>55.99</v>
      </c>
      <c r="Q44" s="32" t="n">
        <v>1661.47</v>
      </c>
      <c r="R44" s="31" t="inlineStr">
        <is>
          <t>Volume Spike &amp; Near 52W High Breakout</t>
        </is>
      </c>
      <c r="S44" s="31" t="inlineStr">
        <is>
          <t>Nifty Auto</t>
        </is>
      </c>
      <c r="T44" s="32" t="n">
        <v>14.81</v>
      </c>
      <c r="U44" s="32" t="n">
        <v>183.04</v>
      </c>
      <c r="V44" s="32" t="n">
        <v>146.52</v>
      </c>
      <c r="W44" s="32" t="n">
        <v>53.65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Less than 12%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21</t>
        </is>
      </c>
      <c r="CG44" s="31">
        <f>IF(CF44&gt;20,10,IF(CF44&gt;=10,5,2))</f>
        <v/>
      </c>
    </row>
    <row r="45">
      <c r="A45" s="31">
        <f>IF(B45=0,"",RANK(B45,$B$2:$B$95,0))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4" t="inlineStr">
        <is>
          <t>DIACABS</t>
        </is>
      </c>
      <c r="D45" s="34" t="inlineStr">
        <is>
          <t>Diamond Power Infrastructure Ltd</t>
        </is>
      </c>
      <c r="E45" s="31" t="inlineStr">
        <is>
          <t>industrials</t>
        </is>
      </c>
      <c r="F45" s="31" t="inlineStr">
        <is>
          <t>Cables - Power</t>
        </is>
      </c>
      <c r="G45" s="31" t="inlineStr">
        <is>
          <t>largecap</t>
        </is>
      </c>
      <c r="H45" s="32" t="n">
        <v>22071.81</v>
      </c>
      <c r="I45" s="32" t="n">
        <v>369.05</v>
      </c>
      <c r="J45" s="32" t="n">
        <v>4.99</v>
      </c>
      <c r="K45" s="32" t="n">
        <v>0</v>
      </c>
      <c r="L45" s="31" t="n">
        <v>93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78.01000000000001</v>
      </c>
      <c r="P45" s="32" t="n">
        <v>65.61</v>
      </c>
      <c r="Q45" s="32" t="n">
        <v>277.62</v>
      </c>
      <c r="R45" s="31" t="inlineStr">
        <is>
          <t>Near 52W High Breakout</t>
        </is>
      </c>
      <c r="S45" s="31" t="inlineStr">
        <is>
          <t>Nifty Energy</t>
        </is>
      </c>
      <c r="T45" s="32" t="n">
        <v>7.62</v>
      </c>
      <c r="U45" s="32" t="n">
        <v>126.59</v>
      </c>
      <c r="V45" s="32" t="n">
        <v>110.56</v>
      </c>
      <c r="W45" s="32" t="n">
        <v>52.31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20</t>
        </is>
      </c>
      <c r="CG45" s="31">
        <f>IF(CF45&gt;20,10,IF(CF45&gt;=10,5,2))</f>
        <v/>
      </c>
    </row>
    <row r="46">
      <c r="A46" s="31">
        <f>IF(B46=0,"",RANK(B46,$B$2:$B$95,0))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SAKAR</t>
        </is>
      </c>
      <c r="D46" s="31" t="inlineStr">
        <is>
          <t>Sakar Healthcare Ltd</t>
        </is>
      </c>
      <c r="E46" s="31" t="inlineStr">
        <is>
          <t>healthcare</t>
        </is>
      </c>
      <c r="F46" s="31" t="inlineStr">
        <is>
          <t>Hospitals</t>
        </is>
      </c>
      <c r="G46" s="31" t="inlineStr">
        <is>
          <t>smallcap</t>
        </is>
      </c>
      <c r="H46" s="32" t="n">
        <v>2591.89</v>
      </c>
      <c r="I46" s="32" t="n">
        <v>1164.9</v>
      </c>
      <c r="J46" s="32" t="n">
        <v>4.26</v>
      </c>
      <c r="K46" s="32" t="n">
        <v>0</v>
      </c>
      <c r="L46" s="31" t="n">
        <v>88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76.43000000000001</v>
      </c>
      <c r="P46" s="32" t="n">
        <v>52.51</v>
      </c>
      <c r="Q46" s="32" t="n">
        <v>852.8</v>
      </c>
      <c r="R46" s="31" t="inlineStr">
        <is>
          <t>Near 52W High Breakout</t>
        </is>
      </c>
      <c r="S46" s="31" t="inlineStr">
        <is>
          <t>Nifty Pharma</t>
        </is>
      </c>
      <c r="T46" s="32" t="n">
        <v>18.76</v>
      </c>
      <c r="U46" s="32" t="n">
        <v>246.56</v>
      </c>
      <c r="V46" s="32" t="n">
        <v>191.82</v>
      </c>
      <c r="W46" s="32" t="n">
        <v>37.84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27</t>
        </is>
      </c>
      <c r="CG46" s="31">
        <f>IF(CF46&gt;20,10,IF(CF46&gt;=10,5,2))</f>
        <v/>
      </c>
    </row>
    <row r="47">
      <c r="A47" s="31">
        <f>IF(B47=0,"",RANK(B47,$B$2:$B$95,0))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HFCL</t>
        </is>
      </c>
      <c r="D47" s="31" t="inlineStr">
        <is>
          <t>HFCL Ltd</t>
        </is>
      </c>
      <c r="E47" s="31" t="inlineStr">
        <is>
          <t>Technology</t>
        </is>
      </c>
      <c r="F47" s="31" t="inlineStr">
        <is>
          <t>Telecom Services</t>
        </is>
      </c>
      <c r="G47" s="31" t="inlineStr">
        <is>
          <t>largecap</t>
        </is>
      </c>
      <c r="H47" s="32" t="n">
        <v>35992.12</v>
      </c>
      <c r="I47" s="32" t="n">
        <v>235.15</v>
      </c>
      <c r="J47" s="32" t="n">
        <v>0.78</v>
      </c>
      <c r="K47" s="32" t="n">
        <v>0</v>
      </c>
      <c r="L47" s="31" t="n">
        <v>90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70.86</v>
      </c>
      <c r="P47" s="32" t="n">
        <v>58.66</v>
      </c>
      <c r="Q47" s="32" t="n">
        <v>185.2</v>
      </c>
      <c r="R47" s="31" t="inlineStr">
        <is>
          <t>Earnings / Momentum Support</t>
        </is>
      </c>
      <c r="S47" s="31" t="inlineStr">
        <is>
          <t>Nifty 50</t>
        </is>
      </c>
      <c r="T47" s="32" t="n">
        <v>-6.83</v>
      </c>
      <c r="U47" s="32" t="n">
        <v>220.04</v>
      </c>
      <c r="V47" s="32" t="n">
        <v>243.51</v>
      </c>
      <c r="W47" s="32" t="n">
        <v>42.01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Oligopoly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23</t>
        </is>
      </c>
      <c r="CG47" s="31">
        <f>IF(CF47&gt;20,10,IF(CF47&gt;=10,5,2))</f>
        <v/>
      </c>
    </row>
    <row r="48">
      <c r="A48" s="31">
        <f>IF(B48=0,"",RANK(B48,$B$2:$B$95,0))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3" t="inlineStr">
        <is>
          <t>SOLARA</t>
        </is>
      </c>
      <c r="D48" s="33" t="inlineStr">
        <is>
          <t>Solara Active Pharma Sciences Ltd</t>
        </is>
      </c>
      <c r="E48" s="31" t="inlineStr">
        <is>
          <t>healthcare</t>
        </is>
      </c>
      <c r="F48" s="31" t="inlineStr">
        <is>
          <t>Pharma - API &amp; CRAMS</t>
        </is>
      </c>
      <c r="G48" s="31" t="inlineStr">
        <is>
          <t>smallcap</t>
        </is>
      </c>
      <c r="H48" s="32" t="n">
        <v>3604.55</v>
      </c>
      <c r="I48" s="32" t="n">
        <v>749.85</v>
      </c>
      <c r="J48" s="32" t="n">
        <v>6.02</v>
      </c>
      <c r="K48" s="32" t="n">
        <v>0</v>
      </c>
      <c r="L48" s="31" t="n">
        <v>28</v>
      </c>
      <c r="M48" s="31" t="inlineStr">
        <is>
          <t>Underperforming</t>
        </is>
      </c>
      <c r="N48" s="32">
        <f>IF(M48="Underperforming",-5,IF(L48&gt;=95,15,IF(L48&gt;=90,10,IF(L48&gt;=80,5,0))))</f>
        <v/>
      </c>
      <c r="O48" s="32" t="n">
        <v>71.97</v>
      </c>
      <c r="P48" s="32" t="n">
        <v>28.47</v>
      </c>
      <c r="Q48" s="32" t="n">
        <v>565.46</v>
      </c>
      <c r="R48" s="31" t="inlineStr">
        <is>
          <t>Volume Spike &amp; Near 52W High Breakout</t>
        </is>
      </c>
      <c r="S48" s="31" t="inlineStr">
        <is>
          <t>Nifty Pharma</t>
        </is>
      </c>
      <c r="T48" s="32" t="n">
        <v>18.76</v>
      </c>
      <c r="U48" s="32" t="n">
        <v>10.57</v>
      </c>
      <c r="V48" s="32" t="n">
        <v>-6.9</v>
      </c>
      <c r="W48" s="32" t="n">
        <v>9.199999999999999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19</t>
        </is>
      </c>
      <c r="CG48" s="31">
        <f>IF(CF48&gt;20,10,IF(CF48&gt;=10,5,2))</f>
        <v/>
      </c>
    </row>
    <row r="49">
      <c r="A49" s="31">
        <f>IF(B49=0,"",RANK(B49,$B$2:$B$95,0))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BODALCHEM</t>
        </is>
      </c>
      <c r="D49" s="31" t="inlineStr">
        <is>
          <t>Bodal Chemicals Ltd</t>
        </is>
      </c>
      <c r="E49" s="31" t="inlineStr">
        <is>
          <t>chemicals</t>
        </is>
      </c>
      <c r="F49" s="31" t="inlineStr">
        <is>
          <t>Dyes &amp; Pigments</t>
        </is>
      </c>
      <c r="G49" s="31" t="inlineStr">
        <is>
          <t>smallcap</t>
        </is>
      </c>
      <c r="H49" s="32" t="n">
        <v>2158.18</v>
      </c>
      <c r="I49" s="32" t="n">
        <v>171.36</v>
      </c>
      <c r="J49" s="32" t="n">
        <v>3.16</v>
      </c>
      <c r="K49" s="32" t="n">
        <v>0</v>
      </c>
      <c r="L49" s="31" t="n">
        <v>97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88.81</v>
      </c>
      <c r="P49" s="32" t="n">
        <v>37.83</v>
      </c>
      <c r="Q49" s="32" t="n">
        <v>132.83</v>
      </c>
      <c r="R49" s="31" t="inlineStr">
        <is>
          <t>Volume Spike &amp; Near 52W High Breakout</t>
        </is>
      </c>
      <c r="S49" s="31" t="inlineStr">
        <is>
          <t>Nifty 50</t>
        </is>
      </c>
      <c r="T49" s="32" t="n">
        <v>-6.83</v>
      </c>
      <c r="U49" s="32" t="n">
        <v>163.13</v>
      </c>
      <c r="V49" s="32" t="n">
        <v>182.42</v>
      </c>
      <c r="W49" s="32" t="n">
        <v>64.97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Between 0.7 to 1.2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31</t>
        </is>
      </c>
      <c r="CG49" s="31">
        <f>IF(CF49&gt;20,10,IF(CF49&gt;=10,5,2))</f>
        <v/>
      </c>
    </row>
    <row r="50">
      <c r="A50" s="31">
        <f>IF(B50=0,"",RANK(B50,$B$2:$B$95,0))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SKYGOLD</t>
        </is>
      </c>
      <c r="D50" s="31" t="inlineStr">
        <is>
          <t>Sky Gold &amp; Diamonds Ltd</t>
        </is>
      </c>
      <c r="E50" s="31" t="inlineStr">
        <is>
          <t>consumer discretionary</t>
        </is>
      </c>
      <c r="F50" s="31" t="inlineStr">
        <is>
          <t>Diamond, Gems &amp; Jewellery</t>
        </is>
      </c>
      <c r="G50" s="31" t="inlineStr">
        <is>
          <t>midcap</t>
        </is>
      </c>
      <c r="H50" s="32" t="n">
        <v>12822.01</v>
      </c>
      <c r="I50" s="32" t="n">
        <v>827.9</v>
      </c>
      <c r="J50" s="32" t="n">
        <v>-0.29</v>
      </c>
      <c r="K50" s="32" t="n">
        <v>0</v>
      </c>
      <c r="L50" s="31" t="n">
        <v>89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78.51000000000001</v>
      </c>
      <c r="P50" s="32" t="n">
        <v>66.13</v>
      </c>
      <c r="Q50" s="32" t="n">
        <v>627.6900000000001</v>
      </c>
      <c r="R50" s="31" t="inlineStr">
        <is>
          <t>Near 52W High Breakout</t>
        </is>
      </c>
      <c r="S50" s="31" t="inlineStr">
        <is>
          <t>Nifty 50</t>
        </is>
      </c>
      <c r="T50" s="32" t="n">
        <v>-6.83</v>
      </c>
      <c r="U50" s="32" t="n">
        <v>193.14</v>
      </c>
      <c r="V50" s="32" t="n">
        <v>214.64</v>
      </c>
      <c r="W50" s="32" t="n">
        <v>39.06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Between 0.7 to 1.2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28</t>
        </is>
      </c>
      <c r="CG50" s="31">
        <f>IF(CF50&gt;20,10,IF(CF50&gt;=10,5,2))</f>
        <v/>
      </c>
    </row>
    <row r="51">
      <c r="A51" s="31">
        <f>IF(B51=0,"",RANK(B51,$B$2:$B$95,0))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GANDHAR</t>
        </is>
      </c>
      <c r="D51" s="31" t="inlineStr">
        <is>
          <t>Gandhar Oil Refinery (India) Ltd</t>
        </is>
      </c>
      <c r="E51" s="31" t="inlineStr">
        <is>
          <t>energy</t>
        </is>
      </c>
      <c r="F51" s="31" t="inlineStr">
        <is>
          <t>Refineries</t>
        </is>
      </c>
      <c r="G51" s="31" t="inlineStr">
        <is>
          <t>smallcap</t>
        </is>
      </c>
      <c r="H51" s="32" t="n">
        <v>2671.62</v>
      </c>
      <c r="I51" s="32" t="n">
        <v>272.95</v>
      </c>
      <c r="J51" s="32" t="n">
        <v>0.61</v>
      </c>
      <c r="K51" s="32" t="n">
        <v>0</v>
      </c>
      <c r="L51" s="31" t="n">
        <v>87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70.81999999999999</v>
      </c>
      <c r="P51" s="32" t="n">
        <v>73.79000000000001</v>
      </c>
      <c r="Q51" s="32" t="n">
        <v>214.53</v>
      </c>
      <c r="R51" s="31" t="inlineStr">
        <is>
          <t>Near 52W High Breakout</t>
        </is>
      </c>
      <c r="S51" s="31" t="inlineStr">
        <is>
          <t>Nifty Energy</t>
        </is>
      </c>
      <c r="T51" s="32" t="n">
        <v>7.62</v>
      </c>
      <c r="U51" s="32" t="n">
        <v>65.70999999999999</v>
      </c>
      <c r="V51" s="32" t="n">
        <v>53.99</v>
      </c>
      <c r="W51" s="32" t="n">
        <v>37.39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Oligopoly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Cyclical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Volatile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24</t>
        </is>
      </c>
      <c r="CG51" s="31">
        <f>IF(CF51&gt;20,10,IF(CF51&gt;=10,5,2))</f>
        <v/>
      </c>
    </row>
    <row r="52">
      <c r="A52" s="31">
        <f>IF(B52=0,"",RANK(B52,$B$2:$B$95,0))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BHEL</t>
        </is>
      </c>
      <c r="D52" s="31" t="inlineStr">
        <is>
          <t>Bharat Heavy Electricals Ltd</t>
        </is>
      </c>
      <c r="E52" s="31" t="inlineStr">
        <is>
          <t>industrials</t>
        </is>
      </c>
      <c r="F52" s="31" t="inlineStr">
        <is>
          <t>Capital Goods - Engineering Heavy</t>
        </is>
      </c>
      <c r="G52" s="31" t="inlineStr">
        <is>
          <t>largecap</t>
        </is>
      </c>
      <c r="H52" s="32" t="n">
        <v>150076.93</v>
      </c>
      <c r="I52" s="32" t="n">
        <v>431</v>
      </c>
      <c r="J52" s="32" t="n">
        <v>0.35</v>
      </c>
      <c r="K52" s="32" t="n">
        <v>0</v>
      </c>
      <c r="L52" s="31" t="n">
        <v>55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66.08</v>
      </c>
      <c r="P52" s="32" t="n">
        <v>37.08</v>
      </c>
      <c r="Q52" s="32" t="n">
        <v>349.01</v>
      </c>
      <c r="R52" s="31" t="inlineStr">
        <is>
          <t>Near 52W High Breakout</t>
        </is>
      </c>
      <c r="S52" s="31" t="inlineStr">
        <is>
          <t>Nifty 50</t>
        </is>
      </c>
      <c r="T52" s="32" t="n">
        <v>-6.83</v>
      </c>
      <c r="U52" s="32" t="n">
        <v>89.05</v>
      </c>
      <c r="V52" s="32" t="n">
        <v>102.91</v>
      </c>
      <c r="W52" s="32" t="n">
        <v>18.03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Between 1.5 to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22</t>
        </is>
      </c>
      <c r="CG52" s="31">
        <f>IF(CF52&gt;20,10,IF(CF52&gt;=10,5,2))</f>
        <v/>
      </c>
    </row>
    <row r="53">
      <c r="A53" s="31">
        <f>IF(B53=0,"",RANK(B53,$B$2:$B$95,0))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AVALON</t>
        </is>
      </c>
      <c r="D53" s="31" t="inlineStr">
        <is>
          <t>Avalon Technologies Ltd</t>
        </is>
      </c>
      <c r="E53" s="31" t="inlineStr">
        <is>
          <t>consumer discretionary</t>
        </is>
      </c>
      <c r="F53" s="31" t="inlineStr">
        <is>
          <t>Consumer Electronics - EMS</t>
        </is>
      </c>
      <c r="G53" s="31" t="inlineStr">
        <is>
          <t>midcap</t>
        </is>
      </c>
      <c r="H53" s="32" t="n">
        <v>15139.54</v>
      </c>
      <c r="I53" s="32" t="n">
        <v>2266</v>
      </c>
      <c r="J53" s="32" t="n">
        <v>1.75</v>
      </c>
      <c r="K53" s="32" t="n">
        <v>0</v>
      </c>
      <c r="L53" s="31" t="n">
        <v>79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81.87</v>
      </c>
      <c r="P53" s="32" t="n">
        <v>59.92</v>
      </c>
      <c r="Q53" s="32" t="n">
        <v>1720.3</v>
      </c>
      <c r="R53" s="31" t="inlineStr">
        <is>
          <t>Near 52W High Breakout</t>
        </is>
      </c>
      <c r="S53" s="31" t="inlineStr">
        <is>
          <t>Nifty 50</t>
        </is>
      </c>
      <c r="T53" s="32" t="n">
        <v>-6.83</v>
      </c>
      <c r="U53" s="32" t="n">
        <v>133.67</v>
      </c>
      <c r="V53" s="32" t="n">
        <v>150.81</v>
      </c>
      <c r="W53" s="32" t="n">
        <v>30.23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22</t>
        </is>
      </c>
      <c r="CG53" s="31">
        <f>IF(CF53&gt;20,10,IF(CF53&gt;=10,5,2))</f>
        <v/>
      </c>
    </row>
    <row r="54">
      <c r="A54" s="31">
        <f>IF(B54=0,"",RANK(B54,$B$2:$B$95,0))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KENNAMET</t>
        </is>
      </c>
      <c r="D54" s="31" t="inlineStr">
        <is>
          <t>Kennametal India Ltd</t>
        </is>
      </c>
      <c r="E54" s="31" t="inlineStr">
        <is>
          <t>industrials</t>
        </is>
      </c>
      <c r="F54" s="31" t="inlineStr">
        <is>
          <t>Castings, Forgings &amp; Fastners</t>
        </is>
      </c>
      <c r="G54" s="31" t="inlineStr">
        <is>
          <t>midcap</t>
        </is>
      </c>
      <c r="H54" s="32" t="n">
        <v>10285.82</v>
      </c>
      <c r="I54" s="32" t="n">
        <v>4680</v>
      </c>
      <c r="J54" s="32" t="n">
        <v>-6.92</v>
      </c>
      <c r="K54" s="32" t="n">
        <v>0</v>
      </c>
      <c r="L54" s="31" t="n">
        <v>88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85.14</v>
      </c>
      <c r="P54" s="32" t="n">
        <v>49.02</v>
      </c>
      <c r="Q54" s="32" t="n">
        <v>3647.29</v>
      </c>
      <c r="R54" s="31" t="inlineStr">
        <is>
          <t>Near 52W High Breakout</t>
        </is>
      </c>
      <c r="S54" s="31" t="inlineStr">
        <is>
          <t>Nifty Infra</t>
        </is>
      </c>
      <c r="T54" s="32" t="n">
        <v>0.12</v>
      </c>
      <c r="U54" s="32" t="n">
        <v>107.21</v>
      </c>
      <c r="V54" s="32" t="n">
        <v>106.96</v>
      </c>
      <c r="W54" s="32" t="n">
        <v>38.79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21</t>
        </is>
      </c>
      <c r="CG54" s="31">
        <f>IF(CF54&gt;20,10,IF(CF54&gt;=10,5,2))</f>
        <v/>
      </c>
    </row>
    <row r="55">
      <c r="A55" s="31">
        <f>IF(B55=0,"",RANK(B55,$B$2:$B$95,0))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TVSSRICHAK</t>
        </is>
      </c>
      <c r="D55" s="31" t="inlineStr">
        <is>
          <t>TVS Srichakra Ltd</t>
        </is>
      </c>
      <c r="E55" s="31" t="inlineStr">
        <is>
          <t>auto</t>
        </is>
      </c>
      <c r="F55" s="31" t="inlineStr">
        <is>
          <t>Tyres &amp; Tubes</t>
        </is>
      </c>
      <c r="G55" s="31" t="inlineStr">
        <is>
          <t>smallcap</t>
        </is>
      </c>
      <c r="H55" s="32" t="n">
        <v>3980.9</v>
      </c>
      <c r="I55" s="32" t="n">
        <v>5199</v>
      </c>
      <c r="J55" s="32" t="n">
        <v>-0.45</v>
      </c>
      <c r="K55" s="32" t="n">
        <v>0</v>
      </c>
      <c r="L55" s="31" t="n">
        <v>63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71.44</v>
      </c>
      <c r="P55" s="32" t="n">
        <v>31.72</v>
      </c>
      <c r="Q55" s="32" t="n">
        <v>4082.14</v>
      </c>
      <c r="R55" s="31" t="inlineStr">
        <is>
          <t>Near 52W High Breakout</t>
        </is>
      </c>
      <c r="S55" s="31" t="inlineStr">
        <is>
          <t>Nifty Auto</t>
        </is>
      </c>
      <c r="T55" s="32" t="n">
        <v>14.81</v>
      </c>
      <c r="U55" s="32" t="n">
        <v>73.97</v>
      </c>
      <c r="V55" s="32" t="n">
        <v>51.52</v>
      </c>
      <c r="W55" s="32" t="n">
        <v>20.44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21</t>
        </is>
      </c>
      <c r="CG55" s="31">
        <f>IF(CF55&gt;20,10,IF(CF55&gt;=10,5,2))</f>
        <v/>
      </c>
    </row>
    <row r="56">
      <c r="A56" s="31">
        <f>IF(B56=0,"",RANK(B56,$B$2:$B$95,0))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4" t="inlineStr">
        <is>
          <t>INDORAMA</t>
        </is>
      </c>
      <c r="D56" s="34" t="inlineStr">
        <is>
          <t>Indo Rama Synthetics (India) Ltd</t>
        </is>
      </c>
      <c r="E56" s="31" t="inlineStr">
        <is>
          <t>textiles</t>
        </is>
      </c>
      <c r="F56" s="31" t="inlineStr">
        <is>
          <t>Textiles - Spinning</t>
        </is>
      </c>
      <c r="G56" s="31" t="inlineStr">
        <is>
          <t>smallcap</t>
        </is>
      </c>
      <c r="H56" s="32" t="n">
        <v>2248.45</v>
      </c>
      <c r="I56" s="32" t="n">
        <v>86.11</v>
      </c>
      <c r="J56" s="32" t="n">
        <v>3.83</v>
      </c>
      <c r="K56" s="32" t="n">
        <v>0</v>
      </c>
      <c r="L56" s="31" t="n">
        <v>86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82.48999999999999</v>
      </c>
      <c r="P56" s="32" t="n">
        <v>52.82</v>
      </c>
      <c r="Q56" s="32" t="n">
        <v>64.02</v>
      </c>
      <c r="R56" s="31" t="inlineStr">
        <is>
          <t>Volume Spike &amp; Near 52W High Breakout</t>
        </is>
      </c>
      <c r="S56" s="31" t="inlineStr">
        <is>
          <t>Nifty 50</t>
        </is>
      </c>
      <c r="T56" s="32" t="n">
        <v>-6.83</v>
      </c>
      <c r="U56" s="32" t="n">
        <v>61.17</v>
      </c>
      <c r="V56" s="32" t="n">
        <v>72.98999999999999</v>
      </c>
      <c r="W56" s="32" t="n">
        <v>35.51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More than 1.2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20</t>
        </is>
      </c>
      <c r="CG56" s="31">
        <f>IF(CF56&gt;20,10,IF(CF56&gt;=10,5,2))</f>
        <v/>
      </c>
    </row>
    <row r="57">
      <c r="A57" s="31">
        <f>IF(B57=0,"",RANK(B57,$B$2:$B$95,0))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4" t="inlineStr">
        <is>
          <t>VALIANTORG</t>
        </is>
      </c>
      <c r="D57" s="34" t="inlineStr">
        <is>
          <t>Valiant Organics Ltd</t>
        </is>
      </c>
      <c r="E57" s="31" t="inlineStr">
        <is>
          <t>chemicals</t>
        </is>
      </c>
      <c r="F57" s="31" t="inlineStr">
        <is>
          <t>Chemicals - Organic</t>
        </is>
      </c>
      <c r="G57" s="31" t="inlineStr">
        <is>
          <t>smallcap</t>
        </is>
      </c>
      <c r="H57" s="32" t="n">
        <v>1111.01</v>
      </c>
      <c r="I57" s="32" t="n">
        <v>396.3</v>
      </c>
      <c r="J57" s="32" t="n">
        <v>4.99</v>
      </c>
      <c r="K57" s="32" t="n">
        <v>0</v>
      </c>
      <c r="L57" s="31" t="n">
        <v>43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70.06999999999999</v>
      </c>
      <c r="P57" s="32" t="n">
        <v>35.77</v>
      </c>
      <c r="Q57" s="32" t="n">
        <v>292.18</v>
      </c>
      <c r="R57" s="31" t="inlineStr">
        <is>
          <t>Volume Spike &amp; Near 52W High Breakout</t>
        </is>
      </c>
      <c r="S57" s="31" t="inlineStr">
        <is>
          <t>Nifty 50</t>
        </is>
      </c>
      <c r="T57" s="32" t="n">
        <v>-6.83</v>
      </c>
      <c r="U57" s="32" t="n">
        <v>8.609999999999999</v>
      </c>
      <c r="V57" s="32" t="n">
        <v>16.57</v>
      </c>
      <c r="W57" s="32" t="n">
        <v>13.74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20</t>
        </is>
      </c>
      <c r="CG57" s="31">
        <f>IF(CF57&gt;20,10,IF(CF57&gt;=10,5,2))</f>
        <v/>
      </c>
    </row>
    <row r="58">
      <c r="A58" s="31">
        <f>IF(B58=0,"",RANK(B58,$B$2:$B$95,0))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4" t="inlineStr">
        <is>
          <t>SPECTRUM</t>
        </is>
      </c>
      <c r="D58" s="34" t="inlineStr">
        <is>
          <t>Spectrum Electrical Industries Ltd</t>
        </is>
      </c>
      <c r="E58" s="31" t="inlineStr">
        <is>
          <t>industrials</t>
        </is>
      </c>
      <c r="F58" s="31" t="inlineStr">
        <is>
          <t>Capital Goods - Electric General</t>
        </is>
      </c>
      <c r="G58" s="31" t="inlineStr">
        <is>
          <t>smallcap</t>
        </is>
      </c>
      <c r="H58" s="32" t="n">
        <v>4749.51</v>
      </c>
      <c r="I58" s="32" t="n">
        <v>3022.5</v>
      </c>
      <c r="J58" s="32" t="n">
        <v>5</v>
      </c>
      <c r="K58" s="32" t="n">
        <v>0</v>
      </c>
      <c r="L58" s="31" t="n">
        <v>96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77.83</v>
      </c>
      <c r="P58" s="32" t="n">
        <v>60.23</v>
      </c>
      <c r="Q58" s="32" t="n">
        <v>2185.5</v>
      </c>
      <c r="R58" s="31" t="inlineStr">
        <is>
          <t>Near 52W High Breakout</t>
        </is>
      </c>
      <c r="S58" s="31" t="inlineStr">
        <is>
          <t>Nifty Infra</t>
        </is>
      </c>
      <c r="T58" s="32" t="n">
        <v>0.12</v>
      </c>
      <c r="U58" s="32" t="n">
        <v>93.11</v>
      </c>
      <c r="V58" s="32" t="n">
        <v>92.88</v>
      </c>
      <c r="W58" s="32" t="n">
        <v>60.59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Between 0.7 to 1.2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20</t>
        </is>
      </c>
      <c r="CG58" s="31">
        <f>IF(CF58&gt;20,10,IF(CF58&gt;=10,5,2))</f>
        <v/>
      </c>
    </row>
    <row r="59">
      <c r="A59" s="31">
        <f>IF(B59=0,"",RANK(B59,$B$2:$B$95,0))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4" t="inlineStr">
        <is>
          <t>QUADFUTURE</t>
        </is>
      </c>
      <c r="D59" s="34" t="inlineStr">
        <is>
          <t>Quadrant Future Tek Ltd</t>
        </is>
      </c>
      <c r="E59" s="31" t="inlineStr">
        <is>
          <t>industrials</t>
        </is>
      </c>
      <c r="F59" s="31" t="inlineStr">
        <is>
          <t>Railways - Kavach/Springs</t>
        </is>
      </c>
      <c r="G59" s="31" t="inlineStr">
        <is>
          <t>smallcap</t>
        </is>
      </c>
      <c r="H59" s="32" t="n">
        <v>1926</v>
      </c>
      <c r="I59" s="32" t="n">
        <v>481.5</v>
      </c>
      <c r="J59" s="32" t="n">
        <v>10.49</v>
      </c>
      <c r="K59" s="32" t="n">
        <v>0</v>
      </c>
      <c r="L59" s="31" t="n">
        <v>45</v>
      </c>
      <c r="M59" s="31" t="inlineStr">
        <is>
          <t>Underperforming</t>
        </is>
      </c>
      <c r="N59" s="32">
        <f>IF(M59="Underperforming",-5,IF(L59&gt;=95,15,IF(L59&gt;=90,10,IF(L59&gt;=80,5,0))))</f>
        <v/>
      </c>
      <c r="O59" s="32" t="n">
        <v>65.87</v>
      </c>
      <c r="P59" s="32" t="n">
        <v>37.57</v>
      </c>
      <c r="Q59" s="32" t="n">
        <v>327.56</v>
      </c>
      <c r="R59" s="31" t="inlineStr">
        <is>
          <t>Volume Spike &amp; Near 52W High Breakout</t>
        </is>
      </c>
      <c r="S59" s="31" t="inlineStr">
        <is>
          <t>Nifty Energy</t>
        </is>
      </c>
      <c r="T59" s="32" t="n">
        <v>7.62</v>
      </c>
      <c r="U59" s="32" t="n">
        <v>1.84</v>
      </c>
      <c r="V59" s="32" t="n">
        <v>-5.37</v>
      </c>
      <c r="W59" s="32" t="n">
        <v>14.47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19</t>
        </is>
      </c>
      <c r="CG59" s="31">
        <f>IF(CF59&gt;20,10,IF(CF59&gt;=10,5,2))</f>
        <v/>
      </c>
    </row>
    <row r="60">
      <c r="A60" s="31">
        <f>IF(B60=0,"",RANK(B60,$B$2:$B$95,0))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RGL</t>
        </is>
      </c>
      <c r="D60" s="31" t="inlineStr">
        <is>
          <t>Renaissance Global Ltd</t>
        </is>
      </c>
      <c r="E60" s="31" t="inlineStr">
        <is>
          <t>consumer discretionary</t>
        </is>
      </c>
      <c r="F60" s="31" t="inlineStr">
        <is>
          <t>Lab Grown Diamonds</t>
        </is>
      </c>
      <c r="G60" s="31" t="inlineStr">
        <is>
          <t>smallcap</t>
        </is>
      </c>
      <c r="H60" s="32" t="n">
        <v>1682.46</v>
      </c>
      <c r="I60" s="32" t="n">
        <v>156.7</v>
      </c>
      <c r="J60" s="32" t="n">
        <v>0.14</v>
      </c>
      <c r="K60" s="32" t="n">
        <v>0</v>
      </c>
      <c r="L60" s="31" t="n">
        <v>54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74.44</v>
      </c>
      <c r="P60" s="32" t="n">
        <v>24.6</v>
      </c>
      <c r="Q60" s="32" t="n">
        <v>116.18</v>
      </c>
      <c r="R60" s="31" t="inlineStr">
        <is>
          <t>Near 52W High Breakout</t>
        </is>
      </c>
      <c r="S60" s="31" t="inlineStr">
        <is>
          <t>Nifty 50</t>
        </is>
      </c>
      <c r="T60" s="32" t="n">
        <v>-6.83</v>
      </c>
      <c r="U60" s="32" t="n">
        <v>31.16</v>
      </c>
      <c r="V60" s="32" t="n">
        <v>40.78</v>
      </c>
      <c r="W60" s="32" t="n">
        <v>17.59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19</t>
        </is>
      </c>
      <c r="CG60" s="31">
        <f>IF(CF60&gt;20,10,IF(CF60&gt;=10,5,2))</f>
        <v/>
      </c>
    </row>
    <row r="61">
      <c r="A61" s="31">
        <f>IF(B61=0,"",RANK(B61,$B$2:$B$95,0))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4" t="inlineStr">
        <is>
          <t>SAPL</t>
        </is>
      </c>
      <c r="D61" s="34" t="inlineStr">
        <is>
          <t>Sar Auto Products Ltd</t>
        </is>
      </c>
      <c r="E61" s="31" t="inlineStr">
        <is>
          <t>Consumer Cyclical</t>
        </is>
      </c>
      <c r="F61" s="31" t="inlineStr">
        <is>
          <t>Auto Ancillaries - Gears</t>
        </is>
      </c>
      <c r="G61" s="31" t="inlineStr">
        <is>
          <t>smallcap</t>
        </is>
      </c>
      <c r="H61" s="32" t="n">
        <v>2594.71</v>
      </c>
      <c r="I61" s="32" t="n">
        <v>5445.65</v>
      </c>
      <c r="J61" s="32" t="n">
        <v>5</v>
      </c>
      <c r="K61" s="32" t="n">
        <v>0</v>
      </c>
      <c r="L61" s="31" t="n">
        <v>96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84.73</v>
      </c>
      <c r="P61" s="32" t="n">
        <v>41.24</v>
      </c>
      <c r="Q61" s="32" t="n">
        <v>4184.01</v>
      </c>
      <c r="R61" s="31" t="inlineStr">
        <is>
          <t>Near 52W High Breakout</t>
        </is>
      </c>
      <c r="S61" s="31" t="inlineStr">
        <is>
          <t>Nifty Auto</t>
        </is>
      </c>
      <c r="T61" s="32" t="n">
        <v>14.81</v>
      </c>
      <c r="U61" s="32" t="n">
        <v>220.33</v>
      </c>
      <c r="V61" s="32" t="n">
        <v>179</v>
      </c>
      <c r="W61" s="32" t="n">
        <v>62.04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B2C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More than 1.2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19</t>
        </is>
      </c>
      <c r="CG61" s="31">
        <f>IF(CF61&gt;20,10,IF(CF61&gt;=10,5,2))</f>
        <v/>
      </c>
    </row>
    <row r="62">
      <c r="A62" s="31">
        <f>IF(B62=0,"",RANK(B62,$B$2:$B$95,0))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LAURUSLABS</t>
        </is>
      </c>
      <c r="D62" s="31" t="inlineStr">
        <is>
          <t>Laurus Labs Ltd</t>
        </is>
      </c>
      <c r="E62" s="31" t="inlineStr">
        <is>
          <t>healthcare</t>
        </is>
      </c>
      <c r="F62" s="31" t="inlineStr">
        <is>
          <t>Pharma - API &amp; CRAMS</t>
        </is>
      </c>
      <c r="G62" s="31" t="inlineStr">
        <is>
          <t>largecap</t>
        </is>
      </c>
      <c r="H62" s="32" t="n">
        <v>106387.48</v>
      </c>
      <c r="I62" s="32" t="n">
        <v>1969</v>
      </c>
      <c r="J62" s="32" t="n">
        <v>1.23</v>
      </c>
      <c r="K62" s="32" t="n">
        <v>0</v>
      </c>
      <c r="L62" s="31" t="n">
        <v>75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77.37</v>
      </c>
      <c r="P62" s="32" t="n">
        <v>71.22</v>
      </c>
      <c r="Q62" s="32" t="n">
        <v>1676.45</v>
      </c>
      <c r="R62" s="31" t="inlineStr">
        <is>
          <t>Near 52W High Breakout</t>
        </is>
      </c>
      <c r="S62" s="31" t="inlineStr">
        <is>
          <t>Nifty Pharma</t>
        </is>
      </c>
      <c r="T62" s="32" t="n">
        <v>18.76</v>
      </c>
      <c r="U62" s="32" t="n">
        <v>120.14</v>
      </c>
      <c r="V62" s="32" t="n">
        <v>85.37</v>
      </c>
      <c r="W62" s="32" t="n">
        <v>26.74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23</t>
        </is>
      </c>
      <c r="CG62" s="31">
        <f>IF(CF62&gt;20,10,IF(CF62&gt;=10,5,2))</f>
        <v/>
      </c>
    </row>
    <row r="63">
      <c r="A63" s="31">
        <f>IF(B63=0,"",RANK(B63,$B$2:$B$95,0))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MMP</t>
        </is>
      </c>
      <c r="D63" s="31" t="inlineStr">
        <is>
          <t>MMP Industries Ltd</t>
        </is>
      </c>
      <c r="E63" s="31" t="inlineStr">
        <is>
          <t>metals &amp; mining</t>
        </is>
      </c>
      <c r="F63" s="31" t="inlineStr">
        <is>
          <t>Aluminium Products</t>
        </is>
      </c>
      <c r="G63" s="31" t="inlineStr">
        <is>
          <t>smallcap</t>
        </is>
      </c>
      <c r="H63" s="32" t="n">
        <v>1206.62</v>
      </c>
      <c r="I63" s="32" t="n">
        <v>475</v>
      </c>
      <c r="J63" s="32" t="n">
        <v>6.07</v>
      </c>
      <c r="K63" s="32" t="n">
        <v>0</v>
      </c>
      <c r="L63" s="31" t="n">
        <v>84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85.04000000000001</v>
      </c>
      <c r="P63" s="32" t="n">
        <v>48.9</v>
      </c>
      <c r="Q63" s="32" t="n">
        <v>358.58</v>
      </c>
      <c r="R63" s="31" t="inlineStr">
        <is>
          <t>Near 52W High Breakout</t>
        </is>
      </c>
      <c r="S63" s="31" t="inlineStr">
        <is>
          <t>Nifty Metal</t>
        </is>
      </c>
      <c r="T63" s="32" t="n">
        <v>37.92</v>
      </c>
      <c r="U63" s="32" t="n">
        <v>74.61</v>
      </c>
      <c r="V63" s="32" t="n">
        <v>26.61</v>
      </c>
      <c r="W63" s="32" t="n">
        <v>33.92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Cyclical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Volatile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26</t>
        </is>
      </c>
      <c r="CG63" s="31">
        <f>IF(CF63&gt;20,10,IF(CF63&gt;=10,5,2))</f>
        <v/>
      </c>
    </row>
    <row r="64">
      <c r="A64" s="31">
        <f>IF(B64=0,"",RANK(B64,$B$2:$B$95,0))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BHAGERIA</t>
        </is>
      </c>
      <c r="D64" s="31" t="inlineStr">
        <is>
          <t>Bhageria Industries Ltd</t>
        </is>
      </c>
      <c r="E64" s="31" t="inlineStr">
        <is>
          <t>chemicals</t>
        </is>
      </c>
      <c r="F64" s="31" t="inlineStr">
        <is>
          <t>Dyes &amp; Pigments</t>
        </is>
      </c>
      <c r="G64" s="31" t="inlineStr">
        <is>
          <t>smallcap</t>
        </is>
      </c>
      <c r="H64" s="32" t="n">
        <v>1388.98</v>
      </c>
      <c r="I64" s="32" t="n">
        <v>318.25</v>
      </c>
      <c r="J64" s="32" t="n">
        <v>5</v>
      </c>
      <c r="K64" s="32" t="n">
        <v>0</v>
      </c>
      <c r="L64" s="31" t="n">
        <v>69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76.59999999999999</v>
      </c>
      <c r="P64" s="32" t="n">
        <v>36.9</v>
      </c>
      <c r="Q64" s="32" t="n">
        <v>237.94</v>
      </c>
      <c r="R64" s="31" t="inlineStr">
        <is>
          <t>Volume Spike &amp; Near 52W High Breakout</t>
        </is>
      </c>
      <c r="S64" s="31" t="inlineStr">
        <is>
          <t>Nifty 50</t>
        </is>
      </c>
      <c r="T64" s="32" t="n">
        <v>-6.83</v>
      </c>
      <c r="U64" s="32" t="n">
        <v>57.04</v>
      </c>
      <c r="V64" s="32" t="n">
        <v>68.56</v>
      </c>
      <c r="W64" s="32" t="n">
        <v>23.7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25</t>
        </is>
      </c>
      <c r="CG64" s="31">
        <f>IF(CF64&gt;20,10,IF(CF64&gt;=10,5,2))</f>
        <v/>
      </c>
    </row>
    <row r="65">
      <c r="A65" s="31">
        <f>IF(B65=0,"",RANK(B65,$B$2:$B$95,0))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STLTECH</t>
        </is>
      </c>
      <c r="D65" s="31" t="inlineStr">
        <is>
          <t>Sterlite Technologies Ltd</t>
        </is>
      </c>
      <c r="E65" s="31" t="inlineStr">
        <is>
          <t>industrials</t>
        </is>
      </c>
      <c r="F65" s="31" t="inlineStr">
        <is>
          <t>Cables - Telecom</t>
        </is>
      </c>
      <c r="G65" s="31" t="inlineStr">
        <is>
          <t>largecap</t>
        </is>
      </c>
      <c r="H65" s="32" t="n">
        <v>46120.96</v>
      </c>
      <c r="I65" s="32" t="n">
        <v>897.45</v>
      </c>
      <c r="J65" s="32" t="n">
        <v>5</v>
      </c>
      <c r="K65" s="32" t="n">
        <v>0</v>
      </c>
      <c r="L65" s="31" t="n">
        <v>99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82.90000000000001</v>
      </c>
      <c r="P65" s="32" t="n">
        <v>74.48999999999999</v>
      </c>
      <c r="Q65" s="32" t="n">
        <v>666.48</v>
      </c>
      <c r="R65" s="31" t="inlineStr">
        <is>
          <t>Near 52W High Breakout</t>
        </is>
      </c>
      <c r="S65" s="31" t="inlineStr">
        <is>
          <t>Nifty Infra</t>
        </is>
      </c>
      <c r="T65" s="32" t="n">
        <v>0.12</v>
      </c>
      <c r="U65" s="32" t="n">
        <v>665.11</v>
      </c>
      <c r="V65" s="32" t="n">
        <v>664.21</v>
      </c>
      <c r="W65" s="32" t="n">
        <v>130.21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Oligopoly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Between 0.7 to 1.2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24</t>
        </is>
      </c>
      <c r="CG65" s="31">
        <f>IF(CF65&gt;20,10,IF(CF65&gt;=10,5,2))</f>
        <v/>
      </c>
    </row>
    <row r="66">
      <c r="A66" s="31">
        <f>IF(B66=0,"",RANK(B66,$B$2:$B$95,0))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NRAIL</t>
        </is>
      </c>
      <c r="D66" s="31" t="inlineStr">
        <is>
          <t>N R Agarwal Industries Ltd</t>
        </is>
      </c>
      <c r="E66" s="31" t="inlineStr">
        <is>
          <t>building materials</t>
        </is>
      </c>
      <c r="F66" s="31" t="inlineStr">
        <is>
          <t>Paper</t>
        </is>
      </c>
      <c r="G66" s="31" t="inlineStr">
        <is>
          <t>smallcap</t>
        </is>
      </c>
      <c r="H66" s="32" t="n">
        <v>1078.07</v>
      </c>
      <c r="I66" s="32" t="n">
        <v>633.45</v>
      </c>
      <c r="J66" s="32" t="n">
        <v>6.41</v>
      </c>
      <c r="K66" s="32" t="n">
        <v>0</v>
      </c>
      <c r="L66" s="31" t="n">
        <v>65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69.17</v>
      </c>
      <c r="P66" s="32" t="n">
        <v>32.21</v>
      </c>
      <c r="Q66" s="32" t="n">
        <v>459.69</v>
      </c>
      <c r="R66" s="31" t="inlineStr">
        <is>
          <t>Volume Spike &amp; Near 52W High Breakout</t>
        </is>
      </c>
      <c r="S66" s="31" t="inlineStr">
        <is>
          <t>Nifty Infra</t>
        </is>
      </c>
      <c r="T66" s="32" t="n">
        <v>0.12</v>
      </c>
      <c r="U66" s="32" t="n">
        <v>83.09999999999999</v>
      </c>
      <c r="V66" s="32" t="n">
        <v>82.89</v>
      </c>
      <c r="W66" s="32" t="n">
        <v>20.99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Between 0.7 to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22</t>
        </is>
      </c>
      <c r="CG66" s="31">
        <f>IF(CF66&gt;20,10,IF(CF66&gt;=10,5,2))</f>
        <v/>
      </c>
    </row>
    <row r="67">
      <c r="A67" s="31">
        <f>IF(B67=0,"",RANK(B67,$B$2:$B$95,0))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MACPOWER</t>
        </is>
      </c>
      <c r="D67" s="31" t="inlineStr">
        <is>
          <t>Macpower CNC Machines Ltd</t>
        </is>
      </c>
      <c r="E67" s="31" t="inlineStr">
        <is>
          <t>Industrials</t>
        </is>
      </c>
      <c r="F67" s="31" t="inlineStr">
        <is>
          <t>CNC - Machines</t>
        </is>
      </c>
      <c r="G67" s="31" t="inlineStr">
        <is>
          <t>smallcap</t>
        </is>
      </c>
      <c r="H67" s="32" t="n">
        <v>1849.47</v>
      </c>
      <c r="I67" s="32" t="n">
        <v>1848.7</v>
      </c>
      <c r="J67" s="32" t="n">
        <v>-1.16</v>
      </c>
      <c r="K67" s="32" t="n">
        <v>0</v>
      </c>
      <c r="L67" s="31" t="n">
        <v>86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69.81</v>
      </c>
      <c r="P67" s="32" t="n">
        <v>44.12</v>
      </c>
      <c r="Q67" s="32" t="n">
        <v>1474.84</v>
      </c>
      <c r="R67" s="31" t="inlineStr">
        <is>
          <t>Earnings / Momentum Support</t>
        </is>
      </c>
      <c r="S67" s="31" t="inlineStr">
        <is>
          <t>Nifty 50</t>
        </is>
      </c>
      <c r="T67" s="32" t="n">
        <v>-6.83</v>
      </c>
      <c r="U67" s="32" t="n">
        <v>103.41</v>
      </c>
      <c r="V67" s="32" t="n">
        <v>118.33</v>
      </c>
      <c r="W67" s="32" t="n">
        <v>36.31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21</t>
        </is>
      </c>
      <c r="CG67" s="31">
        <f>IF(CF67&gt;20,10,IF(CF67&gt;=10,5,2))</f>
        <v/>
      </c>
    </row>
    <row r="68">
      <c r="A68" s="31">
        <f>IF(B68=0,"",RANK(B68,$B$2:$B$95,0))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AFCOM</t>
        </is>
      </c>
      <c r="D68" s="31" t="inlineStr">
        <is>
          <t>Afcom Holdings Ltd</t>
        </is>
      </c>
      <c r="E68" s="31" t="inlineStr">
        <is>
          <t>Industrials</t>
        </is>
      </c>
      <c r="F68" s="31" t="inlineStr">
        <is>
          <t>Air Transport Service</t>
        </is>
      </c>
      <c r="G68" s="31" t="inlineStr">
        <is>
          <t>smallcap</t>
        </is>
      </c>
      <c r="H68" s="32" t="n">
        <v>4470.05</v>
      </c>
      <c r="I68" s="32" t="n">
        <v>1546</v>
      </c>
      <c r="J68" s="32" t="n">
        <v>-2.13</v>
      </c>
      <c r="K68" s="32" t="n">
        <v>0</v>
      </c>
      <c r="L68" s="31" t="n">
        <v>75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67.86</v>
      </c>
      <c r="P68" s="32" t="n">
        <v>47.95</v>
      </c>
      <c r="Q68" s="32" t="n">
        <v>1209.7</v>
      </c>
      <c r="R68" s="31" t="inlineStr">
        <is>
          <t>Earnings / Momentum Support</t>
        </is>
      </c>
      <c r="S68" s="31" t="inlineStr">
        <is>
          <t>Nifty 50</t>
        </is>
      </c>
      <c r="T68" s="32" t="n">
        <v>-6.83</v>
      </c>
      <c r="U68" s="32" t="n">
        <v>66.67</v>
      </c>
      <c r="V68" s="32" t="n">
        <v>78.89</v>
      </c>
      <c r="W68" s="32" t="n">
        <v>26.58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Less than 50%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20</t>
        </is>
      </c>
      <c r="CG68" s="31">
        <f>IF(CF68&gt;20,10,IF(CF68&gt;=10,5,2))</f>
        <v/>
      </c>
    </row>
    <row r="69">
      <c r="A69" s="31">
        <f>IF(B69=0,"",RANK(B69,$B$2:$B$95,0))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KMEW</t>
        </is>
      </c>
      <c r="D69" s="31" t="inlineStr">
        <is>
          <t>Knowledge Marine &amp; Engineering Works Ltd</t>
        </is>
      </c>
      <c r="E69" s="31" t="inlineStr">
        <is>
          <t>Industrials</t>
        </is>
      </c>
      <c r="F69" s="31" t="inlineStr">
        <is>
          <t>Shipping</t>
        </is>
      </c>
      <c r="G69" s="31" t="inlineStr">
        <is>
          <t>midcap</t>
        </is>
      </c>
      <c r="H69" s="32" t="n">
        <v>7338.15</v>
      </c>
      <c r="I69" s="32" t="n">
        <v>2893.1</v>
      </c>
      <c r="J69" s="32" t="n">
        <v>-0.8</v>
      </c>
      <c r="K69" s="32" t="n">
        <v>0</v>
      </c>
      <c r="L69" s="31" t="n">
        <v>83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71.81</v>
      </c>
      <c r="P69" s="32" t="n">
        <v>57.7</v>
      </c>
      <c r="Q69" s="32" t="n">
        <v>2246.64</v>
      </c>
      <c r="R69" s="31" t="inlineStr">
        <is>
          <t>Earnings / Momentum Support</t>
        </is>
      </c>
      <c r="S69" s="31" t="inlineStr">
        <is>
          <t>Nifty 50</t>
        </is>
      </c>
      <c r="T69" s="32" t="n">
        <v>-6.83</v>
      </c>
      <c r="U69" s="32" t="n">
        <v>163.1</v>
      </c>
      <c r="V69" s="32" t="n">
        <v>182.39</v>
      </c>
      <c r="W69" s="32" t="n">
        <v>33.59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20</t>
        </is>
      </c>
      <c r="CG69" s="31">
        <f>IF(CF69&gt;20,10,IF(CF69&gt;=10,5,2))</f>
        <v/>
      </c>
    </row>
    <row r="70">
      <c r="A70" s="31">
        <f>IF(B70=0,"",RANK(B70,$B$2:$B$95,0))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AEROFLEX</t>
        </is>
      </c>
      <c r="D70" s="31" t="inlineStr">
        <is>
          <t>Aeroflex Industries Ltd</t>
        </is>
      </c>
      <c r="E70" s="31" t="inlineStr">
        <is>
          <t>metals &amp; mining</t>
        </is>
      </c>
      <c r="F70" s="31" t="inlineStr">
        <is>
          <t>Stainless Steel</t>
        </is>
      </c>
      <c r="G70" s="31" t="inlineStr">
        <is>
          <t>midcap</t>
        </is>
      </c>
      <c r="H70" s="32" t="n">
        <v>7476.69</v>
      </c>
      <c r="I70" s="32" t="n">
        <v>565</v>
      </c>
      <c r="J70" s="32" t="n">
        <v>0.14</v>
      </c>
      <c r="K70" s="32" t="n">
        <v>0</v>
      </c>
      <c r="L70" s="31" t="n">
        <v>93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73.52</v>
      </c>
      <c r="P70" s="32" t="n">
        <v>61.21</v>
      </c>
      <c r="Q70" s="32" t="n">
        <v>412.35</v>
      </c>
      <c r="R70" s="31" t="inlineStr">
        <is>
          <t>Near 52W High Breakout</t>
        </is>
      </c>
      <c r="S70" s="31" t="inlineStr">
        <is>
          <t>Nifty Metal</t>
        </is>
      </c>
      <c r="T70" s="32" t="n">
        <v>37.92</v>
      </c>
      <c r="U70" s="32" t="n">
        <v>174.52</v>
      </c>
      <c r="V70" s="32" t="n">
        <v>99.04000000000001</v>
      </c>
      <c r="W70" s="32" t="n">
        <v>51.45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Cyclical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Volatile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19</t>
        </is>
      </c>
      <c r="CG70" s="31">
        <f>IF(CF70&gt;20,10,IF(CF70&gt;=10,5,2))</f>
        <v/>
      </c>
    </row>
    <row r="71">
      <c r="A71" s="31">
        <f>IF(B71=0,"",RANK(B71,$B$2:$B$95,0))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ENTERO</t>
        </is>
      </c>
      <c r="D71" s="31" t="inlineStr">
        <is>
          <t>Entero Healthcare Solutions Ltd</t>
        </is>
      </c>
      <c r="E71" s="31" t="inlineStr">
        <is>
          <t>healthcare</t>
        </is>
      </c>
      <c r="F71" s="31" t="inlineStr">
        <is>
          <t>Pharmacy Distribution</t>
        </is>
      </c>
      <c r="G71" s="31" t="inlineStr">
        <is>
          <t>midcap</t>
        </is>
      </c>
      <c r="H71" s="32" t="n">
        <v>7864.18</v>
      </c>
      <c r="I71" s="32" t="n">
        <v>1806.9</v>
      </c>
      <c r="J71" s="32" t="n">
        <v>0.78</v>
      </c>
      <c r="K71" s="32" t="n">
        <v>0</v>
      </c>
      <c r="L71" s="31" t="n">
        <v>70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77.27</v>
      </c>
      <c r="P71" s="32" t="n">
        <v>37.76</v>
      </c>
      <c r="Q71" s="32" t="n">
        <v>1437.86</v>
      </c>
      <c r="R71" s="31" t="inlineStr">
        <is>
          <t>Near 52W High Breakout</t>
        </is>
      </c>
      <c r="S71" s="31" t="inlineStr">
        <is>
          <t>Nifty Pharma</t>
        </is>
      </c>
      <c r="T71" s="32" t="n">
        <v>18.76</v>
      </c>
      <c r="U71" s="32" t="n">
        <v>57.29</v>
      </c>
      <c r="V71" s="32" t="n">
        <v>32.44</v>
      </c>
      <c r="W71" s="32" t="n">
        <v>23.92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Between 1.5 to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22</t>
        </is>
      </c>
      <c r="CG71" s="31">
        <f>IF(CF71&gt;20,10,IF(CF71&gt;=10,5,2))</f>
        <v/>
      </c>
    </row>
    <row r="72">
      <c r="A72" s="31">
        <f>IF(B72=0,"",RANK(B72,$B$2:$B$95,0))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CUPID</t>
        </is>
      </c>
      <c r="D72" s="31" t="inlineStr">
        <is>
          <t>Cupid Ltd</t>
        </is>
      </c>
      <c r="E72" s="31" t="inlineStr">
        <is>
          <t>fmcg</t>
        </is>
      </c>
      <c r="F72" s="31" t="inlineStr">
        <is>
          <t>Contraceptives/Protectives</t>
        </is>
      </c>
      <c r="G72" s="31" t="inlineStr">
        <is>
          <t>largecap</t>
        </is>
      </c>
      <c r="H72" s="32" t="n">
        <v>37643.78</v>
      </c>
      <c r="I72" s="32" t="n">
        <v>279.95</v>
      </c>
      <c r="J72" s="32" t="n">
        <v>0.9</v>
      </c>
      <c r="K72" s="32" t="n">
        <v>0</v>
      </c>
      <c r="L72" s="31" t="n">
        <v>99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84.8</v>
      </c>
      <c r="P72" s="32" t="n">
        <v>73.18000000000001</v>
      </c>
      <c r="Q72" s="32" t="n">
        <v>228.08</v>
      </c>
      <c r="R72" s="31" t="inlineStr">
        <is>
          <t>Near 52W High Breakout</t>
        </is>
      </c>
      <c r="S72" s="31" t="inlineStr">
        <is>
          <t>Nifty FMCG</t>
        </is>
      </c>
      <c r="T72" s="32" t="n">
        <v>-17.45</v>
      </c>
      <c r="U72" s="32" t="n">
        <v>846.52</v>
      </c>
      <c r="V72" s="32" t="n">
        <v>1046.65</v>
      </c>
      <c r="W72" s="32" t="n">
        <v>93.09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B2C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20</t>
        </is>
      </c>
      <c r="CG72" s="31">
        <f>IF(CF72&gt;20,10,IF(CF72&gt;=10,5,2))</f>
        <v/>
      </c>
    </row>
    <row r="73">
      <c r="A73" s="31">
        <f>IF(B73=0,"",RANK(B73,$B$2:$B$95,0))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ANTELOPUS</t>
        </is>
      </c>
      <c r="D73" s="31" t="inlineStr">
        <is>
          <t>Antelopus Selan Energy Ltd</t>
        </is>
      </c>
      <c r="E73" s="31" t="inlineStr">
        <is>
          <t>energy</t>
        </is>
      </c>
      <c r="F73" s="31" t="inlineStr">
        <is>
          <t>Oil Drilling &amp; Exploration</t>
        </is>
      </c>
      <c r="G73" s="31" t="inlineStr">
        <is>
          <t>smallcap</t>
        </is>
      </c>
      <c r="H73" s="32" t="n">
        <v>4025.56</v>
      </c>
      <c r="I73" s="32" t="n">
        <v>1144.85</v>
      </c>
      <c r="J73" s="32" t="n">
        <v>1.85</v>
      </c>
      <c r="K73" s="32" t="n">
        <v>0</v>
      </c>
      <c r="L73" s="31" t="n">
        <v>84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74.28</v>
      </c>
      <c r="P73" s="32" t="n">
        <v>45.48</v>
      </c>
      <c r="Q73" s="32" t="n">
        <v>796.67</v>
      </c>
      <c r="R73" s="31" t="inlineStr">
        <is>
          <t>Volume Spike &amp; Near 52W High Breakout</t>
        </is>
      </c>
      <c r="S73" s="31" t="inlineStr">
        <is>
          <t>Nifty Energy</t>
        </is>
      </c>
      <c r="T73" s="32" t="n">
        <v>7.62</v>
      </c>
      <c r="U73" s="32" t="n">
        <v>82.75</v>
      </c>
      <c r="V73" s="32" t="n">
        <v>69.81999999999999</v>
      </c>
      <c r="W73" s="32" t="n">
        <v>34.23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Oligopoly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Cyclical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Volatile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31</t>
        </is>
      </c>
      <c r="CG73" s="31">
        <f>IF(CF73&gt;20,10,IF(CF73&gt;=10,5,2))</f>
        <v/>
      </c>
    </row>
    <row r="74">
      <c r="A74" s="31">
        <f>IF(B74=0,"",RANK(B74,$B$2:$B$95,0))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CHENNPETRO</t>
        </is>
      </c>
      <c r="D74" s="31" t="inlineStr">
        <is>
          <t>Chennai Petroleum Corporation Ltd</t>
        </is>
      </c>
      <c r="E74" s="31" t="inlineStr">
        <is>
          <t>energy</t>
        </is>
      </c>
      <c r="F74" s="31" t="inlineStr">
        <is>
          <t>Refineries</t>
        </is>
      </c>
      <c r="G74" s="31" t="inlineStr">
        <is>
          <t>largecap</t>
        </is>
      </c>
      <c r="H74" s="32" t="n">
        <v>23377.6</v>
      </c>
      <c r="I74" s="32" t="n">
        <v>1569.9</v>
      </c>
      <c r="J74" s="32" t="n">
        <v>-3.47</v>
      </c>
      <c r="K74" s="32" t="n">
        <v>0</v>
      </c>
      <c r="L74" s="31" t="n">
        <v>82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78.05</v>
      </c>
      <c r="P74" s="32" t="n">
        <v>58.41</v>
      </c>
      <c r="Q74" s="32" t="n">
        <v>1172.16</v>
      </c>
      <c r="R74" s="31" t="inlineStr">
        <is>
          <t>Near 52W High Breakout</t>
        </is>
      </c>
      <c r="S74" s="31" t="inlineStr">
        <is>
          <t>Nifty Energy</t>
        </is>
      </c>
      <c r="T74" s="32" t="n">
        <v>7.62</v>
      </c>
      <c r="U74" s="32" t="n">
        <v>142.39</v>
      </c>
      <c r="V74" s="32" t="n">
        <v>125.24</v>
      </c>
      <c r="W74" s="32" t="n">
        <v>32.65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Oligopoly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Cyclical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Volatile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25</t>
        </is>
      </c>
      <c r="CG74" s="31">
        <f>IF(CF74&gt;20,10,IF(CF74&gt;=10,5,2))</f>
        <v/>
      </c>
    </row>
    <row r="75">
      <c r="A75" s="31">
        <f>IF(B75=0,"",RANK(B75,$B$2:$B$95,0))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CRAFTSMAN</t>
        </is>
      </c>
      <c r="D75" s="31" t="inlineStr">
        <is>
          <t>Craftsman Automation Ltd</t>
        </is>
      </c>
      <c r="E75" s="31" t="inlineStr">
        <is>
          <t>auto</t>
        </is>
      </c>
      <c r="F75" s="31" t="inlineStr">
        <is>
          <t>Auto &amp; Auto Ancl - CV</t>
        </is>
      </c>
      <c r="G75" s="31" t="inlineStr">
        <is>
          <t>largecap</t>
        </is>
      </c>
      <c r="H75" s="32" t="n">
        <v>30598.07</v>
      </c>
      <c r="I75" s="32" t="n">
        <v>11699</v>
      </c>
      <c r="J75" s="32" t="n">
        <v>-1.28</v>
      </c>
      <c r="K75" s="32" t="n">
        <v>0</v>
      </c>
      <c r="L75" s="31" t="n">
        <v>73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75.89</v>
      </c>
      <c r="P75" s="32" t="n">
        <v>67.25</v>
      </c>
      <c r="Q75" s="32" t="n">
        <v>9625.33</v>
      </c>
      <c r="R75" s="31" t="inlineStr">
        <is>
          <t>Near 52W High Breakout</t>
        </is>
      </c>
      <c r="S75" s="31" t="inlineStr">
        <is>
          <t>Nifty Auto</t>
        </is>
      </c>
      <c r="T75" s="32" t="n">
        <v>14.81</v>
      </c>
      <c r="U75" s="32" t="n">
        <v>86.14</v>
      </c>
      <c r="V75" s="32" t="n">
        <v>62.13</v>
      </c>
      <c r="W75" s="32" t="n">
        <v>25.62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23</t>
        </is>
      </c>
      <c r="CG75" s="31">
        <f>IF(CF75&gt;20,10,IF(CF75&gt;=10,5,2))</f>
        <v/>
      </c>
    </row>
    <row r="76">
      <c r="A76" s="31">
        <f>IF(B76=0,"",RANK(B76,$B$2:$B$95,0))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3" t="inlineStr">
        <is>
          <t>AEROENTER</t>
        </is>
      </c>
      <c r="D76" s="33" t="inlineStr">
        <is>
          <t>Aeroflex Enterprises Ltd</t>
        </is>
      </c>
      <c r="E76" s="31" t="inlineStr">
        <is>
          <t>Basic Materials</t>
        </is>
      </c>
      <c r="F76" s="31" t="inlineStr">
        <is>
          <t>Miscellaneous</t>
        </is>
      </c>
      <c r="G76" s="31" t="inlineStr">
        <is>
          <t>smallcap</t>
        </is>
      </c>
      <c r="H76" s="32" t="n">
        <v>1567.89</v>
      </c>
      <c r="I76" s="32" t="n">
        <v>138.55</v>
      </c>
      <c r="J76" s="32" t="n">
        <v>2.62</v>
      </c>
      <c r="K76" s="32" t="n">
        <v>0</v>
      </c>
      <c r="L76" s="31" t="n">
        <v>55</v>
      </c>
      <c r="M76" s="31" t="inlineStr">
        <is>
          <t>Underperforming</t>
        </is>
      </c>
      <c r="N76" s="32">
        <f>IF(M76="Underperforming",-5,IF(L76&gt;=95,15,IF(L76&gt;=90,10,IF(L76&gt;=80,5,0))))</f>
        <v/>
      </c>
      <c r="O76" s="32" t="n">
        <v>62.64</v>
      </c>
      <c r="P76" s="32" t="n">
        <v>54.49</v>
      </c>
      <c r="Q76" s="32" t="n">
        <v>102.82</v>
      </c>
      <c r="R76" s="31" t="inlineStr">
        <is>
          <t>Volume Spike / Accumulation</t>
        </is>
      </c>
      <c r="S76" s="31" t="inlineStr">
        <is>
          <t>Nifty Metal</t>
        </is>
      </c>
      <c r="T76" s="32" t="n">
        <v>37.92</v>
      </c>
      <c r="U76" s="32" t="n">
        <v>33.95</v>
      </c>
      <c r="V76" s="32" t="n">
        <v>-2.88</v>
      </c>
      <c r="W76" s="32" t="n">
        <v>18.08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21</t>
        </is>
      </c>
      <c r="CG76" s="31">
        <f>IF(CF76&gt;20,10,IF(CF76&gt;=10,5,2))</f>
        <v/>
      </c>
    </row>
    <row r="77">
      <c r="A77" s="31">
        <f>IF(B77=0,"",RANK(B77,$B$2:$B$95,0))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4" t="inlineStr">
        <is>
          <t>FOSECOIND</t>
        </is>
      </c>
      <c r="D77" s="34" t="inlineStr">
        <is>
          <t>Foseco India Ltd</t>
        </is>
      </c>
      <c r="E77" s="31" t="inlineStr">
        <is>
          <t>chemicals</t>
        </is>
      </c>
      <c r="F77" s="31" t="inlineStr">
        <is>
          <t>Chemicals - Organic</t>
        </is>
      </c>
      <c r="G77" s="31" t="inlineStr">
        <is>
          <t>smallcap</t>
        </is>
      </c>
      <c r="H77" s="32" t="n">
        <v>4689.68</v>
      </c>
      <c r="I77" s="32" t="n">
        <v>6222</v>
      </c>
      <c r="J77" s="32" t="n">
        <v>0.45</v>
      </c>
      <c r="K77" s="32" t="n">
        <v>0</v>
      </c>
      <c r="L77" s="31" t="n">
        <v>19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66.28</v>
      </c>
      <c r="P77" s="32" t="n">
        <v>26.6</v>
      </c>
      <c r="Q77" s="32" t="n">
        <v>5001.07</v>
      </c>
      <c r="R77" s="31" t="inlineStr">
        <is>
          <t>Near 52W High Breakout</t>
        </is>
      </c>
      <c r="S77" s="31" t="inlineStr">
        <is>
          <t>Nifty 50</t>
        </is>
      </c>
      <c r="T77" s="32" t="n">
        <v>-6.83</v>
      </c>
      <c r="U77" s="32" t="n">
        <v>1.86</v>
      </c>
      <c r="V77" s="32" t="n">
        <v>9.33</v>
      </c>
      <c r="W77" s="32" t="n">
        <v>6.39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Less than 12%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20</t>
        </is>
      </c>
      <c r="CG77" s="31">
        <f>IF(CF77&gt;20,10,IF(CF77&gt;=10,5,2))</f>
        <v/>
      </c>
    </row>
    <row r="78">
      <c r="A78" s="31">
        <f>IF(B78=0,"",RANK(B78,$B$2:$B$95,0))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4" t="inlineStr">
        <is>
          <t>INVPRECQ</t>
        </is>
      </c>
      <c r="D78" s="34" t="inlineStr">
        <is>
          <t>Investment &amp; Precision Castings Ltd</t>
        </is>
      </c>
      <c r="E78" s="31" t="inlineStr">
        <is>
          <t>Basic Materials</t>
        </is>
      </c>
      <c r="F78" s="31" t="inlineStr">
        <is>
          <t>Castings - Steel/Alloy</t>
        </is>
      </c>
      <c r="G78" s="31" t="inlineStr">
        <is>
          <t>smallcap</t>
        </is>
      </c>
      <c r="H78" s="32" t="n">
        <v>1407.65</v>
      </c>
      <c r="I78" s="32" t="n">
        <v>1407.65</v>
      </c>
      <c r="J78" s="32" t="n">
        <v>2</v>
      </c>
      <c r="K78" s="32" t="n">
        <v>0</v>
      </c>
      <c r="L78" s="31" t="n">
        <v>95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85.92</v>
      </c>
      <c r="P78" s="32" t="n">
        <v>65.58</v>
      </c>
      <c r="Q78" s="32" t="n">
        <v>1123.85</v>
      </c>
      <c r="R78" s="31" t="inlineStr">
        <is>
          <t>Volume Spike &amp; Near 52W High Breakout</t>
        </is>
      </c>
      <c r="S78" s="31" t="inlineStr">
        <is>
          <t>Nifty Metal</t>
        </is>
      </c>
      <c r="T78" s="32" t="n">
        <v>37.92</v>
      </c>
      <c r="U78" s="32" t="n">
        <v>178.5</v>
      </c>
      <c r="V78" s="32" t="n">
        <v>101.93</v>
      </c>
      <c r="W78" s="32" t="n">
        <v>56.78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Cyclical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Volatile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19</t>
        </is>
      </c>
      <c r="CG78" s="31">
        <f>IF(CF78&gt;20,10,IF(CF78&gt;=10,5,2))</f>
        <v/>
      </c>
    </row>
    <row r="79">
      <c r="A79" s="31">
        <f>IF(B79=0,"",RANK(B79,$B$2:$B$95,0))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MANINDS</t>
        </is>
      </c>
      <c r="D79" s="31" t="inlineStr">
        <is>
          <t>Man Industries (India) Ltd</t>
        </is>
      </c>
      <c r="E79" s="31" t="inlineStr">
        <is>
          <t>metals &amp; mining</t>
        </is>
      </c>
      <c r="F79" s="31" t="inlineStr">
        <is>
          <t>Steel - Tubes/Pipes</t>
        </is>
      </c>
      <c r="G79" s="31" t="inlineStr">
        <is>
          <t>midcap</t>
        </is>
      </c>
      <c r="H79" s="32" t="n">
        <v>6512.71</v>
      </c>
      <c r="I79" s="32" t="n">
        <v>868.25</v>
      </c>
      <c r="J79" s="32" t="n">
        <v>-0.9399999999999999</v>
      </c>
      <c r="K79" s="32" t="n">
        <v>0</v>
      </c>
      <c r="L79" s="31" t="n">
        <v>82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79.81999999999999</v>
      </c>
      <c r="P79" s="32" t="n">
        <v>35.76</v>
      </c>
      <c r="Q79" s="32" t="n">
        <v>654.76</v>
      </c>
      <c r="R79" s="31" t="inlineStr">
        <is>
          <t>Volume Spike &amp; Near 52W High Breakout</t>
        </is>
      </c>
      <c r="S79" s="31" t="inlineStr">
        <is>
          <t>Nifty Metal</t>
        </is>
      </c>
      <c r="T79" s="32" t="n">
        <v>37.92</v>
      </c>
      <c r="U79" s="32" t="n">
        <v>103.29</v>
      </c>
      <c r="V79" s="32" t="n">
        <v>47.39</v>
      </c>
      <c r="W79" s="32" t="n">
        <v>32.52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Cyclical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Volatile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25</t>
        </is>
      </c>
      <c r="CG79" s="31">
        <f>IF(CF79&gt;20,10,IF(CF79&gt;=10,5,2))</f>
        <v/>
      </c>
    </row>
    <row r="80">
      <c r="A80" s="31">
        <f>IF(B80=0,"",RANK(B80,$B$2:$B$95,0))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PTCIL</t>
        </is>
      </c>
      <c r="D80" s="31" t="inlineStr">
        <is>
          <t>PTC Industries Ltd</t>
        </is>
      </c>
      <c r="E80" s="31" t="inlineStr">
        <is>
          <t>industrials</t>
        </is>
      </c>
      <c r="F80" s="31" t="inlineStr">
        <is>
          <t>Castings - Steel/Alloy</t>
        </is>
      </c>
      <c r="G80" s="31" t="inlineStr">
        <is>
          <t>largecap</t>
        </is>
      </c>
      <c r="H80" s="32" t="n">
        <v>35142.53</v>
      </c>
      <c r="I80" s="32" t="n">
        <v>23440</v>
      </c>
      <c r="J80" s="32" t="n">
        <v>4.71</v>
      </c>
      <c r="K80" s="32" t="n">
        <v>0</v>
      </c>
      <c r="L80" s="31" t="n">
        <v>52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76.69</v>
      </c>
      <c r="P80" s="32" t="n">
        <v>32.75</v>
      </c>
      <c r="Q80" s="32" t="n">
        <v>19475.25</v>
      </c>
      <c r="R80" s="31" t="inlineStr">
        <is>
          <t>Near 52W High Breakout</t>
        </is>
      </c>
      <c r="S80" s="31" t="inlineStr">
        <is>
          <t>Nifty 50</t>
        </is>
      </c>
      <c r="T80" s="32" t="n">
        <v>-6.83</v>
      </c>
      <c r="U80" s="32" t="n">
        <v>66.81</v>
      </c>
      <c r="V80" s="32" t="n">
        <v>79.04000000000001</v>
      </c>
      <c r="W80" s="32" t="n">
        <v>17.09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22</t>
        </is>
      </c>
      <c r="CG80" s="31">
        <f>IF(CF80&gt;20,10,IF(CF80&gt;=10,5,2))</f>
        <v/>
      </c>
    </row>
    <row r="81">
      <c r="A81" s="31">
        <f>IF(B81=0,"",RANK(B81,$B$2:$B$95,0))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PAYTM</t>
        </is>
      </c>
      <c r="D81" s="31" t="inlineStr">
        <is>
          <t>One 97 Communications Ltd</t>
        </is>
      </c>
      <c r="E81" s="31" t="inlineStr">
        <is>
          <t>i.t</t>
        </is>
      </c>
      <c r="F81" s="31" t="inlineStr">
        <is>
          <t>E-Commerce - Platform - Utility</t>
        </is>
      </c>
      <c r="G81" s="31" t="inlineStr">
        <is>
          <t>largecap</t>
        </is>
      </c>
      <c r="H81" s="32" t="n">
        <v>115970.61</v>
      </c>
      <c r="I81" s="32" t="n">
        <v>1807.5</v>
      </c>
      <c r="J81" s="32" t="n">
        <v>3.94</v>
      </c>
      <c r="K81" s="32" t="n">
        <v>0</v>
      </c>
      <c r="L81" s="31" t="n">
        <v>73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79.72</v>
      </c>
      <c r="P81" s="32" t="n">
        <v>28.2</v>
      </c>
      <c r="Q81" s="32" t="n">
        <v>1458.58</v>
      </c>
      <c r="R81" s="31" t="inlineStr">
        <is>
          <t>Near 52W High Breakout</t>
        </is>
      </c>
      <c r="S81" s="31" t="inlineStr">
        <is>
          <t>Nifty IT</t>
        </is>
      </c>
      <c r="T81" s="32" t="n">
        <v>-19.91</v>
      </c>
      <c r="U81" s="32" t="n">
        <v>48.28</v>
      </c>
      <c r="V81" s="32" t="n">
        <v>85.14</v>
      </c>
      <c r="W81" s="32" t="n">
        <v>25.7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Oligopoly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21</t>
        </is>
      </c>
      <c r="CG81" s="31">
        <f>IF(CF81&gt;20,10,IF(CF81&gt;=10,5,2))</f>
        <v/>
      </c>
    </row>
    <row r="82">
      <c r="A82" s="31">
        <f>IF(B82=0,"",RANK(B82,$B$2:$B$95,0))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4" t="inlineStr">
        <is>
          <t>ELANTAS</t>
        </is>
      </c>
      <c r="D82" s="34" t="inlineStr">
        <is>
          <t>Elantas Beck India Ltd</t>
        </is>
      </c>
      <c r="E82" s="31" t="inlineStr">
        <is>
          <t>Basic Materials</t>
        </is>
      </c>
      <c r="F82" s="31" t="inlineStr">
        <is>
          <t>Chemicals - Organic</t>
        </is>
      </c>
      <c r="G82" s="31" t="inlineStr">
        <is>
          <t>midcap</t>
        </is>
      </c>
      <c r="H82" s="32" t="n">
        <v>11574.42</v>
      </c>
      <c r="I82" s="32" t="n">
        <v>14600</v>
      </c>
      <c r="J82" s="32" t="n">
        <v>8.970000000000001</v>
      </c>
      <c r="K82" s="32" t="n">
        <v>0</v>
      </c>
      <c r="L82" s="31" t="n">
        <v>60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74.06</v>
      </c>
      <c r="P82" s="32" t="n">
        <v>37.43</v>
      </c>
      <c r="Q82" s="32" t="n">
        <v>11161.32</v>
      </c>
      <c r="R82" s="31" t="inlineStr">
        <is>
          <t>Near 52W High Breakout</t>
        </is>
      </c>
      <c r="S82" s="31" t="inlineStr">
        <is>
          <t>Nifty 50</t>
        </is>
      </c>
      <c r="T82" s="32" t="n">
        <v>-6.83</v>
      </c>
      <c r="U82" s="32" t="n">
        <v>38.9</v>
      </c>
      <c r="V82" s="32" t="n">
        <v>49.08</v>
      </c>
      <c r="W82" s="32" t="n">
        <v>19.79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Cyclical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Volatile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19</t>
        </is>
      </c>
      <c r="CG82" s="31">
        <f>IF(CF82&gt;20,10,IF(CF82&gt;=10,5,2))</f>
        <v/>
      </c>
    </row>
    <row r="83">
      <c r="A83" s="31">
        <f>IF(B83=0,"",RANK(B83,$B$2:$B$95,0))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3" t="inlineStr">
        <is>
          <t>SAMBHV</t>
        </is>
      </c>
      <c r="D83" s="33" t="inlineStr">
        <is>
          <t>Sambhv Steel Tubes Ltd</t>
        </is>
      </c>
      <c r="E83" s="31" t="inlineStr">
        <is>
          <t>metals &amp; mining</t>
        </is>
      </c>
      <c r="F83" s="31" t="inlineStr">
        <is>
          <t>Steel - Tubes/Pipes</t>
        </is>
      </c>
      <c r="G83" s="31" t="inlineStr">
        <is>
          <t>smallcap</t>
        </is>
      </c>
      <c r="H83" s="32" t="n">
        <v>3851.36</v>
      </c>
      <c r="I83" s="32" t="n">
        <v>130.7</v>
      </c>
      <c r="J83" s="32" t="n">
        <v>-1.37</v>
      </c>
      <c r="K83" s="32" t="n">
        <v>0</v>
      </c>
      <c r="L83" s="31" t="n">
        <v>12</v>
      </c>
      <c r="M83" s="31" t="inlineStr">
        <is>
          <t>Underperforming</t>
        </is>
      </c>
      <c r="N83" s="32">
        <f>IF(M83="Underperforming",-5,IF(L83&gt;=95,15,IF(L83&gt;=90,10,IF(L83&gt;=80,5,0))))</f>
        <v/>
      </c>
      <c r="O83" s="32" t="n">
        <v>66.65000000000001</v>
      </c>
      <c r="P83" s="32" t="n">
        <v>34.36</v>
      </c>
      <c r="Q83" s="32" t="n">
        <v>100.64</v>
      </c>
      <c r="R83" s="31" t="inlineStr">
        <is>
          <t>Near 52W High Breakout</t>
        </is>
      </c>
      <c r="S83" s="31" t="inlineStr">
        <is>
          <t>Nifty Metal</t>
        </is>
      </c>
      <c r="T83" s="32" t="n">
        <v>37.92</v>
      </c>
      <c r="U83" s="32" t="n">
        <v>-1.18</v>
      </c>
      <c r="V83" s="32" t="n">
        <v>-28.35</v>
      </c>
      <c r="W83" s="32" t="n">
        <v>4.06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19</t>
        </is>
      </c>
      <c r="CG83" s="31">
        <f>IF(CF83&gt;20,10,IF(CF83&gt;=10,5,2))</f>
        <v/>
      </c>
    </row>
    <row r="84">
      <c r="A84" s="31">
        <f>IF(B84=0,"",RANK(B84,$B$2:$B$95,0))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DOLPHIN</t>
        </is>
      </c>
      <c r="D84" s="31" t="inlineStr">
        <is>
          <t>Dolphin Offshore Enterprises (India) Ltd</t>
        </is>
      </c>
      <c r="E84" s="31" t="inlineStr">
        <is>
          <t>energy</t>
        </is>
      </c>
      <c r="F84" s="31" t="inlineStr">
        <is>
          <t>Oil Drilling &amp; Exploration</t>
        </is>
      </c>
      <c r="G84" s="31" t="inlineStr">
        <is>
          <t>smallcap</t>
        </is>
      </c>
      <c r="H84" s="32" t="n">
        <v>2652.3</v>
      </c>
      <c r="I84" s="32" t="n">
        <v>663</v>
      </c>
      <c r="J84" s="32" t="n">
        <v>1.38</v>
      </c>
      <c r="K84" s="32" t="n">
        <v>0</v>
      </c>
      <c r="L84" s="31" t="n">
        <v>67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74.03</v>
      </c>
      <c r="P84" s="32" t="n">
        <v>36.77</v>
      </c>
      <c r="Q84" s="32" t="n">
        <v>487.49</v>
      </c>
      <c r="R84" s="31" t="inlineStr">
        <is>
          <t>Near 52W High Breakout</t>
        </is>
      </c>
      <c r="S84" s="31" t="inlineStr">
        <is>
          <t>Nifty Energy</t>
        </is>
      </c>
      <c r="T84" s="32" t="n">
        <v>7.62</v>
      </c>
      <c r="U84" s="32" t="n">
        <v>46.88</v>
      </c>
      <c r="V84" s="32" t="n">
        <v>36.49</v>
      </c>
      <c r="W84" s="32" t="n">
        <v>21.95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Oligopoly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19</t>
        </is>
      </c>
      <c r="CG84" s="31">
        <f>IF(CF84&gt;20,10,IF(CF84&gt;=10,5,2))</f>
        <v/>
      </c>
    </row>
    <row r="85">
      <c r="A85" s="31">
        <f>IF(B85=0,"",RANK(B85,$B$2:$B$95,0))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MARKSANS</t>
        </is>
      </c>
      <c r="D85" s="31" t="inlineStr">
        <is>
          <t>Marksans Pharma Ltd</t>
        </is>
      </c>
      <c r="E85" s="31" t="inlineStr">
        <is>
          <t>healthcare</t>
        </is>
      </c>
      <c r="F85" s="31" t="inlineStr">
        <is>
          <t>Pharma - Formulators</t>
        </is>
      </c>
      <c r="G85" s="31" t="inlineStr">
        <is>
          <t>midcap</t>
        </is>
      </c>
      <c r="H85" s="32" t="n">
        <v>14940.81</v>
      </c>
      <c r="I85" s="32" t="n">
        <v>329.7</v>
      </c>
      <c r="J85" s="32" t="n">
        <v>-0.21</v>
      </c>
      <c r="K85" s="32" t="n">
        <v>0</v>
      </c>
      <c r="L85" s="31" t="n">
        <v>68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73.81</v>
      </c>
      <c r="P85" s="32" t="n">
        <v>59.51</v>
      </c>
      <c r="Q85" s="32" t="n">
        <v>258.17</v>
      </c>
      <c r="R85" s="31" t="inlineStr">
        <is>
          <t>Near 52W High Breakout</t>
        </is>
      </c>
      <c r="S85" s="31" t="inlineStr">
        <is>
          <t>Nifty Pharma</t>
        </is>
      </c>
      <c r="T85" s="32" t="n">
        <v>18.76</v>
      </c>
      <c r="U85" s="32" t="n">
        <v>91.01000000000001</v>
      </c>
      <c r="V85" s="32" t="n">
        <v>60.83</v>
      </c>
      <c r="W85" s="32" t="n">
        <v>22.23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20</t>
        </is>
      </c>
      <c r="CG85" s="31">
        <f>IF(CF85&gt;20,10,IF(CF85&gt;=10,5,2))</f>
        <v/>
      </c>
    </row>
    <row r="86">
      <c r="A86" s="31">
        <f>IF(B86=0,"",RANK(B86,$B$2:$B$95,0))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BIL</t>
        </is>
      </c>
      <c r="D86" s="31" t="inlineStr">
        <is>
          <t>Bhartiya International Ltd</t>
        </is>
      </c>
      <c r="E86" s="31" t="inlineStr">
        <is>
          <t>consumer discretionary</t>
        </is>
      </c>
      <c r="F86" s="31" t="inlineStr">
        <is>
          <t>Textiles</t>
        </is>
      </c>
      <c r="G86" s="31" t="inlineStr">
        <is>
          <t>smallcap</t>
        </is>
      </c>
      <c r="H86" s="32" t="n">
        <v>1459.05</v>
      </c>
      <c r="I86" s="32" t="n">
        <v>1088</v>
      </c>
      <c r="J86" s="32" t="n">
        <v>0.58</v>
      </c>
      <c r="K86" s="32" t="n">
        <v>0</v>
      </c>
      <c r="L86" s="31" t="n">
        <v>54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75.06999999999999</v>
      </c>
      <c r="P86" s="32" t="n">
        <v>21.81</v>
      </c>
      <c r="Q86" s="32" t="n">
        <v>796.01</v>
      </c>
      <c r="R86" s="31" t="inlineStr">
        <is>
          <t>Volume Spike &amp; Near 52W High Breakout</t>
        </is>
      </c>
      <c r="S86" s="31" t="inlineStr">
        <is>
          <t>Nifty 50</t>
        </is>
      </c>
      <c r="T86" s="32" t="n">
        <v>-6.83</v>
      </c>
      <c r="U86" s="32" t="n">
        <v>23.82</v>
      </c>
      <c r="V86" s="32" t="n">
        <v>32.91</v>
      </c>
      <c r="W86" s="32" t="n">
        <v>17.61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Between 0.7 to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20</t>
        </is>
      </c>
      <c r="CG86" s="31">
        <f>IF(CF86&gt;20,10,IF(CF86&gt;=10,5,2))</f>
        <v/>
      </c>
    </row>
    <row r="87">
      <c r="A87" s="31">
        <f>IF(B87=0,"",RANK(B87,$B$2:$B$95,0))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TNPETRO</t>
        </is>
      </c>
      <c r="D87" s="31" t="inlineStr">
        <is>
          <t>Tamil Nadu Petro Products Ltd</t>
        </is>
      </c>
      <c r="E87" s="31" t="inlineStr">
        <is>
          <t>energy</t>
        </is>
      </c>
      <c r="F87" s="31" t="inlineStr">
        <is>
          <t>Petrochem - Others</t>
        </is>
      </c>
      <c r="G87" s="31" t="inlineStr">
        <is>
          <t>smallcap</t>
        </is>
      </c>
      <c r="H87" s="32" t="n">
        <v>1160.63</v>
      </c>
      <c r="I87" s="32" t="n">
        <v>129</v>
      </c>
      <c r="J87" s="32" t="n">
        <v>-3.11</v>
      </c>
      <c r="K87" s="32" t="n">
        <v>0</v>
      </c>
      <c r="L87" s="31" t="n">
        <v>50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73.33</v>
      </c>
      <c r="P87" s="32" t="n">
        <v>37</v>
      </c>
      <c r="Q87" s="32" t="n">
        <v>100.56</v>
      </c>
      <c r="R87" s="31" t="inlineStr">
        <is>
          <t>Volume Spike &amp; Near 52W High Breakout</t>
        </is>
      </c>
      <c r="S87" s="31" t="inlineStr">
        <is>
          <t>Nifty Energy</t>
        </is>
      </c>
      <c r="T87" s="32" t="n">
        <v>7.62</v>
      </c>
      <c r="U87" s="32" t="n">
        <v>27.26</v>
      </c>
      <c r="V87" s="32" t="n">
        <v>18.26</v>
      </c>
      <c r="W87" s="32" t="n">
        <v>16.44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21</t>
        </is>
      </c>
      <c r="CG87" s="31">
        <f>IF(CF87&gt;20,10,IF(CF87&gt;=10,5,2))</f>
        <v/>
      </c>
    </row>
    <row r="88">
      <c r="A88" s="31">
        <f>IF(B88=0,"",RANK(B88,$B$2:$B$95,0))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DEEPINDS</t>
        </is>
      </c>
      <c r="D88" s="31" t="inlineStr">
        <is>
          <t>Deep Industries Ltd</t>
        </is>
      </c>
      <c r="E88" s="31" t="inlineStr">
        <is>
          <t>energy</t>
        </is>
      </c>
      <c r="F88" s="31" t="inlineStr">
        <is>
          <t>Oil Drilling &amp; Exploration</t>
        </is>
      </c>
      <c r="G88" s="31" t="inlineStr">
        <is>
          <t>smallcap</t>
        </is>
      </c>
      <c r="H88" s="32" t="n">
        <v>4956.16</v>
      </c>
      <c r="I88" s="32" t="n">
        <v>774.4</v>
      </c>
      <c r="J88" s="32" t="n">
        <v>-1.07</v>
      </c>
      <c r="K88" s="32" t="n">
        <v>0</v>
      </c>
      <c r="L88" s="31" t="n">
        <v>76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78.16</v>
      </c>
      <c r="P88" s="32" t="n">
        <v>33.06</v>
      </c>
      <c r="Q88" s="32" t="n">
        <v>608.1900000000001</v>
      </c>
      <c r="R88" s="31" t="inlineStr">
        <is>
          <t>Near 52W High Breakout</t>
        </is>
      </c>
      <c r="S88" s="31" t="inlineStr">
        <is>
          <t>Nifty Energy</t>
        </is>
      </c>
      <c r="T88" s="32" t="n">
        <v>7.62</v>
      </c>
      <c r="U88" s="32" t="n">
        <v>73.37</v>
      </c>
      <c r="V88" s="32" t="n">
        <v>61.1</v>
      </c>
      <c r="W88" s="32" t="n">
        <v>27.18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Oligopoly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19</t>
        </is>
      </c>
      <c r="CG88" s="31">
        <f>IF(CF88&gt;20,10,IF(CF88&gt;=10,5,2))</f>
        <v/>
      </c>
    </row>
    <row r="89">
      <c r="A89" s="31">
        <f>IF(B89=0,"",RANK(B89,$B$2:$B$95,0))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SHANTIGEAR</t>
        </is>
      </c>
      <c r="D89" s="31" t="inlineStr">
        <is>
          <t>Shanthi Gears Ltd</t>
        </is>
      </c>
      <c r="E89" s="31" t="inlineStr">
        <is>
          <t>industrials</t>
        </is>
      </c>
      <c r="F89" s="31" t="inlineStr">
        <is>
          <t>Auto Ancillaries - Gears</t>
        </is>
      </c>
      <c r="G89" s="31" t="inlineStr">
        <is>
          <t>midcap</t>
        </is>
      </c>
      <c r="H89" s="32" t="n">
        <v>5541.19</v>
      </c>
      <c r="I89" s="32" t="n">
        <v>722.3</v>
      </c>
      <c r="J89" s="32" t="n">
        <v>-0.43</v>
      </c>
      <c r="K89" s="32" t="n">
        <v>0</v>
      </c>
      <c r="L89" s="31" t="n">
        <v>64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84.14</v>
      </c>
      <c r="P89" s="32" t="n">
        <v>26.38</v>
      </c>
      <c r="Q89" s="32" t="n">
        <v>572.64</v>
      </c>
      <c r="R89" s="31" t="inlineStr">
        <is>
          <t>Near 52W High Breakout</t>
        </is>
      </c>
      <c r="S89" s="31" t="inlineStr">
        <is>
          <t>Nifty 50</t>
        </is>
      </c>
      <c r="T89" s="32" t="n">
        <v>-6.83</v>
      </c>
      <c r="U89" s="32" t="n">
        <v>29.33</v>
      </c>
      <c r="V89" s="32" t="n">
        <v>38.81</v>
      </c>
      <c r="W89" s="32" t="n">
        <v>20.81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Less than 12%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19</t>
        </is>
      </c>
      <c r="CG89" s="31">
        <f>IF(CF89&gt;20,10,IF(CF89&gt;=10,5,2))</f>
        <v/>
      </c>
    </row>
    <row r="90">
      <c r="A90" s="31">
        <f>IF(B90=0,"",RANK(B90,$B$2:$B$95,0))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SBC</t>
        </is>
      </c>
      <c r="D90" s="31" t="inlineStr">
        <is>
          <t>SBC Exports Ltd</t>
        </is>
      </c>
      <c r="E90" s="31" t="inlineStr">
        <is>
          <t>textiles</t>
        </is>
      </c>
      <c r="F90" s="31" t="inlineStr">
        <is>
          <t>Textiles - Readymade Apparel</t>
        </is>
      </c>
      <c r="G90" s="31" t="inlineStr">
        <is>
          <t>smallcap</t>
        </is>
      </c>
      <c r="H90" s="32" t="n">
        <v>2302.38</v>
      </c>
      <c r="I90" s="32" t="n">
        <v>48.35</v>
      </c>
      <c r="J90" s="32" t="n">
        <v>0.62</v>
      </c>
      <c r="K90" s="32" t="n">
        <v>0</v>
      </c>
      <c r="L90" s="31" t="n">
        <v>70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75.34</v>
      </c>
      <c r="P90" s="32" t="n">
        <v>33.61</v>
      </c>
      <c r="Q90" s="32" t="n">
        <v>39.52</v>
      </c>
      <c r="R90" s="31" t="inlineStr">
        <is>
          <t>Near 52W High Breakout</t>
        </is>
      </c>
      <c r="S90" s="31" t="inlineStr">
        <is>
          <t>Nifty 50</t>
        </is>
      </c>
      <c r="T90" s="32" t="n">
        <v>-6.83</v>
      </c>
      <c r="U90" s="32" t="n">
        <v>121.29</v>
      </c>
      <c r="V90" s="32" t="n">
        <v>137.52</v>
      </c>
      <c r="W90" s="32" t="n">
        <v>23.73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More than 1.2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22</t>
        </is>
      </c>
      <c r="CG90" s="31">
        <f>IF(CF90&gt;20,10,IF(CF90&gt;=10,5,2))</f>
        <v/>
      </c>
    </row>
    <row r="91">
      <c r="A91" s="31">
        <f>IF(B91=0,"",RANK(B91,$B$2:$B$95,0))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GMMPFAUDLR</t>
        </is>
      </c>
      <c r="D91" s="31" t="inlineStr">
        <is>
          <t>GMM Pfaudler Ltd</t>
        </is>
      </c>
      <c r="E91" s="31" t="inlineStr">
        <is>
          <t>industrials</t>
        </is>
      </c>
      <c r="F91" s="31" t="inlineStr">
        <is>
          <t>Glass - Others</t>
        </is>
      </c>
      <c r="G91" s="31" t="inlineStr">
        <is>
          <t>midcap</t>
        </is>
      </c>
      <c r="H91" s="32" t="n">
        <v>5884.9</v>
      </c>
      <c r="I91" s="32" t="n">
        <v>1309</v>
      </c>
      <c r="J91" s="32" t="n">
        <v>-0.77</v>
      </c>
      <c r="K91" s="32" t="n">
        <v>0</v>
      </c>
      <c r="L91" s="31" t="n">
        <v>66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76.98</v>
      </c>
      <c r="P91" s="32" t="n">
        <v>31.49</v>
      </c>
      <c r="Q91" s="32" t="n">
        <v>1052.3</v>
      </c>
      <c r="R91" s="31" t="inlineStr">
        <is>
          <t>Volume Spike &amp; Near 52W High Breakout</t>
        </is>
      </c>
      <c r="S91" s="31" t="inlineStr">
        <is>
          <t>Nifty 50</t>
        </is>
      </c>
      <c r="T91" s="32" t="n">
        <v>-6.83</v>
      </c>
      <c r="U91" s="32" t="n">
        <v>14.55</v>
      </c>
      <c r="V91" s="32" t="n">
        <v>22.95</v>
      </c>
      <c r="W91" s="32" t="n">
        <v>21.37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Between 0.7 to 1.2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22</t>
        </is>
      </c>
      <c r="CG91" s="31">
        <f>IF(CF91&gt;20,10,IF(CF91&gt;=10,5,2))</f>
        <v/>
      </c>
    </row>
    <row r="92">
      <c r="A92" s="31">
        <f>IF(B92=0,"",RANK(B92,$B$2:$B$95,0))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3" t="inlineStr">
        <is>
          <t>MAHSEAMLES</t>
        </is>
      </c>
      <c r="D92" s="33" t="inlineStr">
        <is>
          <t>Maharashtra Seamless Ltd</t>
        </is>
      </c>
      <c r="E92" s="31" t="inlineStr">
        <is>
          <t>metals &amp; mining</t>
        </is>
      </c>
      <c r="F92" s="31" t="inlineStr">
        <is>
          <t>Steel - Tubes/Pipes</t>
        </is>
      </c>
      <c r="G92" s="31" t="inlineStr">
        <is>
          <t>midcap</t>
        </is>
      </c>
      <c r="H92" s="32" t="n">
        <v>9781.389999999999</v>
      </c>
      <c r="I92" s="32" t="n">
        <v>730</v>
      </c>
      <c r="J92" s="32" t="n">
        <v>1.54</v>
      </c>
      <c r="K92" s="32" t="n">
        <v>0</v>
      </c>
      <c r="L92" s="31" t="n">
        <v>16</v>
      </c>
      <c r="M92" s="31" t="inlineStr">
        <is>
          <t>Underperforming</t>
        </is>
      </c>
      <c r="N92" s="32">
        <f>IF(M92="Underperforming",-5,IF(L92&gt;=95,15,IF(L92&gt;=90,10,IF(L92&gt;=80,5,0))))</f>
        <v/>
      </c>
      <c r="O92" s="32" t="n">
        <v>75.23999999999999</v>
      </c>
      <c r="P92" s="32" t="n">
        <v>20.47</v>
      </c>
      <c r="Q92" s="32" t="n">
        <v>612.74</v>
      </c>
      <c r="R92" s="31" t="inlineStr">
        <is>
          <t>Volume Spike &amp; Near 52W High Breakout</t>
        </is>
      </c>
      <c r="S92" s="31" t="inlineStr">
        <is>
          <t>Nifty Metal</t>
        </is>
      </c>
      <c r="T92" s="32" t="n">
        <v>37.92</v>
      </c>
      <c r="U92" s="32" t="n">
        <v>6.37</v>
      </c>
      <c r="V92" s="32" t="n">
        <v>-22.88</v>
      </c>
      <c r="W92" s="32" t="n">
        <v>5.57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Between 12 to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20</t>
        </is>
      </c>
      <c r="CG92" s="31">
        <f>IF(CF92&gt;20,10,IF(CF92&gt;=10,5,2))</f>
        <v/>
      </c>
    </row>
    <row r="93">
      <c r="A93" s="31">
        <f>IF(B93=0,"",RANK(B93,$B$2:$B$95,0))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3" t="inlineStr">
        <is>
          <t>PRABHA</t>
        </is>
      </c>
      <c r="D93" s="33" t="inlineStr">
        <is>
          <t>Prabha Energy Ltd</t>
        </is>
      </c>
      <c r="E93" s="31" t="inlineStr">
        <is>
          <t>energy</t>
        </is>
      </c>
      <c r="F93" s="31" t="inlineStr">
        <is>
          <t>Oil Exploration/Allied Services</t>
        </is>
      </c>
      <c r="G93" s="31" t="inlineStr">
        <is>
          <t>smallcap</t>
        </is>
      </c>
      <c r="H93" s="32" t="n">
        <v>3311.74</v>
      </c>
      <c r="I93" s="32" t="n">
        <v>241.9</v>
      </c>
      <c r="J93" s="32" t="n">
        <v>-2.29</v>
      </c>
      <c r="K93" s="32" t="n">
        <v>0</v>
      </c>
      <c r="L93" s="31" t="n">
        <v>39</v>
      </c>
      <c r="M93" s="31" t="inlineStr">
        <is>
          <t>Underperforming</t>
        </is>
      </c>
      <c r="N93" s="32">
        <f>IF(M93="Underperforming",-5,IF(L93&gt;=95,15,IF(L93&gt;=90,10,IF(L93&gt;=80,5,0))))</f>
        <v/>
      </c>
      <c r="O93" s="32" t="n">
        <v>73.48999999999999</v>
      </c>
      <c r="P93" s="32" t="n">
        <v>24.78</v>
      </c>
      <c r="Q93" s="32" t="n">
        <v>177.93</v>
      </c>
      <c r="R93" s="31" t="inlineStr">
        <is>
          <t>Near 52W High Breakout</t>
        </is>
      </c>
      <c r="S93" s="31" t="inlineStr">
        <is>
          <t>Nifty Energy</t>
        </is>
      </c>
      <c r="T93" s="32" t="n">
        <v>7.62</v>
      </c>
      <c r="U93" s="32" t="n">
        <v>-6.73</v>
      </c>
      <c r="V93" s="32" t="n">
        <v>-13.33</v>
      </c>
      <c r="W93" s="32" t="n">
        <v>12.33</v>
      </c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Oligopoly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Yes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Cyclical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Volatile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28</t>
        </is>
      </c>
      <c r="CG93" s="31">
        <f>IF(CF93&gt;20,10,IF(CF93&gt;=10,5,2))</f>
        <v/>
      </c>
    </row>
    <row r="94">
      <c r="A94" s="31">
        <f>IF(B94=0,"",RANK(B94,$B$2:$B$95,0))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1" t="inlineStr">
        <is>
          <t>GIPCL</t>
        </is>
      </c>
      <c r="D94" s="31" t="inlineStr">
        <is>
          <t>Gujarat Industries Power Co Ltd</t>
        </is>
      </c>
      <c r="E94" s="31" t="inlineStr">
        <is>
          <t>power &amp; utilities</t>
        </is>
      </c>
      <c r="F94" s="31" t="inlineStr">
        <is>
          <t>Power - Generation/Distribution</t>
        </is>
      </c>
      <c r="G94" s="31" t="inlineStr">
        <is>
          <t>smallcap</t>
        </is>
      </c>
      <c r="H94" s="32" t="n">
        <v>3111.3</v>
      </c>
      <c r="I94" s="32" t="n">
        <v>200.45</v>
      </c>
      <c r="J94" s="32" t="n">
        <v>-0.42</v>
      </c>
      <c r="K94" s="32" t="n">
        <v>0</v>
      </c>
      <c r="L94" s="31" t="n">
        <v>27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70.77</v>
      </c>
      <c r="P94" s="32" t="n">
        <v>21.28</v>
      </c>
      <c r="Q94" s="32" t="n">
        <v>163.53</v>
      </c>
      <c r="R94" s="31" t="inlineStr">
        <is>
          <t>Near 52W High Breakout</t>
        </is>
      </c>
      <c r="S94" s="31" t="inlineStr">
        <is>
          <t>Nifty IT</t>
        </is>
      </c>
      <c r="T94" s="32" t="n">
        <v>-19.91</v>
      </c>
      <c r="U94" s="32" t="n">
        <v>9.16</v>
      </c>
      <c r="V94" s="32" t="n">
        <v>36.29</v>
      </c>
      <c r="W94" s="32" t="n">
        <v>8.84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Oligopoly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Shallow Cyclical (2 to 3 Years Growth)</t>
        </is>
      </c>
      <c r="AG94" s="31">
        <f>IF(AF94="Structural (10 Years Consistency)",10,IF(AF94="Shallow Cyclical (2 to 3 years growth)",5,0))</f>
        <v/>
      </c>
      <c r="AH94" s="31" t="inlineStr">
        <is>
          <t>Yes due to Product Mix change or Operating Leverage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Volatile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Allocated capital in Non-core Areas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Sideways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Overhead supply in last 2 years in last 2 years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More than 15%</t>
        </is>
      </c>
      <c r="CC94" s="31">
        <f>IF(CB94="More than 15%",-10,IF(CB94="Less than 15%",10,0))</f>
        <v/>
      </c>
      <c r="CD94" s="31" t="inlineStr">
        <is>
          <t>Yes Upto 10%</t>
        </is>
      </c>
      <c r="CE94" s="31">
        <f>IF(CD94="Yes, more than 10%",-10,IF(CD94="No",10,0))</f>
        <v/>
      </c>
      <c r="CF94" s="31" t="inlineStr">
        <is>
          <t>19</t>
        </is>
      </c>
      <c r="CG94" s="31">
        <f>IF(CF94&gt;20,10,IF(CF94&gt;=10,5,2))</f>
        <v/>
      </c>
    </row>
    <row r="95">
      <c r="A95" s="31">
        <f>IF(B95=0,"",RANK(B95,$B$2:$B$95,0))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MONOLITH</t>
        </is>
      </c>
      <c r="D95" s="31" t="inlineStr">
        <is>
          <t>Monolithisch India Ltd</t>
        </is>
      </c>
      <c r="E95" s="31" t="inlineStr">
        <is>
          <t>unknown</t>
        </is>
      </c>
      <c r="F95" s="31" t="inlineStr">
        <is>
          <t>Refractories</t>
        </is>
      </c>
      <c r="G95" s="31" t="inlineStr">
        <is>
          <t>smallcap</t>
        </is>
      </c>
      <c r="H95" s="32" t="n">
        <v>3149.55</v>
      </c>
      <c r="I95" s="32" t="n">
        <v>1449</v>
      </c>
      <c r="J95" s="32" t="n">
        <v>0.18</v>
      </c>
      <c r="K95" s="32" t="n">
        <v>0</v>
      </c>
      <c r="L95" s="31" t="inlineStr"/>
      <c r="M95" s="31" t="inlineStr"/>
      <c r="N95" s="32">
        <f>IF(M95="Underperforming",-5,IF(L95&gt;=95,15,IF(L95&gt;=90,10,IF(L95&gt;=80,5,0))))</f>
        <v/>
      </c>
      <c r="O95" s="32" t="inlineStr"/>
      <c r="P95" s="32" t="inlineStr"/>
      <c r="Q95" s="32" t="inlineStr"/>
      <c r="R95" s="31" t="inlineStr"/>
      <c r="S95" s="31" t="inlineStr"/>
      <c r="T95" s="32" t="inlineStr"/>
      <c r="U95" s="32" t="inlineStr"/>
      <c r="V95" s="32" t="inlineStr"/>
      <c r="W95" s="32" t="inlineStr"/>
      <c r="X95" s="31" t="n"/>
      <c r="Y95" s="31">
        <f>IF(X95="Growing Industry",10,IF(X95="Cyclical in an Upturn",5,0))</f>
        <v/>
      </c>
      <c r="Z95" s="31" t="n"/>
      <c r="AA95" s="31">
        <f>IF(Z95="Monopoly",10,IF(Z95="Oligopoly",5,IF(Z95="Duopoly that cooperate",10,IF(Z95="Duopoly that compete",5,IF(Z95="Too many players with High ROCE",5,0)))))</f>
        <v/>
      </c>
      <c r="AB95" s="31" t="n"/>
      <c r="AC95" s="31">
        <f>IF(AB95="No",5,0)</f>
        <v/>
      </c>
      <c r="AD95" s="31" t="n"/>
      <c r="AE95" s="31">
        <f>IF(AD95="Tailwind",10,0)</f>
        <v/>
      </c>
      <c r="AF95" s="31" t="n"/>
      <c r="AG95" s="31">
        <f>IF(AF95="Structural (10 Years Consistency)",10,IF(AF95="Shallow Cyclical (2 to 3 years growth)",5,0))</f>
        <v/>
      </c>
      <c r="AH95" s="31" t="n"/>
      <c r="AI95" s="31">
        <f>IF(AH95="Yes due to Product Mix change or Operating Leverage",10,IF(AH95="Yes, these are peak margins",-5,IF(AH95="No",5,0)))</f>
        <v/>
      </c>
      <c r="AJ95" s="31" t="n"/>
      <c r="AK95" s="31">
        <f>IF(AJ95="Stable",10,0)</f>
        <v/>
      </c>
      <c r="AL95" s="31" t="n"/>
      <c r="AM95" s="31">
        <f>IF(AL95="Yes",10,0)</f>
        <v/>
      </c>
      <c r="AN95" s="31" t="n"/>
      <c r="AO95" s="31">
        <f>IF(AN95="B2C",10,IF(AN95="B2B",5,0))</f>
        <v/>
      </c>
      <c r="AP95" s="31" t="n"/>
      <c r="AQ95" s="31">
        <f>IF(AP95="Yes",10,0)</f>
        <v/>
      </c>
      <c r="AR95" s="31" t="n"/>
      <c r="AS95" s="31">
        <f>IF(AR95="Fully Annuity",10,IF(AR95="Higher Annuity, Lower One Time",5,IF(AR95="Higher One Time, Lower Annuity",3,0)))</f>
        <v/>
      </c>
      <c r="AT95" s="31" t="n"/>
      <c r="AU95" s="31">
        <f>IF(AT95="Good",10,0)</f>
        <v/>
      </c>
      <c r="AV95" s="31" t="n"/>
      <c r="AW95" s="31">
        <f>IF(AV95="Yes for more than 2 years",10,IF(AV95="Yes only for next 1 to 2 years",5,0))</f>
        <v/>
      </c>
      <c r="AX95" s="31" t="n"/>
      <c r="AY95" s="31">
        <f>IF(AX95="Above 40",20,IF(AX95="20 to 40",10,IF(AX95="0 to 20",-5,0)))</f>
        <v/>
      </c>
      <c r="AZ95" s="31" t="n"/>
      <c r="BA95" s="31">
        <f>IF(AZ95="Between 50 to 75",10,IF(AZ95="Above 75",0,0))</f>
        <v/>
      </c>
      <c r="BB95" s="31" t="n"/>
      <c r="BC95" s="31">
        <f>IF(BB95="Stage 2",20,IF(BB95="Stage 1",0,IF(BB95="Stage 3",5,IF(BB95="Stage 4",-5,0))))</f>
        <v/>
      </c>
      <c r="BD95" s="31" t="n"/>
      <c r="BE95" s="31">
        <f>IF(BD95="Positive Trend",20,IF(BD95="Negative Trend",-10,0))</f>
        <v/>
      </c>
      <c r="BF95" s="31" t="n"/>
      <c r="BG95" s="31">
        <f>IF(BF95="Uptrend",10,IF(BF95="Sideways",5,0))</f>
        <v/>
      </c>
      <c r="BH95" s="31" t="n"/>
      <c r="BI95" s="31">
        <f>IF(BH95="Uptrend",10,IF(BH95="Sideways",5,0))</f>
        <v/>
      </c>
      <c r="BJ95" s="31" t="n"/>
      <c r="BK95" s="31">
        <f>IF(BJ95="Overhead supply in last 2 years in last 2 years",-5,IF(BJ95="Close to 52 week high or retracement",5,IF(BJ95="Blue sky scenario",10,IF(BJ95="Long term Downtrend",-10,0))))</f>
        <v/>
      </c>
      <c r="BL95" s="31" t="n"/>
      <c r="BM95" s="31">
        <f>IF(BL95="Yes",10,0)</f>
        <v/>
      </c>
      <c r="BN95" s="31" t="n"/>
      <c r="BO95" s="31">
        <f>IF(BN95="More than 20%",10,IF(BN95="Between 12 to 20%",5,IF(BN95="Less than 12%",0,0)))</f>
        <v/>
      </c>
      <c r="BP95" s="31" t="n"/>
      <c r="BQ95" s="31">
        <f>IF(BP95="No",10,0)</f>
        <v/>
      </c>
      <c r="BR95" s="31" t="n"/>
      <c r="BS95" s="31">
        <f>IF(BR95="NO",5,0)</f>
        <v/>
      </c>
      <c r="BT95" s="31" t="n"/>
      <c r="BU95" s="31">
        <f>IF(BT95="Above 2",0,IF(BT95="Between 1.5 to 2",5,IF(BT95="Less than 1.5",10,0)))</f>
        <v/>
      </c>
      <c r="BV95" s="31" t="n"/>
      <c r="BW95" s="31">
        <f>IF(BV95="Above 70%",10,IF(BV95="Between 50% to 70%",5,IF(BV95="Less than 50%",0,IF(BV95="Negative",-10,IF(BV95="Less than 50% and Borrowings are increasing",-5,0)))))</f>
        <v/>
      </c>
      <c r="BX95" s="31" t="n"/>
      <c r="BY95" s="31">
        <f>IF(BX95="More than 1.2",-10,IF(BX95="Between 0.7 to 1.2",0,IF(BX95="Less than 0.7",10,0)))</f>
        <v/>
      </c>
      <c r="BZ95" s="31" t="n"/>
      <c r="CA95" s="31">
        <f>IF(BZ95="Yes",-10,0)</f>
        <v/>
      </c>
      <c r="CB95" s="31" t="n"/>
      <c r="CC95" s="31">
        <f>IF(CB95="More than 15%",-10,IF(CB95="Less than 15%",10,0))</f>
        <v/>
      </c>
      <c r="CD95" s="31" t="n"/>
      <c r="CE95" s="31">
        <f>IF(CD95="Yes, more than 10%",-10,IF(CD95="No",10,0))</f>
        <v/>
      </c>
      <c r="CF95" s="31" t="n"/>
      <c r="CG95" s="31">
        <f>IF(CF95&gt;20,10,IF(CF95&gt;=10,5,2))</f>
        <v/>
      </c>
    </row>
    <row r="99">
      <c r="A99" s="25" t="inlineStr">
        <is>
          <t>❌ REMOVED SCAN MATCH STOCKS (THIS WEEK)</t>
        </is>
      </c>
    </row>
    <row r="100">
      <c r="A100" s="35" t="inlineStr">
        <is>
          <t>Symbol</t>
        </is>
      </c>
      <c r="B100" s="35" t="inlineStr">
        <is>
          <t>Company Name</t>
        </is>
      </c>
      <c r="C100" s="35" t="inlineStr">
        <is>
          <t>Sector</t>
        </is>
      </c>
      <c r="D100" s="35" t="inlineStr">
        <is>
          <t>Date of Removal</t>
        </is>
      </c>
    </row>
    <row r="101">
      <c r="A101" s="36" t="inlineStr">
        <is>
          <t>ACMESOLAR</t>
        </is>
      </c>
      <c r="B101" s="37" t="inlineStr">
        <is>
          <t>ACME Solar Holdings Limited</t>
        </is>
      </c>
      <c r="C101" s="37" t="inlineStr">
        <is>
          <t>Utilities</t>
        </is>
      </c>
      <c r="D101" s="38" t="inlineStr">
        <is>
          <t>2026-09-08</t>
        </is>
      </c>
    </row>
    <row r="102">
      <c r="A102" s="36" t="inlineStr">
        <is>
          <t>ADOR</t>
        </is>
      </c>
      <c r="B102" s="37" t="inlineStr">
        <is>
          <t>ADOR</t>
        </is>
      </c>
      <c r="C102" s="37" t="inlineStr">
        <is>
          <t>unknown</t>
        </is>
      </c>
      <c r="D102" s="38" t="inlineStr">
        <is>
          <t>2026-09-08</t>
        </is>
      </c>
    </row>
    <row r="103">
      <c r="A103" s="36" t="inlineStr">
        <is>
          <t>ALEMBICLTD</t>
        </is>
      </c>
      <c r="B103" s="37" t="inlineStr">
        <is>
          <t>Alembic Limited</t>
        </is>
      </c>
      <c r="C103" s="37" t="inlineStr">
        <is>
          <t>Real Estate</t>
        </is>
      </c>
      <c r="D103" s="38" t="inlineStr">
        <is>
          <t>2026-09-11</t>
        </is>
      </c>
    </row>
    <row r="104">
      <c r="A104" s="36" t="inlineStr">
        <is>
          <t>ATHERENERG</t>
        </is>
      </c>
      <c r="B104" s="37" t="inlineStr">
        <is>
          <t>Ather Energy Limited</t>
        </is>
      </c>
      <c r="C104" s="37" t="inlineStr">
        <is>
          <t>Consumer Cyclical</t>
        </is>
      </c>
      <c r="D104" s="38" t="inlineStr">
        <is>
          <t>2026-09-11</t>
        </is>
      </c>
    </row>
    <row r="105">
      <c r="A105" s="36" t="inlineStr">
        <is>
          <t>BALAMINES</t>
        </is>
      </c>
      <c r="B105" s="37" t="inlineStr">
        <is>
          <t>BALAMINES</t>
        </is>
      </c>
      <c r="C105" s="37" t="inlineStr">
        <is>
          <t>unknown</t>
        </is>
      </c>
      <c r="D105" s="38" t="inlineStr">
        <is>
          <t>2026-09-08</t>
        </is>
      </c>
    </row>
    <row r="106">
      <c r="A106" s="36" t="inlineStr">
        <is>
          <t>CENTENKA</t>
        </is>
      </c>
      <c r="B106" s="37" t="inlineStr">
        <is>
          <t>CENTENKA</t>
        </is>
      </c>
      <c r="C106" s="37" t="inlineStr">
        <is>
          <t>unknown</t>
        </is>
      </c>
      <c r="D106" s="38" t="inlineStr">
        <is>
          <t>2026-09-10</t>
        </is>
      </c>
    </row>
    <row r="107">
      <c r="A107" s="36" t="inlineStr">
        <is>
          <t>COFORGE</t>
        </is>
      </c>
      <c r="B107" s="37" t="inlineStr">
        <is>
          <t>COFORGE</t>
        </is>
      </c>
      <c r="C107" s="37" t="inlineStr">
        <is>
          <t>unknown</t>
        </is>
      </c>
      <c r="D107" s="38" t="inlineStr">
        <is>
          <t>2026-09-11</t>
        </is>
      </c>
    </row>
    <row r="108">
      <c r="A108" s="36" t="inlineStr">
        <is>
          <t>DYCL</t>
        </is>
      </c>
      <c r="B108" s="37" t="inlineStr">
        <is>
          <t>DYCL</t>
        </is>
      </c>
      <c r="C108" s="37" t="inlineStr">
        <is>
          <t>unknown</t>
        </is>
      </c>
      <c r="D108" s="38" t="inlineStr">
        <is>
          <t>2026-09-09</t>
        </is>
      </c>
    </row>
    <row r="109">
      <c r="A109" s="36" t="inlineStr">
        <is>
          <t>ENGINERSIN</t>
        </is>
      </c>
      <c r="B109" s="37" t="inlineStr">
        <is>
          <t>Engineers India Limited</t>
        </is>
      </c>
      <c r="C109" s="37" t="inlineStr">
        <is>
          <t>Industrials</t>
        </is>
      </c>
      <c r="D109" s="38" t="inlineStr">
        <is>
          <t>2026-09-09</t>
        </is>
      </c>
    </row>
    <row r="110">
      <c r="A110" s="36" t="inlineStr">
        <is>
          <t>FLYSBS</t>
        </is>
      </c>
      <c r="B110" s="37" t="inlineStr">
        <is>
          <t>FLYSBS</t>
        </is>
      </c>
      <c r="C110" s="37" t="inlineStr">
        <is>
          <t>unknown</t>
        </is>
      </c>
      <c r="D110" s="38" t="inlineStr">
        <is>
          <t>2026-09-11</t>
        </is>
      </c>
    </row>
    <row r="111">
      <c r="A111" s="36" t="inlineStr">
        <is>
          <t>GHCLTEXTIL</t>
        </is>
      </c>
      <c r="B111" s="37" t="inlineStr">
        <is>
          <t>GHCL Textiles Limited</t>
        </is>
      </c>
      <c r="C111" s="37" t="inlineStr">
        <is>
          <t>Consumer Cyclical</t>
        </is>
      </c>
      <c r="D111" s="38" t="inlineStr">
        <is>
          <t>2026-09-10</t>
        </is>
      </c>
    </row>
    <row r="112">
      <c r="A112" s="36" t="inlineStr">
        <is>
          <t>GNRL</t>
        </is>
      </c>
      <c r="B112" s="37" t="inlineStr">
        <is>
          <t>GNRL</t>
        </is>
      </c>
      <c r="C112" s="37" t="inlineStr">
        <is>
          <t>unknown</t>
        </is>
      </c>
      <c r="D112" s="38" t="inlineStr">
        <is>
          <t>2026-09-08</t>
        </is>
      </c>
    </row>
    <row r="113">
      <c r="A113" s="36" t="inlineStr">
        <is>
          <t>GRAPHITE</t>
        </is>
      </c>
      <c r="B113" s="37" t="inlineStr">
        <is>
          <t>Graphite India Limited</t>
        </is>
      </c>
      <c r="C113" s="37" t="inlineStr">
        <is>
          <t>Industrials</t>
        </is>
      </c>
      <c r="D113" s="38" t="inlineStr">
        <is>
          <t>2026-09-10</t>
        </is>
      </c>
    </row>
    <row r="114">
      <c r="A114" s="36" t="inlineStr">
        <is>
          <t>IFCI</t>
        </is>
      </c>
      <c r="B114" s="37" t="inlineStr">
        <is>
          <t>IFCI</t>
        </is>
      </c>
      <c r="C114" s="37" t="inlineStr">
        <is>
          <t>unknown</t>
        </is>
      </c>
      <c r="D114" s="38" t="inlineStr">
        <is>
          <t>2026-09-08</t>
        </is>
      </c>
    </row>
    <row r="115">
      <c r="A115" s="36" t="inlineStr">
        <is>
          <t>IGPL</t>
        </is>
      </c>
      <c r="B115" s="37" t="inlineStr">
        <is>
          <t>I G Petrochemicals Limited</t>
        </is>
      </c>
      <c r="C115" s="37" t="inlineStr">
        <is>
          <t>Basic Materials</t>
        </is>
      </c>
      <c r="D115" s="38" t="inlineStr">
        <is>
          <t>2026-09-10</t>
        </is>
      </c>
    </row>
    <row r="116">
      <c r="A116" s="36" t="inlineStr">
        <is>
          <t>IIFL</t>
        </is>
      </c>
      <c r="B116" s="37" t="inlineStr">
        <is>
          <t>IIFL</t>
        </is>
      </c>
      <c r="C116" s="37" t="inlineStr">
        <is>
          <t>unknown</t>
        </is>
      </c>
      <c r="D116" s="38" t="inlineStr">
        <is>
          <t>2026-09-08</t>
        </is>
      </c>
    </row>
    <row r="117">
      <c r="A117" s="36" t="inlineStr">
        <is>
          <t>IKIO</t>
        </is>
      </c>
      <c r="B117" s="37" t="inlineStr">
        <is>
          <t>IKIO Technologies Limited</t>
        </is>
      </c>
      <c r="C117" s="37" t="inlineStr">
        <is>
          <t>Technology</t>
        </is>
      </c>
      <c r="D117" s="38" t="inlineStr">
        <is>
          <t>2026-09-11</t>
        </is>
      </c>
    </row>
    <row r="118">
      <c r="A118" s="36" t="inlineStr">
        <is>
          <t>INNOVACAP</t>
        </is>
      </c>
      <c r="B118" s="37" t="inlineStr">
        <is>
          <t>Innova Captab Limited</t>
        </is>
      </c>
      <c r="C118" s="37" t="inlineStr">
        <is>
          <t>Healthcare</t>
        </is>
      </c>
      <c r="D118" s="38" t="inlineStr">
        <is>
          <t>2026-09-11</t>
        </is>
      </c>
    </row>
    <row r="119">
      <c r="A119" s="36" t="inlineStr">
        <is>
          <t>INOVSYNTH</t>
        </is>
      </c>
      <c r="B119" s="37" t="inlineStr">
        <is>
          <t>INOVSYNTH</t>
        </is>
      </c>
      <c r="C119" s="37" t="inlineStr">
        <is>
          <t>unknown</t>
        </is>
      </c>
      <c r="D119" s="38" t="inlineStr">
        <is>
          <t>2026-09-09</t>
        </is>
      </c>
    </row>
    <row r="120">
      <c r="A120" s="36" t="inlineStr">
        <is>
          <t>IOLCP</t>
        </is>
      </c>
      <c r="B120" s="37" t="inlineStr">
        <is>
          <t>IOL Chemicals and Pharmaceuticals Limited</t>
        </is>
      </c>
      <c r="C120" s="37" t="inlineStr">
        <is>
          <t>Healthcare</t>
        </is>
      </c>
      <c r="D120" s="38" t="inlineStr">
        <is>
          <t>2026-09-11</t>
        </is>
      </c>
    </row>
    <row r="121">
      <c r="A121" s="36" t="inlineStr">
        <is>
          <t>JGCHEM</t>
        </is>
      </c>
      <c r="B121" s="37" t="inlineStr">
        <is>
          <t>JGCHEM</t>
        </is>
      </c>
      <c r="C121" s="37" t="inlineStr">
        <is>
          <t>unknown</t>
        </is>
      </c>
      <c r="D121" s="38" t="inlineStr">
        <is>
          <t>2026-09-11</t>
        </is>
      </c>
    </row>
    <row r="122">
      <c r="A122" s="36" t="inlineStr">
        <is>
          <t>JOJO</t>
        </is>
      </c>
      <c r="B122" s="37" t="inlineStr">
        <is>
          <t>JOJO</t>
        </is>
      </c>
      <c r="C122" s="37" t="inlineStr">
        <is>
          <t>unknown</t>
        </is>
      </c>
      <c r="D122" s="38" t="inlineStr">
        <is>
          <t>2026-09-11</t>
        </is>
      </c>
    </row>
    <row r="123">
      <c r="A123" s="36" t="inlineStr">
        <is>
          <t>JTLIND</t>
        </is>
      </c>
      <c r="B123" s="37" t="inlineStr">
        <is>
          <t>JTL Industries Limited</t>
        </is>
      </c>
      <c r="C123" s="37" t="inlineStr">
        <is>
          <t>Basic Materials</t>
        </is>
      </c>
      <c r="D123" s="38" t="inlineStr">
        <is>
          <t>2026-09-11</t>
        </is>
      </c>
    </row>
    <row r="124">
      <c r="A124" s="36" t="inlineStr">
        <is>
          <t>KIRIINDUS</t>
        </is>
      </c>
      <c r="B124" s="37" t="inlineStr">
        <is>
          <t>KIRIINDUS</t>
        </is>
      </c>
      <c r="C124" s="37" t="inlineStr">
        <is>
          <t>unknown</t>
        </is>
      </c>
      <c r="D124" s="38" t="inlineStr">
        <is>
          <t>2026-09-10</t>
        </is>
      </c>
    </row>
    <row r="125">
      <c r="A125" s="36" t="inlineStr">
        <is>
          <t>KRN</t>
        </is>
      </c>
      <c r="B125" s="37" t="inlineStr">
        <is>
          <t>KRN Heat Exchanger and Refrigeration Limited</t>
        </is>
      </c>
      <c r="C125" s="37" t="inlineStr">
        <is>
          <t>Technology</t>
        </is>
      </c>
      <c r="D125" s="38" t="inlineStr">
        <is>
          <t>2026-09-10</t>
        </is>
      </c>
    </row>
    <row r="126">
      <c r="A126" s="36" t="inlineStr">
        <is>
          <t>MANALIPETC</t>
        </is>
      </c>
      <c r="B126" s="37" t="inlineStr">
        <is>
          <t>Manali Petrochemicals Limited</t>
        </is>
      </c>
      <c r="C126" s="37" t="inlineStr">
        <is>
          <t>Basic Materials</t>
        </is>
      </c>
      <c r="D126" s="38" t="inlineStr">
        <is>
          <t>2026-09-09</t>
        </is>
      </c>
    </row>
    <row r="127">
      <c r="A127" s="36" t="inlineStr">
        <is>
          <t>MTARTECH</t>
        </is>
      </c>
      <c r="B127" s="37" t="inlineStr">
        <is>
          <t>MTAR Technologies Limited</t>
        </is>
      </c>
      <c r="C127" s="37" t="inlineStr">
        <is>
          <t>Industrials</t>
        </is>
      </c>
      <c r="D127" s="38" t="inlineStr">
        <is>
          <t>2026-09-09</t>
        </is>
      </c>
    </row>
    <row r="128">
      <c r="A128" s="36" t="inlineStr">
        <is>
          <t>MVGJL</t>
        </is>
      </c>
      <c r="B128" s="37" t="inlineStr">
        <is>
          <t>Manoj Vaibhav Gems 'N' Jewellers Limited</t>
        </is>
      </c>
      <c r="C128" s="37" t="inlineStr">
        <is>
          <t>Consumer Cyclical</t>
        </is>
      </c>
      <c r="D128" s="38" t="inlineStr">
        <is>
          <t>2026-09-08</t>
        </is>
      </c>
    </row>
    <row r="129">
      <c r="A129" s="36" t="inlineStr">
        <is>
          <t>NAVINFLUOR</t>
        </is>
      </c>
      <c r="B129" s="37" t="inlineStr">
        <is>
          <t>Navin Fluorine International Limited</t>
        </is>
      </c>
      <c r="C129" s="37" t="inlineStr">
        <is>
          <t>Basic Materials</t>
        </is>
      </c>
      <c r="D129" s="38" t="inlineStr">
        <is>
          <t>2026-09-11</t>
        </is>
      </c>
    </row>
    <row r="130">
      <c r="A130" s="36" t="inlineStr">
        <is>
          <t>NEULANDLAB</t>
        </is>
      </c>
      <c r="B130" s="37" t="inlineStr">
        <is>
          <t>Neuland Laboratories Limited</t>
        </is>
      </c>
      <c r="C130" s="37" t="inlineStr">
        <is>
          <t>Healthcare</t>
        </is>
      </c>
      <c r="D130" s="38" t="inlineStr">
        <is>
          <t>2026-09-11</t>
        </is>
      </c>
    </row>
    <row r="131">
      <c r="A131" s="36" t="inlineStr">
        <is>
          <t>NOVARTIND</t>
        </is>
      </c>
      <c r="B131" s="37" t="inlineStr">
        <is>
          <t>Novartis India Limited</t>
        </is>
      </c>
      <c r="C131" s="37" t="inlineStr">
        <is>
          <t>Healthcare</t>
        </is>
      </c>
      <c r="D131" s="38" t="inlineStr">
        <is>
          <t>2026-09-10</t>
        </is>
      </c>
    </row>
    <row r="132">
      <c r="A132" s="36" t="inlineStr">
        <is>
          <t>OBSCP</t>
        </is>
      </c>
      <c r="B132" s="37" t="inlineStr">
        <is>
          <t>OBSCP</t>
        </is>
      </c>
      <c r="C132" s="37" t="inlineStr">
        <is>
          <t>unknown</t>
        </is>
      </c>
      <c r="D132" s="38" t="inlineStr">
        <is>
          <t>2026-09-10</t>
        </is>
      </c>
    </row>
    <row r="133">
      <c r="A133" s="36" t="inlineStr">
        <is>
          <t>OFSS</t>
        </is>
      </c>
      <c r="B133" s="37" t="inlineStr">
        <is>
          <t>OFSS</t>
        </is>
      </c>
      <c r="C133" s="37" t="inlineStr">
        <is>
          <t>unknown</t>
        </is>
      </c>
      <c r="D133" s="38" t="inlineStr">
        <is>
          <t>2026-09-10</t>
        </is>
      </c>
    </row>
    <row r="134">
      <c r="A134" s="36" t="inlineStr">
        <is>
          <t>OMAXE</t>
        </is>
      </c>
      <c r="B134" s="37" t="inlineStr">
        <is>
          <t>Omaxe Limited</t>
        </is>
      </c>
      <c r="C134" s="37" t="inlineStr">
        <is>
          <t>Real Estate</t>
        </is>
      </c>
      <c r="D134" s="38" t="inlineStr">
        <is>
          <t>2026-09-09</t>
        </is>
      </c>
    </row>
    <row r="135">
      <c r="A135" s="36" t="inlineStr">
        <is>
          <t>PARAS</t>
        </is>
      </c>
      <c r="B135" s="37" t="inlineStr">
        <is>
          <t>PARAS</t>
        </is>
      </c>
      <c r="C135" s="37" t="inlineStr">
        <is>
          <t>unknown</t>
        </is>
      </c>
      <c r="D135" s="38" t="inlineStr">
        <is>
          <t>2026-09-09</t>
        </is>
      </c>
    </row>
    <row r="136">
      <c r="A136" s="36" t="inlineStr">
        <is>
          <t>PGIL</t>
        </is>
      </c>
      <c r="B136" s="37" t="inlineStr">
        <is>
          <t>PGIL</t>
        </is>
      </c>
      <c r="C136" s="37" t="inlineStr">
        <is>
          <t>unknown</t>
        </is>
      </c>
      <c r="D136" s="38" t="inlineStr">
        <is>
          <t>2026-09-11</t>
        </is>
      </c>
    </row>
    <row r="137">
      <c r="A137" s="36" t="inlineStr">
        <is>
          <t>PRECWIRE</t>
        </is>
      </c>
      <c r="B137" s="37" t="inlineStr">
        <is>
          <t>PRECWIRE</t>
        </is>
      </c>
      <c r="C137" s="37" t="inlineStr">
        <is>
          <t>unknown</t>
        </is>
      </c>
      <c r="D137" s="38" t="inlineStr">
        <is>
          <t>2026-09-11</t>
        </is>
      </c>
    </row>
    <row r="138">
      <c r="A138" s="36" t="inlineStr">
        <is>
          <t>RAMRAT</t>
        </is>
      </c>
      <c r="B138" s="37" t="inlineStr">
        <is>
          <t>Ram Ratna Wires Limited</t>
        </is>
      </c>
      <c r="C138" s="37" t="inlineStr">
        <is>
          <t>Industrials</t>
        </is>
      </c>
      <c r="D138" s="38" t="inlineStr">
        <is>
          <t>2026-09-09</t>
        </is>
      </c>
    </row>
    <row r="139">
      <c r="A139" s="36" t="inlineStr">
        <is>
          <t>REDINGTON</t>
        </is>
      </c>
      <c r="B139" s="37" t="inlineStr">
        <is>
          <t>Redington Limited</t>
        </is>
      </c>
      <c r="C139" s="37" t="inlineStr">
        <is>
          <t>Technology</t>
        </is>
      </c>
      <c r="D139" s="38" t="inlineStr">
        <is>
          <t>2026-09-11</t>
        </is>
      </c>
    </row>
    <row r="140">
      <c r="A140" s="36" t="inlineStr">
        <is>
          <t>RPTECH</t>
        </is>
      </c>
      <c r="B140" s="37" t="inlineStr">
        <is>
          <t>RPTECH</t>
        </is>
      </c>
      <c r="C140" s="37" t="inlineStr">
        <is>
          <t>unknown</t>
        </is>
      </c>
      <c r="D140" s="38" t="inlineStr">
        <is>
          <t>2026-09-08</t>
        </is>
      </c>
    </row>
    <row r="141">
      <c r="A141" s="36" t="inlineStr">
        <is>
          <t>SANSERA</t>
        </is>
      </c>
      <c r="B141" s="37" t="inlineStr">
        <is>
          <t>Sansera Engineering Limited</t>
        </is>
      </c>
      <c r="C141" s="37" t="inlineStr">
        <is>
          <t>Consumer Cyclical</t>
        </is>
      </c>
      <c r="D141" s="38" t="inlineStr">
        <is>
          <t>2026-09-10</t>
        </is>
      </c>
    </row>
    <row r="142">
      <c r="A142" s="36" t="inlineStr">
        <is>
          <t>SHUKRAPHAR</t>
        </is>
      </c>
      <c r="B142" s="37" t="inlineStr">
        <is>
          <t>SHUKRAPHAR</t>
        </is>
      </c>
      <c r="C142" s="37" t="inlineStr">
        <is>
          <t>unknown</t>
        </is>
      </c>
      <c r="D142" s="38" t="inlineStr">
        <is>
          <t>2026-09-10</t>
        </is>
      </c>
    </row>
    <row r="143">
      <c r="A143" s="36" t="inlineStr">
        <is>
          <t>SKIPPER</t>
        </is>
      </c>
      <c r="B143" s="37" t="inlineStr">
        <is>
          <t>SKIPPER</t>
        </is>
      </c>
      <c r="C143" s="37" t="inlineStr">
        <is>
          <t>unknown</t>
        </is>
      </c>
      <c r="D143" s="38" t="inlineStr">
        <is>
          <t>2026-09-09</t>
        </is>
      </c>
    </row>
    <row r="144">
      <c r="A144" s="36" t="inlineStr">
        <is>
          <t>SPORTKING</t>
        </is>
      </c>
      <c r="B144" s="37" t="inlineStr">
        <is>
          <t>SPORTKING</t>
        </is>
      </c>
      <c r="C144" s="37" t="inlineStr">
        <is>
          <t>unknown</t>
        </is>
      </c>
      <c r="D144" s="38" t="inlineStr">
        <is>
          <t>2026-09-08</t>
        </is>
      </c>
    </row>
    <row r="145">
      <c r="A145" s="36" t="inlineStr">
        <is>
          <t>STAR</t>
        </is>
      </c>
      <c r="B145" s="37" t="inlineStr">
        <is>
          <t>Strides Pharma Science Limited</t>
        </is>
      </c>
      <c r="C145" s="37" t="inlineStr">
        <is>
          <t>Healthcare</t>
        </is>
      </c>
      <c r="D145" s="38" t="inlineStr">
        <is>
          <t>2026-09-11</t>
        </is>
      </c>
    </row>
    <row r="146">
      <c r="A146" s="36" t="inlineStr">
        <is>
          <t>SYNCOMF</t>
        </is>
      </c>
      <c r="B146" s="37" t="inlineStr">
        <is>
          <t>Syncom Formulations (India) Limited</t>
        </is>
      </c>
      <c r="C146" s="37" t="inlineStr">
        <is>
          <t>Healthcare</t>
        </is>
      </c>
      <c r="D146" s="38" t="inlineStr">
        <is>
          <t>2026-09-09</t>
        </is>
      </c>
    </row>
    <row r="147">
      <c r="A147" s="36" t="inlineStr">
        <is>
          <t>THELEELA</t>
        </is>
      </c>
      <c r="B147" s="37" t="inlineStr">
        <is>
          <t>THELEELA</t>
        </is>
      </c>
      <c r="C147" s="37" t="inlineStr">
        <is>
          <t>unknown</t>
        </is>
      </c>
      <c r="D147" s="38" t="inlineStr">
        <is>
          <t>2026-09-10</t>
        </is>
      </c>
    </row>
    <row r="148">
      <c r="A148" s="36" t="inlineStr">
        <is>
          <t>UFLEX</t>
        </is>
      </c>
      <c r="B148" s="37" t="inlineStr">
        <is>
          <t>Uflex Limited</t>
        </is>
      </c>
      <c r="C148" s="37" t="inlineStr">
        <is>
          <t>Consumer Cyclical</t>
        </is>
      </c>
      <c r="D148" s="38" t="inlineStr">
        <is>
          <t>2026-09-09</t>
        </is>
      </c>
    </row>
    <row r="149">
      <c r="A149" s="36" t="inlineStr">
        <is>
          <t>UNIVCABLES</t>
        </is>
      </c>
      <c r="B149" s="37" t="inlineStr">
        <is>
          <t>UNIVCABLES</t>
        </is>
      </c>
      <c r="C149" s="37" t="inlineStr">
        <is>
          <t>unknown</t>
        </is>
      </c>
      <c r="D149" s="38" t="inlineStr">
        <is>
          <t>2026-09-09</t>
        </is>
      </c>
    </row>
    <row r="150">
      <c r="A150" s="36" t="inlineStr">
        <is>
          <t>VISHNU</t>
        </is>
      </c>
      <c r="B150" s="37" t="inlineStr">
        <is>
          <t>Vishnu Chemicals Limited</t>
        </is>
      </c>
      <c r="C150" s="37" t="inlineStr">
        <is>
          <t>Basic Materials</t>
        </is>
      </c>
      <c r="D150" s="38" t="inlineStr">
        <is>
          <t>2026-09-11</t>
        </is>
      </c>
    </row>
    <row r="151">
      <c r="A151" s="36" t="inlineStr">
        <is>
          <t>WELCORP</t>
        </is>
      </c>
      <c r="B151" s="37" t="inlineStr">
        <is>
          <t>Welspun Corp Limited</t>
        </is>
      </c>
      <c r="C151" s="37" t="inlineStr">
        <is>
          <t>Basic Materials</t>
        </is>
      </c>
      <c r="D151" s="38" t="inlineStr">
        <is>
          <t>2026-09-08</t>
        </is>
      </c>
    </row>
  </sheetData>
  <autoFilter ref="A1:CG95"/>
  <conditionalFormatting sqref="B2:B9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5">
    <cfRule type="cellIs" priority="37" operator="equal" dxfId="3" stopIfTrue="1">
      <formula>"Underperforming"</formula>
    </cfRule>
  </conditionalFormatting>
  <conditionalFormatting sqref="N2:N95">
    <cfRule type="cellIs" priority="38" operator="equal" dxfId="3" stopIfTrue="1">
      <formula>-5</formula>
    </cfRule>
  </conditionalFormatting>
  <conditionalFormatting sqref="Q2:Q9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5" showDropDown="0" showInputMessage="0" showErrorMessage="0" allowBlank="1" type="list">
      <formula1>"Growing Industry,Stagnant Industry,Cyclical in an Upturn"</formula1>
    </dataValidation>
    <dataValidation sqref="Z2:Z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5" showDropDown="0" showInputMessage="0" showErrorMessage="0" allowBlank="1" type="list">
      <formula1>"Yes,No"</formula1>
    </dataValidation>
    <dataValidation sqref="AD2:AD95" showDropDown="0" showInputMessage="0" showErrorMessage="0" allowBlank="1" type="list">
      <formula1>"Tailwind,Headwind"</formula1>
    </dataValidation>
    <dataValidation sqref="AF2:AF95" showDropDown="0" showInputMessage="0" showErrorMessage="0" allowBlank="1" type="list">
      <formula1>"Structural (10 Years Consistency),Shallow Cyclical (2 to 3 Years Growth),Cyclical"</formula1>
    </dataValidation>
    <dataValidation sqref="AH2:AH95" showDropDown="0" showInputMessage="0" showErrorMessage="0" allowBlank="1" type="list">
      <formula1>"Yes due to Product Mix change or Operating Leverage,Yes, these are peak margins,No"</formula1>
    </dataValidation>
    <dataValidation sqref="AJ2:AJ95" showDropDown="0" showInputMessage="0" showErrorMessage="0" allowBlank="1" type="list">
      <formula1>"Stable,Volatile"</formula1>
    </dataValidation>
    <dataValidation sqref="AL2:AL95" showDropDown="0" showInputMessage="0" showErrorMessage="0" allowBlank="1" type="list">
      <formula1>"Yes,No"</formula1>
    </dataValidation>
    <dataValidation sqref="AN2:AN95" showDropDown="0" showInputMessage="0" showErrorMessage="0" allowBlank="1" type="list">
      <formula1>"B2C,B2B,B2G"</formula1>
    </dataValidation>
    <dataValidation sqref="AP2:AP95" showDropDown="0" showInputMessage="0" showErrorMessage="0" allowBlank="1" type="list">
      <formula1>"Yes,No"</formula1>
    </dataValidation>
    <dataValidation sqref="AR2:AR95" showDropDown="0" showInputMessage="0" showErrorMessage="0" allowBlank="1" type="list">
      <formula1>"Fully Annuity,Higher Annuity, Lower One time,Higher One Time, Lower Annuity,Fully One Time"</formula1>
    </dataValidation>
    <dataValidation sqref="AT2:AT95" showDropDown="0" showInputMessage="0" showErrorMessage="0" allowBlank="1" type="list">
      <formula1>"Good,Allocated capital in Non-core Areas"</formula1>
    </dataValidation>
    <dataValidation sqref="AV2:AV95" showDropDown="0" showInputMessage="0" showErrorMessage="0" allowBlank="1" type="list">
      <formula1>"Yes for more than 2 years,Yes only for next 1 to 2 years,No"</formula1>
    </dataValidation>
    <dataValidation sqref="AX2:AX95" showDropDown="0" showInputMessage="0" showErrorMessage="0" allowBlank="1" type="list">
      <formula1>"Above 40,20 to 40,0 to 20"</formula1>
    </dataValidation>
    <dataValidation sqref="AZ2:AZ95" showDropDown="0" showInputMessage="0" showErrorMessage="0" allowBlank="1" type="list">
      <formula1>"Between 50 to 75,Above 75,Below 45"</formula1>
    </dataValidation>
    <dataValidation sqref="BB2:BB95" showDropDown="0" showInputMessage="0" showErrorMessage="0" allowBlank="1" type="list">
      <formula1>"Stage 1,Stage 2,Stage 3,Stage 4"</formula1>
    </dataValidation>
    <dataValidation sqref="BD2:BD95" showDropDown="0" showInputMessage="0" showErrorMessage="0" allowBlank="1" type="list">
      <formula1>"Positive Trend,Negative Trend"</formula1>
    </dataValidation>
    <dataValidation sqref="BF2:BF95" showDropDown="0" showInputMessage="0" showErrorMessage="0" allowBlank="1" type="list">
      <formula1>"Uptrend,Sideways,Downtrend"</formula1>
    </dataValidation>
    <dataValidation sqref="BH2:BH95" showDropDown="0" showInputMessage="0" showErrorMessage="0" allowBlank="1" type="list">
      <formula1>"Uptrend,Sideways,Downtrend"</formula1>
    </dataValidation>
    <dataValidation sqref="BJ2:BJ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5" showDropDown="0" showInputMessage="0" showErrorMessage="0" allowBlank="1" type="list">
      <formula1>"Yes,No"</formula1>
    </dataValidation>
    <dataValidation sqref="BN2:BN95" showDropDown="0" showInputMessage="0" showErrorMessage="0" allowBlank="1" type="list">
      <formula1>"More than 20%,Between 12 to 20%,Less than 12%"</formula1>
    </dataValidation>
    <dataValidation sqref="BP2:BP95" showDropDown="0" showInputMessage="0" showErrorMessage="0" allowBlank="1" type="list">
      <formula1>"Yes,No"</formula1>
    </dataValidation>
    <dataValidation sqref="BR2:BR95" showDropDown="0" showInputMessage="0" showErrorMessage="0" allowBlank="1" type="list">
      <formula1>"Yes,No"</formula1>
    </dataValidation>
    <dataValidation sqref="BT2:BT95" showDropDown="0" showInputMessage="0" showErrorMessage="0" allowBlank="1" type="list">
      <formula1>"Above 2,Between 1.5 to 2,Less than 1.5"</formula1>
    </dataValidation>
    <dataValidation sqref="BV2:BV95" showDropDown="0" showInputMessage="0" showErrorMessage="0" allowBlank="1" type="list">
      <formula1>"Above 70%,Between 50% to 70%,Less than 50%,Less than 50% and Borrowings are increasing,Negative"</formula1>
    </dataValidation>
    <dataValidation sqref="BX2:BX95" showDropDown="0" showInputMessage="0" showErrorMessage="0" allowBlank="1" type="list">
      <formula1>"More than 1.2,Between 0.7 to 1.2,Less than 0.7"</formula1>
    </dataValidation>
    <dataValidation sqref="BZ2:BZ95" showDropDown="0" showInputMessage="0" showErrorMessage="0" allowBlank="1" type="list">
      <formula1>"Yes,No"</formula1>
    </dataValidation>
    <dataValidation sqref="CB2:CB95" showDropDown="0" showInputMessage="0" showErrorMessage="0" allowBlank="1" type="list">
      <formula1>"More than 15%,Less than 15%"</formula1>
    </dataValidation>
    <dataValidation sqref="CD2:CD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IF(B2=0,"",RANK(B2,$B$2:$B$7,0))</f>
        <v/>
      </c>
      <c r="B2" s="32">
        <f>SUM(N2,Y2,AA2,AC2,AE2,AG2,AI2,AK2,AM2,AO2,AQ2,AS2,AU2,AW2,AY2,BA2,BC2,BE2,BG2,BI2,BK2,BM2,BO2,BQ2,BS2,BU2,BW2,BY2,CA2,CC2)</f>
        <v/>
      </c>
      <c r="C2" s="34" t="inlineStr">
        <is>
          <t>PIRAMALFIN</t>
        </is>
      </c>
      <c r="D2" s="34" t="inlineStr">
        <is>
          <t>Piramal Finance Ltd</t>
        </is>
      </c>
      <c r="E2" s="31" t="inlineStr">
        <is>
          <t>Financial Services</t>
        </is>
      </c>
      <c r="F2" s="31" t="inlineStr">
        <is>
          <t>Conglomerate Backed NBFC</t>
        </is>
      </c>
      <c r="G2" s="31" t="inlineStr">
        <is>
          <t>largecap</t>
        </is>
      </c>
      <c r="H2" s="32" t="n">
        <v>53383.8</v>
      </c>
      <c r="I2" s="32" t="n">
        <v>2256</v>
      </c>
      <c r="J2" s="32" t="n">
        <v>-1.73</v>
      </c>
      <c r="K2" s="32" t="n">
        <v>0</v>
      </c>
      <c r="L2" s="31" t="n">
        <v>43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68.89</v>
      </c>
      <c r="P2" s="32" t="n">
        <v>55.44</v>
      </c>
      <c r="Q2" s="32" t="n">
        <v>1861.8</v>
      </c>
      <c r="R2" s="31" t="inlineStr">
        <is>
          <t>Near 52W High Breakout</t>
        </is>
      </c>
      <c r="S2" s="31" t="inlineStr">
        <is>
          <t>Nifty Bank</t>
        </is>
      </c>
      <c r="T2" s="32" t="n">
        <v>-2.19</v>
      </c>
      <c r="U2" s="32" t="n">
        <v>71.45999999999999</v>
      </c>
      <c r="V2" s="32" t="n">
        <v>75.31</v>
      </c>
      <c r="W2" s="32" t="n">
        <v>13.46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19</t>
        </is>
      </c>
      <c r="CC2" s="31">
        <f>IF(CB2&gt;20,10,IF(CB2&gt;=10,5,2))</f>
        <v/>
      </c>
    </row>
    <row r="3">
      <c r="A3" s="31">
        <f>IF(B3=0,"",RANK(B3,$B$2:$B$7,0))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CGCL</t>
        </is>
      </c>
      <c r="D3" s="31" t="inlineStr">
        <is>
          <t>Capri Global Capital Ltd</t>
        </is>
      </c>
      <c r="E3" s="31" t="inlineStr">
        <is>
          <t>financials</t>
        </is>
      </c>
      <c r="F3" s="31" t="inlineStr">
        <is>
          <t>Finance &amp; Investments - Gold Loan</t>
        </is>
      </c>
      <c r="G3" s="31" t="inlineStr">
        <is>
          <t>largecap</t>
        </is>
      </c>
      <c r="H3" s="32" t="n">
        <v>25545.19</v>
      </c>
      <c r="I3" s="32" t="n">
        <v>265.5</v>
      </c>
      <c r="J3" s="32" t="n">
        <v>-2.48</v>
      </c>
      <c r="K3" s="32" t="n">
        <v>0</v>
      </c>
      <c r="L3" s="31" t="n">
        <v>44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66.88</v>
      </c>
      <c r="P3" s="32" t="n">
        <v>40.5</v>
      </c>
      <c r="Q3" s="32" t="n">
        <v>219.48</v>
      </c>
      <c r="R3" s="31" t="inlineStr">
        <is>
          <t>Near 52W High Breakout</t>
        </is>
      </c>
      <c r="S3" s="31" t="inlineStr">
        <is>
          <t>Nifty Bank</t>
        </is>
      </c>
      <c r="T3" s="32" t="n">
        <v>3.28</v>
      </c>
      <c r="U3" s="32" t="n">
        <v>43.09</v>
      </c>
      <c r="V3" s="32" t="n">
        <v>38.54</v>
      </c>
      <c r="W3" s="32" t="n">
        <v>13.86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25</t>
        </is>
      </c>
      <c r="CC3" s="31">
        <f>IF(CB3&gt;20,10,IF(CB3&gt;=10,5,2))</f>
        <v/>
      </c>
    </row>
    <row r="4">
      <c r="A4" s="31">
        <f>IF(B4=0,"",RANK(B4,$B$2:$B$7,0))</f>
        <v/>
      </c>
      <c r="B4" s="32">
        <f>SUM(N4,Y4,AA4,AC4,AE4,AG4,AI4,AK4,AM4,AO4,AQ4,AS4,AU4,AW4,AY4,BA4,BC4,BE4,BG4,BI4,BK4,BM4,BO4,BQ4,BS4,BU4,BW4,BY4,CA4,CC4)</f>
        <v/>
      </c>
      <c r="C4" s="34" t="inlineStr">
        <is>
          <t>SHAREINDIA</t>
        </is>
      </c>
      <c r="D4" s="34" t="inlineStr">
        <is>
          <t>Share India Securities Ltd</t>
        </is>
      </c>
      <c r="E4" s="31" t="inlineStr">
        <is>
          <t>financials</t>
        </is>
      </c>
      <c r="F4" s="31" t="inlineStr">
        <is>
          <t>Finance - Capital Markets - Brokers</t>
        </is>
      </c>
      <c r="G4" s="31" t="inlineStr">
        <is>
          <t>smallcap</t>
        </is>
      </c>
      <c r="H4" s="32" t="n">
        <v>4335.37</v>
      </c>
      <c r="I4" s="32" t="n">
        <v>198.12</v>
      </c>
      <c r="J4" s="32" t="n">
        <v>0.92</v>
      </c>
      <c r="K4" s="32" t="n">
        <v>0</v>
      </c>
      <c r="L4" s="31" t="n">
        <v>58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66.95</v>
      </c>
      <c r="P4" s="32" t="n">
        <v>31.16</v>
      </c>
      <c r="Q4" s="32" t="n">
        <v>148.59</v>
      </c>
      <c r="R4" s="31" t="inlineStr">
        <is>
          <t>Volume Spike &amp; Near 52W High Breakout</t>
        </is>
      </c>
      <c r="S4" s="31" t="inlineStr">
        <is>
          <t>Nifty Bank</t>
        </is>
      </c>
      <c r="T4" s="32" t="n">
        <v>3.28</v>
      </c>
      <c r="U4" s="32" t="n">
        <v>37.9</v>
      </c>
      <c r="V4" s="32" t="n">
        <v>33.53</v>
      </c>
      <c r="W4" s="32" t="n">
        <v>18.56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20</t>
        </is>
      </c>
      <c r="CC4" s="31">
        <f>IF(CB4&gt;20,10,IF(CB4&gt;=10,5,2))</f>
        <v/>
      </c>
    </row>
    <row r="5">
      <c r="A5" s="31">
        <f>IF(B5=0,"",RANK(B5,$B$2:$B$7,0))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PAISALO</t>
        </is>
      </c>
      <c r="D5" s="31" t="inlineStr">
        <is>
          <t>Paisalo Digital Ltd</t>
        </is>
      </c>
      <c r="E5" s="31" t="inlineStr">
        <is>
          <t>financials</t>
        </is>
      </c>
      <c r="F5" s="31" t="inlineStr">
        <is>
          <t>Finance - Capital Markets - Brokers</t>
        </is>
      </c>
      <c r="G5" s="31" t="inlineStr">
        <is>
          <t>midcap</t>
        </is>
      </c>
      <c r="H5" s="32" t="n">
        <v>7639.07</v>
      </c>
      <c r="I5" s="32" t="n">
        <v>83.98999999999999</v>
      </c>
      <c r="J5" s="32" t="n">
        <v>1.13</v>
      </c>
      <c r="K5" s="32" t="n">
        <v>0</v>
      </c>
      <c r="L5" s="31" t="n">
        <v>80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80.28</v>
      </c>
      <c r="P5" s="32" t="n">
        <v>67.34</v>
      </c>
      <c r="Q5" s="32" t="n">
        <v>66.95999999999999</v>
      </c>
      <c r="R5" s="31" t="inlineStr">
        <is>
          <t>Near 52W High Breakout</t>
        </is>
      </c>
      <c r="S5" s="31" t="inlineStr">
        <is>
          <t>Nifty Bank</t>
        </is>
      </c>
      <c r="T5" s="32" t="n">
        <v>3.28</v>
      </c>
      <c r="U5" s="32" t="n">
        <v>122.26</v>
      </c>
      <c r="V5" s="32" t="n">
        <v>115.2</v>
      </c>
      <c r="W5" s="32" t="n">
        <v>31.49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20</t>
        </is>
      </c>
      <c r="CC5" s="31">
        <f>IF(CB5&gt;20,10,IF(CB5&gt;=10,5,2))</f>
        <v/>
      </c>
    </row>
    <row r="6">
      <c r="A6" s="31">
        <f>IF(B6=0,"",RANK(B6,$B$2:$B$7,0))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TFCILTD</t>
        </is>
      </c>
      <c r="D6" s="31" t="inlineStr">
        <is>
          <t>Tourism Finance Corporation of India Ltd</t>
        </is>
      </c>
      <c r="E6" s="31" t="inlineStr">
        <is>
          <t>financials</t>
        </is>
      </c>
      <c r="F6" s="31" t="inlineStr">
        <is>
          <t>Finance - PSU Lending</t>
        </is>
      </c>
      <c r="G6" s="31" t="inlineStr">
        <is>
          <t>midcap</t>
        </is>
      </c>
      <c r="H6" s="32" t="n">
        <v>6562.7</v>
      </c>
      <c r="I6" s="32" t="n">
        <v>141.75</v>
      </c>
      <c r="J6" s="32" t="n">
        <v>-0.99</v>
      </c>
      <c r="K6" s="32" t="n">
        <v>0</v>
      </c>
      <c r="L6" s="31" t="n">
        <v>87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83.91</v>
      </c>
      <c r="P6" s="32" t="n">
        <v>65.98</v>
      </c>
      <c r="Q6" s="32" t="n">
        <v>114.99</v>
      </c>
      <c r="R6" s="31" t="inlineStr">
        <is>
          <t>Near 52W High Breakout</t>
        </is>
      </c>
      <c r="S6" s="31" t="inlineStr">
        <is>
          <t>Nifty Bank</t>
        </is>
      </c>
      <c r="T6" s="32" t="n">
        <v>3.28</v>
      </c>
      <c r="U6" s="32" t="n">
        <v>95.20999999999999</v>
      </c>
      <c r="V6" s="32" t="n">
        <v>89.01000000000001</v>
      </c>
      <c r="W6" s="32" t="n">
        <v>37.1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Above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20</t>
        </is>
      </c>
      <c r="CC6" s="31">
        <f>IF(CB6&gt;20,10,IF(CB6&gt;=10,5,2))</f>
        <v/>
      </c>
    </row>
    <row r="7">
      <c r="A7" s="31">
        <f>IF(B7=0,"",RANK(B7,$B$2:$B$7,0))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GCSL</t>
        </is>
      </c>
      <c r="D7" s="31" t="inlineStr">
        <is>
          <t>Gretex Corporate Services Ltd</t>
        </is>
      </c>
      <c r="E7" s="31" t="inlineStr">
        <is>
          <t>financials</t>
        </is>
      </c>
      <c r="F7" s="31" t="inlineStr">
        <is>
          <t>Finance &amp; Investments - Others</t>
        </is>
      </c>
      <c r="G7" s="31" t="inlineStr">
        <is>
          <t>smallcap</t>
        </is>
      </c>
      <c r="H7" s="32" t="n">
        <v>1500.32</v>
      </c>
      <c r="I7" s="32" t="n">
        <v>600</v>
      </c>
      <c r="J7" s="32" t="n">
        <v>-2.41</v>
      </c>
      <c r="K7" s="32" t="n">
        <v>0</v>
      </c>
      <c r="L7" s="31" t="n">
        <v>72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74.39</v>
      </c>
      <c r="P7" s="32" t="n">
        <v>34.17</v>
      </c>
      <c r="Q7" s="32" t="n">
        <v>466.47</v>
      </c>
      <c r="R7" s="31" t="inlineStr">
        <is>
          <t>Near 52W High Breakout</t>
        </is>
      </c>
      <c r="S7" s="31" t="inlineStr">
        <is>
          <t>Nifty Bank</t>
        </is>
      </c>
      <c r="T7" s="32" t="n">
        <v>3.28</v>
      </c>
      <c r="U7" s="32" t="n">
        <v>114.52</v>
      </c>
      <c r="V7" s="32" t="n">
        <v>107.71</v>
      </c>
      <c r="W7" s="32" t="n">
        <v>25.19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above 5x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20</t>
        </is>
      </c>
      <c r="CC7" s="31">
        <f>IF(CB7&gt;20,10,IF(CB7&gt;=10,5,2))</f>
        <v/>
      </c>
    </row>
    <row r="11">
      <c r="A11" s="25" t="inlineStr">
        <is>
          <t>❌ REMOVED SCAN MATCH STOCKS (THIS WEEK)</t>
        </is>
      </c>
    </row>
    <row r="12">
      <c r="A12" s="35" t="inlineStr">
        <is>
          <t>Symbol</t>
        </is>
      </c>
      <c r="B12" s="35" t="inlineStr">
        <is>
          <t>Company Name</t>
        </is>
      </c>
      <c r="C12" s="35" t="inlineStr">
        <is>
          <t>Sector</t>
        </is>
      </c>
      <c r="D12" s="35" t="inlineStr">
        <is>
          <t>Date of Removal</t>
        </is>
      </c>
    </row>
  </sheetData>
  <autoFilter ref="A1:CC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7">
    <cfRule type="cellIs" priority="35" operator="equal" dxfId="3" stopIfTrue="1">
      <formula>"Underperforming"</formula>
    </cfRule>
  </conditionalFormatting>
  <conditionalFormatting sqref="N2:N7">
    <cfRule type="cellIs" priority="36" operator="equal" dxfId="3" stopIfTrue="1">
      <formula>-5</formula>
    </cfRule>
  </conditionalFormatting>
  <conditionalFormatting sqref="Q2:Q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7" showDropDown="0" showInputMessage="0" showErrorMessage="0" allowBlank="1" type="list">
      <formula1>"Growing Industry,Stagnant Industry,Cyclical in an Upturn"</formula1>
    </dataValidation>
    <dataValidation sqref="Z2:Z7" showDropDown="0" showInputMessage="0" showErrorMessage="0" allowBlank="1" type="list">
      <formula1>"Fragmented with Low ROE,Fragmented with High ROE,Highly Cyclical"</formula1>
    </dataValidation>
    <dataValidation sqref="AB2:AB7" showDropDown="0" showInputMessage="0" showErrorMessage="0" allowBlank="1" type="list">
      <formula1>"Yes,No"</formula1>
    </dataValidation>
    <dataValidation sqref="AD2:AD7" showDropDown="0" showInputMessage="0" showErrorMessage="0" allowBlank="1" type="list">
      <formula1>"Tailwind,Headwind"</formula1>
    </dataValidation>
    <dataValidation sqref="AF2:AF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" showDropDown="0" showInputMessage="0" showErrorMessage="0" allowBlank="1" type="list">
      <formula1>"Yes,No"</formula1>
    </dataValidation>
    <dataValidation sqref="AJ2:AJ7" showDropDown="0" showInputMessage="0" showErrorMessage="0" allowBlank="1" type="list">
      <formula1>"Yes,No,Not Applicable"</formula1>
    </dataValidation>
    <dataValidation sqref="AL2:AL7" showDropDown="0" showInputMessage="0" showErrorMessage="0" allowBlank="1" type="list">
      <formula1>"Yes,No"</formula1>
    </dataValidation>
    <dataValidation sqref="AN2:AN7" showDropDown="0" showInputMessage="0" showErrorMessage="0" allowBlank="1" type="list">
      <formula1>"Yes,No"</formula1>
    </dataValidation>
    <dataValidation sqref="AP2:AP7" showDropDown="0" showInputMessage="0" showErrorMessage="0" allowBlank="1" type="list">
      <formula1>"Yes,No"</formula1>
    </dataValidation>
    <dataValidation sqref="AR2:AR7" showDropDown="0" showInputMessage="0" showErrorMessage="0" allowBlank="1" type="list">
      <formula1>"Yes,No"</formula1>
    </dataValidation>
    <dataValidation sqref="AT2:AT7" showDropDown="0" showInputMessage="0" showErrorMessage="0" allowBlank="1" type="list">
      <formula1>"No,Yes"</formula1>
    </dataValidation>
    <dataValidation sqref="AV2:AV7" showDropDown="0" showInputMessage="0" showErrorMessage="0" allowBlank="1" type="list">
      <formula1>"No,Yes"</formula1>
    </dataValidation>
    <dataValidation sqref="AX2:AX7" showDropDown="0" showInputMessage="0" showErrorMessage="0" allowBlank="1" type="list">
      <formula1>"No,Yes CEO Resignation,Yes CEO Retirement"</formula1>
    </dataValidation>
    <dataValidation sqref="AZ2:AZ7" showDropDown="0" showInputMessage="0" showErrorMessage="0" allowBlank="1" type="list">
      <formula1>"No,Yes"</formula1>
    </dataValidation>
    <dataValidation sqref="BB2:BB7" showDropDown="0" showInputMessage="0" showErrorMessage="0" allowBlank="1" type="list">
      <formula1>"No,Yes"</formula1>
    </dataValidation>
    <dataValidation sqref="BD2:BD7" showDropDown="0" showInputMessage="0" showErrorMessage="0" allowBlank="1" type="list">
      <formula1>"Yes,No"</formula1>
    </dataValidation>
    <dataValidation sqref="BF2:BF7" showDropDown="0" showInputMessage="0" showErrorMessage="0" allowBlank="1" type="list">
      <formula1>"Yes,No"</formula1>
    </dataValidation>
    <dataValidation sqref="BH2:BH7" showDropDown="0" showInputMessage="0" showErrorMessage="0" allowBlank="1" type="list">
      <formula1>"Yes,No"</formula1>
    </dataValidation>
    <dataValidation sqref="BJ2:BJ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" showDropDown="0" showInputMessage="0" showErrorMessage="0" allowBlank="1" type="list">
      <formula1>"Above 40,20 to 40,0 to 20"</formula1>
    </dataValidation>
    <dataValidation sqref="BN2:BN7" showDropDown="0" showInputMessage="0" showErrorMessage="0" allowBlank="1" type="list">
      <formula1>"Between 50 to 75,Above 75,Below 45"</formula1>
    </dataValidation>
    <dataValidation sqref="BP2:BP7" showDropDown="0" showInputMessage="0" showErrorMessage="0" allowBlank="1" type="list">
      <formula1>"Stage 1,Stage 2,Stage 3,Stage 4"</formula1>
    </dataValidation>
    <dataValidation sqref="BR2:BR7" showDropDown="0" showInputMessage="0" showErrorMessage="0" allowBlank="1" type="list">
      <formula1>"Positive Trend,Negative Trend"</formula1>
    </dataValidation>
    <dataValidation sqref="BT2:BT7" showDropDown="0" showInputMessage="0" showErrorMessage="0" allowBlank="1" type="list">
      <formula1>"Uptrend,Sideways,Downtrend"</formula1>
    </dataValidation>
    <dataValidation sqref="BV2:BV7" showDropDown="0" showInputMessage="0" showErrorMessage="0" allowBlank="1" type="list">
      <formula1>"Uptrend,Sideways,Downtrend"</formula1>
    </dataValidation>
    <dataValidation sqref="BX2:BX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2026-09-11T14:30:57Z</dcterms:created>
  <dcterms:modified xmlns:dcterms="http://purl.org/dc/terms/" xmlns:xsi="http://www.w3.org/2001/XMLSchema-instance" xsi:type="dcterms:W3CDTF">2026-09-11T14:32:02Z</dcterms:modified>
</cp:coreProperties>
</file>