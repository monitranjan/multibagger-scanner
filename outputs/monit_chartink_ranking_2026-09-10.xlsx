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Universe'!$A$1:$J$362</definedName>
    <definedName name="_xlnm._FilterDatabase" localSheetId="3" hidden="1">'Confluence Overlap'!$A$1:$K$95</definedName>
    <definedName name="_xlnm._FilterDatabase" localSheetId="4" hidden="1">'Monit Non Financial'!$A$1:$CE$331</definedName>
    <definedName name="_xlnm._FilterDatabase" localSheetId="5" hidden="1">'Monit Banks NBFC'!$A$1:$CA$32</definedName>
    <definedName name="_xlnm._FilterDatabase" localSheetId="6" hidden="1">'Scanner Non Financial'!$A$1:$CJ$20</definedName>
    <definedName name="_xlnm._FilterDatabase" localSheetId="7" hidden="1">'Scanner Banks NBFC'!$A$1:$CF$4</definedName>
    <definedName name="_xlnm._FilterDatabase" localSheetId="8" hidden="1">'Scan Match Non Financial'!$A$1:$CG$95</definedName>
    <definedName name="_xlnm._FilterDatabase" localSheetId="9" hidden="1">'Scan Match Banks NBFC'!$A$1:$CC$7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1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13" fillId="10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7" fillId="12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0" fillId="13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Thursday, 10 September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1" customWidth="1" min="2" max="2"/>
    <col width="25" customWidth="1" min="3" max="3"/>
    <col width="47" customWidth="1" min="4" max="4"/>
    <col width="25" customWidth="1" min="5" max="5"/>
    <col width="40" customWidth="1" min="6" max="6"/>
    <col width="25" customWidth="1" min="7" max="7"/>
    <col width="19" customWidth="1" min="8" max="8"/>
    <col width="11" customWidth="1" min="9" max="9"/>
    <col width="49" customWidth="1" min="10" max="10"/>
    <col width="25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714</v>
      </c>
      <c r="C6" s="17" t="inlineStr">
        <is>
          <t>WELCORP</t>
        </is>
      </c>
      <c r="D6" s="18" t="inlineStr">
        <is>
          <t>Welspun Corp Limited</t>
        </is>
      </c>
      <c r="E6" s="18" t="inlineStr">
        <is>
          <t>industrials</t>
        </is>
      </c>
      <c r="F6" s="16" t="n">
        <v>104</v>
      </c>
      <c r="G6" s="19" t="n">
        <v>68809.78999999999</v>
      </c>
      <c r="H6" s="18" t="inlineStr">
        <is>
          <t>Potential Leader</t>
        </is>
      </c>
      <c r="J6" s="18" t="inlineStr">
        <is>
          <t>telecom-service</t>
        </is>
      </c>
      <c r="K6" s="16" t="n">
        <v>8</v>
      </c>
      <c r="L6" s="16" t="n">
        <v>4</v>
      </c>
      <c r="M6" s="20" t="inlineStr">
        <is>
          <t>100.0%</t>
        </is>
      </c>
    </row>
    <row r="7">
      <c r="A7" s="16" t="n">
        <v>2</v>
      </c>
      <c r="B7" s="17" t="n">
        <v>402</v>
      </c>
      <c r="C7" s="17" t="inlineStr">
        <is>
          <t>CYIENTDLM</t>
        </is>
      </c>
      <c r="D7" s="18" t="inlineStr">
        <is>
          <t>Cyient DLM Ltd</t>
        </is>
      </c>
      <c r="E7" s="18" t="inlineStr">
        <is>
          <t>aerospace &amp; defence</t>
        </is>
      </c>
      <c r="F7" s="16" t="n">
        <v>52</v>
      </c>
      <c r="G7" s="19" t="n">
        <v>7506.89</v>
      </c>
      <c r="H7" s="18" t="inlineStr">
        <is>
          <t>Potential Leader</t>
        </is>
      </c>
      <c r="J7" s="18" t="inlineStr">
        <is>
          <t>power &amp; utilities</t>
        </is>
      </c>
      <c r="K7" s="16" t="n">
        <v>11</v>
      </c>
      <c r="L7" s="16" t="n">
        <v>6</v>
      </c>
      <c r="M7" s="20" t="inlineStr">
        <is>
          <t>83.3%</t>
        </is>
      </c>
    </row>
    <row r="8">
      <c r="A8" s="16" t="n">
        <v>3</v>
      </c>
      <c r="B8" s="17" t="n">
        <v>402</v>
      </c>
      <c r="C8" s="17" t="inlineStr">
        <is>
          <t>IRISDOREME</t>
        </is>
      </c>
      <c r="D8" s="18" t="inlineStr">
        <is>
          <t>Iris Clothings Ltd</t>
        </is>
      </c>
      <c r="E8" s="18" t="inlineStr">
        <is>
          <t>consumer discretionary</t>
        </is>
      </c>
      <c r="F8" s="16" t="n">
        <v>52</v>
      </c>
      <c r="G8" s="19" t="n">
        <v>1166.73</v>
      </c>
      <c r="H8" s="18" t="inlineStr">
        <is>
          <t>Potential Leader</t>
        </is>
      </c>
      <c r="J8" s="18" t="inlineStr">
        <is>
          <t>co-working</t>
        </is>
      </c>
      <c r="K8" s="16" t="n">
        <v>9</v>
      </c>
      <c r="L8" s="16" t="n">
        <v>5</v>
      </c>
      <c r="M8" s="20" t="inlineStr">
        <is>
          <t>80.0%</t>
        </is>
      </c>
    </row>
    <row r="9">
      <c r="A9" s="16" t="n">
        <v>4</v>
      </c>
      <c r="B9" s="17" t="n">
        <v>396</v>
      </c>
      <c r="C9" s="17" t="inlineStr">
        <is>
          <t>SETL</t>
        </is>
      </c>
      <c r="D9" s="18" t="inlineStr">
        <is>
          <t>Standard Enginnering Technology Ltd</t>
        </is>
      </c>
      <c r="E9" s="18" t="inlineStr">
        <is>
          <t>industrials</t>
        </is>
      </c>
      <c r="F9" s="16" t="n">
        <v>51</v>
      </c>
      <c r="G9" s="19" t="n">
        <v>8472.41</v>
      </c>
      <c r="H9" s="18" t="inlineStr">
        <is>
          <t>Potential Leader</t>
        </is>
      </c>
      <c r="J9" s="18" t="inlineStr">
        <is>
          <t>aerospace &amp; defence</t>
        </is>
      </c>
      <c r="K9" s="16" t="n">
        <v>72</v>
      </c>
      <c r="L9" s="16" t="n">
        <v>46</v>
      </c>
      <c r="M9" s="20" t="inlineStr">
        <is>
          <t>56.5%</t>
        </is>
      </c>
    </row>
    <row r="10">
      <c r="A10" s="16" t="n">
        <v>5</v>
      </c>
      <c r="B10" s="17" t="n">
        <v>384</v>
      </c>
      <c r="C10" s="17" t="inlineStr">
        <is>
          <t>HAPPYFORGE</t>
        </is>
      </c>
      <c r="D10" s="18" t="inlineStr">
        <is>
          <t>Happy Forgings Ltd</t>
        </is>
      </c>
      <c r="E10" s="18" t="inlineStr">
        <is>
          <t>industrials</t>
        </is>
      </c>
      <c r="F10" s="16" t="n">
        <v>49</v>
      </c>
      <c r="G10" s="19" t="n">
        <v>21298.45</v>
      </c>
      <c r="H10" s="18" t="inlineStr">
        <is>
          <t>Potential Leader</t>
        </is>
      </c>
      <c r="J10" s="18" t="inlineStr">
        <is>
          <t>building materials</t>
        </is>
      </c>
      <c r="K10" s="16" t="n">
        <v>76</v>
      </c>
      <c r="L10" s="16" t="n">
        <v>51</v>
      </c>
      <c r="M10" s="20" t="inlineStr">
        <is>
          <t>49.0%</t>
        </is>
      </c>
    </row>
    <row r="11">
      <c r="A11" s="16" t="n">
        <v>6</v>
      </c>
      <c r="B11" s="17" t="n">
        <v>354</v>
      </c>
      <c r="C11" s="17" t="inlineStr">
        <is>
          <t>SUNDRMFAST</t>
        </is>
      </c>
      <c r="D11" s="18" t="inlineStr">
        <is>
          <t>Sundram Fasteners Limited</t>
        </is>
      </c>
      <c r="E11" s="18" t="inlineStr">
        <is>
          <t>auto</t>
        </is>
      </c>
      <c r="F11" s="16" t="n">
        <v>44</v>
      </c>
      <c r="G11" s="19" t="n">
        <v>25623.05</v>
      </c>
      <c r="H11" s="18" t="inlineStr">
        <is>
          <t>Potential Leader</t>
        </is>
      </c>
      <c r="J11" s="18" t="inlineStr">
        <is>
          <t>transportation</t>
        </is>
      </c>
      <c r="K11" s="16" t="n">
        <v>45</v>
      </c>
      <c r="L11" s="16" t="n">
        <v>32</v>
      </c>
      <c r="M11" s="20" t="inlineStr">
        <is>
          <t>40.6%</t>
        </is>
      </c>
    </row>
    <row r="12">
      <c r="A12" s="16" t="n">
        <v>7</v>
      </c>
      <c r="B12" s="17" t="n">
        <v>330</v>
      </c>
      <c r="C12" s="17" t="inlineStr">
        <is>
          <t>KABRAEXTRU</t>
        </is>
      </c>
      <c r="D12" s="18" t="inlineStr">
        <is>
          <t>Kabra Extrusion Technik Limited</t>
        </is>
      </c>
      <c r="E12" s="18" t="inlineStr">
        <is>
          <t>industrials</t>
        </is>
      </c>
      <c r="F12" s="16" t="n">
        <v>40</v>
      </c>
      <c r="G12" s="19" t="n">
        <v>2318.52</v>
      </c>
      <c r="H12" s="18" t="inlineStr">
        <is>
          <t>Potential Leader</t>
        </is>
      </c>
      <c r="J12" s="18" t="inlineStr">
        <is>
          <t>energy</t>
        </is>
      </c>
      <c r="K12" s="16" t="n">
        <v>77</v>
      </c>
      <c r="L12" s="16" t="n">
        <v>64</v>
      </c>
      <c r="M12" s="20" t="inlineStr">
        <is>
          <t>20.3%</t>
        </is>
      </c>
    </row>
    <row r="13">
      <c r="A13" s="16" t="n">
        <v>8</v>
      </c>
      <c r="B13" s="17" t="n">
        <v>318</v>
      </c>
      <c r="C13" s="17" t="inlineStr">
        <is>
          <t>DIVISLAB</t>
        </is>
      </c>
      <c r="D13" s="18" t="inlineStr">
        <is>
          <t>Divi's Laboratories Limited</t>
        </is>
      </c>
      <c r="E13" s="18" t="inlineStr">
        <is>
          <t>healthcare</t>
        </is>
      </c>
      <c r="F13" s="16" t="n">
        <v>38</v>
      </c>
      <c r="G13" s="19" t="n">
        <v>251876.59</v>
      </c>
      <c r="H13" s="18" t="inlineStr">
        <is>
          <t>Potential Leader</t>
        </is>
      </c>
      <c r="J13" s="18" t="inlineStr">
        <is>
          <t>textiles</t>
        </is>
      </c>
      <c r="K13" s="16" t="n">
        <v>85</v>
      </c>
      <c r="L13" s="16" t="n">
        <v>74</v>
      </c>
      <c r="M13" s="20" t="inlineStr">
        <is>
          <t>14.9%</t>
        </is>
      </c>
    </row>
    <row r="14">
      <c r="A14" s="16" t="n">
        <v>9</v>
      </c>
      <c r="B14" s="17" t="n">
        <v>318</v>
      </c>
      <c r="C14" s="17" t="inlineStr">
        <is>
          <t>MENONBE</t>
        </is>
      </c>
      <c r="D14" s="18" t="inlineStr">
        <is>
          <t>Menon Bearings Limited</t>
        </is>
      </c>
      <c r="E14" s="18" t="inlineStr">
        <is>
          <t>auto</t>
        </is>
      </c>
      <c r="F14" s="16" t="n">
        <v>38</v>
      </c>
      <c r="G14" s="19" t="n">
        <v>1712.02</v>
      </c>
      <c r="H14" s="18" t="inlineStr">
        <is>
          <t>Potential Leader</t>
        </is>
      </c>
      <c r="J14" s="18" t="inlineStr">
        <is>
          <t>consumer discretionary</t>
        </is>
      </c>
      <c r="K14" s="16" t="n">
        <v>138</v>
      </c>
      <c r="L14" s="16" t="n">
        <v>122</v>
      </c>
      <c r="M14" s="20" t="inlineStr">
        <is>
          <t>13.1%</t>
        </is>
      </c>
    </row>
    <row r="15">
      <c r="A15" s="16" t="n">
        <v>10</v>
      </c>
      <c r="B15" s="17" t="n">
        <v>318</v>
      </c>
      <c r="C15" s="17" t="inlineStr">
        <is>
          <t>TFCILTD</t>
        </is>
      </c>
      <c r="D15" s="18" t="inlineStr">
        <is>
          <t>Tourism Finance Corporation Of India Limited</t>
        </is>
      </c>
      <c r="E15" s="18" t="inlineStr">
        <is>
          <t>financials</t>
        </is>
      </c>
      <c r="F15" s="16" t="n">
        <v>38</v>
      </c>
      <c r="G15" s="19" t="n">
        <v>6559.92</v>
      </c>
      <c r="H15" s="18" t="inlineStr">
        <is>
          <t>Potential Leader</t>
        </is>
      </c>
      <c r="J15" s="18" t="inlineStr">
        <is>
          <t>healthcare</t>
        </is>
      </c>
      <c r="K15" s="16" t="n">
        <v>275</v>
      </c>
      <c r="L15" s="16" t="n">
        <v>245</v>
      </c>
      <c r="M15" s="20" t="inlineStr">
        <is>
          <t>12.2%</t>
        </is>
      </c>
    </row>
    <row r="16">
      <c r="A16" s="16" t="n">
        <v>11</v>
      </c>
      <c r="B16" s="17" t="n">
        <v>318</v>
      </c>
      <c r="C16" s="17" t="inlineStr">
        <is>
          <t>VSSL</t>
        </is>
      </c>
      <c r="D16" s="18" t="inlineStr">
        <is>
          <t>Vardhman Special Steels Limited</t>
        </is>
      </c>
      <c r="E16" s="18" t="inlineStr">
        <is>
          <t>metals &amp; mining</t>
        </is>
      </c>
      <c r="F16" s="16" t="n">
        <v>38</v>
      </c>
      <c r="G16" s="19" t="n">
        <v>3507.27</v>
      </c>
      <c r="H16" s="18" t="inlineStr">
        <is>
          <t>Potential Leader</t>
        </is>
      </c>
      <c r="J16" s="18" t="inlineStr">
        <is>
          <t>financials</t>
        </is>
      </c>
      <c r="K16" s="16" t="n">
        <v>132</v>
      </c>
      <c r="L16" s="16" t="n">
        <v>118</v>
      </c>
      <c r="M16" s="20" t="inlineStr">
        <is>
          <t>11.9%</t>
        </is>
      </c>
    </row>
    <row r="17">
      <c r="A17" s="16" t="n">
        <v>12</v>
      </c>
      <c r="B17" s="17" t="n">
        <v>312</v>
      </c>
      <c r="C17" s="17" t="inlineStr">
        <is>
          <t>NILKAMAL</t>
        </is>
      </c>
      <c r="D17" s="18" t="inlineStr">
        <is>
          <t>Nilkamal Limited</t>
        </is>
      </c>
      <c r="E17" s="18" t="inlineStr">
        <is>
          <t>plastic products</t>
        </is>
      </c>
      <c r="F17" s="16" t="n">
        <v>37</v>
      </c>
      <c r="G17" s="19" t="n">
        <v>3069.12</v>
      </c>
      <c r="H17" s="18" t="inlineStr">
        <is>
          <t>Potential Leader</t>
        </is>
      </c>
      <c r="J17" s="18" t="inlineStr">
        <is>
          <t>realty</t>
        </is>
      </c>
      <c r="K17" s="16" t="n">
        <v>94</v>
      </c>
      <c r="L17" s="16" t="n">
        <v>89</v>
      </c>
      <c r="M17" s="20" t="inlineStr">
        <is>
          <t>5.6%</t>
        </is>
      </c>
    </row>
    <row r="18">
      <c r="A18" s="16" t="n">
        <v>13</v>
      </c>
      <c r="B18" s="17" t="n">
        <v>306</v>
      </c>
      <c r="C18" s="17" t="inlineStr">
        <is>
          <t>WSTCSTPAPR</t>
        </is>
      </c>
      <c r="D18" s="18" t="inlineStr">
        <is>
          <t>West Coast Paper Mills Limited</t>
        </is>
      </c>
      <c r="E18" s="18" t="inlineStr">
        <is>
          <t>building materials</t>
        </is>
      </c>
      <c r="F18" s="16" t="n">
        <v>36</v>
      </c>
      <c r="G18" s="19" t="n">
        <v>4409.09</v>
      </c>
      <c r="H18" s="18" t="inlineStr">
        <is>
          <t>Potential Leader</t>
        </is>
      </c>
      <c r="J18" s="18" t="inlineStr">
        <is>
          <t>metals &amp; mining</t>
        </is>
      </c>
      <c r="K18" s="16" t="n">
        <v>137</v>
      </c>
      <c r="L18" s="16" t="n">
        <v>135</v>
      </c>
      <c r="M18" s="20" t="inlineStr">
        <is>
          <t>1.5%</t>
        </is>
      </c>
    </row>
    <row r="19">
      <c r="A19" s="16" t="n">
        <v>14</v>
      </c>
      <c r="B19" s="17" t="n">
        <v>300</v>
      </c>
      <c r="C19" s="17" t="inlineStr">
        <is>
          <t>UNIPARTS</t>
        </is>
      </c>
      <c r="D19" s="18" t="inlineStr">
        <is>
          <t>Uniparts India Ltd</t>
        </is>
      </c>
      <c r="E19" s="18" t="inlineStr">
        <is>
          <t>industrials</t>
        </is>
      </c>
      <c r="F19" s="16" t="n">
        <v>35</v>
      </c>
      <c r="G19" s="19" t="n">
        <v>4036.02</v>
      </c>
      <c r="H19" s="18" t="inlineStr">
        <is>
          <t>Potential Leader</t>
        </is>
      </c>
      <c r="J19" s="18" t="inlineStr">
        <is>
          <t>telecom</t>
        </is>
      </c>
      <c r="K19" s="16" t="n">
        <v>8</v>
      </c>
      <c r="L19" s="16" t="n">
        <v>8</v>
      </c>
      <c r="M19" s="20" t="inlineStr">
        <is>
          <t>0.0%</t>
        </is>
      </c>
    </row>
    <row r="20">
      <c r="A20" s="16" t="n">
        <v>15</v>
      </c>
      <c r="B20" s="17" t="n">
        <v>294</v>
      </c>
      <c r="C20" s="17" t="inlineStr">
        <is>
          <t>ARTEMISMED</t>
        </is>
      </c>
      <c r="D20" s="18" t="inlineStr">
        <is>
          <t>Artemis Medicare Services Ltd</t>
        </is>
      </c>
      <c r="E20" s="18" t="inlineStr">
        <is>
          <t>healthcare</t>
        </is>
      </c>
      <c r="F20" s="16" t="n">
        <v>34</v>
      </c>
      <c r="G20" s="19" t="n">
        <v>5608.79</v>
      </c>
      <c r="H20" s="18" t="inlineStr">
        <is>
          <t>Potential Leader</t>
        </is>
      </c>
      <c r="J20" s="18" t="inlineStr">
        <is>
          <t>services</t>
        </is>
      </c>
      <c r="K20" s="16" t="n">
        <v>41</v>
      </c>
      <c r="L20" s="16" t="n">
        <v>41</v>
      </c>
      <c r="M20" s="20" t="inlineStr">
        <is>
          <t>0.0%</t>
        </is>
      </c>
    </row>
    <row r="21">
      <c r="A21" s="16" t="n">
        <v>16</v>
      </c>
      <c r="B21" s="17" t="n">
        <v>294</v>
      </c>
      <c r="C21" s="17" t="inlineStr">
        <is>
          <t>KMEW</t>
        </is>
      </c>
      <c r="D21" s="18" t="inlineStr">
        <is>
          <t>Knowledge Marine &amp; Engineering Works Ltd</t>
        </is>
      </c>
      <c r="E21" s="18" t="inlineStr">
        <is>
          <t>transportation</t>
        </is>
      </c>
      <c r="F21" s="16" t="n">
        <v>34</v>
      </c>
      <c r="G21" s="19" t="n">
        <v>7245.23</v>
      </c>
      <c r="H21" s="18" t="inlineStr">
        <is>
          <t>Potential Leader</t>
        </is>
      </c>
    </row>
    <row r="22">
      <c r="A22" s="16" t="n">
        <v>17</v>
      </c>
      <c r="B22" s="17" t="n">
        <v>294</v>
      </c>
      <c r="C22" s="17" t="inlineStr">
        <is>
          <t>PAYTM</t>
        </is>
      </c>
      <c r="D22" s="18" t="inlineStr">
        <is>
          <t>One 97 Communications Ltd</t>
        </is>
      </c>
      <c r="E22" s="18" t="inlineStr">
        <is>
          <t>i.t</t>
        </is>
      </c>
      <c r="F22" s="16" t="n">
        <v>34</v>
      </c>
      <c r="G22" s="19" t="n">
        <v>112155.03</v>
      </c>
      <c r="H22" s="18" t="inlineStr">
        <is>
          <t>Potential Leader</t>
        </is>
      </c>
    </row>
    <row r="23">
      <c r="A23" s="16" t="n">
        <v>18</v>
      </c>
      <c r="B23" s="17" t="n">
        <v>288</v>
      </c>
      <c r="C23" s="17" t="inlineStr">
        <is>
          <t>DEEPINDS</t>
        </is>
      </c>
      <c r="D23" s="18" t="inlineStr">
        <is>
          <t>Deep Industries Ltd</t>
        </is>
      </c>
      <c r="E23" s="18" t="inlineStr">
        <is>
          <t>energy</t>
        </is>
      </c>
      <c r="F23" s="16" t="n">
        <v>33</v>
      </c>
      <c r="G23" s="19" t="n">
        <v>5073.28</v>
      </c>
      <c r="H23" s="18" t="inlineStr">
        <is>
          <t>Potential Leader</t>
        </is>
      </c>
    </row>
    <row r="24">
      <c r="A24" s="16" t="n">
        <v>19</v>
      </c>
      <c r="B24" s="17" t="n">
        <v>288</v>
      </c>
      <c r="C24" s="17" t="inlineStr">
        <is>
          <t>NEULANDLAB</t>
        </is>
      </c>
      <c r="D24" s="18" t="inlineStr">
        <is>
          <t>Neuland Laboratories Limited</t>
        </is>
      </c>
      <c r="E24" s="18" t="inlineStr">
        <is>
          <t>healthcare</t>
        </is>
      </c>
      <c r="F24" s="16" t="n">
        <v>33</v>
      </c>
      <c r="G24" s="19" t="n">
        <v>29758.93</v>
      </c>
      <c r="H24" s="18" t="inlineStr">
        <is>
          <t>Potential Leader</t>
        </is>
      </c>
    </row>
    <row r="25">
      <c r="A25" s="16" t="n">
        <v>20</v>
      </c>
      <c r="B25" s="17" t="n">
        <v>288</v>
      </c>
      <c r="C25" s="17" t="inlineStr">
        <is>
          <t>REDINGTON</t>
        </is>
      </c>
      <c r="D25" s="18" t="inlineStr">
        <is>
          <t>Redington (india) Limited</t>
        </is>
      </c>
      <c r="E25" s="18" t="inlineStr">
        <is>
          <t>services</t>
        </is>
      </c>
      <c r="F25" s="16" t="n">
        <v>33</v>
      </c>
      <c r="G25" s="19" t="n">
        <v>29554.98</v>
      </c>
      <c r="H25" s="18" t="inlineStr">
        <is>
          <t>Potential Leader</t>
        </is>
      </c>
    </row>
    <row r="26"/>
    <row r="27"/>
    <row r="28">
      <c r="A28" s="21" t="inlineStr">
        <is>
          <t>🌟 EMERGING LEADERS (MOMENTUM EXPANSION)</t>
        </is>
      </c>
      <c r="J28" s="22" t="inlineStr">
        <is>
          <t>💎 SATELLITE HOLDINGS SHORTLIST (MCAP &lt; 25K CR)</t>
        </is>
      </c>
    </row>
    <row r="29">
      <c r="A29" s="23" t="inlineStr">
        <is>
          <t>Symbol</t>
        </is>
      </c>
      <c r="B29" s="23" t="inlineStr">
        <is>
          <t>Company Name</t>
        </is>
      </c>
      <c r="C29" s="23" t="inlineStr">
        <is>
          <t>Sector</t>
        </is>
      </c>
      <c r="D29" s="23" t="inlineStr">
        <is>
          <t>Recent Matches (10D)</t>
        </is>
      </c>
      <c r="E29" s="23" t="inlineStr">
        <is>
          <t>Historical Matches</t>
        </is>
      </c>
      <c r="F29" s="23" t="inlineStr">
        <is>
          <t>Market Cap Cr</t>
        </is>
      </c>
      <c r="J29" s="23" t="inlineStr">
        <is>
          <t>Symbol</t>
        </is>
      </c>
      <c r="K29" s="23" t="inlineStr">
        <is>
          <t>Sector</t>
        </is>
      </c>
      <c r="L29" s="23" t="inlineStr">
        <is>
          <t>Monit Score</t>
        </is>
      </c>
      <c r="M29" s="23" t="inlineStr">
        <is>
          <t>Market Cap Cr</t>
        </is>
      </c>
      <c r="N29" s="23" t="inlineStr">
        <is>
          <t>Appearances (30D)</t>
        </is>
      </c>
    </row>
    <row r="30">
      <c r="A30" s="17" t="inlineStr">
        <is>
          <t>LGBBROSLTD</t>
        </is>
      </c>
      <c r="B30" s="18" t="inlineStr">
        <is>
          <t>Lg Balakrishnan &amp; Bros Limited</t>
        </is>
      </c>
      <c r="C30" s="18" t="inlineStr">
        <is>
          <t>auto</t>
        </is>
      </c>
      <c r="D30" s="16" t="n">
        <v>10</v>
      </c>
      <c r="E30" s="16" t="n">
        <v>2</v>
      </c>
      <c r="F30" s="19" t="n">
        <v>5516.43</v>
      </c>
      <c r="J30" s="17" t="inlineStr">
        <is>
          <t>VINDHYATEL</t>
        </is>
      </c>
      <c r="K30" s="18" t="inlineStr">
        <is>
          <t>realty</t>
        </is>
      </c>
      <c r="L30" s="19" t="n">
        <v>298</v>
      </c>
      <c r="M30" s="19" t="n">
        <v>3456.19</v>
      </c>
      <c r="N30" s="16" t="n">
        <v>29</v>
      </c>
    </row>
    <row r="31">
      <c r="A31" s="17" t="inlineStr">
        <is>
          <t>CYIENT</t>
        </is>
      </c>
      <c r="B31" s="18" t="inlineStr">
        <is>
          <t>Cyient Limited</t>
        </is>
      </c>
      <c r="C31" s="18" t="inlineStr">
        <is>
          <t>i.t</t>
        </is>
      </c>
      <c r="D31" s="16" t="n">
        <v>10</v>
      </c>
      <c r="E31" s="16" t="n">
        <v>2</v>
      </c>
      <c r="F31" s="19" t="n">
        <v>11260.79</v>
      </c>
      <c r="J31" s="17" t="inlineStr">
        <is>
          <t>TMB</t>
        </is>
      </c>
      <c r="K31" s="18" t="inlineStr">
        <is>
          <t>bank</t>
        </is>
      </c>
      <c r="L31" s="19" t="n">
        <v>295</v>
      </c>
      <c r="M31" s="19" t="n">
        <v>14603.96</v>
      </c>
      <c r="N31" s="16" t="n">
        <v>25</v>
      </c>
    </row>
    <row r="32">
      <c r="A32" s="17" t="inlineStr">
        <is>
          <t>GODREJAGRO</t>
        </is>
      </c>
      <c r="B32" s="18" t="inlineStr">
        <is>
          <t>Godrej Agrovet Ltd</t>
        </is>
      </c>
      <c r="C32" s="18" t="inlineStr">
        <is>
          <t>fmcg</t>
        </is>
      </c>
      <c r="D32" s="16" t="n">
        <v>10</v>
      </c>
      <c r="E32" s="16" t="n">
        <v>1</v>
      </c>
      <c r="F32" s="19" t="n">
        <v>12977.57</v>
      </c>
      <c r="J32" s="17" t="inlineStr">
        <is>
          <t>INDNIPPON</t>
        </is>
      </c>
      <c r="K32" s="18" t="inlineStr">
        <is>
          <t>auto</t>
        </is>
      </c>
      <c r="L32" s="19" t="n">
        <v>295</v>
      </c>
      <c r="M32" s="19" t="n">
        <v>2970.87</v>
      </c>
      <c r="N32" s="16" t="n">
        <v>8</v>
      </c>
    </row>
    <row r="33">
      <c r="A33" s="17" t="inlineStr">
        <is>
          <t>ASIANHOTNR</t>
        </is>
      </c>
      <c r="B33" s="18" t="inlineStr">
        <is>
          <t>Asian Hotels (north) Limited</t>
        </is>
      </c>
      <c r="C33" s="18" t="inlineStr">
        <is>
          <t>services</t>
        </is>
      </c>
      <c r="D33" s="16" t="n">
        <v>9</v>
      </c>
      <c r="E33" s="16" t="n">
        <v>1</v>
      </c>
      <c r="F33" s="19" t="n">
        <v>1724.51</v>
      </c>
      <c r="J33" s="17" t="inlineStr">
        <is>
          <t>BLUSPRING</t>
        </is>
      </c>
      <c r="K33" s="18" t="inlineStr">
        <is>
          <t>miscellaneous</t>
        </is>
      </c>
      <c r="L33" s="19" t="n">
        <v>293</v>
      </c>
      <c r="M33" s="19" t="n">
        <v>1950.5</v>
      </c>
      <c r="N33" s="16" t="n">
        <v>21</v>
      </c>
    </row>
    <row r="34">
      <c r="A34" s="17" t="inlineStr">
        <is>
          <t>SBFC</t>
        </is>
      </c>
      <c r="B34" s="18" t="inlineStr">
        <is>
          <t>SBFC Finance Ltd</t>
        </is>
      </c>
      <c r="C34" s="18" t="inlineStr">
        <is>
          <t>financials</t>
        </is>
      </c>
      <c r="D34" s="16" t="n">
        <v>9</v>
      </c>
      <c r="E34" s="16" t="n">
        <v>2</v>
      </c>
      <c r="F34" s="19" t="n">
        <v>11027.67</v>
      </c>
      <c r="J34" s="17" t="inlineStr">
        <is>
          <t>VISHNU</t>
        </is>
      </c>
      <c r="K34" s="18" t="inlineStr">
        <is>
          <t>chemicals</t>
        </is>
      </c>
      <c r="L34" s="19" t="n">
        <v>290</v>
      </c>
      <c r="M34" s="19" t="n">
        <v>4772.99</v>
      </c>
      <c r="N34" s="16" t="n">
        <v>19</v>
      </c>
    </row>
    <row r="35">
      <c r="A35" s="17" t="inlineStr">
        <is>
          <t>PRABHA</t>
        </is>
      </c>
      <c r="B35" s="18" t="inlineStr">
        <is>
          <t>Prabha Energy Ltd</t>
        </is>
      </c>
      <c r="C35" s="18" t="inlineStr">
        <is>
          <t>energy</t>
        </is>
      </c>
      <c r="D35" s="16" t="n">
        <v>8</v>
      </c>
      <c r="E35" s="16" t="n">
        <v>0</v>
      </c>
      <c r="F35" s="19" t="n">
        <v>3614.19</v>
      </c>
      <c r="J35" s="17" t="inlineStr">
        <is>
          <t>MSTCLTD</t>
        </is>
      </c>
      <c r="K35" s="18" t="inlineStr">
        <is>
          <t>i.t</t>
        </is>
      </c>
      <c r="L35" s="19" t="n">
        <v>288</v>
      </c>
      <c r="M35" s="19" t="n">
        <v>5379.26</v>
      </c>
      <c r="N35" s="16" t="n">
        <v>19</v>
      </c>
    </row>
    <row r="36">
      <c r="A36" s="17" t="inlineStr">
        <is>
          <t>GMMPFAUDLR</t>
        </is>
      </c>
      <c r="B36" s="18" t="inlineStr">
        <is>
          <t>GMM Pfaudler Ltd</t>
        </is>
      </c>
      <c r="C36" s="18" t="inlineStr">
        <is>
          <t>industrials</t>
        </is>
      </c>
      <c r="D36" s="16" t="n">
        <v>8</v>
      </c>
      <c r="E36" s="16" t="n">
        <v>0</v>
      </c>
      <c r="F36" s="19" t="n">
        <v>5868.72</v>
      </c>
      <c r="J36" s="17" t="inlineStr">
        <is>
          <t>ORIENTBELL</t>
        </is>
      </c>
      <c r="K36" s="18" t="inlineStr">
        <is>
          <t>building materials</t>
        </is>
      </c>
      <c r="L36" s="19" t="n">
        <v>288</v>
      </c>
      <c r="M36" s="19" t="n">
        <v>617.99</v>
      </c>
      <c r="N36" s="16" t="n">
        <v>20</v>
      </c>
    </row>
    <row r="37">
      <c r="A37" s="17" t="inlineStr">
        <is>
          <t>ANUHPHR</t>
        </is>
      </c>
      <c r="B37" s="18" t="inlineStr">
        <is>
          <t>Anuh Pharma Ltd</t>
        </is>
      </c>
      <c r="C37" s="18" t="inlineStr">
        <is>
          <t>healthcare</t>
        </is>
      </c>
      <c r="D37" s="16" t="n">
        <v>8</v>
      </c>
      <c r="E37" s="16" t="n">
        <v>1</v>
      </c>
      <c r="F37" s="19" t="n">
        <v>969.5700000000001</v>
      </c>
      <c r="J37" s="17" t="inlineStr">
        <is>
          <t>OCCLLTD</t>
        </is>
      </c>
      <c r="K37" s="18" t="inlineStr">
        <is>
          <t>chemicals</t>
        </is>
      </c>
      <c r="L37" s="19" t="n">
        <v>288</v>
      </c>
      <c r="M37" s="19" t="n">
        <v>822.58</v>
      </c>
      <c r="N37" s="16" t="n">
        <v>25</v>
      </c>
    </row>
    <row r="38">
      <c r="A38" s="17" t="inlineStr">
        <is>
          <t>MAZDA</t>
        </is>
      </c>
      <c r="B38" s="18" t="inlineStr">
        <is>
          <t>Mazda Limited</t>
        </is>
      </c>
      <c r="C38" s="18" t="inlineStr">
        <is>
          <t>industrials</t>
        </is>
      </c>
      <c r="D38" s="16" t="n">
        <v>7</v>
      </c>
      <c r="E38" s="16" t="n">
        <v>0</v>
      </c>
      <c r="F38" s="19" t="n">
        <v>544.08</v>
      </c>
      <c r="J38" s="17" t="inlineStr">
        <is>
          <t>GNA</t>
        </is>
      </c>
      <c r="K38" s="18" t="inlineStr">
        <is>
          <t>auto</t>
        </is>
      </c>
      <c r="L38" s="19" t="n">
        <v>288</v>
      </c>
      <c r="M38" s="19" t="n">
        <v>2316.33</v>
      </c>
      <c r="N38" s="16" t="n">
        <v>20</v>
      </c>
    </row>
    <row r="39">
      <c r="A39" s="17" t="inlineStr">
        <is>
          <t>SUTLEJTEX</t>
        </is>
      </c>
      <c r="B39" s="18" t="inlineStr">
        <is>
          <t>Sutlej Textiles and Industries Limited</t>
        </is>
      </c>
      <c r="C39" s="18" t="inlineStr">
        <is>
          <t>Consumer Cyclical</t>
        </is>
      </c>
      <c r="D39" s="16" t="n">
        <v>7</v>
      </c>
      <c r="E39" s="16" t="n">
        <v>2</v>
      </c>
      <c r="F39" s="19" t="n">
        <v>658.09</v>
      </c>
      <c r="J39" s="17" t="inlineStr">
        <is>
          <t>AVTNPL</t>
        </is>
      </c>
      <c r="K39" s="18" t="inlineStr">
        <is>
          <t>fmcg</t>
        </is>
      </c>
      <c r="L39" s="19" t="n">
        <v>287</v>
      </c>
      <c r="M39" s="19" t="n">
        <v>1407.41</v>
      </c>
      <c r="N39" s="16" t="n">
        <v>24</v>
      </c>
    </row>
    <row r="40">
      <c r="A40" s="17" t="inlineStr">
        <is>
          <t>MVGJL</t>
        </is>
      </c>
      <c r="B40" s="18" t="inlineStr">
        <is>
          <t>Manoj Vaibhav Gems N Jewellers Ltd</t>
        </is>
      </c>
      <c r="C40" s="18" t="inlineStr">
        <is>
          <t>consumer discretionary</t>
        </is>
      </c>
      <c r="D40" s="16" t="n">
        <v>6</v>
      </c>
      <c r="E40" s="16" t="n">
        <v>0</v>
      </c>
      <c r="F40" s="19" t="n">
        <v>1048.46</v>
      </c>
      <c r="J40" s="17" t="inlineStr">
        <is>
          <t>VINCOFE</t>
        </is>
      </c>
      <c r="K40" s="18" t="inlineStr">
        <is>
          <t>consumer discretionary</t>
        </is>
      </c>
      <c r="L40" s="19" t="n">
        <v>287</v>
      </c>
      <c r="M40" s="19" t="n">
        <v>2599.08</v>
      </c>
      <c r="N40" s="16" t="n">
        <v>15</v>
      </c>
    </row>
    <row r="41">
      <c r="A41" s="17" t="inlineStr">
        <is>
          <t>AGI</t>
        </is>
      </c>
      <c r="B41" s="18" t="inlineStr">
        <is>
          <t>AGI Greenpac Ltd</t>
        </is>
      </c>
      <c r="C41" s="18" t="inlineStr">
        <is>
          <t>industrials</t>
        </is>
      </c>
      <c r="D41" s="16" t="n">
        <v>6</v>
      </c>
      <c r="E41" s="16" t="n">
        <v>0</v>
      </c>
      <c r="F41" s="19" t="n">
        <v>5150.88</v>
      </c>
      <c r="J41" s="17" t="inlineStr">
        <is>
          <t>KTKBANK</t>
        </is>
      </c>
      <c r="K41" s="18" t="inlineStr">
        <is>
          <t>bank</t>
        </is>
      </c>
      <c r="L41" s="19" t="n">
        <v>285</v>
      </c>
      <c r="M41" s="19" t="n">
        <v>12527.99</v>
      </c>
      <c r="N41" s="16" t="n">
        <v>30</v>
      </c>
    </row>
    <row r="42"/>
    <row r="43"/>
    <row r="44"/>
    <row r="45">
      <c r="A45" s="24" t="inlineStr">
        <is>
          <t>🚀 HIGH MOMENTUM LEADERS (RS RATING &gt;= 90)</t>
        </is>
      </c>
    </row>
    <row r="46">
      <c r="A46" s="25" t="inlineStr">
        <is>
          <t>Rank</t>
        </is>
      </c>
      <c r="B46" s="25" t="inlineStr">
        <is>
          <t>RS Rating</t>
        </is>
      </c>
      <c r="C46" s="25" t="inlineStr">
        <is>
          <t>O'Neil Score</t>
        </is>
      </c>
      <c r="D46" s="25" t="inlineStr">
        <is>
          <t>Monit Score</t>
        </is>
      </c>
      <c r="E46" s="25" t="inlineStr">
        <is>
          <t>Symbol</t>
        </is>
      </c>
      <c r="F46" s="25" t="inlineStr">
        <is>
          <t>Company Name</t>
        </is>
      </c>
      <c r="G46" s="25" t="inlineStr">
        <is>
          <t>Sector</t>
        </is>
      </c>
      <c r="H46" s="25" t="inlineStr">
        <is>
          <t>Market Cap Cr</t>
        </is>
      </c>
    </row>
    <row r="47">
      <c r="A47" s="16" t="n">
        <v>1</v>
      </c>
      <c r="B47" s="26" t="n">
        <v>99</v>
      </c>
      <c r="C47" s="27" t="n">
        <v>123.8</v>
      </c>
      <c r="D47" s="27" t="n">
        <v>260</v>
      </c>
      <c r="E47" s="17" t="inlineStr">
        <is>
          <t>STLTECH</t>
        </is>
      </c>
      <c r="F47" s="18" t="inlineStr">
        <is>
          <t>Sterlite Technologies Limited</t>
        </is>
      </c>
      <c r="G47" s="18" t="inlineStr">
        <is>
          <t>industrials</t>
        </is>
      </c>
      <c r="H47" s="19" t="n">
        <v>44498.27</v>
      </c>
    </row>
    <row r="48">
      <c r="A48" s="16" t="n">
        <v>2</v>
      </c>
      <c r="B48" s="26" t="n">
        <v>99</v>
      </c>
      <c r="C48" s="27" t="n">
        <v>92.19</v>
      </c>
      <c r="D48" s="27" t="n">
        <v>242</v>
      </c>
      <c r="E48" s="17" t="inlineStr">
        <is>
          <t>CUPID</t>
        </is>
      </c>
      <c r="F48" s="18" t="inlineStr">
        <is>
          <t>Cupid Limited</t>
        </is>
      </c>
      <c r="G48" s="18" t="inlineStr">
        <is>
          <t>fmcg</t>
        </is>
      </c>
      <c r="H48" s="19" t="n">
        <v>37610.16</v>
      </c>
    </row>
    <row r="49">
      <c r="A49" s="16" t="n">
        <v>3</v>
      </c>
      <c r="B49" s="26" t="n">
        <v>98</v>
      </c>
      <c r="C49" s="27" t="n">
        <v>76.40000000000001</v>
      </c>
      <c r="D49" s="27" t="n">
        <v>275</v>
      </c>
      <c r="E49" s="17" t="inlineStr">
        <is>
          <t>KABRAEXTRU</t>
        </is>
      </c>
      <c r="F49" s="18" t="inlineStr">
        <is>
          <t>Kabra Extrusion Technik Limited</t>
        </is>
      </c>
      <c r="G49" s="18" t="inlineStr">
        <is>
          <t>industrials</t>
        </is>
      </c>
      <c r="H49" s="19" t="n">
        <v>2318.52</v>
      </c>
    </row>
    <row r="50">
      <c r="A50" s="16" t="n">
        <v>4</v>
      </c>
      <c r="B50" s="26" t="n">
        <v>98</v>
      </c>
      <c r="C50" s="27" t="n">
        <v>71.55</v>
      </c>
      <c r="D50" s="27" t="n">
        <v>273</v>
      </c>
      <c r="E50" s="17" t="inlineStr">
        <is>
          <t>SETL</t>
        </is>
      </c>
      <c r="F50" s="18" t="inlineStr">
        <is>
          <t>Standard Enginnering Technology Ltd</t>
        </is>
      </c>
      <c r="G50" s="18" t="inlineStr">
        <is>
          <t>industrials</t>
        </is>
      </c>
      <c r="H50" s="19" t="n">
        <v>8472.41</v>
      </c>
    </row>
    <row r="51">
      <c r="A51" s="16" t="n">
        <v>5</v>
      </c>
      <c r="B51" s="26" t="n">
        <v>98</v>
      </c>
      <c r="C51" s="27" t="n">
        <v>71.38</v>
      </c>
      <c r="D51" s="27" t="n">
        <v>285</v>
      </c>
      <c r="E51" s="17" t="inlineStr">
        <is>
          <t>TBZ</t>
        </is>
      </c>
      <c r="F51" s="18" t="inlineStr">
        <is>
          <t>Tribhovandas Bhimji Zaveri Limited</t>
        </is>
      </c>
      <c r="G51" s="18" t="inlineStr">
        <is>
          <t>consumer discretionary</t>
        </is>
      </c>
      <c r="H51" s="19" t="n">
        <v>3520.71</v>
      </c>
    </row>
    <row r="52">
      <c r="A52" s="16" t="n">
        <v>6</v>
      </c>
      <c r="B52" s="26" t="n">
        <v>98</v>
      </c>
      <c r="C52" s="27" t="n">
        <v>71.33</v>
      </c>
      <c r="D52" s="27" t="n">
        <v>258</v>
      </c>
      <c r="E52" s="17" t="inlineStr">
        <is>
          <t>SIGMAADV</t>
        </is>
      </c>
      <c r="F52" s="18" t="inlineStr">
        <is>
          <t>Sigma Advanced System Ltd</t>
        </is>
      </c>
      <c r="G52" s="18" t="inlineStr">
        <is>
          <t>aerospace &amp; defence</t>
        </is>
      </c>
      <c r="H52" s="19" t="n">
        <v>14308.86</v>
      </c>
    </row>
    <row r="53">
      <c r="A53" s="16" t="n">
        <v>7</v>
      </c>
      <c r="B53" s="26" t="n">
        <v>97</v>
      </c>
      <c r="C53" s="27" t="n">
        <v>63.4</v>
      </c>
      <c r="D53" s="27" t="n">
        <v>285</v>
      </c>
      <c r="E53" s="17" t="inlineStr">
        <is>
          <t>ATHERENERG</t>
        </is>
      </c>
      <c r="F53" s="18" t="inlineStr">
        <is>
          <t>Ather Energy Ltd</t>
        </is>
      </c>
      <c r="G53" s="18" t="inlineStr">
        <is>
          <t>auto</t>
        </is>
      </c>
      <c r="H53" s="19" t="n">
        <v>62271.8</v>
      </c>
    </row>
    <row r="54">
      <c r="A54" s="16" t="n">
        <v>8</v>
      </c>
      <c r="B54" s="26" t="n">
        <v>97</v>
      </c>
      <c r="C54" s="27" t="n">
        <v>63.33</v>
      </c>
      <c r="D54" s="27" t="n">
        <v>283</v>
      </c>
      <c r="E54" s="17" t="inlineStr">
        <is>
          <t>RPEL</t>
        </is>
      </c>
      <c r="F54" s="18" t="inlineStr">
        <is>
          <t>Raghav Productivity Enhancers Ltd</t>
        </is>
      </c>
      <c r="G54" s="18" t="inlineStr">
        <is>
          <t>building materials</t>
        </is>
      </c>
      <c r="H54" s="19" t="n">
        <v>7672.64</v>
      </c>
    </row>
    <row r="55">
      <c r="A55" s="16" t="n">
        <v>9</v>
      </c>
      <c r="B55" s="26" t="n">
        <v>97</v>
      </c>
      <c r="C55" s="27" t="n">
        <v>62.95</v>
      </c>
      <c r="D55" s="27" t="n">
        <v>277</v>
      </c>
      <c r="E55" s="17" t="inlineStr">
        <is>
          <t>INDSWFTLAB</t>
        </is>
      </c>
      <c r="F55" s="18" t="inlineStr">
        <is>
          <t>Ind-swift Laboratories Limited</t>
        </is>
      </c>
      <c r="G55" s="18" t="inlineStr">
        <is>
          <t>healthcare</t>
        </is>
      </c>
      <c r="H55" s="19" t="n">
        <v>3378.89</v>
      </c>
    </row>
    <row r="56">
      <c r="A56" s="16" t="n">
        <v>10</v>
      </c>
      <c r="B56" s="26" t="n">
        <v>97</v>
      </c>
      <c r="C56" s="27" t="n">
        <v>61.68</v>
      </c>
      <c r="D56" s="27" t="n">
        <v>278</v>
      </c>
      <c r="E56" s="17" t="inlineStr">
        <is>
          <t>WELCORP</t>
        </is>
      </c>
      <c r="F56" s="18" t="inlineStr">
        <is>
          <t>Welspun Corp Limited</t>
        </is>
      </c>
      <c r="G56" s="18" t="inlineStr">
        <is>
          <t>industrials</t>
        </is>
      </c>
      <c r="H56" s="19" t="n">
        <v>68809.78999999999</v>
      </c>
    </row>
    <row r="57">
      <c r="A57" s="16" t="n">
        <v>11</v>
      </c>
      <c r="B57" s="26" t="n">
        <v>96</v>
      </c>
      <c r="C57" s="27" t="n">
        <v>61.29</v>
      </c>
      <c r="D57" s="27" t="n">
        <v>265</v>
      </c>
      <c r="E57" s="17" t="inlineStr">
        <is>
          <t>BODALCHEM</t>
        </is>
      </c>
      <c r="F57" s="18" t="inlineStr">
        <is>
          <t>Bodal Chemicals Limited</t>
        </is>
      </c>
      <c r="G57" s="18" t="inlineStr">
        <is>
          <t>chemicals</t>
        </is>
      </c>
      <c r="H57" s="19" t="n">
        <v>2202.13</v>
      </c>
    </row>
    <row r="58">
      <c r="A58" s="16" t="n">
        <v>12</v>
      </c>
      <c r="B58" s="26" t="n">
        <v>96</v>
      </c>
      <c r="C58" s="27" t="n">
        <v>61.03</v>
      </c>
      <c r="D58" s="27" t="n">
        <v>280</v>
      </c>
      <c r="E58" s="17" t="inlineStr">
        <is>
          <t>MENONBE</t>
        </is>
      </c>
      <c r="F58" s="18" t="inlineStr">
        <is>
          <t>Menon Bearings Limited</t>
        </is>
      </c>
      <c r="G58" s="18" t="inlineStr">
        <is>
          <t>auto</t>
        </is>
      </c>
      <c r="H58" s="19" t="n">
        <v>1712.02</v>
      </c>
    </row>
    <row r="59">
      <c r="A59" s="16" t="n">
        <v>13</v>
      </c>
      <c r="B59" s="26" t="n">
        <v>96</v>
      </c>
      <c r="C59" s="27" t="n">
        <v>57.51</v>
      </c>
      <c r="D59" s="27" t="n">
        <v>265</v>
      </c>
      <c r="E59" s="17" t="inlineStr">
        <is>
          <t>SAPL</t>
        </is>
      </c>
      <c r="F59" s="18" t="inlineStr">
        <is>
          <t>Sar Auto Products Limited</t>
        </is>
      </c>
      <c r="G59" s="18" t="inlineStr">
        <is>
          <t>Consumer Cyclical</t>
        </is>
      </c>
      <c r="H59" s="19" t="n">
        <v>2471.16</v>
      </c>
    </row>
    <row r="60">
      <c r="A60" s="16" t="n">
        <v>14</v>
      </c>
      <c r="B60" s="26" t="n">
        <v>96</v>
      </c>
      <c r="C60" s="27" t="n">
        <v>56.83</v>
      </c>
      <c r="D60" s="27" t="n">
        <v>275</v>
      </c>
      <c r="E60" s="17" t="inlineStr">
        <is>
          <t>WHEELS</t>
        </is>
      </c>
      <c r="F60" s="18" t="inlineStr">
        <is>
          <t>Wheels India Limited</t>
        </is>
      </c>
      <c r="G60" s="18" t="inlineStr">
        <is>
          <t>auto</t>
        </is>
      </c>
      <c r="H60" s="19" t="n">
        <v>5865.39</v>
      </c>
    </row>
    <row r="61">
      <c r="A61" s="16" t="n">
        <v>15</v>
      </c>
      <c r="B61" s="26" t="n">
        <v>95</v>
      </c>
      <c r="C61" s="27" t="n">
        <v>56.12</v>
      </c>
      <c r="D61" s="27" t="n">
        <v>283</v>
      </c>
      <c r="E61" s="17" t="inlineStr">
        <is>
          <t>SWANDEF</t>
        </is>
      </c>
      <c r="F61" s="18" t="inlineStr">
        <is>
          <t>Swan Defence and Heavy Industries Ltd</t>
        </is>
      </c>
      <c r="G61" s="18" t="inlineStr">
        <is>
          <t>transportation</t>
        </is>
      </c>
      <c r="H61" s="19" t="n">
        <v>13615.7</v>
      </c>
    </row>
    <row r="62">
      <c r="A62" s="16" t="n">
        <v>16</v>
      </c>
      <c r="B62" s="26" t="n">
        <v>95</v>
      </c>
      <c r="C62" s="27" t="n">
        <v>55.65</v>
      </c>
      <c r="D62" s="27" t="n">
        <v>285</v>
      </c>
      <c r="E62" s="17" t="inlineStr">
        <is>
          <t>BIRLACABLE</t>
        </is>
      </c>
      <c r="F62" s="18" t="inlineStr">
        <is>
          <t>Birla Cable Limited</t>
        </is>
      </c>
      <c r="G62" s="18" t="inlineStr">
        <is>
          <t>industrials</t>
        </is>
      </c>
      <c r="H62" s="19" t="n">
        <v>1070.55</v>
      </c>
    </row>
    <row r="63">
      <c r="A63" s="16" t="n">
        <v>17</v>
      </c>
      <c r="B63" s="26" t="n">
        <v>95</v>
      </c>
      <c r="C63" s="27" t="n">
        <v>54.43</v>
      </c>
      <c r="D63" s="27" t="n">
        <v>280</v>
      </c>
      <c r="E63" s="17" t="inlineStr">
        <is>
          <t>MODISONLTD</t>
        </is>
      </c>
      <c r="F63" s="18" t="inlineStr">
        <is>
          <t>Modison Ltd</t>
        </is>
      </c>
      <c r="G63" s="18" t="inlineStr">
        <is>
          <t>industrials</t>
        </is>
      </c>
      <c r="H63" s="19" t="n">
        <v>1591.02</v>
      </c>
    </row>
    <row r="64">
      <c r="A64" s="16" t="n">
        <v>18</v>
      </c>
      <c r="B64" s="26" t="n">
        <v>95</v>
      </c>
      <c r="C64" s="27" t="n">
        <v>54.35</v>
      </c>
      <c r="D64" s="27" t="n">
        <v>270</v>
      </c>
      <c r="E64" s="17" t="inlineStr">
        <is>
          <t>BLISSGVS</t>
        </is>
      </c>
      <c r="F64" s="18" t="inlineStr">
        <is>
          <t>Bliss Gvs Pharma Limited</t>
        </is>
      </c>
      <c r="G64" s="18" t="inlineStr">
        <is>
          <t>healthcare</t>
        </is>
      </c>
      <c r="H64" s="19" t="n">
        <v>7348.11</v>
      </c>
    </row>
    <row r="65">
      <c r="A65" s="16" t="n">
        <v>19</v>
      </c>
      <c r="B65" s="28" t="n">
        <v>94</v>
      </c>
      <c r="C65" s="27" t="n">
        <v>52.07</v>
      </c>
      <c r="D65" s="27" t="n">
        <v>272</v>
      </c>
      <c r="E65" s="17" t="inlineStr">
        <is>
          <t>MOREPENLAB</t>
        </is>
      </c>
      <c r="F65" s="18" t="inlineStr">
        <is>
          <t>Morepen Laboratories Limited</t>
        </is>
      </c>
      <c r="G65" s="18" t="inlineStr">
        <is>
          <t>healthcare</t>
        </is>
      </c>
      <c r="H65" s="19" t="n">
        <v>6385.85</v>
      </c>
    </row>
    <row r="66">
      <c r="A66" s="16" t="n">
        <v>20</v>
      </c>
      <c r="B66" s="28" t="n">
        <v>94</v>
      </c>
      <c r="C66" s="27" t="n">
        <v>51.48</v>
      </c>
      <c r="D66" s="27" t="n">
        <v>260</v>
      </c>
      <c r="E66" s="17" t="inlineStr">
        <is>
          <t>AEROFLEX</t>
        </is>
      </c>
      <c r="F66" s="18" t="inlineStr">
        <is>
          <t>Aeroflex Industries Ltd</t>
        </is>
      </c>
      <c r="G66" s="18" t="inlineStr">
        <is>
          <t>metals &amp; mining</t>
        </is>
      </c>
      <c r="H66" s="19" t="n">
        <v>7425.74</v>
      </c>
    </row>
    <row r="67">
      <c r="A67" s="16" t="n">
        <v>21</v>
      </c>
      <c r="B67" s="28" t="n">
        <v>94</v>
      </c>
      <c r="C67" s="27" t="n">
        <v>51.29</v>
      </c>
      <c r="D67" s="27" t="n">
        <v>263</v>
      </c>
      <c r="E67" s="17" t="inlineStr">
        <is>
          <t>PVP</t>
        </is>
      </c>
      <c r="F67" s="18" t="inlineStr">
        <is>
          <t>Pvp Ventures Limited</t>
        </is>
      </c>
      <c r="G67" s="18" t="inlineStr">
        <is>
          <t>realty</t>
        </is>
      </c>
      <c r="H67" s="19" t="n">
        <v>1680.65</v>
      </c>
    </row>
    <row r="68">
      <c r="A68" s="16" t="n">
        <v>22</v>
      </c>
      <c r="B68" s="28" t="n">
        <v>94</v>
      </c>
      <c r="C68" s="27" t="n">
        <v>49.87</v>
      </c>
      <c r="D68" s="27" t="n">
        <v>213</v>
      </c>
      <c r="E68" s="17" t="inlineStr">
        <is>
          <t>SALSTEEL</t>
        </is>
      </c>
      <c r="F68" s="18" t="inlineStr">
        <is>
          <t>SAL Steel</t>
        </is>
      </c>
      <c r="G68" s="18" t="inlineStr">
        <is>
          <t>metals &amp; mining</t>
        </is>
      </c>
      <c r="H68" s="19" t="n">
        <v>1146.41</v>
      </c>
    </row>
    <row r="69">
      <c r="A69" s="16" t="n">
        <v>23</v>
      </c>
      <c r="B69" s="28" t="n">
        <v>93</v>
      </c>
      <c r="C69" s="27" t="n">
        <v>48.85</v>
      </c>
      <c r="D69" s="27" t="n">
        <v>280</v>
      </c>
      <c r="E69" s="17" t="inlineStr">
        <is>
          <t>BHAGYANGR</t>
        </is>
      </c>
      <c r="F69" s="18" t="inlineStr">
        <is>
          <t>Bhagyanagar India</t>
        </is>
      </c>
      <c r="G69" s="18" t="inlineStr">
        <is>
          <t>power &amp; utilities</t>
        </is>
      </c>
      <c r="H69" s="19" t="n">
        <v>1378.88</v>
      </c>
    </row>
    <row r="70">
      <c r="A70" s="16" t="n">
        <v>24</v>
      </c>
      <c r="B70" s="28" t="n">
        <v>93</v>
      </c>
      <c r="C70" s="27" t="n">
        <v>47.97</v>
      </c>
      <c r="D70" s="27" t="n">
        <v>238</v>
      </c>
      <c r="E70" s="17" t="inlineStr">
        <is>
          <t>DIACABS</t>
        </is>
      </c>
      <c r="F70" s="18" t="inlineStr">
        <is>
          <t>Diamond Power Infrastructure Ltd</t>
        </is>
      </c>
      <c r="G70" s="18" t="inlineStr">
        <is>
          <t>industrials</t>
        </is>
      </c>
      <c r="H70" s="19" t="n">
        <v>20023.42</v>
      </c>
    </row>
    <row r="71">
      <c r="A71" s="16" t="n">
        <v>25</v>
      </c>
      <c r="B71" s="28" t="n">
        <v>93</v>
      </c>
      <c r="C71" s="27" t="n">
        <v>46.22</v>
      </c>
      <c r="D71" s="27" t="n">
        <v>270</v>
      </c>
      <c r="E71" s="17" t="inlineStr">
        <is>
          <t>BAFNAPH</t>
        </is>
      </c>
      <c r="F71" s="18" t="inlineStr">
        <is>
          <t>Bafna Pharmaceuticals Ltd</t>
        </is>
      </c>
      <c r="G71" s="18" t="inlineStr">
        <is>
          <t>healthcare</t>
        </is>
      </c>
      <c r="H71" s="19" t="n">
        <v>713.48</v>
      </c>
    </row>
    <row r="72">
      <c r="A72" s="16" t="n">
        <v>26</v>
      </c>
      <c r="B72" s="28" t="n">
        <v>93</v>
      </c>
      <c r="C72" s="27" t="n">
        <v>45.79</v>
      </c>
      <c r="D72" s="27" t="n">
        <v>298</v>
      </c>
      <c r="E72" s="17" t="inlineStr">
        <is>
          <t>VINDHYATEL</t>
        </is>
      </c>
      <c r="F72" s="18" t="inlineStr">
        <is>
          <t>Vindhya Telelinks Limited</t>
        </is>
      </c>
      <c r="G72" s="18" t="inlineStr">
        <is>
          <t>realty</t>
        </is>
      </c>
      <c r="H72" s="19" t="n">
        <v>3456.19</v>
      </c>
    </row>
    <row r="73">
      <c r="A73" s="16" t="n">
        <v>27</v>
      </c>
      <c r="B73" s="28" t="n">
        <v>92</v>
      </c>
      <c r="C73" s="27" t="n">
        <v>44.62</v>
      </c>
      <c r="D73" s="27" t="n">
        <v>273</v>
      </c>
      <c r="E73" s="17" t="inlineStr">
        <is>
          <t>CYIENTDLM</t>
        </is>
      </c>
      <c r="F73" s="18" t="inlineStr">
        <is>
          <t>Cyient DLM Ltd</t>
        </is>
      </c>
      <c r="G73" s="18" t="inlineStr">
        <is>
          <t>aerospace &amp; defence</t>
        </is>
      </c>
      <c r="H73" s="19" t="n">
        <v>7506.89</v>
      </c>
    </row>
    <row r="74">
      <c r="A74" s="16" t="n">
        <v>28</v>
      </c>
      <c r="B74" s="28" t="n">
        <v>92</v>
      </c>
      <c r="C74" s="27" t="n">
        <v>44.51</v>
      </c>
      <c r="D74" s="27" t="n">
        <v>243</v>
      </c>
      <c r="E74" s="17" t="inlineStr">
        <is>
          <t>RATNAVEER</t>
        </is>
      </c>
      <c r="F74" s="18" t="inlineStr">
        <is>
          <t>Ratnaveer Precision Engineering Ltd</t>
        </is>
      </c>
      <c r="G74" s="18" t="inlineStr">
        <is>
          <t>metals &amp; mining</t>
        </is>
      </c>
      <c r="H74" s="19" t="n">
        <v>2142.09</v>
      </c>
    </row>
    <row r="75">
      <c r="A75" s="16" t="n">
        <v>29</v>
      </c>
      <c r="B75" s="28" t="n">
        <v>92</v>
      </c>
      <c r="C75" s="27" t="n">
        <v>44.03</v>
      </c>
      <c r="D75" s="27" t="n">
        <v>248</v>
      </c>
      <c r="E75" s="17" t="inlineStr">
        <is>
          <t>MAHASTEEL</t>
        </is>
      </c>
      <c r="F75" s="18" t="inlineStr">
        <is>
          <t>Mahamaya Steel Industries Limited</t>
        </is>
      </c>
      <c r="G75" s="18" t="inlineStr">
        <is>
          <t>metals &amp; mining</t>
        </is>
      </c>
      <c r="H75" s="19" t="n">
        <v>2178.54</v>
      </c>
    </row>
    <row r="76">
      <c r="A76" s="16" t="n">
        <v>30</v>
      </c>
      <c r="B76" s="28" t="n">
        <v>92</v>
      </c>
      <c r="C76" s="27" t="n">
        <v>43.02</v>
      </c>
      <c r="D76" s="27" t="n">
        <v>265</v>
      </c>
      <c r="E76" s="17" t="inlineStr">
        <is>
          <t>NOVARTIND</t>
        </is>
      </c>
      <c r="F76" s="18" t="inlineStr">
        <is>
          <t>Novartis India Ltd</t>
        </is>
      </c>
      <c r="G76" s="18" t="inlineStr">
        <is>
          <t>healthcare</t>
        </is>
      </c>
      <c r="H76" s="19" t="n">
        <v>5398.4</v>
      </c>
    </row>
    <row r="77">
      <c r="A77" s="16" t="n">
        <v>31</v>
      </c>
      <c r="B77" s="28" t="n">
        <v>91</v>
      </c>
      <c r="C77" s="27" t="n">
        <v>42.73</v>
      </c>
      <c r="D77" s="27" t="n">
        <v>260</v>
      </c>
      <c r="E77" s="17" t="inlineStr">
        <is>
          <t>JOJO</t>
        </is>
      </c>
      <c r="F77" s="18" t="inlineStr">
        <is>
          <t>JOJO Limited</t>
        </is>
      </c>
      <c r="G77" s="18" t="inlineStr">
        <is>
          <t>Communication Services</t>
        </is>
      </c>
      <c r="H77" s="19" t="n">
        <v>1559.91</v>
      </c>
    </row>
    <row r="78">
      <c r="A78" s="16" t="n">
        <v>32</v>
      </c>
      <c r="B78" s="28" t="n">
        <v>91</v>
      </c>
      <c r="C78" s="27" t="n">
        <v>41.92</v>
      </c>
      <c r="D78" s="27" t="n">
        <v>267</v>
      </c>
      <c r="E78" s="17" t="inlineStr">
        <is>
          <t>HFCL</t>
        </is>
      </c>
      <c r="F78" s="18" t="inlineStr">
        <is>
          <t>HFCL Limited</t>
        </is>
      </c>
      <c r="G78" s="18" t="inlineStr">
        <is>
          <t>Technology</t>
        </is>
      </c>
      <c r="H78" s="19" t="n">
        <v>35704.11</v>
      </c>
    </row>
    <row r="79">
      <c r="A79" s="16" t="n">
        <v>33</v>
      </c>
      <c r="B79" s="28" t="n">
        <v>91</v>
      </c>
      <c r="C79" s="27" t="n">
        <v>41.3</v>
      </c>
      <c r="D79" s="27" t="n">
        <v>282</v>
      </c>
      <c r="E79" s="17" t="inlineStr">
        <is>
          <t>ASMTEC</t>
        </is>
      </c>
      <c r="F79" s="18" t="inlineStr">
        <is>
          <t>ASM Technologies Limited</t>
        </is>
      </c>
      <c r="G79" s="18" t="inlineStr">
        <is>
          <t>Technology</t>
        </is>
      </c>
      <c r="H79" s="19" t="n">
        <v>10201.88</v>
      </c>
    </row>
    <row r="80">
      <c r="A80" s="16" t="n">
        <v>34</v>
      </c>
      <c r="B80" s="28" t="n">
        <v>91</v>
      </c>
      <c r="C80" s="27" t="n">
        <v>40.18</v>
      </c>
      <c r="D80" s="27" t="n">
        <v>272</v>
      </c>
      <c r="E80" s="17" t="inlineStr">
        <is>
          <t>KPL</t>
        </is>
      </c>
      <c r="F80" s="18" t="inlineStr">
        <is>
          <t>Kwality Pharmaceuticals Limited</t>
        </is>
      </c>
      <c r="G80" s="18" t="inlineStr">
        <is>
          <t>Healthcare</t>
        </is>
      </c>
      <c r="H80" s="19" t="n">
        <v>3646.61</v>
      </c>
    </row>
    <row r="81">
      <c r="A81" s="16" t="n">
        <v>35</v>
      </c>
      <c r="B81" s="28" t="n">
        <v>90</v>
      </c>
      <c r="C81" s="27" t="n">
        <v>40</v>
      </c>
      <c r="D81" s="27" t="n">
        <v>263</v>
      </c>
      <c r="E81" s="17" t="inlineStr">
        <is>
          <t>RISHABH</t>
        </is>
      </c>
      <c r="F81" s="18" t="inlineStr">
        <is>
          <t>Rishabh Instruments Ltd</t>
        </is>
      </c>
      <c r="G81" s="18" t="inlineStr">
        <is>
          <t>industrials</t>
        </is>
      </c>
      <c r="H81" s="19" t="n">
        <v>3144.97</v>
      </c>
    </row>
    <row r="82">
      <c r="A82" s="16" t="n">
        <v>36</v>
      </c>
      <c r="B82" s="28" t="n">
        <v>90</v>
      </c>
      <c r="C82" s="27" t="n">
        <v>39.91</v>
      </c>
      <c r="D82" s="27" t="n">
        <v>258</v>
      </c>
      <c r="E82" s="17" t="inlineStr">
        <is>
          <t>MTARTECH</t>
        </is>
      </c>
      <c r="F82" s="18" t="inlineStr">
        <is>
          <t>MTAR Technologies Ltd</t>
        </is>
      </c>
      <c r="G82" s="18" t="inlineStr">
        <is>
          <t>aerospace &amp; defence</t>
        </is>
      </c>
      <c r="H82" s="19" t="n">
        <v>23072.77</v>
      </c>
    </row>
    <row r="83">
      <c r="A83" s="16" t="n">
        <v>37</v>
      </c>
      <c r="B83" s="28" t="n">
        <v>90</v>
      </c>
      <c r="C83" s="27" t="n">
        <v>39.74</v>
      </c>
      <c r="D83" s="27" t="n">
        <v>273</v>
      </c>
      <c r="E83" s="17" t="inlineStr">
        <is>
          <t>SANSERA</t>
        </is>
      </c>
      <c r="F83" s="18" t="inlineStr">
        <is>
          <t>Sansera Engineering Ltd</t>
        </is>
      </c>
      <c r="G83" s="18" t="inlineStr">
        <is>
          <t>auto</t>
        </is>
      </c>
      <c r="H83" s="19" t="n">
        <v>25809.49</v>
      </c>
    </row>
    <row r="84">
      <c r="A84" s="16" t="n">
        <v>38</v>
      </c>
      <c r="B84" s="28" t="n">
        <v>90</v>
      </c>
      <c r="C84" s="27" t="n">
        <v>39.29</v>
      </c>
      <c r="D84" s="27" t="n">
        <v>270</v>
      </c>
      <c r="E84" s="17" t="inlineStr">
        <is>
          <t>SKYGOLD</t>
        </is>
      </c>
      <c r="F84" s="18" t="inlineStr">
        <is>
          <t>Sky Gold Ltd</t>
        </is>
      </c>
      <c r="G84" s="18" t="inlineStr">
        <is>
          <t>consumer discretionary</t>
        </is>
      </c>
      <c r="H84" s="19" t="n">
        <v>12888.6</v>
      </c>
    </row>
    <row r="85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29" t="inlineStr">
        <is>
          <t>symbol</t>
        </is>
      </c>
      <c r="B1" s="29" t="inlineStr">
        <is>
          <t>company</t>
        </is>
      </c>
      <c r="C1" s="29" t="inlineStr">
        <is>
          <t>sector</t>
        </is>
      </c>
      <c r="D1" s="29" t="inlineStr">
        <is>
          <t>industry</t>
        </is>
      </c>
      <c r="E1" s="29" t="inlineStr">
        <is>
          <t>marketcap_bucket</t>
        </is>
      </c>
      <c r="F1" s="29" t="inlineStr">
        <is>
          <t>marketcap_cr</t>
        </is>
      </c>
      <c r="G1" s="29" t="inlineStr">
        <is>
          <t>close</t>
        </is>
      </c>
      <c r="H1" s="29" t="inlineStr">
        <is>
          <t>today_return_pct</t>
        </is>
      </c>
      <c r="I1" s="29" t="inlineStr">
        <is>
          <t>volume</t>
        </is>
      </c>
      <c r="J1" s="29" t="inlineStr">
        <is>
          <t>bse_code</t>
        </is>
      </c>
    </row>
    <row r="2">
      <c r="A2" s="30" t="inlineStr">
        <is>
          <t>NOVARTIND</t>
        </is>
      </c>
      <c r="B2" s="30" t="inlineStr">
        <is>
          <t>Novartis India Ltd</t>
        </is>
      </c>
      <c r="C2" s="30" t="inlineStr">
        <is>
          <t>healthcare</t>
        </is>
      </c>
      <c r="D2" s="30" t="inlineStr">
        <is>
          <t>pharmaceuticals - multinational</t>
        </is>
      </c>
      <c r="E2" s="30" t="inlineStr">
        <is>
          <t>midcap</t>
        </is>
      </c>
      <c r="F2" s="30" t="n">
        <v>5398.4</v>
      </c>
      <c r="G2" s="30" t="n">
        <v>2428.2</v>
      </c>
      <c r="H2" s="30" t="n">
        <v>11.06</v>
      </c>
      <c r="I2" s="30" t="n">
        <v>2292871</v>
      </c>
      <c r="J2" s="30" t="inlineStr">
        <is>
          <t>500672</t>
        </is>
      </c>
    </row>
    <row r="3">
      <c r="A3" s="30" t="inlineStr">
        <is>
          <t>MANINDS</t>
        </is>
      </c>
      <c r="B3" s="30" t="inlineStr">
        <is>
          <t>Man Industries (india) Limited</t>
        </is>
      </c>
      <c r="C3" s="30" t="inlineStr">
        <is>
          <t>metals &amp; mining</t>
        </is>
      </c>
      <c r="D3" s="30" t="inlineStr">
        <is>
          <t>steel - medium / small</t>
        </is>
      </c>
      <c r="E3" s="30" t="inlineStr">
        <is>
          <t>midcap</t>
        </is>
      </c>
      <c r="F3" s="30" t="n">
        <v>5944.88</v>
      </c>
      <c r="G3" s="30" t="n">
        <v>876.45</v>
      </c>
      <c r="H3" s="30" t="n">
        <v>10.59</v>
      </c>
      <c r="I3" s="30" t="n">
        <v>8839846</v>
      </c>
      <c r="J3" s="30" t="inlineStr">
        <is>
          <t>513269</t>
        </is>
      </c>
    </row>
    <row r="4">
      <c r="A4" s="30" t="inlineStr">
        <is>
          <t>VSSL</t>
        </is>
      </c>
      <c r="B4" s="30" t="inlineStr">
        <is>
          <t>Vardhman Special Steels Limited</t>
        </is>
      </c>
      <c r="C4" s="30" t="inlineStr">
        <is>
          <t>metals &amp; mining</t>
        </is>
      </c>
      <c r="D4" s="30" t="inlineStr">
        <is>
          <t>steel - medium / small</t>
        </is>
      </c>
      <c r="E4" s="30" t="inlineStr">
        <is>
          <t>smallcap</t>
        </is>
      </c>
      <c r="F4" s="30" t="n">
        <v>3507.27</v>
      </c>
      <c r="G4" s="30" t="n">
        <v>392</v>
      </c>
      <c r="H4" s="30" t="n">
        <v>8.06</v>
      </c>
      <c r="I4" s="30" t="n">
        <v>8306199</v>
      </c>
      <c r="J4" s="30" t="inlineStr">
        <is>
          <t>534392</t>
        </is>
      </c>
    </row>
    <row r="5">
      <c r="A5" s="30" t="inlineStr">
        <is>
          <t>AHCL</t>
        </is>
      </c>
      <c r="B5" s="30" t="inlineStr">
        <is>
          <t>Anlon Healthcare Ltd</t>
        </is>
      </c>
      <c r="C5" s="30" t="inlineStr">
        <is>
          <t>healthcare</t>
        </is>
      </c>
      <c r="D5" s="30" t="inlineStr">
        <is>
          <t>pharmaceuticals - indian - bulk drugs &amp; formln</t>
        </is>
      </c>
      <c r="E5" s="30" t="inlineStr">
        <is>
          <t>smallcap</t>
        </is>
      </c>
      <c r="F5" s="30" t="n">
        <v>865.3099999999999</v>
      </c>
      <c r="G5" s="30" t="n">
        <v>17.54</v>
      </c>
      <c r="H5" s="30" t="n">
        <v>7.74</v>
      </c>
      <c r="I5" s="30" t="n">
        <v>31629564</v>
      </c>
      <c r="J5" s="30" t="inlineStr">
        <is>
          <t>544497</t>
        </is>
      </c>
    </row>
    <row r="6">
      <c r="A6" s="30" t="inlineStr">
        <is>
          <t>SREEL</t>
        </is>
      </c>
      <c r="B6" s="30" t="inlineStr">
        <is>
          <t>Sreeleathers Limited</t>
        </is>
      </c>
      <c r="C6" s="30" t="inlineStr">
        <is>
          <t>consumer discretionary</t>
        </is>
      </c>
      <c r="D6" s="30" t="inlineStr">
        <is>
          <t>trading</t>
        </is>
      </c>
      <c r="E6" s="30" t="inlineStr">
        <is>
          <t>smallcap</t>
        </is>
      </c>
      <c r="F6" s="30" t="n">
        <v>798.87</v>
      </c>
      <c r="G6" s="30" t="n">
        <v>370.3</v>
      </c>
      <c r="H6" s="30" t="n">
        <v>7.33</v>
      </c>
      <c r="I6" s="30" t="n">
        <v>487582</v>
      </c>
      <c r="J6" s="30" t="inlineStr">
        <is>
          <t>535601</t>
        </is>
      </c>
    </row>
    <row r="7">
      <c r="A7" s="30" t="inlineStr">
        <is>
          <t>KABRAEXTRU</t>
        </is>
      </c>
      <c r="B7" s="30" t="inlineStr">
        <is>
          <t>Kabra Extrusion Technik Limited</t>
        </is>
      </c>
      <c r="C7" s="30" t="inlineStr">
        <is>
          <t>industrials</t>
        </is>
      </c>
      <c r="D7" s="30" t="inlineStr">
        <is>
          <t>engineering</t>
        </is>
      </c>
      <c r="E7" s="30" t="inlineStr">
        <is>
          <t>smallcap</t>
        </is>
      </c>
      <c r="F7" s="30" t="n">
        <v>2318.52</v>
      </c>
      <c r="G7" s="30" t="n">
        <v>707.55</v>
      </c>
      <c r="H7" s="30" t="n">
        <v>6.73</v>
      </c>
      <c r="I7" s="30" t="n">
        <v>773333</v>
      </c>
      <c r="J7" s="30" t="inlineStr">
        <is>
          <t>524109</t>
        </is>
      </c>
    </row>
    <row r="8">
      <c r="A8" s="30" t="inlineStr">
        <is>
          <t>ANDHRAPAP</t>
        </is>
      </c>
      <c r="B8" s="30" t="inlineStr">
        <is>
          <t>Andhra Paper Ltd</t>
        </is>
      </c>
      <c r="C8" s="30" t="inlineStr">
        <is>
          <t>building materials</t>
        </is>
      </c>
      <c r="D8" s="30" t="inlineStr">
        <is>
          <t>paper</t>
        </is>
      </c>
      <c r="E8" s="30" t="inlineStr">
        <is>
          <t>smallcap</t>
        </is>
      </c>
      <c r="F8" s="30" t="n">
        <v>1353.77</v>
      </c>
      <c r="G8" s="30" t="n">
        <v>72.58</v>
      </c>
      <c r="H8" s="30" t="n">
        <v>6.61</v>
      </c>
      <c r="I8" s="30" t="n">
        <v>4500334</v>
      </c>
      <c r="J8" s="30" t="inlineStr">
        <is>
          <t>502330</t>
        </is>
      </c>
    </row>
    <row r="9">
      <c r="A9" s="30" t="inlineStr">
        <is>
          <t>SIGACHI</t>
        </is>
      </c>
      <c r="B9" s="30" t="inlineStr">
        <is>
          <t>Sigachi Industries Ltd</t>
        </is>
      </c>
      <c r="C9" s="30" t="inlineStr">
        <is>
          <t>healthcare</t>
        </is>
      </c>
      <c r="D9" s="30" t="inlineStr">
        <is>
          <t>pharmaceuticals - indian - bulk drugs &amp; formln</t>
        </is>
      </c>
      <c r="E9" s="30" t="inlineStr">
        <is>
          <t>smallcap</t>
        </is>
      </c>
      <c r="F9" s="30" t="n">
        <v>1347.73</v>
      </c>
      <c r="G9" s="30" t="n">
        <v>37.56</v>
      </c>
      <c r="H9" s="30" t="n">
        <v>6.49</v>
      </c>
      <c r="I9" s="30" t="n">
        <v>13529422</v>
      </c>
      <c r="J9" s="30" t="inlineStr">
        <is>
          <t>543389</t>
        </is>
      </c>
    </row>
    <row r="10">
      <c r="A10" s="30" t="inlineStr">
        <is>
          <t>NRBBEARING</t>
        </is>
      </c>
      <c r="B10" s="30" t="inlineStr">
        <is>
          <t>Nrb Bearing Limited</t>
        </is>
      </c>
      <c r="C10" s="30" t="inlineStr">
        <is>
          <t>industrials</t>
        </is>
      </c>
      <c r="D10" s="30" t="inlineStr">
        <is>
          <t>bearings</t>
        </is>
      </c>
      <c r="E10" s="30" t="inlineStr">
        <is>
          <t>smallcap</t>
        </is>
      </c>
      <c r="F10" s="30" t="n">
        <v>4696.38</v>
      </c>
      <c r="G10" s="30" t="n">
        <v>515.95</v>
      </c>
      <c r="H10" s="30" t="n">
        <v>6.48</v>
      </c>
      <c r="I10" s="30" t="n">
        <v>1397242</v>
      </c>
      <c r="J10" s="30" t="inlineStr">
        <is>
          <t>530367</t>
        </is>
      </c>
    </row>
    <row r="11">
      <c r="A11" s="30" t="inlineStr">
        <is>
          <t>ACUTAAS</t>
        </is>
      </c>
      <c r="B11" s="30" t="inlineStr">
        <is>
          <t>Acutaas Chemicals Ltd</t>
        </is>
      </c>
      <c r="C11" s="30" t="inlineStr">
        <is>
          <t>healthcare</t>
        </is>
      </c>
      <c r="D11" s="30" t="inlineStr">
        <is>
          <t>pharmaceuticals - indian - bulk drugs</t>
        </is>
      </c>
      <c r="E11" s="30" t="inlineStr">
        <is>
          <t>largecap</t>
        </is>
      </c>
      <c r="F11" s="30" t="n">
        <v>26540.98</v>
      </c>
      <c r="G11" s="30" t="n">
        <v>3451.4</v>
      </c>
      <c r="H11" s="30" t="n">
        <v>6.47</v>
      </c>
      <c r="I11" s="30" t="n">
        <v>1000453</v>
      </c>
      <c r="J11" s="30" t="inlineStr">
        <is>
          <t>543349</t>
        </is>
      </c>
    </row>
    <row r="12">
      <c r="A12" s="30" t="inlineStr">
        <is>
          <t>WELCORP</t>
        </is>
      </c>
      <c r="B12" s="30" t="inlineStr">
        <is>
          <t>Welspun Corp Limited</t>
        </is>
      </c>
      <c r="C12" s="30" t="inlineStr">
        <is>
          <t>industrials</t>
        </is>
      </c>
      <c r="D12" s="30" t="inlineStr">
        <is>
          <t>steel - large</t>
        </is>
      </c>
      <c r="E12" s="30" t="inlineStr">
        <is>
          <t>largecap</t>
        </is>
      </c>
      <c r="F12" s="30" t="n">
        <v>68809.78999999999</v>
      </c>
      <c r="G12" s="30" t="n">
        <v>2776.9</v>
      </c>
      <c r="H12" s="30" t="n">
        <v>6.46</v>
      </c>
      <c r="I12" s="30" t="n">
        <v>4261554</v>
      </c>
      <c r="J12" s="30" t="inlineStr">
        <is>
          <t>532144</t>
        </is>
      </c>
    </row>
    <row r="13">
      <c r="A13" s="30" t="inlineStr">
        <is>
          <t>WSTCSTPAPR</t>
        </is>
      </c>
      <c r="B13" s="30" t="inlineStr">
        <is>
          <t>West Coast Paper Mills Limited</t>
        </is>
      </c>
      <c r="C13" s="30" t="inlineStr">
        <is>
          <t>building materials</t>
        </is>
      </c>
      <c r="D13" s="30" t="inlineStr">
        <is>
          <t>paper</t>
        </is>
      </c>
      <c r="E13" s="30" t="inlineStr">
        <is>
          <t>smallcap</t>
        </is>
      </c>
      <c r="F13" s="30" t="n">
        <v>4409.09</v>
      </c>
      <c r="G13" s="30" t="n">
        <v>710.1</v>
      </c>
      <c r="H13" s="30" t="n">
        <v>6.37</v>
      </c>
      <c r="I13" s="30" t="n">
        <v>528781</v>
      </c>
      <c r="J13" s="30" t="inlineStr">
        <is>
          <t>500444</t>
        </is>
      </c>
    </row>
    <row r="14">
      <c r="A14" s="30" t="inlineStr">
        <is>
          <t>KSL</t>
        </is>
      </c>
      <c r="B14" s="30" t="inlineStr">
        <is>
          <t>Kalyani Steels Limited</t>
        </is>
      </c>
      <c r="C14" s="30" t="inlineStr">
        <is>
          <t>metals &amp; mining</t>
        </is>
      </c>
      <c r="D14" s="30" t="inlineStr">
        <is>
          <t>steel - medium / small</t>
        </is>
      </c>
      <c r="E14" s="30" t="inlineStr">
        <is>
          <t>smallcap</t>
        </is>
      </c>
      <c r="F14" s="30" t="n">
        <v>3974.17</v>
      </c>
      <c r="G14" s="30" t="n">
        <v>968.2</v>
      </c>
      <c r="H14" s="30" t="n">
        <v>6.35</v>
      </c>
      <c r="I14" s="30" t="n">
        <v>661316</v>
      </c>
      <c r="J14" s="30" t="inlineStr">
        <is>
          <t>500235</t>
        </is>
      </c>
    </row>
    <row r="15">
      <c r="A15" s="30" t="inlineStr">
        <is>
          <t>MAHSEAMLES</t>
        </is>
      </c>
      <c r="B15" s="30" t="inlineStr">
        <is>
          <t>Maharashtra Seamless Limited</t>
        </is>
      </c>
      <c r="C15" s="30" t="inlineStr">
        <is>
          <t>metals &amp; mining</t>
        </is>
      </c>
      <c r="D15" s="30" t="inlineStr">
        <is>
          <t>steel - medium / small</t>
        </is>
      </c>
      <c r="E15" s="30" t="inlineStr">
        <is>
          <t>midcap</t>
        </is>
      </c>
      <c r="F15" s="30" t="n">
        <v>9061.030000000001</v>
      </c>
      <c r="G15" s="30" t="n">
        <v>718.95</v>
      </c>
      <c r="H15" s="30" t="n">
        <v>6.32</v>
      </c>
      <c r="I15" s="30" t="n">
        <v>1256187</v>
      </c>
      <c r="J15" s="30" t="inlineStr">
        <is>
          <t>500265</t>
        </is>
      </c>
    </row>
    <row r="16">
      <c r="A16" s="30" t="inlineStr">
        <is>
          <t>RGL</t>
        </is>
      </c>
      <c r="B16" s="30" t="inlineStr">
        <is>
          <t>Renaissance Global Ltd</t>
        </is>
      </c>
      <c r="C16" s="30" t="inlineStr">
        <is>
          <t>consumer discretionary</t>
        </is>
      </c>
      <c r="D16" s="30" t="inlineStr">
        <is>
          <t>diamond cutting / jewellery</t>
        </is>
      </c>
      <c r="E16" s="30" t="inlineStr">
        <is>
          <t>smallcap</t>
        </is>
      </c>
      <c r="F16" s="30" t="n">
        <v>1580.36</v>
      </c>
      <c r="G16" s="30" t="n">
        <v>156.48</v>
      </c>
      <c r="H16" s="30" t="n">
        <v>6.31</v>
      </c>
      <c r="I16" s="30" t="n">
        <v>2423183</v>
      </c>
      <c r="J16" s="30" t="inlineStr">
        <is>
          <t>532923</t>
        </is>
      </c>
    </row>
    <row r="17">
      <c r="A17" s="30" t="inlineStr">
        <is>
          <t>NEOGEN</t>
        </is>
      </c>
      <c r="B17" s="30" t="inlineStr">
        <is>
          <t>Neogen Chemicals Ltd</t>
        </is>
      </c>
      <c r="C17" s="30" t="inlineStr">
        <is>
          <t>chemicals</t>
        </is>
      </c>
      <c r="D17" s="30" t="inlineStr">
        <is>
          <t>chemicals</t>
        </is>
      </c>
      <c r="E17" s="30" t="inlineStr">
        <is>
          <t>midcap</t>
        </is>
      </c>
      <c r="F17" s="30" t="n">
        <v>6175.12</v>
      </c>
      <c r="G17" s="30" t="n">
        <v>2388.9</v>
      </c>
      <c r="H17" s="30" t="n">
        <v>5.93</v>
      </c>
      <c r="I17" s="30" t="n">
        <v>410092</v>
      </c>
      <c r="J17" s="30" t="inlineStr">
        <is>
          <t>542665</t>
        </is>
      </c>
    </row>
    <row r="18">
      <c r="A18" s="30" t="inlineStr">
        <is>
          <t>KENNAMET</t>
        </is>
      </c>
      <c r="B18" s="30" t="inlineStr">
        <is>
          <t>Kennametal India Ltd</t>
        </is>
      </c>
      <c r="C18" s="30" t="inlineStr">
        <is>
          <t>industrials</t>
        </is>
      </c>
      <c r="D18" s="30" t="inlineStr">
        <is>
          <t>castings &amp; forgings</t>
        </is>
      </c>
      <c r="E18" s="30" t="inlineStr">
        <is>
          <t>midcap</t>
        </is>
      </c>
      <c r="F18" s="30" t="n">
        <v>10432.41</v>
      </c>
      <c r="G18" s="30" t="n">
        <v>5027.9</v>
      </c>
      <c r="H18" s="30" t="n">
        <v>5.92</v>
      </c>
      <c r="I18" s="30" t="n">
        <v>72699</v>
      </c>
      <c r="J18" s="30" t="inlineStr">
        <is>
          <t>505890</t>
        </is>
      </c>
    </row>
    <row r="19">
      <c r="A19" s="30" t="inlineStr">
        <is>
          <t>RAYMOND</t>
        </is>
      </c>
      <c r="B19" s="30" t="inlineStr">
        <is>
          <t>Raymond Limited</t>
        </is>
      </c>
      <c r="C19" s="30" t="inlineStr">
        <is>
          <t>transportation</t>
        </is>
      </c>
      <c r="D19" s="30" t="inlineStr">
        <is>
          <t>transport - airlines</t>
        </is>
      </c>
      <c r="E19" s="30" t="inlineStr">
        <is>
          <t>midcap</t>
        </is>
      </c>
      <c r="F19" s="30" t="n">
        <v>5382.15</v>
      </c>
      <c r="G19" s="30" t="n">
        <v>853.85</v>
      </c>
      <c r="H19" s="30" t="n">
        <v>5.62</v>
      </c>
      <c r="I19" s="30" t="n">
        <v>3307236</v>
      </c>
      <c r="J19" s="30" t="inlineStr">
        <is>
          <t>500330</t>
        </is>
      </c>
    </row>
    <row r="20">
      <c r="A20" s="30" t="inlineStr">
        <is>
          <t>KROSS</t>
        </is>
      </c>
      <c r="B20" s="30" t="inlineStr">
        <is>
          <t>Kross Ltd</t>
        </is>
      </c>
      <c r="C20" s="30" t="inlineStr">
        <is>
          <t>auto</t>
        </is>
      </c>
      <c r="D20" s="30" t="inlineStr">
        <is>
          <t>auto ancillaries</t>
        </is>
      </c>
      <c r="E20" s="30" t="inlineStr">
        <is>
          <t>smallcap</t>
        </is>
      </c>
      <c r="F20" s="30" t="n">
        <v>1417.08</v>
      </c>
      <c r="G20" s="30" t="n">
        <v>231.54</v>
      </c>
      <c r="H20" s="30" t="n">
        <v>5.4</v>
      </c>
      <c r="I20" s="30" t="n">
        <v>8960812</v>
      </c>
      <c r="J20" s="30" t="inlineStr">
        <is>
          <t>544253</t>
        </is>
      </c>
    </row>
    <row r="21">
      <c r="A21" s="30" t="inlineStr">
        <is>
          <t>IKIO</t>
        </is>
      </c>
      <c r="B21" s="30" t="inlineStr">
        <is>
          <t>IKIO Lighting Ltd</t>
        </is>
      </c>
      <c r="C21" s="30" t="inlineStr">
        <is>
          <t>consumer discretionary</t>
        </is>
      </c>
      <c r="D21" s="30" t="inlineStr">
        <is>
          <t>electric equipment</t>
        </is>
      </c>
      <c r="E21" s="30" t="inlineStr">
        <is>
          <t>smallcap</t>
        </is>
      </c>
      <c r="F21" s="30" t="n">
        <v>1699.71</v>
      </c>
      <c r="G21" s="30" t="n">
        <v>231.73</v>
      </c>
      <c r="H21" s="30" t="n">
        <v>5.36</v>
      </c>
      <c r="I21" s="30" t="n">
        <v>2436372</v>
      </c>
      <c r="J21" s="30" t="inlineStr">
        <is>
          <t>543923</t>
        </is>
      </c>
    </row>
    <row r="22">
      <c r="A22" s="30" t="inlineStr">
        <is>
          <t>VARROC</t>
        </is>
      </c>
      <c r="B22" s="30" t="inlineStr">
        <is>
          <t>Varroc Engineering Ltd</t>
        </is>
      </c>
      <c r="C22" s="30" t="inlineStr">
        <is>
          <t>auto</t>
        </is>
      </c>
      <c r="D22" s="30" t="inlineStr">
        <is>
          <t>auto ancillaries</t>
        </is>
      </c>
      <c r="E22" s="30" t="inlineStr">
        <is>
          <t>midcap</t>
        </is>
      </c>
      <c r="F22" s="30" t="n">
        <v>12824.89</v>
      </c>
      <c r="G22" s="30" t="n">
        <v>884.4</v>
      </c>
      <c r="H22" s="30" t="n">
        <v>5.36</v>
      </c>
      <c r="I22" s="30" t="n">
        <v>1468228</v>
      </c>
      <c r="J22" s="30" t="inlineStr">
        <is>
          <t>541578</t>
        </is>
      </c>
    </row>
    <row r="23">
      <c r="A23" s="30" t="inlineStr">
        <is>
          <t>WENDT</t>
        </is>
      </c>
      <c r="B23" s="30" t="inlineStr">
        <is>
          <t>Wendt (india) Limited</t>
        </is>
      </c>
      <c r="C23" s="30" t="inlineStr">
        <is>
          <t>industrials</t>
        </is>
      </c>
      <c r="D23" s="30" t="inlineStr">
        <is>
          <t>abrasives and grinding wheels</t>
        </is>
      </c>
      <c r="E23" s="30" t="inlineStr">
        <is>
          <t>smallcap</t>
        </is>
      </c>
      <c r="F23" s="30" t="n">
        <v>1646.1</v>
      </c>
      <c r="G23" s="30" t="n">
        <v>8669.5</v>
      </c>
      <c r="H23" s="30" t="n">
        <v>5.33</v>
      </c>
      <c r="I23" s="30" t="n">
        <v>98896</v>
      </c>
      <c r="J23" s="30" t="inlineStr">
        <is>
          <t>505412</t>
        </is>
      </c>
    </row>
    <row r="24">
      <c r="A24" s="30" t="inlineStr">
        <is>
          <t>BLUSPRING</t>
        </is>
      </c>
      <c r="B24" s="30" t="inlineStr">
        <is>
          <t>Bluspring Enterprises Ltd</t>
        </is>
      </c>
      <c r="C24" s="30" t="inlineStr">
        <is>
          <t>miscellaneous</t>
        </is>
      </c>
      <c r="D24" s="30" t="inlineStr">
        <is>
          <t>diversified - large</t>
        </is>
      </c>
      <c r="E24" s="30" t="inlineStr">
        <is>
          <t>smallcap</t>
        </is>
      </c>
      <c r="F24" s="30" t="n">
        <v>1950.5</v>
      </c>
      <c r="G24" s="30" t="n">
        <v>137.45</v>
      </c>
      <c r="H24" s="30" t="n">
        <v>5.31</v>
      </c>
      <c r="I24" s="30" t="n">
        <v>835035</v>
      </c>
      <c r="J24" s="30" t="inlineStr">
        <is>
          <t>544414</t>
        </is>
      </c>
    </row>
    <row r="25">
      <c r="A25" s="30" t="inlineStr">
        <is>
          <t>SUBEXLTD</t>
        </is>
      </c>
      <c r="B25" s="30" t="inlineStr">
        <is>
          <t>Subex Ltd</t>
        </is>
      </c>
      <c r="C25" s="30" t="inlineStr">
        <is>
          <t>i.t</t>
        </is>
      </c>
      <c r="D25" s="30" t="inlineStr">
        <is>
          <t>computers - software - medium / small</t>
        </is>
      </c>
      <c r="E25" s="30" t="inlineStr">
        <is>
          <t>smallcap</t>
        </is>
      </c>
      <c r="F25" s="30" t="n">
        <v>1056.57</v>
      </c>
      <c r="G25" s="30" t="n">
        <v>19.76</v>
      </c>
      <c r="H25" s="30" t="n">
        <v>5.11</v>
      </c>
      <c r="I25" s="30" t="n">
        <v>15258452</v>
      </c>
      <c r="J25" s="30" t="inlineStr">
        <is>
          <t>532348</t>
        </is>
      </c>
    </row>
    <row r="26">
      <c r="A26" s="30" t="inlineStr">
        <is>
          <t>INOXINDIA</t>
        </is>
      </c>
      <c r="B26" s="30" t="inlineStr">
        <is>
          <t>Inox India Ltd</t>
        </is>
      </c>
      <c r="C26" s="30" t="inlineStr">
        <is>
          <t>industrials</t>
        </is>
      </c>
      <c r="D26" s="30" t="inlineStr">
        <is>
          <t>packaging</t>
        </is>
      </c>
      <c r="E26" s="30" t="inlineStr">
        <is>
          <t>midcap</t>
        </is>
      </c>
      <c r="F26" s="30" t="n">
        <v>19836.36</v>
      </c>
      <c r="G26" s="30" t="n">
        <v>2295.8</v>
      </c>
      <c r="H26" s="30" t="n">
        <v>5.05</v>
      </c>
      <c r="I26" s="30" t="n">
        <v>853734</v>
      </c>
      <c r="J26" s="30" t="inlineStr">
        <is>
          <t>544046</t>
        </is>
      </c>
    </row>
    <row r="27">
      <c r="A27" s="30" t="inlineStr">
        <is>
          <t>EMIL</t>
        </is>
      </c>
      <c r="B27" s="30" t="inlineStr">
        <is>
          <t>Electronics Mart India Ltd</t>
        </is>
      </c>
      <c r="C27" s="30" t="inlineStr">
        <is>
          <t>consumer discretionary</t>
        </is>
      </c>
      <c r="D27" s="30" t="inlineStr">
        <is>
          <t>trading</t>
        </is>
      </c>
      <c r="E27" s="30" t="inlineStr">
        <is>
          <t>midcap</t>
        </is>
      </c>
      <c r="F27" s="30" t="n">
        <v>7027.44</v>
      </c>
      <c r="G27" s="30" t="n">
        <v>191.82</v>
      </c>
      <c r="H27" s="30" t="n">
        <v>5.02</v>
      </c>
      <c r="I27" s="30" t="n">
        <v>7121916</v>
      </c>
      <c r="J27" s="30" t="inlineStr">
        <is>
          <t>543626</t>
        </is>
      </c>
    </row>
    <row r="28">
      <c r="A28" s="30" t="inlineStr">
        <is>
          <t>MODISONLTD</t>
        </is>
      </c>
      <c r="B28" s="30" t="inlineStr">
        <is>
          <t>Modison Ltd</t>
        </is>
      </c>
      <c r="C28" s="30" t="inlineStr">
        <is>
          <t>industrials</t>
        </is>
      </c>
      <c r="D28" s="30" t="inlineStr">
        <is>
          <t>electric equipment</t>
        </is>
      </c>
      <c r="E28" s="30" t="inlineStr">
        <is>
          <t>smallcap</t>
        </is>
      </c>
      <c r="F28" s="30" t="n">
        <v>1591.02</v>
      </c>
      <c r="G28" s="30" t="n">
        <v>514.8</v>
      </c>
      <c r="H28" s="30" t="n">
        <v>5</v>
      </c>
      <c r="I28" s="30" t="n">
        <v>170543</v>
      </c>
      <c r="J28" s="30" t="inlineStr">
        <is>
          <t>506261</t>
        </is>
      </c>
    </row>
    <row r="29">
      <c r="A29" s="30" t="inlineStr">
        <is>
          <t>LOTUSDEV</t>
        </is>
      </c>
      <c r="B29" s="30" t="inlineStr">
        <is>
          <t>Sri Lotus Developers &amp; Realty Ltd</t>
        </is>
      </c>
      <c r="C29" s="30" t="inlineStr">
        <is>
          <t>realty</t>
        </is>
      </c>
      <c r="D29" s="30" t="inlineStr">
        <is>
          <t>construction</t>
        </is>
      </c>
      <c r="E29" s="30" t="inlineStr">
        <is>
          <t>midcap</t>
        </is>
      </c>
      <c r="F29" s="30" t="n">
        <v>9676.24</v>
      </c>
      <c r="G29" s="30" t="n">
        <v>207.88</v>
      </c>
      <c r="H29" s="30" t="n">
        <v>5</v>
      </c>
      <c r="I29" s="30" t="n">
        <v>14078555</v>
      </c>
      <c r="J29" s="30" t="inlineStr">
        <is>
          <t>544469</t>
        </is>
      </c>
    </row>
    <row r="30">
      <c r="A30" s="30" t="inlineStr">
        <is>
          <t>SPECTRUM</t>
        </is>
      </c>
      <c r="B30" s="30" t="inlineStr">
        <is>
          <t>Spectrum Electrical Industries Ltd</t>
        </is>
      </c>
      <c r="C30" s="30" t="inlineStr">
        <is>
          <t>industrials</t>
        </is>
      </c>
      <c r="D30" s="30" t="inlineStr">
        <is>
          <t>electric equipment</t>
        </is>
      </c>
      <c r="E30" s="30" t="inlineStr">
        <is>
          <t>smallcap</t>
        </is>
      </c>
      <c r="F30" s="30" t="n">
        <v>4308.11</v>
      </c>
      <c r="G30" s="30" t="n">
        <v>2878.6</v>
      </c>
      <c r="H30" s="30" t="n">
        <v>5</v>
      </c>
      <c r="I30" s="30" t="n">
        <v>10777</v>
      </c>
      <c r="J30" s="30" t="inlineStr">
        <is>
          <t>535112</t>
        </is>
      </c>
    </row>
    <row r="31">
      <c r="A31" s="30" t="inlineStr">
        <is>
          <t>KANORICHEM</t>
        </is>
      </c>
      <c r="B31" s="30" t="inlineStr">
        <is>
          <t>Kanoria Chemicals &amp; Industries Limited</t>
        </is>
      </c>
      <c r="C31" s="30" t="inlineStr">
        <is>
          <t>chemicals</t>
        </is>
      </c>
      <c r="D31" s="30" t="inlineStr">
        <is>
          <t>chemicals</t>
        </is>
      </c>
      <c r="E31" s="30" t="inlineStr">
        <is>
          <t>smallcap</t>
        </is>
      </c>
      <c r="F31" s="30" t="n">
        <v>728.8</v>
      </c>
      <c r="G31" s="30" t="n">
        <v>175.14</v>
      </c>
      <c r="H31" s="30" t="n">
        <v>5</v>
      </c>
      <c r="I31" s="30" t="n">
        <v>100439</v>
      </c>
      <c r="J31" s="30" t="inlineStr">
        <is>
          <t>506525</t>
        </is>
      </c>
    </row>
    <row r="32">
      <c r="A32" s="30" t="inlineStr">
        <is>
          <t>STLNETWORK</t>
        </is>
      </c>
      <c r="B32" s="30" t="inlineStr">
        <is>
          <t>STL Networks Ltd</t>
        </is>
      </c>
      <c r="C32" s="30" t="inlineStr">
        <is>
          <t>telecom-service</t>
        </is>
      </c>
      <c r="D32" s="30" t="inlineStr">
        <is>
          <t>telecommunications - service provider</t>
        </is>
      </c>
      <c r="E32" s="30" t="inlineStr">
        <is>
          <t>smallcap</t>
        </is>
      </c>
      <c r="F32" s="30" t="n">
        <v>1620.41</v>
      </c>
      <c r="G32" s="30" t="n">
        <v>34.86</v>
      </c>
      <c r="H32" s="30" t="n">
        <v>5</v>
      </c>
      <c r="I32" s="30" t="n">
        <v>8127111</v>
      </c>
      <c r="J32" s="30" t="inlineStr">
        <is>
          <t>544395</t>
        </is>
      </c>
    </row>
    <row r="33">
      <c r="A33" s="30" t="inlineStr">
        <is>
          <t>SIGMAADV</t>
        </is>
      </c>
      <c r="B33" s="30" t="inlineStr">
        <is>
          <t>Sigma Advanced System Ltd</t>
        </is>
      </c>
      <c r="C33" s="30" t="inlineStr">
        <is>
          <t>aerospace &amp; defence</t>
        </is>
      </c>
      <c r="D33" s="30" t="inlineStr">
        <is>
          <t>electronics - components</t>
        </is>
      </c>
      <c r="E33" s="30" t="inlineStr">
        <is>
          <t>midcap</t>
        </is>
      </c>
      <c r="F33" s="30" t="n">
        <v>14308.86</v>
      </c>
      <c r="G33" s="30" t="n">
        <v>792.85</v>
      </c>
      <c r="H33" s="30" t="n">
        <v>5</v>
      </c>
      <c r="I33" s="30" t="n">
        <v>250035</v>
      </c>
      <c r="J33" s="30" t="inlineStr">
        <is>
          <t>532408</t>
        </is>
      </c>
    </row>
    <row r="34">
      <c r="A34" s="30" t="inlineStr">
        <is>
          <t>BHAGYANGR</t>
        </is>
      </c>
      <c r="B34" s="30" t="inlineStr">
        <is>
          <t>Bhagyanagar India</t>
        </is>
      </c>
      <c r="C34" s="30" t="inlineStr">
        <is>
          <t>power &amp; utilities</t>
        </is>
      </c>
      <c r="D34" s="30" t="inlineStr">
        <is>
          <t>power generation and supply</t>
        </is>
      </c>
      <c r="E34" s="30" t="inlineStr">
        <is>
          <t>smallcap</t>
        </is>
      </c>
      <c r="F34" s="30" t="n">
        <v>1378.88</v>
      </c>
      <c r="G34" s="30" t="n">
        <v>432.2</v>
      </c>
      <c r="H34" s="30" t="n">
        <v>4.99</v>
      </c>
      <c r="I34" s="30" t="n">
        <v>487769</v>
      </c>
      <c r="J34" s="30" t="inlineStr">
        <is>
          <t>512296</t>
        </is>
      </c>
    </row>
    <row r="35">
      <c r="A35" s="30" t="inlineStr">
        <is>
          <t>SETL</t>
        </is>
      </c>
      <c r="B35" s="30" t="inlineStr">
        <is>
          <t>Standard Enginnering Technology Ltd</t>
        </is>
      </c>
      <c r="C35" s="30" t="inlineStr">
        <is>
          <t>industrials</t>
        </is>
      </c>
      <c r="D35" s="30" t="inlineStr">
        <is>
          <t>engineering</t>
        </is>
      </c>
      <c r="E35" s="30" t="inlineStr">
        <is>
          <t>midcap</t>
        </is>
      </c>
      <c r="F35" s="30" t="n">
        <v>8472.41</v>
      </c>
      <c r="G35" s="30" t="n">
        <v>445.9</v>
      </c>
      <c r="H35" s="30" t="n">
        <v>4.99</v>
      </c>
      <c r="I35" s="30" t="n">
        <v>344586</v>
      </c>
      <c r="J35" s="30" t="inlineStr">
        <is>
          <t>544333</t>
        </is>
      </c>
    </row>
    <row r="36">
      <c r="A36" s="30" t="inlineStr">
        <is>
          <t>MANAKSTEEL</t>
        </is>
      </c>
      <c r="B36" s="30" t="inlineStr">
        <is>
          <t>Manaksia Steels Limited</t>
        </is>
      </c>
      <c r="C36" s="30" t="inlineStr">
        <is>
          <t>metals &amp; mining</t>
        </is>
      </c>
      <c r="D36" s="30" t="inlineStr">
        <is>
          <t>steel - medium / small</t>
        </is>
      </c>
      <c r="E36" s="30" t="inlineStr">
        <is>
          <t>smallcap</t>
        </is>
      </c>
      <c r="F36" s="30" t="n">
        <v>717.86</v>
      </c>
      <c r="G36" s="30" t="n">
        <v>115.01</v>
      </c>
      <c r="H36" s="30" t="n">
        <v>4.99</v>
      </c>
      <c r="I36" s="30" t="n">
        <v>50215</v>
      </c>
      <c r="J36" s="30" t="inlineStr">
        <is>
          <t>539044</t>
        </is>
      </c>
    </row>
    <row r="37">
      <c r="A37" s="30" t="inlineStr">
        <is>
          <t>BIRLACABLE</t>
        </is>
      </c>
      <c r="B37" s="30" t="inlineStr">
        <is>
          <t>Birla Cable Limited</t>
        </is>
      </c>
      <c r="C37" s="30" t="inlineStr">
        <is>
          <t>industrials</t>
        </is>
      </c>
      <c r="D37" s="30" t="inlineStr">
        <is>
          <t>cables - telephone</t>
        </is>
      </c>
      <c r="E37" s="30" t="inlineStr">
        <is>
          <t>smallcap</t>
        </is>
      </c>
      <c r="F37" s="30" t="n">
        <v>1070.55</v>
      </c>
      <c r="G37" s="30" t="n">
        <v>374.65</v>
      </c>
      <c r="H37" s="30" t="n">
        <v>4.99</v>
      </c>
      <c r="I37" s="30" t="n">
        <v>929542</v>
      </c>
      <c r="J37" s="30" t="inlineStr">
        <is>
          <t>500060</t>
        </is>
      </c>
    </row>
    <row r="38">
      <c r="A38" s="30" t="inlineStr">
        <is>
          <t>VALIANTORG</t>
        </is>
      </c>
      <c r="B38" s="30" t="inlineStr">
        <is>
          <t>Valiant Organics Ltd</t>
        </is>
      </c>
      <c r="C38" s="30" t="inlineStr">
        <is>
          <t>chemicals</t>
        </is>
      </c>
      <c r="D38" s="30" t="inlineStr">
        <is>
          <t>chemicals</t>
        </is>
      </c>
      <c r="E38" s="30" t="inlineStr">
        <is>
          <t>smallcap</t>
        </is>
      </c>
      <c r="F38" s="30" t="n">
        <v>1007.84</v>
      </c>
      <c r="G38" s="30" t="n">
        <v>377.45</v>
      </c>
      <c r="H38" s="30" t="n">
        <v>4.99</v>
      </c>
      <c r="I38" s="30" t="n">
        <v>228476</v>
      </c>
      <c r="J38" s="30" t="inlineStr">
        <is>
          <t>540145</t>
        </is>
      </c>
    </row>
    <row r="39">
      <c r="A39" s="30" t="inlineStr">
        <is>
          <t>DIACABS</t>
        </is>
      </c>
      <c r="B39" s="30" t="inlineStr">
        <is>
          <t>Diamond Power Infrastructure Ltd</t>
        </is>
      </c>
      <c r="C39" s="30" t="inlineStr">
        <is>
          <t>industrials</t>
        </is>
      </c>
      <c r="D39" s="30" t="inlineStr">
        <is>
          <t>cables - power</t>
        </is>
      </c>
      <c r="E39" s="30" t="inlineStr">
        <is>
          <t>largecap</t>
        </is>
      </c>
      <c r="F39" s="30" t="n">
        <v>20023.42</v>
      </c>
      <c r="G39" s="30" t="n">
        <v>351.5</v>
      </c>
      <c r="H39" s="30" t="n">
        <v>4.99</v>
      </c>
      <c r="I39" s="30" t="n">
        <v>1022436</v>
      </c>
      <c r="J39" s="30" t="inlineStr">
        <is>
          <t>522163</t>
        </is>
      </c>
    </row>
    <row r="40">
      <c r="A40" s="30" t="inlineStr">
        <is>
          <t>ATHERENERG</t>
        </is>
      </c>
      <c r="B40" s="30" t="inlineStr">
        <is>
          <t>Ather Energy Ltd</t>
        </is>
      </c>
      <c r="C40" s="30" t="inlineStr">
        <is>
          <t>auto</t>
        </is>
      </c>
      <c r="D40" s="30" t="inlineStr">
        <is>
          <t>automobiles - scooters and 3 - wheelers</t>
        </is>
      </c>
      <c r="E40" s="30" t="inlineStr">
        <is>
          <t>largecap</t>
        </is>
      </c>
      <c r="F40" s="30" t="n">
        <v>62271.8</v>
      </c>
      <c r="G40" s="30" t="n">
        <v>1658.3</v>
      </c>
      <c r="H40" s="30" t="n">
        <v>4.96</v>
      </c>
      <c r="I40" s="30" t="n">
        <v>8086256</v>
      </c>
      <c r="J40" s="30" t="inlineStr">
        <is>
          <t>544397</t>
        </is>
      </c>
    </row>
    <row r="41">
      <c r="A41" s="30" t="inlineStr">
        <is>
          <t>GAYAPROJ</t>
        </is>
      </c>
      <c r="B41" s="30" t="inlineStr">
        <is>
          <t>Gayatri Projects Limited</t>
        </is>
      </c>
      <c r="C41" s="30" t="inlineStr">
        <is>
          <t>realty</t>
        </is>
      </c>
      <c r="D41" s="30" t="inlineStr">
        <is>
          <t>construction</t>
        </is>
      </c>
      <c r="E41" s="30" t="inlineStr">
        <is>
          <t>smallcap</t>
        </is>
      </c>
      <c r="F41" s="30" t="n">
        <v>1097.6</v>
      </c>
      <c r="G41" s="30" t="n">
        <v>24.8</v>
      </c>
      <c r="H41" s="30" t="n">
        <v>4.91</v>
      </c>
      <c r="I41" s="30" t="n">
        <v>2185895</v>
      </c>
      <c r="J41" s="30" t="inlineStr">
        <is>
          <t>532767</t>
        </is>
      </c>
    </row>
    <row r="42">
      <c r="A42" s="30" t="inlineStr">
        <is>
          <t>FINCABLES</t>
        </is>
      </c>
      <c r="B42" s="30" t="inlineStr">
        <is>
          <t>Finolex Cables Limited</t>
        </is>
      </c>
      <c r="C42" s="30" t="inlineStr">
        <is>
          <t>industrials</t>
        </is>
      </c>
      <c r="D42" s="30" t="inlineStr">
        <is>
          <t>cables - power</t>
        </is>
      </c>
      <c r="E42" s="30" t="inlineStr">
        <is>
          <t>largecap</t>
        </is>
      </c>
      <c r="F42" s="30" t="n">
        <v>20698.81</v>
      </c>
      <c r="G42" s="30" t="n">
        <v>1418.4</v>
      </c>
      <c r="H42" s="30" t="n">
        <v>4.8</v>
      </c>
      <c r="I42" s="30" t="n">
        <v>2351771</v>
      </c>
      <c r="J42" s="30" t="inlineStr">
        <is>
          <t>500144</t>
        </is>
      </c>
    </row>
    <row r="43">
      <c r="A43" s="30" t="inlineStr">
        <is>
          <t>PGIL</t>
        </is>
      </c>
      <c r="B43" s="30" t="inlineStr">
        <is>
          <t>Pearl Global Industries Limited</t>
        </is>
      </c>
      <c r="C43" s="30" t="inlineStr">
        <is>
          <t>consumer discretionary</t>
        </is>
      </c>
      <c r="D43" s="30" t="inlineStr">
        <is>
          <t>textiles - products</t>
        </is>
      </c>
      <c r="E43" s="30" t="inlineStr">
        <is>
          <t>midcap</t>
        </is>
      </c>
      <c r="F43" s="30" t="n">
        <v>10520.28</v>
      </c>
      <c r="G43" s="30" t="n">
        <v>2378.4</v>
      </c>
      <c r="H43" s="30" t="n">
        <v>4.41</v>
      </c>
      <c r="I43" s="30" t="n">
        <v>292926</v>
      </c>
      <c r="J43" s="30" t="inlineStr">
        <is>
          <t>532808</t>
        </is>
      </c>
    </row>
    <row r="44">
      <c r="A44" s="30" t="inlineStr">
        <is>
          <t>MMFL</t>
        </is>
      </c>
      <c r="B44" s="30" t="inlineStr">
        <is>
          <t>Mm Forgings Limited</t>
        </is>
      </c>
      <c r="C44" s="30" t="inlineStr">
        <is>
          <t>industrials</t>
        </is>
      </c>
      <c r="D44" s="30" t="inlineStr">
        <is>
          <t>castings &amp; forgings</t>
        </is>
      </c>
      <c r="E44" s="30" t="inlineStr">
        <is>
          <t>smallcap</t>
        </is>
      </c>
      <c r="F44" s="30" t="n">
        <v>2978.73</v>
      </c>
      <c r="G44" s="30" t="n">
        <v>644.1</v>
      </c>
      <c r="H44" s="30" t="n">
        <v>4.4</v>
      </c>
      <c r="I44" s="30" t="n">
        <v>213941</v>
      </c>
      <c r="J44" s="30" t="inlineStr">
        <is>
          <t>522241</t>
        </is>
      </c>
    </row>
    <row r="45">
      <c r="A45" s="30" t="inlineStr">
        <is>
          <t>RPEL</t>
        </is>
      </c>
      <c r="B45" s="30" t="inlineStr">
        <is>
          <t>Raghav Productivity Enhancers Ltd</t>
        </is>
      </c>
      <c r="C45" s="30" t="inlineStr">
        <is>
          <t>building materials</t>
        </is>
      </c>
      <c r="D45" s="30" t="inlineStr">
        <is>
          <t>refractories / intermediates</t>
        </is>
      </c>
      <c r="E45" s="30" t="inlineStr">
        <is>
          <t>midcap</t>
        </is>
      </c>
      <c r="F45" s="30" t="n">
        <v>7672.64</v>
      </c>
      <c r="G45" s="30" t="n">
        <v>1743.5</v>
      </c>
      <c r="H45" s="30" t="n">
        <v>4.35</v>
      </c>
      <c r="I45" s="30" t="n">
        <v>213981</v>
      </c>
      <c r="J45" s="30" t="inlineStr">
        <is>
          <t>539837</t>
        </is>
      </c>
    </row>
    <row r="46">
      <c r="A46" s="30" t="inlineStr">
        <is>
          <t>THELEELA</t>
        </is>
      </c>
      <c r="B46" s="30" t="inlineStr">
        <is>
          <t>Leela Palaces Hotels &amp; Resorts Ltd</t>
        </is>
      </c>
      <c r="C46" s="30" t="inlineStr">
        <is>
          <t>services</t>
        </is>
      </c>
      <c r="D46" s="30" t="inlineStr">
        <is>
          <t>hotels</t>
        </is>
      </c>
      <c r="E46" s="30" t="inlineStr">
        <is>
          <t>midcap</t>
        </is>
      </c>
      <c r="F46" s="30" t="n">
        <v>17748.19</v>
      </c>
      <c r="G46" s="30" t="n">
        <v>554.15</v>
      </c>
      <c r="H46" s="30" t="n">
        <v>4.27</v>
      </c>
      <c r="I46" s="30" t="n">
        <v>343941</v>
      </c>
      <c r="J46" s="30" t="inlineStr">
        <is>
          <t>544408</t>
        </is>
      </c>
    </row>
    <row r="47">
      <c r="A47" s="30" t="inlineStr">
        <is>
          <t>INDNIPPON</t>
        </is>
      </c>
      <c r="B47" s="30" t="inlineStr">
        <is>
          <t>India Nippon Electricals Limited</t>
        </is>
      </c>
      <c r="C47" s="30" t="inlineStr">
        <is>
          <t>auto</t>
        </is>
      </c>
      <c r="D47" s="30" t="inlineStr">
        <is>
          <t>auto ancillaries</t>
        </is>
      </c>
      <c r="E47" s="30" t="inlineStr">
        <is>
          <t>smallcap</t>
        </is>
      </c>
      <c r="F47" s="30" t="n">
        <v>2970.87</v>
      </c>
      <c r="G47" s="30" t="n">
        <v>1369</v>
      </c>
      <c r="H47" s="30" t="n">
        <v>4.24</v>
      </c>
      <c r="I47" s="30" t="n">
        <v>2823252</v>
      </c>
      <c r="J47" s="30" t="inlineStr">
        <is>
          <t>532240</t>
        </is>
      </c>
    </row>
    <row r="48">
      <c r="A48" s="30" t="inlineStr">
        <is>
          <t>VALIANTLAB</t>
        </is>
      </c>
      <c r="B48" s="30" t="inlineStr">
        <is>
          <t>Valiant Laboratories Ltd</t>
        </is>
      </c>
      <c r="C48" s="30" t="inlineStr">
        <is>
          <t>healthcare</t>
        </is>
      </c>
      <c r="D48" s="30" t="inlineStr">
        <is>
          <t>pharmaceuticals - indian - bulk drugs &amp; formln</t>
        </is>
      </c>
      <c r="E48" s="30" t="inlineStr">
        <is>
          <t>smallcap</t>
        </is>
      </c>
      <c r="F48" s="30" t="n">
        <v>650.83</v>
      </c>
      <c r="G48" s="30" t="n">
        <v>124.8</v>
      </c>
      <c r="H48" s="30" t="n">
        <v>4.15</v>
      </c>
      <c r="I48" s="30" t="n">
        <v>286847</v>
      </c>
      <c r="J48" s="30" t="n"/>
    </row>
    <row r="49">
      <c r="A49" s="30" t="inlineStr">
        <is>
          <t>NRL</t>
        </is>
      </c>
      <c r="B49" s="30" t="inlineStr">
        <is>
          <t>Nupur Recyclers Ltd</t>
        </is>
      </c>
      <c r="C49" s="30" t="inlineStr">
        <is>
          <t>services</t>
        </is>
      </c>
      <c r="D49" s="30" t="inlineStr">
        <is>
          <t>trading</t>
        </is>
      </c>
      <c r="E49" s="30" t="inlineStr">
        <is>
          <t>smallcap</t>
        </is>
      </c>
      <c r="F49" s="30" t="n">
        <v>894.4400000000001</v>
      </c>
      <c r="G49" s="30" t="n">
        <v>134.84</v>
      </c>
      <c r="H49" s="30" t="n">
        <v>4.12</v>
      </c>
      <c r="I49" s="30" t="n">
        <v>115844</v>
      </c>
      <c r="J49" s="30" t="inlineStr">
        <is>
          <t>535413</t>
        </is>
      </c>
    </row>
    <row r="50">
      <c r="A50" s="30" t="inlineStr">
        <is>
          <t>GANESHBE</t>
        </is>
      </c>
      <c r="B50" s="30" t="inlineStr">
        <is>
          <t>Ganesh Benzoplast Ltd</t>
        </is>
      </c>
      <c r="C50" s="30" t="inlineStr">
        <is>
          <t>miscellaneous</t>
        </is>
      </c>
      <c r="D50" s="30" t="inlineStr">
        <is>
          <t>miscellaneous</t>
        </is>
      </c>
      <c r="E50" s="30" t="inlineStr">
        <is>
          <t>smallcap</t>
        </is>
      </c>
      <c r="F50" s="30" t="n">
        <v>922.83</v>
      </c>
      <c r="G50" s="30" t="n">
        <v>133.35</v>
      </c>
      <c r="H50" s="30" t="n">
        <v>4.03</v>
      </c>
      <c r="I50" s="30" t="n">
        <v>311838</v>
      </c>
      <c r="J50" s="30" t="inlineStr">
        <is>
          <t>500153</t>
        </is>
      </c>
    </row>
    <row r="51">
      <c r="A51" s="30" t="inlineStr">
        <is>
          <t>PAISALO</t>
        </is>
      </c>
      <c r="B51" s="30" t="inlineStr">
        <is>
          <t>Paisalo Digital Ltd</t>
        </is>
      </c>
      <c r="C51" s="30" t="inlineStr">
        <is>
          <t>financials</t>
        </is>
      </c>
      <c r="D51" s="30" t="inlineStr">
        <is>
          <t>finance &amp; investments</t>
        </is>
      </c>
      <c r="E51" s="30" t="inlineStr">
        <is>
          <t>midcap</t>
        </is>
      </c>
      <c r="F51" s="30" t="n">
        <v>7268.9</v>
      </c>
      <c r="G51" s="30" t="n">
        <v>83.05</v>
      </c>
      <c r="H51" s="30" t="n">
        <v>3.92</v>
      </c>
      <c r="I51" s="30" t="n">
        <v>21159038</v>
      </c>
      <c r="J51" s="30" t="inlineStr">
        <is>
          <t>532900</t>
        </is>
      </c>
    </row>
    <row r="52">
      <c r="A52" s="30" t="inlineStr">
        <is>
          <t>TIMKEN</t>
        </is>
      </c>
      <c r="B52" s="30" t="inlineStr">
        <is>
          <t>Timken India Limited</t>
        </is>
      </c>
      <c r="C52" s="30" t="inlineStr">
        <is>
          <t>industrials</t>
        </is>
      </c>
      <c r="D52" s="30" t="inlineStr">
        <is>
          <t>bearings</t>
        </is>
      </c>
      <c r="E52" s="30" t="inlineStr">
        <is>
          <t>largecap</t>
        </is>
      </c>
      <c r="F52" s="30" t="n">
        <v>23869.91</v>
      </c>
      <c r="G52" s="30" t="n">
        <v>3297.2</v>
      </c>
      <c r="H52" s="30" t="n">
        <v>3.9</v>
      </c>
      <c r="I52" s="30" t="n">
        <v>72555</v>
      </c>
      <c r="J52" s="30" t="inlineStr">
        <is>
          <t>522113</t>
        </is>
      </c>
    </row>
    <row r="53">
      <c r="A53" s="30" t="inlineStr">
        <is>
          <t>TASTYBITE</t>
        </is>
      </c>
      <c r="B53" s="30" t="inlineStr">
        <is>
          <t>Tasty Bite Eatables Ltd</t>
        </is>
      </c>
      <c r="C53" s="30" t="inlineStr">
        <is>
          <t>fmcg</t>
        </is>
      </c>
      <c r="D53" s="30" t="inlineStr">
        <is>
          <t>food - processing - indian</t>
        </is>
      </c>
      <c r="E53" s="30" t="inlineStr">
        <is>
          <t>smallcap</t>
        </is>
      </c>
      <c r="F53" s="30" t="n">
        <v>2520.84</v>
      </c>
      <c r="G53" s="30" t="n">
        <v>10201</v>
      </c>
      <c r="H53" s="30" t="n">
        <v>3.84</v>
      </c>
      <c r="I53" s="30" t="n">
        <v>6020</v>
      </c>
      <c r="J53" s="30" t="inlineStr">
        <is>
          <t>519091</t>
        </is>
      </c>
    </row>
    <row r="54">
      <c r="A54" s="30" t="inlineStr">
        <is>
          <t>WABAG</t>
        </is>
      </c>
      <c r="B54" s="30" t="inlineStr">
        <is>
          <t>Va Tech Wabag Limited</t>
        </is>
      </c>
      <c r="C54" s="30" t="inlineStr">
        <is>
          <t>realty</t>
        </is>
      </c>
      <c r="D54" s="30" t="inlineStr">
        <is>
          <t>engineering - turnkey services</t>
        </is>
      </c>
      <c r="E54" s="30" t="inlineStr">
        <is>
          <t>midcap</t>
        </is>
      </c>
      <c r="F54" s="30" t="n">
        <v>13287.18</v>
      </c>
      <c r="G54" s="30" t="n">
        <v>2211.8</v>
      </c>
      <c r="H54" s="30" t="n">
        <v>3.8</v>
      </c>
      <c r="I54" s="30" t="n">
        <v>1260627</v>
      </c>
      <c r="J54" s="30" t="inlineStr">
        <is>
          <t>533269</t>
        </is>
      </c>
    </row>
    <row r="55">
      <c r="A55" s="30" t="inlineStr">
        <is>
          <t>NOCIL</t>
        </is>
      </c>
      <c r="B55" s="30" t="inlineStr">
        <is>
          <t>Nocil Limited</t>
        </is>
      </c>
      <c r="C55" s="30" t="inlineStr">
        <is>
          <t>chemicals</t>
        </is>
      </c>
      <c r="D55" s="30" t="inlineStr">
        <is>
          <t>chemicals</t>
        </is>
      </c>
      <c r="E55" s="30" t="inlineStr">
        <is>
          <t>smallcap</t>
        </is>
      </c>
      <c r="F55" s="30" t="n">
        <v>3144.75</v>
      </c>
      <c r="G55" s="30" t="n">
        <v>195.31</v>
      </c>
      <c r="H55" s="30" t="n">
        <v>3.73</v>
      </c>
      <c r="I55" s="30" t="n">
        <v>7274037</v>
      </c>
      <c r="J55" s="30" t="inlineStr">
        <is>
          <t>500730</t>
        </is>
      </c>
    </row>
    <row r="56">
      <c r="A56" s="30" t="inlineStr">
        <is>
          <t>REDINGTON</t>
        </is>
      </c>
      <c r="B56" s="30" t="inlineStr">
        <is>
          <t>Redington (india) Limited</t>
        </is>
      </c>
      <c r="C56" s="30" t="inlineStr">
        <is>
          <t>services</t>
        </is>
      </c>
      <c r="D56" s="30" t="inlineStr">
        <is>
          <t>trading</t>
        </is>
      </c>
      <c r="E56" s="30" t="inlineStr">
        <is>
          <t>largecap</t>
        </is>
      </c>
      <c r="F56" s="30" t="n">
        <v>29554.98</v>
      </c>
      <c r="G56" s="30" t="n">
        <v>392</v>
      </c>
      <c r="H56" s="30" t="n">
        <v>3.69</v>
      </c>
      <c r="I56" s="30" t="n">
        <v>23154564</v>
      </c>
      <c r="J56" s="30" t="inlineStr">
        <is>
          <t>532805</t>
        </is>
      </c>
    </row>
    <row r="57">
      <c r="A57" s="30" t="inlineStr">
        <is>
          <t>KAPSTON</t>
        </is>
      </c>
      <c r="B57" s="30" t="inlineStr">
        <is>
          <t>Kapston Services Ltd</t>
        </is>
      </c>
      <c r="C57" s="30" t="inlineStr">
        <is>
          <t>miscellaneous</t>
        </is>
      </c>
      <c r="D57" s="30" t="inlineStr">
        <is>
          <t>miscellaneous</t>
        </is>
      </c>
      <c r="E57" s="30" t="inlineStr">
        <is>
          <t>smallcap</t>
        </is>
      </c>
      <c r="F57" s="30" t="n">
        <v>1717.29</v>
      </c>
      <c r="G57" s="30" t="n">
        <v>584.95</v>
      </c>
      <c r="H57" s="30" t="n">
        <v>3.66</v>
      </c>
      <c r="I57" s="30" t="n">
        <v>77377</v>
      </c>
      <c r="J57" s="30" t="inlineStr">
        <is>
          <t>535064</t>
        </is>
      </c>
    </row>
    <row r="58">
      <c r="A58" s="30" t="inlineStr">
        <is>
          <t>SHAREINDIA</t>
        </is>
      </c>
      <c r="B58" s="30" t="inlineStr">
        <is>
          <t>Share India Securities Ltd</t>
        </is>
      </c>
      <c r="C58" s="30" t="inlineStr">
        <is>
          <t>financials</t>
        </is>
      </c>
      <c r="D58" s="30" t="inlineStr">
        <is>
          <t>finance &amp; investments</t>
        </is>
      </c>
      <c r="E58" s="30" t="inlineStr">
        <is>
          <t>smallcap</t>
        </is>
      </c>
      <c r="F58" s="30" t="n">
        <v>4145.87</v>
      </c>
      <c r="G58" s="30" t="n">
        <v>196.32</v>
      </c>
      <c r="H58" s="30" t="n">
        <v>3.62</v>
      </c>
      <c r="I58" s="30" t="n">
        <v>58611177</v>
      </c>
      <c r="J58" s="30" t="inlineStr">
        <is>
          <t>540725</t>
        </is>
      </c>
    </row>
    <row r="59">
      <c r="A59" s="30" t="inlineStr">
        <is>
          <t>RATNAVEER</t>
        </is>
      </c>
      <c r="B59" s="30" t="inlineStr">
        <is>
          <t>Ratnaveer Precision Engineering Ltd</t>
        </is>
      </c>
      <c r="C59" s="30" t="inlineStr">
        <is>
          <t>metals &amp; mining</t>
        </is>
      </c>
      <c r="D59" s="30" t="inlineStr">
        <is>
          <t>steel - medium / small</t>
        </is>
      </c>
      <c r="E59" s="30" t="inlineStr">
        <is>
          <t>smallcap</t>
        </is>
      </c>
      <c r="F59" s="30" t="n">
        <v>2142.09</v>
      </c>
      <c r="G59" s="30" t="n">
        <v>310.6</v>
      </c>
      <c r="H59" s="30" t="n">
        <v>3.57</v>
      </c>
      <c r="I59" s="30" t="n">
        <v>3836811</v>
      </c>
      <c r="J59" s="30" t="inlineStr">
        <is>
          <t>543978</t>
        </is>
      </c>
    </row>
    <row r="60">
      <c r="A60" s="30" t="inlineStr">
        <is>
          <t>RML</t>
        </is>
      </c>
      <c r="B60" s="30" t="inlineStr">
        <is>
          <t>Rane (madras) Limited</t>
        </is>
      </c>
      <c r="C60" s="30" t="inlineStr">
        <is>
          <t>auto</t>
        </is>
      </c>
      <c r="D60" s="30" t="inlineStr">
        <is>
          <t>auto ancillaries</t>
        </is>
      </c>
      <c r="E60" s="30" t="inlineStr">
        <is>
          <t>smallcap</t>
        </is>
      </c>
      <c r="F60" s="30" t="n">
        <v>3770.53</v>
      </c>
      <c r="G60" s="30" t="n">
        <v>1408.9</v>
      </c>
      <c r="H60" s="30" t="n">
        <v>3.27</v>
      </c>
      <c r="I60" s="30" t="n">
        <v>187566</v>
      </c>
      <c r="J60" s="30" t="inlineStr">
        <is>
          <t>532661</t>
        </is>
      </c>
    </row>
    <row r="61">
      <c r="A61" s="30" t="inlineStr">
        <is>
          <t>PNBHOUSING</t>
        </is>
      </c>
      <c r="B61" s="30" t="inlineStr">
        <is>
          <t>Pnb Housing Finance Limited</t>
        </is>
      </c>
      <c r="C61" s="30" t="inlineStr">
        <is>
          <t>financials</t>
        </is>
      </c>
      <c r="D61" s="30" t="inlineStr">
        <is>
          <t>finance - housing</t>
        </is>
      </c>
      <c r="E61" s="30" t="inlineStr">
        <is>
          <t>largecap</t>
        </is>
      </c>
      <c r="F61" s="30" t="n">
        <v>29759.37</v>
      </c>
      <c r="G61" s="30" t="n">
        <v>1179</v>
      </c>
      <c r="H61" s="30" t="n">
        <v>3.24</v>
      </c>
      <c r="I61" s="30" t="n">
        <v>1084833</v>
      </c>
      <c r="J61" s="30" t="inlineStr">
        <is>
          <t>540173</t>
        </is>
      </c>
    </row>
    <row r="62">
      <c r="A62" s="30" t="inlineStr">
        <is>
          <t>AARTIDRUGS</t>
        </is>
      </c>
      <c r="B62" s="30" t="inlineStr">
        <is>
          <t>Aarti Drugs Limited</t>
        </is>
      </c>
      <c r="C62" s="30" t="inlineStr">
        <is>
          <t>healthcare</t>
        </is>
      </c>
      <c r="D62" s="30" t="inlineStr">
        <is>
          <t>pharmaceuticals - indian - bulk drugs</t>
        </is>
      </c>
      <c r="E62" s="30" t="inlineStr">
        <is>
          <t>smallcap</t>
        </is>
      </c>
      <c r="F62" s="30" t="n">
        <v>3864.83</v>
      </c>
      <c r="G62" s="30" t="n">
        <v>437</v>
      </c>
      <c r="H62" s="30" t="n">
        <v>3.2</v>
      </c>
      <c r="I62" s="30" t="n">
        <v>254738</v>
      </c>
      <c r="J62" s="30" t="inlineStr">
        <is>
          <t>524348</t>
        </is>
      </c>
    </row>
    <row r="63">
      <c r="A63" s="30" t="inlineStr">
        <is>
          <t>EIMCOELECO</t>
        </is>
      </c>
      <c r="B63" s="30" t="inlineStr">
        <is>
          <t>Eimco Elecon (india) Limited</t>
        </is>
      </c>
      <c r="C63" s="30" t="inlineStr">
        <is>
          <t>industrials</t>
        </is>
      </c>
      <c r="D63" s="30" t="inlineStr">
        <is>
          <t>engineering</t>
        </is>
      </c>
      <c r="E63" s="30" t="inlineStr">
        <is>
          <t>smallcap</t>
        </is>
      </c>
      <c r="F63" s="30" t="n">
        <v>1281.5</v>
      </c>
      <c r="G63" s="30" t="n">
        <v>2291.4</v>
      </c>
      <c r="H63" s="30" t="n">
        <v>3.14</v>
      </c>
      <c r="I63" s="30" t="n">
        <v>45900</v>
      </c>
      <c r="J63" s="30" t="inlineStr">
        <is>
          <t>523708</t>
        </is>
      </c>
    </row>
    <row r="64">
      <c r="A64" s="30" t="inlineStr">
        <is>
          <t>SWANDEF</t>
        </is>
      </c>
      <c r="B64" s="30" t="inlineStr">
        <is>
          <t>Swan Defence and Heavy Industries Ltd</t>
        </is>
      </c>
      <c r="C64" s="30" t="inlineStr">
        <is>
          <t>transportation</t>
        </is>
      </c>
      <c r="D64" s="30" t="inlineStr">
        <is>
          <t>miscellaneous</t>
        </is>
      </c>
      <c r="E64" s="30" t="inlineStr">
        <is>
          <t>midcap</t>
        </is>
      </c>
      <c r="F64" s="30" t="n">
        <v>13615.7</v>
      </c>
      <c r="G64" s="30" t="n">
        <v>2662.8</v>
      </c>
      <c r="H64" s="30" t="n">
        <v>3.03</v>
      </c>
      <c r="I64" s="30" t="n">
        <v>22304</v>
      </c>
      <c r="J64" s="30" t="inlineStr">
        <is>
          <t>533107</t>
        </is>
      </c>
    </row>
    <row r="65">
      <c r="A65" s="30" t="inlineStr">
        <is>
          <t>SUNDRMFAST</t>
        </is>
      </c>
      <c r="B65" s="30" t="inlineStr">
        <is>
          <t>Sundram Fasteners Limited</t>
        </is>
      </c>
      <c r="C65" s="30" t="inlineStr">
        <is>
          <t>auto</t>
        </is>
      </c>
      <c r="D65" s="30" t="inlineStr">
        <is>
          <t>auto ancillaries</t>
        </is>
      </c>
      <c r="E65" s="30" t="inlineStr">
        <is>
          <t>largecap</t>
        </is>
      </c>
      <c r="F65" s="30" t="n">
        <v>25623.05</v>
      </c>
      <c r="G65" s="30" t="n">
        <v>1256.1</v>
      </c>
      <c r="H65" s="30" t="n">
        <v>3.01</v>
      </c>
      <c r="I65" s="30" t="n">
        <v>2102293</v>
      </c>
      <c r="J65" s="30" t="inlineStr">
        <is>
          <t>500403</t>
        </is>
      </c>
    </row>
    <row r="66">
      <c r="A66" s="30" t="inlineStr">
        <is>
          <t>RBZJEWEL</t>
        </is>
      </c>
      <c r="B66" s="30" t="inlineStr">
        <is>
          <t>RBZ Jewellers Ltd</t>
        </is>
      </c>
      <c r="C66" s="30" t="inlineStr">
        <is>
          <t>consumer discretionary</t>
        </is>
      </c>
      <c r="D66" s="30" t="inlineStr">
        <is>
          <t>diamond cutting / jewellery</t>
        </is>
      </c>
      <c r="E66" s="30" t="inlineStr">
        <is>
          <t>smallcap</t>
        </is>
      </c>
      <c r="F66" s="30" t="n">
        <v>694.4</v>
      </c>
      <c r="G66" s="30" t="n">
        <v>178.67</v>
      </c>
      <c r="H66" s="30" t="n">
        <v>2.92</v>
      </c>
      <c r="I66" s="30" t="n">
        <v>157181</v>
      </c>
      <c r="J66" s="30" t="inlineStr">
        <is>
          <t>544060</t>
        </is>
      </c>
    </row>
    <row r="67">
      <c r="A67" s="30" t="inlineStr">
        <is>
          <t>GNA</t>
        </is>
      </c>
      <c r="B67" s="30" t="inlineStr">
        <is>
          <t>Gna Axles Limited</t>
        </is>
      </c>
      <c r="C67" s="30" t="inlineStr">
        <is>
          <t>auto</t>
        </is>
      </c>
      <c r="D67" s="30" t="inlineStr">
        <is>
          <t>auto ancillaries</t>
        </is>
      </c>
      <c r="E67" s="30" t="inlineStr">
        <is>
          <t>smallcap</t>
        </is>
      </c>
      <c r="F67" s="30" t="n">
        <v>2316.33</v>
      </c>
      <c r="G67" s="30" t="n">
        <v>553.95</v>
      </c>
      <c r="H67" s="30" t="n">
        <v>2.67</v>
      </c>
      <c r="I67" s="30" t="n">
        <v>297519</v>
      </c>
      <c r="J67" s="30" t="inlineStr">
        <is>
          <t>540124</t>
        </is>
      </c>
    </row>
    <row r="68">
      <c r="A68" s="30" t="inlineStr">
        <is>
          <t>CAPLIPOINT</t>
        </is>
      </c>
      <c r="B68" s="30" t="inlineStr">
        <is>
          <t>Caplin Point Laboratories Limited</t>
        </is>
      </c>
      <c r="C68" s="30" t="inlineStr">
        <is>
          <t>healthcare</t>
        </is>
      </c>
      <c r="D68" s="30" t="inlineStr">
        <is>
          <t>pharmaceuticals - indian - formulations</t>
        </is>
      </c>
      <c r="E68" s="30" t="inlineStr">
        <is>
          <t>largecap</t>
        </is>
      </c>
      <c r="F68" s="30" t="n">
        <v>20698.74</v>
      </c>
      <c r="G68" s="30" t="n">
        <v>2795.4</v>
      </c>
      <c r="H68" s="30" t="n">
        <v>2.66</v>
      </c>
      <c r="I68" s="30" t="n">
        <v>245863</v>
      </c>
      <c r="J68" s="30" t="inlineStr">
        <is>
          <t>524742</t>
        </is>
      </c>
    </row>
    <row r="69">
      <c r="A69" s="30" t="inlineStr">
        <is>
          <t>NEULANDLAB</t>
        </is>
      </c>
      <c r="B69" s="30" t="inlineStr">
        <is>
          <t>Neuland Laboratories Limited</t>
        </is>
      </c>
      <c r="C69" s="30" t="inlineStr">
        <is>
          <t>healthcare</t>
        </is>
      </c>
      <c r="D69" s="30" t="inlineStr">
        <is>
          <t>pharmaceuticals - indian - bulk drugs</t>
        </is>
      </c>
      <c r="E69" s="30" t="inlineStr">
        <is>
          <t>largecap</t>
        </is>
      </c>
      <c r="F69" s="30" t="n">
        <v>29758.93</v>
      </c>
      <c r="G69" s="30" t="n">
        <v>23800</v>
      </c>
      <c r="H69" s="30" t="n">
        <v>2.61</v>
      </c>
      <c r="I69" s="30" t="n">
        <v>55257</v>
      </c>
      <c r="J69" s="30" t="inlineStr">
        <is>
          <t>524558</t>
        </is>
      </c>
    </row>
    <row r="70">
      <c r="A70" s="30" t="inlineStr">
        <is>
          <t>TEGA</t>
        </is>
      </c>
      <c r="B70" s="30" t="inlineStr">
        <is>
          <t>Tega Industries Ltd</t>
        </is>
      </c>
      <c r="C70" s="30" t="inlineStr">
        <is>
          <t>industrials</t>
        </is>
      </c>
      <c r="D70" s="30" t="inlineStr">
        <is>
          <t>engineering</t>
        </is>
      </c>
      <c r="E70" s="30" t="inlineStr">
        <is>
          <t>midcap</t>
        </is>
      </c>
      <c r="F70" s="30" t="n">
        <v>12608.68</v>
      </c>
      <c r="G70" s="30" t="n">
        <v>1721.6</v>
      </c>
      <c r="H70" s="30" t="n">
        <v>2.58</v>
      </c>
      <c r="I70" s="30" t="n">
        <v>1131990</v>
      </c>
      <c r="J70" s="30" t="inlineStr">
        <is>
          <t>543413</t>
        </is>
      </c>
    </row>
    <row r="71">
      <c r="A71" s="30" t="inlineStr">
        <is>
          <t>EMCURE</t>
        </is>
      </c>
      <c r="B71" s="30" t="inlineStr">
        <is>
          <t>Emcure Pharmaceuticals Ltd</t>
        </is>
      </c>
      <c r="C71" s="30" t="inlineStr">
        <is>
          <t>healthcare</t>
        </is>
      </c>
      <c r="D71" s="30" t="inlineStr">
        <is>
          <t>pharmaceuticals - indian - bulk drugs &amp; formln</t>
        </is>
      </c>
      <c r="E71" s="30" t="inlineStr">
        <is>
          <t>largecap</t>
        </is>
      </c>
      <c r="F71" s="30" t="n">
        <v>36312.37</v>
      </c>
      <c r="G71" s="30" t="n">
        <v>1962.8</v>
      </c>
      <c r="H71" s="30" t="n">
        <v>2.53</v>
      </c>
      <c r="I71" s="30" t="n">
        <v>248776</v>
      </c>
      <c r="J71" s="30" t="inlineStr">
        <is>
          <t>544210</t>
        </is>
      </c>
    </row>
    <row r="72">
      <c r="A72" s="30" t="inlineStr">
        <is>
          <t>MAXESTATES</t>
        </is>
      </c>
      <c r="B72" s="30" t="inlineStr">
        <is>
          <t>Max Estates Ltd</t>
        </is>
      </c>
      <c r="C72" s="30" t="inlineStr">
        <is>
          <t>realty</t>
        </is>
      </c>
      <c r="D72" s="30" t="inlineStr">
        <is>
          <t>construction</t>
        </is>
      </c>
      <c r="E72" s="30" t="inlineStr">
        <is>
          <t>midcap</t>
        </is>
      </c>
      <c r="F72" s="30" t="n">
        <v>8928.59</v>
      </c>
      <c r="G72" s="30" t="n">
        <v>559.75</v>
      </c>
      <c r="H72" s="30" t="n">
        <v>2.5</v>
      </c>
      <c r="I72" s="30" t="n">
        <v>122478</v>
      </c>
      <c r="J72" s="30" t="inlineStr">
        <is>
          <t>544008</t>
        </is>
      </c>
    </row>
    <row r="73">
      <c r="A73" s="30" t="inlineStr">
        <is>
          <t>SHANTIGEAR</t>
        </is>
      </c>
      <c r="B73" s="30" t="inlineStr">
        <is>
          <t>Shanthi Gears Limited</t>
        </is>
      </c>
      <c r="C73" s="30" t="inlineStr">
        <is>
          <t>industrials</t>
        </is>
      </c>
      <c r="D73" s="30" t="inlineStr">
        <is>
          <t>engineering</t>
        </is>
      </c>
      <c r="E73" s="30" t="inlineStr">
        <is>
          <t>midcap</t>
        </is>
      </c>
      <c r="F73" s="30" t="n">
        <v>5429.56</v>
      </c>
      <c r="G73" s="30" t="n">
        <v>725.45</v>
      </c>
      <c r="H73" s="30" t="n">
        <v>2.5</v>
      </c>
      <c r="I73" s="30" t="n">
        <v>312598</v>
      </c>
      <c r="J73" s="30" t="inlineStr">
        <is>
          <t>522034</t>
        </is>
      </c>
    </row>
    <row r="74">
      <c r="A74" s="30" t="inlineStr">
        <is>
          <t>SMSPHARMA</t>
        </is>
      </c>
      <c r="B74" s="30" t="inlineStr">
        <is>
          <t>Sms Pharmaceuticals Limited</t>
        </is>
      </c>
      <c r="C74" s="30" t="inlineStr">
        <is>
          <t>healthcare</t>
        </is>
      </c>
      <c r="D74" s="30" t="inlineStr">
        <is>
          <t>pharmaceuticals - indian - bulk drugs</t>
        </is>
      </c>
      <c r="E74" s="30" t="inlineStr">
        <is>
          <t>smallcap</t>
        </is>
      </c>
      <c r="F74" s="30" t="n">
        <v>3814.45</v>
      </c>
      <c r="G74" s="30" t="n">
        <v>417.45</v>
      </c>
      <c r="H74" s="30" t="n">
        <v>2.49</v>
      </c>
      <c r="I74" s="30" t="n">
        <v>561774</v>
      </c>
      <c r="J74" s="30" t="inlineStr">
        <is>
          <t>532815</t>
        </is>
      </c>
    </row>
    <row r="75">
      <c r="A75" s="30" t="inlineStr">
        <is>
          <t>63MOONS</t>
        </is>
      </c>
      <c r="B75" s="30" t="inlineStr">
        <is>
          <t>63 Moons Technologies Ltd</t>
        </is>
      </c>
      <c r="C75" s="30" t="inlineStr">
        <is>
          <t>i.t</t>
        </is>
      </c>
      <c r="D75" s="30" t="inlineStr">
        <is>
          <t>computers - software - medium / small</t>
        </is>
      </c>
      <c r="E75" s="30" t="inlineStr">
        <is>
          <t>smallcap</t>
        </is>
      </c>
      <c r="F75" s="30" t="n">
        <v>3986.02</v>
      </c>
      <c r="G75" s="30" t="n">
        <v>886.35</v>
      </c>
      <c r="H75" s="30" t="n">
        <v>2.46</v>
      </c>
      <c r="I75" s="30" t="n">
        <v>841520</v>
      </c>
      <c r="J75" s="30" t="inlineStr">
        <is>
          <t>526881</t>
        </is>
      </c>
    </row>
    <row r="76">
      <c r="A76" s="30" t="inlineStr">
        <is>
          <t>SOLARA</t>
        </is>
      </c>
      <c r="B76" s="30" t="inlineStr">
        <is>
          <t>Solara Active Pharma Sciences Ltd</t>
        </is>
      </c>
      <c r="C76" s="30" t="inlineStr">
        <is>
          <t>healthcare</t>
        </is>
      </c>
      <c r="D76" s="30" t="inlineStr">
        <is>
          <t>pharmaceuticals - indian - bulk drugs &amp; formln</t>
        </is>
      </c>
      <c r="E76" s="30" t="inlineStr">
        <is>
          <t>smallcap</t>
        </is>
      </c>
      <c r="F76" s="30" t="n">
        <v>3331.39</v>
      </c>
      <c r="G76" s="30" t="n">
        <v>707.25</v>
      </c>
      <c r="H76" s="30" t="n">
        <v>2.43</v>
      </c>
      <c r="I76" s="30" t="n">
        <v>1463549</v>
      </c>
      <c r="J76" s="30" t="inlineStr">
        <is>
          <t>541540</t>
        </is>
      </c>
    </row>
    <row r="77">
      <c r="A77" s="30" t="inlineStr">
        <is>
          <t>PVP</t>
        </is>
      </c>
      <c r="B77" s="30" t="inlineStr">
        <is>
          <t>Pvp Ventures Limited</t>
        </is>
      </c>
      <c r="C77" s="30" t="inlineStr">
        <is>
          <t>realty</t>
        </is>
      </c>
      <c r="D77" s="30" t="inlineStr">
        <is>
          <t>construction</t>
        </is>
      </c>
      <c r="E77" s="30" t="inlineStr">
        <is>
          <t>smallcap</t>
        </is>
      </c>
      <c r="F77" s="30" t="n">
        <v>1680.65</v>
      </c>
      <c r="G77" s="30" t="n">
        <v>66.09999999999999</v>
      </c>
      <c r="H77" s="30" t="n">
        <v>2.42</v>
      </c>
      <c r="I77" s="30" t="n">
        <v>1507975</v>
      </c>
      <c r="J77" s="30" t="inlineStr">
        <is>
          <t>517556</t>
        </is>
      </c>
    </row>
    <row r="78">
      <c r="A78" s="30" t="inlineStr">
        <is>
          <t>MUKKA</t>
        </is>
      </c>
      <c r="B78" s="30" t="inlineStr">
        <is>
          <t>Mukka Proteins Ltd</t>
        </is>
      </c>
      <c r="C78" s="30" t="inlineStr">
        <is>
          <t>fmcg</t>
        </is>
      </c>
      <c r="D78" s="30" t="inlineStr">
        <is>
          <t>food - processing - indian</t>
        </is>
      </c>
      <c r="E78" s="30" t="inlineStr">
        <is>
          <t>smallcap</t>
        </is>
      </c>
      <c r="F78" s="30" t="n">
        <v>895.8</v>
      </c>
      <c r="G78" s="30" t="n">
        <v>30.57</v>
      </c>
      <c r="H78" s="30" t="n">
        <v>2.38</v>
      </c>
      <c r="I78" s="30" t="n">
        <v>873584</v>
      </c>
      <c r="J78" s="30" t="inlineStr">
        <is>
          <t>544135</t>
        </is>
      </c>
    </row>
    <row r="79">
      <c r="A79" s="30" t="inlineStr">
        <is>
          <t>EDELWEISS</t>
        </is>
      </c>
      <c r="B79" s="30" t="inlineStr">
        <is>
          <t>Edelweiss Financial Services Limited</t>
        </is>
      </c>
      <c r="C79" s="30" t="inlineStr">
        <is>
          <t>financials</t>
        </is>
      </c>
      <c r="D79" s="30" t="inlineStr">
        <is>
          <t>finance &amp; investments</t>
        </is>
      </c>
      <c r="E79" s="30" t="inlineStr">
        <is>
          <t>midcap</t>
        </is>
      </c>
      <c r="F79" s="30" t="n">
        <v>12648.5</v>
      </c>
      <c r="G79" s="30" t="n">
        <v>136.74</v>
      </c>
      <c r="H79" s="30" t="n">
        <v>2.33</v>
      </c>
      <c r="I79" s="30" t="n">
        <v>16928746</v>
      </c>
      <c r="J79" s="30" t="inlineStr">
        <is>
          <t>532922</t>
        </is>
      </c>
    </row>
    <row r="80">
      <c r="A80" s="30" t="inlineStr">
        <is>
          <t>KOVAI</t>
        </is>
      </c>
      <c r="B80" s="30" t="inlineStr">
        <is>
          <t>Kovai Medical Center &amp; Hospital Ltd</t>
        </is>
      </c>
      <c r="C80" s="30" t="inlineStr">
        <is>
          <t>healthcare</t>
        </is>
      </c>
      <c r="D80" s="30" t="inlineStr">
        <is>
          <t>healthcare</t>
        </is>
      </c>
      <c r="E80" s="30" t="inlineStr">
        <is>
          <t>midcap</t>
        </is>
      </c>
      <c r="F80" s="30" t="n">
        <v>6728.94</v>
      </c>
      <c r="G80" s="30" t="n">
        <v>6292</v>
      </c>
      <c r="H80" s="30" t="n">
        <v>2.32</v>
      </c>
      <c r="I80" s="30" t="n">
        <v>15697</v>
      </c>
      <c r="J80" s="30" t="inlineStr">
        <is>
          <t>523323</t>
        </is>
      </c>
    </row>
    <row r="81">
      <c r="A81" s="30" t="inlineStr">
        <is>
          <t>ZIMLAB</t>
        </is>
      </c>
      <c r="B81" s="30" t="inlineStr">
        <is>
          <t>Zim Laboratories Ltd</t>
        </is>
      </c>
      <c r="C81" s="30" t="inlineStr">
        <is>
          <t>healthcare</t>
        </is>
      </c>
      <c r="D81" s="30" t="inlineStr">
        <is>
          <t>pharmaceuticals - indian - bulk drugs &amp; formln</t>
        </is>
      </c>
      <c r="E81" s="30" t="inlineStr">
        <is>
          <t>smallcap</t>
        </is>
      </c>
      <c r="F81" s="30" t="n">
        <v>714.08</v>
      </c>
      <c r="G81" s="30" t="n">
        <v>136.43</v>
      </c>
      <c r="H81" s="30" t="n">
        <v>2.31</v>
      </c>
      <c r="I81" s="30" t="n">
        <v>458670</v>
      </c>
      <c r="J81" s="30" t="inlineStr">
        <is>
          <t>541400</t>
        </is>
      </c>
    </row>
    <row r="82">
      <c r="A82" s="30" t="inlineStr">
        <is>
          <t>JAMNAAUTO</t>
        </is>
      </c>
      <c r="B82" s="30" t="inlineStr">
        <is>
          <t>Jamna Auto Industries Limited</t>
        </is>
      </c>
      <c r="C82" s="30" t="inlineStr">
        <is>
          <t>auto</t>
        </is>
      </c>
      <c r="D82" s="30" t="inlineStr">
        <is>
          <t>auto ancillaries</t>
        </is>
      </c>
      <c r="E82" s="30" t="inlineStr">
        <is>
          <t>midcap</t>
        </is>
      </c>
      <c r="F82" s="30" t="n">
        <v>5154.45</v>
      </c>
      <c r="G82" s="30" t="n">
        <v>131.86</v>
      </c>
      <c r="H82" s="30" t="n">
        <v>2.27</v>
      </c>
      <c r="I82" s="30" t="n">
        <v>3397638</v>
      </c>
      <c r="J82" s="30" t="inlineStr">
        <is>
          <t>520051</t>
        </is>
      </c>
    </row>
    <row r="83">
      <c r="A83" s="30" t="inlineStr">
        <is>
          <t>CPPLUS</t>
        </is>
      </c>
      <c r="B83" s="30" t="inlineStr">
        <is>
          <t>Aditya Infotech Ltd</t>
        </is>
      </c>
      <c r="C83" s="30" t="inlineStr">
        <is>
          <t>consumer discretionary</t>
        </is>
      </c>
      <c r="D83" s="30" t="inlineStr">
        <is>
          <t>trading</t>
        </is>
      </c>
      <c r="E83" s="30" t="inlineStr">
        <is>
          <t>largecap</t>
        </is>
      </c>
      <c r="F83" s="30" t="n">
        <v>44147.97</v>
      </c>
      <c r="G83" s="30" t="n">
        <v>3829.1</v>
      </c>
      <c r="H83" s="30" t="n">
        <v>2.22</v>
      </c>
      <c r="I83" s="30" t="n">
        <v>215710</v>
      </c>
      <c r="J83" s="30" t="inlineStr">
        <is>
          <t>544466</t>
        </is>
      </c>
    </row>
    <row r="84">
      <c r="A84" s="30" t="inlineStr">
        <is>
          <t>THEJO</t>
        </is>
      </c>
      <c r="B84" s="30" t="inlineStr">
        <is>
          <t>Thejo Engineering Ltd</t>
        </is>
      </c>
      <c r="C84" s="30" t="inlineStr">
        <is>
          <t>industrials</t>
        </is>
      </c>
      <c r="D84" s="30" t="inlineStr">
        <is>
          <t>engineering</t>
        </is>
      </c>
      <c r="E84" s="30" t="inlineStr">
        <is>
          <t>smallcap</t>
        </is>
      </c>
      <c r="F84" s="30" t="n">
        <v>2332.32</v>
      </c>
      <c r="G84" s="30" t="n">
        <v>2197.4</v>
      </c>
      <c r="H84" s="30" t="n">
        <v>2.2</v>
      </c>
      <c r="I84" s="30" t="n">
        <v>8107</v>
      </c>
      <c r="J84" s="30" t="inlineStr">
        <is>
          <t>500492</t>
        </is>
      </c>
    </row>
    <row r="85">
      <c r="A85" s="30" t="inlineStr">
        <is>
          <t>ZYDUSWELL</t>
        </is>
      </c>
      <c r="B85" s="30" t="inlineStr">
        <is>
          <t>Zydus Wellness Limited</t>
        </is>
      </c>
      <c r="C85" s="30" t="inlineStr">
        <is>
          <t>fmcg</t>
        </is>
      </c>
      <c r="D85" s="30" t="inlineStr">
        <is>
          <t>food - processing - indian</t>
        </is>
      </c>
      <c r="E85" s="30" t="inlineStr">
        <is>
          <t>midcap</t>
        </is>
      </c>
      <c r="F85" s="30" t="n">
        <v>17632.47</v>
      </c>
      <c r="G85" s="30" t="n">
        <v>566.3</v>
      </c>
      <c r="H85" s="30" t="n">
        <v>2.18</v>
      </c>
      <c r="I85" s="30" t="n">
        <v>368281</v>
      </c>
      <c r="J85" s="30" t="inlineStr">
        <is>
          <t>531335</t>
        </is>
      </c>
    </row>
    <row r="86">
      <c r="A86" s="30" t="inlineStr">
        <is>
          <t>GCSL</t>
        </is>
      </c>
      <c r="B86" s="30" t="inlineStr">
        <is>
          <t>Gretex Corporate Services Ltd</t>
        </is>
      </c>
      <c r="C86" s="30" t="inlineStr">
        <is>
          <t>financials</t>
        </is>
      </c>
      <c r="D86" s="30" t="inlineStr">
        <is>
          <t>finance &amp; investments</t>
        </is>
      </c>
      <c r="E86" s="30" t="inlineStr">
        <is>
          <t>smallcap</t>
        </is>
      </c>
      <c r="F86" s="30" t="n">
        <v>1454.15</v>
      </c>
      <c r="G86" s="30" t="n">
        <v>614.8</v>
      </c>
      <c r="H86" s="30" t="n">
        <v>2.14</v>
      </c>
      <c r="I86" s="30" t="n">
        <v>241437</v>
      </c>
      <c r="J86" s="30" t="inlineStr">
        <is>
          <t>543324</t>
        </is>
      </c>
    </row>
    <row r="87">
      <c r="A87" s="30" t="inlineStr">
        <is>
          <t>VISHNU</t>
        </is>
      </c>
      <c r="B87" s="30" t="inlineStr">
        <is>
          <t>Vishnu Chemicals Limited</t>
        </is>
      </c>
      <c r="C87" s="30" t="inlineStr">
        <is>
          <t>chemicals</t>
        </is>
      </c>
      <c r="D87" s="30" t="inlineStr">
        <is>
          <t>chemicals</t>
        </is>
      </c>
      <c r="E87" s="30" t="inlineStr">
        <is>
          <t>smallcap</t>
        </is>
      </c>
      <c r="F87" s="30" t="n">
        <v>4772.99</v>
      </c>
      <c r="G87" s="30" t="n">
        <v>723.8</v>
      </c>
      <c r="H87" s="30" t="n">
        <v>2.08</v>
      </c>
      <c r="I87" s="30" t="n">
        <v>82846</v>
      </c>
      <c r="J87" s="30" t="inlineStr">
        <is>
          <t>516072</t>
        </is>
      </c>
    </row>
    <row r="88">
      <c r="A88" s="30" t="inlineStr">
        <is>
          <t>ABSLAMC</t>
        </is>
      </c>
      <c r="B88" s="30" t="inlineStr">
        <is>
          <t>Aditya Birla Sun Life AMC Ltd</t>
        </is>
      </c>
      <c r="C88" s="30" t="inlineStr">
        <is>
          <t>financials</t>
        </is>
      </c>
      <c r="D88" s="30" t="inlineStr">
        <is>
          <t>finance &amp; investments</t>
        </is>
      </c>
      <c r="E88" s="30" t="inlineStr">
        <is>
          <t>largecap</t>
        </is>
      </c>
      <c r="F88" s="30" t="n">
        <v>30801.18</v>
      </c>
      <c r="G88" s="30" t="n">
        <v>1088.5</v>
      </c>
      <c r="H88" s="30" t="n">
        <v>2.06</v>
      </c>
      <c r="I88" s="30" t="n">
        <v>371848</v>
      </c>
      <c r="J88" s="30" t="inlineStr">
        <is>
          <t>543374</t>
        </is>
      </c>
    </row>
    <row r="89">
      <c r="A89" s="30" t="inlineStr">
        <is>
          <t>MUKANDLTD</t>
        </is>
      </c>
      <c r="B89" s="30" t="inlineStr">
        <is>
          <t>Mukand Limited</t>
        </is>
      </c>
      <c r="C89" s="30" t="inlineStr">
        <is>
          <t>metals &amp; mining</t>
        </is>
      </c>
      <c r="D89" s="30" t="inlineStr">
        <is>
          <t>steel - medium / small</t>
        </is>
      </c>
      <c r="E89" s="30" t="inlineStr">
        <is>
          <t>smallcap</t>
        </is>
      </c>
      <c r="F89" s="30" t="n">
        <v>2018.46</v>
      </c>
      <c r="G89" s="30" t="n">
        <v>142.57</v>
      </c>
      <c r="H89" s="30" t="n">
        <v>2.06</v>
      </c>
      <c r="I89" s="30" t="n">
        <v>329153</v>
      </c>
      <c r="J89" s="30" t="inlineStr">
        <is>
          <t>500460</t>
        </is>
      </c>
    </row>
    <row r="90">
      <c r="A90" s="30" t="inlineStr">
        <is>
          <t>JTLIND</t>
        </is>
      </c>
      <c r="B90" s="30" t="inlineStr">
        <is>
          <t>JTL Industries Ltd</t>
        </is>
      </c>
      <c r="C90" s="30" t="inlineStr">
        <is>
          <t>metals &amp; mining</t>
        </is>
      </c>
      <c r="D90" s="30" t="inlineStr">
        <is>
          <t>steel - medium / small</t>
        </is>
      </c>
      <c r="E90" s="30" t="inlineStr">
        <is>
          <t>smallcap</t>
        </is>
      </c>
      <c r="F90" s="30" t="n">
        <v>3451.26</v>
      </c>
      <c r="G90" s="30" t="n">
        <v>89.59999999999999</v>
      </c>
      <c r="H90" s="30" t="n">
        <v>2.05</v>
      </c>
      <c r="I90" s="30" t="n">
        <v>4005608</v>
      </c>
      <c r="J90" s="30" t="inlineStr">
        <is>
          <t>534600</t>
        </is>
      </c>
    </row>
    <row r="91">
      <c r="A91" s="30" t="inlineStr">
        <is>
          <t>GANDHAR</t>
        </is>
      </c>
      <c r="B91" s="30" t="inlineStr">
        <is>
          <t>Gandhar Oil Refinery (India) Ltd</t>
        </is>
      </c>
      <c r="C91" s="30" t="inlineStr">
        <is>
          <t>energy</t>
        </is>
      </c>
      <c r="D91" s="30" t="inlineStr">
        <is>
          <t>refineries</t>
        </is>
      </c>
      <c r="E91" s="30" t="inlineStr">
        <is>
          <t>smallcap</t>
        </is>
      </c>
      <c r="F91" s="30" t="n">
        <v>2602.13</v>
      </c>
      <c r="G91" s="30" t="n">
        <v>271.3</v>
      </c>
      <c r="H91" s="30" t="n">
        <v>2.05</v>
      </c>
      <c r="I91" s="30" t="n">
        <v>1490894</v>
      </c>
      <c r="J91" s="30" t="inlineStr">
        <is>
          <t>544029</t>
        </is>
      </c>
    </row>
    <row r="92">
      <c r="A92" s="30" t="inlineStr">
        <is>
          <t>SMCGLOBAL</t>
        </is>
      </c>
      <c r="B92" s="30" t="inlineStr">
        <is>
          <t>SMC Global Securities Ltd</t>
        </is>
      </c>
      <c r="C92" s="30" t="inlineStr">
        <is>
          <t>financials</t>
        </is>
      </c>
      <c r="D92" s="30" t="inlineStr">
        <is>
          <t>finance &amp; investments</t>
        </is>
      </c>
      <c r="E92" s="30" t="inlineStr">
        <is>
          <t>smallcap</t>
        </is>
      </c>
      <c r="F92" s="30" t="n">
        <v>1757.49</v>
      </c>
      <c r="G92" s="30" t="n">
        <v>85.64</v>
      </c>
      <c r="H92" s="30" t="n">
        <v>2.04</v>
      </c>
      <c r="I92" s="30" t="n">
        <v>35904423</v>
      </c>
      <c r="J92" s="30" t="inlineStr">
        <is>
          <t>543263</t>
        </is>
      </c>
    </row>
    <row r="93">
      <c r="A93" s="30" t="inlineStr">
        <is>
          <t>DIFFNKG</t>
        </is>
      </c>
      <c r="B93" s="30" t="inlineStr">
        <is>
          <t>Diffusion Engineers Ltd</t>
        </is>
      </c>
      <c r="C93" s="30" t="inlineStr">
        <is>
          <t>industrials</t>
        </is>
      </c>
      <c r="D93" s="30" t="inlineStr">
        <is>
          <t>electrodes - welding equipment</t>
        </is>
      </c>
      <c r="E93" s="30" t="inlineStr">
        <is>
          <t>smallcap</t>
        </is>
      </c>
      <c r="F93" s="30" t="n">
        <v>1648.81</v>
      </c>
      <c r="G93" s="30" t="n">
        <v>449.55</v>
      </c>
      <c r="H93" s="30" t="n">
        <v>2.04</v>
      </c>
      <c r="I93" s="30" t="n">
        <v>213290</v>
      </c>
      <c r="J93" s="30" t="inlineStr">
        <is>
          <t>544264</t>
        </is>
      </c>
    </row>
    <row r="94">
      <c r="A94" s="30" t="inlineStr">
        <is>
          <t>BAFNAPH</t>
        </is>
      </c>
      <c r="B94" s="30" t="inlineStr">
        <is>
          <t>Bafna Pharmaceuticals Ltd</t>
        </is>
      </c>
      <c r="C94" s="30" t="inlineStr">
        <is>
          <t>healthcare</t>
        </is>
      </c>
      <c r="D94" s="30" t="inlineStr">
        <is>
          <t>pharmaceuticals - indian - formulations</t>
        </is>
      </c>
      <c r="E94" s="30" t="inlineStr">
        <is>
          <t>smallcap</t>
        </is>
      </c>
      <c r="F94" s="30" t="n">
        <v>713.48</v>
      </c>
      <c r="G94" s="30" t="n">
        <v>307.6</v>
      </c>
      <c r="H94" s="30" t="n">
        <v>1.99</v>
      </c>
      <c r="I94" s="30" t="n">
        <v>9236</v>
      </c>
      <c r="J94" s="30" t="inlineStr">
        <is>
          <t>532989</t>
        </is>
      </c>
    </row>
    <row r="95">
      <c r="A95" s="30" t="inlineStr">
        <is>
          <t>AJAXENGG</t>
        </is>
      </c>
      <c r="B95" s="30" t="inlineStr">
        <is>
          <t>Ajax Engineering Ltd</t>
        </is>
      </c>
      <c r="C95" s="30" t="inlineStr">
        <is>
          <t>industrials</t>
        </is>
      </c>
      <c r="D95" s="30" t="inlineStr">
        <is>
          <t>engineering</t>
        </is>
      </c>
      <c r="E95" s="30" t="inlineStr">
        <is>
          <t>midcap</t>
        </is>
      </c>
      <c r="F95" s="30" t="n">
        <v>6613.29</v>
      </c>
      <c r="G95" s="30" t="n">
        <v>589.5</v>
      </c>
      <c r="H95" s="30" t="n">
        <v>1.98</v>
      </c>
      <c r="I95" s="30" t="n">
        <v>58801</v>
      </c>
      <c r="J95" s="30" t="inlineStr">
        <is>
          <t>544356</t>
        </is>
      </c>
    </row>
    <row r="96">
      <c r="A96" s="30" t="inlineStr">
        <is>
          <t>WELENT</t>
        </is>
      </c>
      <c r="B96" s="30" t="inlineStr">
        <is>
          <t>Welspun Enterprises Limited</t>
        </is>
      </c>
      <c r="C96" s="30" t="inlineStr">
        <is>
          <t>realty</t>
        </is>
      </c>
      <c r="D96" s="30" t="inlineStr">
        <is>
          <t>construction</t>
        </is>
      </c>
      <c r="E96" s="30" t="inlineStr">
        <is>
          <t>midcap</t>
        </is>
      </c>
      <c r="F96" s="30" t="n">
        <v>10835.73</v>
      </c>
      <c r="G96" s="30" t="n">
        <v>797.95</v>
      </c>
      <c r="H96" s="30" t="n">
        <v>1.93</v>
      </c>
      <c r="I96" s="30" t="n">
        <v>305587</v>
      </c>
      <c r="J96" s="30" t="inlineStr">
        <is>
          <t>532553</t>
        </is>
      </c>
    </row>
    <row r="97">
      <c r="A97" s="30" t="inlineStr">
        <is>
          <t>SHALPAINTS</t>
        </is>
      </c>
      <c r="B97" s="30" t="inlineStr">
        <is>
          <t>Shalimar Paints Limited</t>
        </is>
      </c>
      <c r="C97" s="30" t="inlineStr">
        <is>
          <t>building materials</t>
        </is>
      </c>
      <c r="D97" s="30" t="inlineStr">
        <is>
          <t>paints / varnishes</t>
        </is>
      </c>
      <c r="E97" s="30" t="inlineStr">
        <is>
          <t>smallcap</t>
        </is>
      </c>
      <c r="F97" s="30" t="n">
        <v>702</v>
      </c>
      <c r="G97" s="30" t="n">
        <v>85.44</v>
      </c>
      <c r="H97" s="30" t="n">
        <v>1.88</v>
      </c>
      <c r="I97" s="30" t="n">
        <v>396308</v>
      </c>
      <c r="J97" s="30" t="inlineStr">
        <is>
          <t>509874</t>
        </is>
      </c>
    </row>
    <row r="98">
      <c r="A98" s="30" t="inlineStr">
        <is>
          <t>FOSECOIND</t>
        </is>
      </c>
      <c r="B98" s="30" t="inlineStr">
        <is>
          <t>Foseco India Limited</t>
        </is>
      </c>
      <c r="C98" s="30" t="inlineStr">
        <is>
          <t>chemicals</t>
        </is>
      </c>
      <c r="D98" s="30" t="inlineStr">
        <is>
          <t>chemicals</t>
        </is>
      </c>
      <c r="E98" s="30" t="inlineStr">
        <is>
          <t>smallcap</t>
        </is>
      </c>
      <c r="F98" s="30" t="n">
        <v>4582.65</v>
      </c>
      <c r="G98" s="30" t="n">
        <v>6194</v>
      </c>
      <c r="H98" s="30" t="n">
        <v>1.88</v>
      </c>
      <c r="I98" s="30" t="n">
        <v>10101</v>
      </c>
      <c r="J98" s="30" t="inlineStr">
        <is>
          <t>500150</t>
        </is>
      </c>
    </row>
    <row r="99">
      <c r="A99" s="30" t="inlineStr">
        <is>
          <t>JINDALSAW</t>
        </is>
      </c>
      <c r="B99" s="30" t="inlineStr">
        <is>
          <t>Jindal Saw Limited</t>
        </is>
      </c>
      <c r="C99" s="30" t="inlineStr">
        <is>
          <t>industrials</t>
        </is>
      </c>
      <c r="D99" s="30" t="inlineStr">
        <is>
          <t>steel - large</t>
        </is>
      </c>
      <c r="E99" s="30" t="inlineStr">
        <is>
          <t>midcap</t>
        </is>
      </c>
      <c r="F99" s="30" t="n">
        <v>19933.47</v>
      </c>
      <c r="G99" s="30" t="n">
        <v>317.5</v>
      </c>
      <c r="H99" s="30" t="n">
        <v>1.86</v>
      </c>
      <c r="I99" s="30" t="n">
        <v>3368101</v>
      </c>
      <c r="J99" s="30" t="inlineStr">
        <is>
          <t>500378</t>
        </is>
      </c>
    </row>
    <row r="100">
      <c r="A100" s="30" t="inlineStr">
        <is>
          <t>SPLPETRO</t>
        </is>
      </c>
      <c r="B100" s="30" t="inlineStr">
        <is>
          <t>Supreme Petrochem Ltd</t>
        </is>
      </c>
      <c r="C100" s="30" t="inlineStr">
        <is>
          <t>energy</t>
        </is>
      </c>
      <c r="D100" s="30" t="inlineStr">
        <is>
          <t>petrochemicals</t>
        </is>
      </c>
      <c r="E100" s="30" t="inlineStr">
        <is>
          <t>midcap</t>
        </is>
      </c>
      <c r="F100" s="30" t="n">
        <v>15298.1</v>
      </c>
      <c r="G100" s="30" t="n">
        <v>828.15</v>
      </c>
      <c r="H100" s="30" t="n">
        <v>1.79</v>
      </c>
      <c r="I100" s="30" t="n">
        <v>413527</v>
      </c>
      <c r="J100" s="30" t="inlineStr">
        <is>
          <t>500405</t>
        </is>
      </c>
    </row>
    <row r="101">
      <c r="A101" s="30" t="inlineStr">
        <is>
          <t>STAR</t>
        </is>
      </c>
      <c r="B101" s="30" t="inlineStr">
        <is>
          <t>Strides Shasun Limited</t>
        </is>
      </c>
      <c r="C101" s="30" t="inlineStr">
        <is>
          <t>healthcare</t>
        </is>
      </c>
      <c r="D101" s="30" t="inlineStr">
        <is>
          <t>pharmaceuticals - indian - bulk drugs &amp; formln</t>
        </is>
      </c>
      <c r="E101" s="30" t="inlineStr">
        <is>
          <t>midcap</t>
        </is>
      </c>
      <c r="F101" s="30" t="n">
        <v>11021.09</v>
      </c>
      <c r="G101" s="30" t="n">
        <v>1217</v>
      </c>
      <c r="H101" s="30" t="n">
        <v>1.78</v>
      </c>
      <c r="I101" s="30" t="n">
        <v>304120</v>
      </c>
      <c r="J101" s="30" t="inlineStr">
        <is>
          <t>532531</t>
        </is>
      </c>
    </row>
    <row r="102">
      <c r="A102" s="30" t="inlineStr">
        <is>
          <t>RAMRAT</t>
        </is>
      </c>
      <c r="B102" s="30" t="inlineStr">
        <is>
          <t>Ram Ratna Wires Ltd</t>
        </is>
      </c>
      <c r="C102" s="30" t="inlineStr">
        <is>
          <t>metals &amp; mining</t>
        </is>
      </c>
      <c r="D102" s="30" t="inlineStr">
        <is>
          <t>mining / minerals / metals</t>
        </is>
      </c>
      <c r="E102" s="30" t="inlineStr">
        <is>
          <t>smallcap</t>
        </is>
      </c>
      <c r="F102" s="30" t="n">
        <v>4922.76</v>
      </c>
      <c r="G102" s="30" t="n">
        <v>536.75</v>
      </c>
      <c r="H102" s="30" t="n">
        <v>1.78</v>
      </c>
      <c r="I102" s="30" t="n">
        <v>205735</v>
      </c>
      <c r="J102" s="30" t="inlineStr">
        <is>
          <t>522281</t>
        </is>
      </c>
    </row>
    <row r="103">
      <c r="A103" s="30" t="inlineStr">
        <is>
          <t>YUKEN</t>
        </is>
      </c>
      <c r="B103" s="30" t="inlineStr">
        <is>
          <t>Yuken India Ltd</t>
        </is>
      </c>
      <c r="C103" s="30" t="inlineStr">
        <is>
          <t>industrials</t>
        </is>
      </c>
      <c r="D103" s="30" t="inlineStr">
        <is>
          <t>engineering</t>
        </is>
      </c>
      <c r="E103" s="30" t="inlineStr">
        <is>
          <t>smallcap</t>
        </is>
      </c>
      <c r="F103" s="30" t="n">
        <v>1450.36</v>
      </c>
      <c r="G103" s="30" t="n">
        <v>1085.7</v>
      </c>
      <c r="H103" s="30" t="n">
        <v>1.69</v>
      </c>
      <c r="I103" s="30" t="n">
        <v>120552</v>
      </c>
      <c r="J103" s="30" t="inlineStr">
        <is>
          <t>522108</t>
        </is>
      </c>
    </row>
    <row r="104">
      <c r="A104" s="30" t="inlineStr">
        <is>
          <t>GEECEE</t>
        </is>
      </c>
      <c r="B104" s="30" t="inlineStr">
        <is>
          <t>Geecee Ventures Limited</t>
        </is>
      </c>
      <c r="C104" s="30" t="inlineStr">
        <is>
          <t>financials</t>
        </is>
      </c>
      <c r="D104" s="30" t="inlineStr">
        <is>
          <t>finance &amp; investments</t>
        </is>
      </c>
      <c r="E104" s="30" t="inlineStr">
        <is>
          <t>smallcap</t>
        </is>
      </c>
      <c r="F104" s="30" t="n">
        <v>761.08</v>
      </c>
      <c r="G104" s="30" t="n">
        <v>370.05</v>
      </c>
      <c r="H104" s="30" t="n">
        <v>1.68</v>
      </c>
      <c r="I104" s="30" t="n">
        <v>2131</v>
      </c>
      <c r="J104" s="30" t="inlineStr">
        <is>
          <t>532764</t>
        </is>
      </c>
    </row>
    <row r="105">
      <c r="A105" s="30" t="inlineStr">
        <is>
          <t>KPIL</t>
        </is>
      </c>
      <c r="B105" s="30" t="inlineStr">
        <is>
          <t>Kalpataru Projects International Ltd</t>
        </is>
      </c>
      <c r="C105" s="30" t="inlineStr">
        <is>
          <t>realty</t>
        </is>
      </c>
      <c r="D105" s="30" t="inlineStr">
        <is>
          <t>transmisson line towers / equipment</t>
        </is>
      </c>
      <c r="E105" s="30" t="inlineStr">
        <is>
          <t>largecap</t>
        </is>
      </c>
      <c r="F105" s="30" t="n">
        <v>24053.31</v>
      </c>
      <c r="G105" s="30" t="n">
        <v>1432</v>
      </c>
      <c r="H105" s="30" t="n">
        <v>1.67</v>
      </c>
      <c r="I105" s="30" t="n">
        <v>138417</v>
      </c>
      <c r="J105" s="30" t="inlineStr">
        <is>
          <t>522287</t>
        </is>
      </c>
    </row>
    <row r="106">
      <c r="A106" s="30" t="inlineStr">
        <is>
          <t>GRANULES</t>
        </is>
      </c>
      <c r="B106" s="30" t="inlineStr">
        <is>
          <t>Granules India Limited</t>
        </is>
      </c>
      <c r="C106" s="30" t="inlineStr">
        <is>
          <t>healthcare</t>
        </is>
      </c>
      <c r="D106" s="30" t="inlineStr">
        <is>
          <t>pharmaceuticals - indian - bulk drugs &amp; formln</t>
        </is>
      </c>
      <c r="E106" s="30" t="inlineStr">
        <is>
          <t>largecap</t>
        </is>
      </c>
      <c r="F106" s="30" t="n">
        <v>21925.07</v>
      </c>
      <c r="G106" s="30" t="n">
        <v>899.25</v>
      </c>
      <c r="H106" s="30" t="n">
        <v>1.63</v>
      </c>
      <c r="I106" s="30" t="n">
        <v>1597031</v>
      </c>
      <c r="J106" s="30" t="inlineStr">
        <is>
          <t>532482</t>
        </is>
      </c>
    </row>
    <row r="107">
      <c r="A107" s="30" t="inlineStr">
        <is>
          <t>IRISDOREME</t>
        </is>
      </c>
      <c r="B107" s="30" t="inlineStr">
        <is>
          <t>Iris Clothings Ltd</t>
        </is>
      </c>
      <c r="C107" s="30" t="inlineStr">
        <is>
          <t>consumer discretionary</t>
        </is>
      </c>
      <c r="D107" s="30" t="inlineStr">
        <is>
          <t>textiles - products</t>
        </is>
      </c>
      <c r="E107" s="30" t="inlineStr">
        <is>
          <t>smallcap</t>
        </is>
      </c>
      <c r="F107" s="30" t="n">
        <v>1166.73</v>
      </c>
      <c r="G107" s="30" t="n">
        <v>62.29</v>
      </c>
      <c r="H107" s="30" t="n">
        <v>1.62</v>
      </c>
      <c r="I107" s="30" t="n">
        <v>1407913</v>
      </c>
      <c r="J107" s="30" t="inlineStr">
        <is>
          <t>535123</t>
        </is>
      </c>
    </row>
    <row r="108">
      <c r="A108" s="30" t="inlineStr">
        <is>
          <t>SFL</t>
        </is>
      </c>
      <c r="B108" s="30" t="inlineStr">
        <is>
          <t>Sheela Foam Limited</t>
        </is>
      </c>
      <c r="C108" s="30" t="inlineStr">
        <is>
          <t>consumer discretionary</t>
        </is>
      </c>
      <c r="D108" s="30" t="inlineStr">
        <is>
          <t>miscellaneous</t>
        </is>
      </c>
      <c r="E108" s="30" t="inlineStr">
        <is>
          <t>midcap</t>
        </is>
      </c>
      <c r="F108" s="30" t="n">
        <v>7502.27</v>
      </c>
      <c r="G108" s="30" t="n">
        <v>697.95</v>
      </c>
      <c r="H108" s="30" t="n">
        <v>1.59</v>
      </c>
      <c r="I108" s="30" t="n">
        <v>356525</v>
      </c>
      <c r="J108" s="30" t="inlineStr">
        <is>
          <t>540203</t>
        </is>
      </c>
    </row>
    <row r="109">
      <c r="A109" s="30" t="inlineStr">
        <is>
          <t>SAMBHV</t>
        </is>
      </c>
      <c r="B109" s="30" t="inlineStr">
        <is>
          <t>Sambhv Steel Tubes Ltd</t>
        </is>
      </c>
      <c r="C109" s="30" t="inlineStr">
        <is>
          <t>metals &amp; mining</t>
        </is>
      </c>
      <c r="D109" s="30" t="inlineStr">
        <is>
          <t>steel - medium / small</t>
        </is>
      </c>
      <c r="E109" s="30" t="inlineStr">
        <is>
          <t>smallcap</t>
        </is>
      </c>
      <c r="F109" s="30" t="n">
        <v>3843.69</v>
      </c>
      <c r="G109" s="30" t="n">
        <v>132.51</v>
      </c>
      <c r="H109" s="30" t="n">
        <v>1.59</v>
      </c>
      <c r="I109" s="30" t="n">
        <v>2348033</v>
      </c>
      <c r="J109" s="30" t="inlineStr">
        <is>
          <t>544430</t>
        </is>
      </c>
    </row>
    <row r="110">
      <c r="A110" s="30" t="inlineStr">
        <is>
          <t>JKPAPER</t>
        </is>
      </c>
      <c r="B110" s="30" t="inlineStr">
        <is>
          <t>Jk Paper Limited</t>
        </is>
      </c>
      <c r="C110" s="30" t="inlineStr">
        <is>
          <t>building materials</t>
        </is>
      </c>
      <c r="D110" s="30" t="inlineStr">
        <is>
          <t>paper</t>
        </is>
      </c>
      <c r="E110" s="30" t="inlineStr">
        <is>
          <t>midcap</t>
        </is>
      </c>
      <c r="F110" s="30" t="n">
        <v>7413.22</v>
      </c>
      <c r="G110" s="30" t="n">
        <v>415.15</v>
      </c>
      <c r="H110" s="30" t="n">
        <v>1.54</v>
      </c>
      <c r="I110" s="30" t="n">
        <v>748718</v>
      </c>
      <c r="J110" s="30" t="inlineStr">
        <is>
          <t>532162</t>
        </is>
      </c>
    </row>
    <row r="111">
      <c r="A111" s="30" t="inlineStr">
        <is>
          <t>STEELXIND</t>
        </is>
      </c>
      <c r="B111" s="30" t="inlineStr">
        <is>
          <t>Steel Exchange India Ltd</t>
        </is>
      </c>
      <c r="C111" s="30" t="inlineStr">
        <is>
          <t>metals &amp; mining</t>
        </is>
      </c>
      <c r="D111" s="30" t="inlineStr">
        <is>
          <t>steel - medium / small</t>
        </is>
      </c>
      <c r="E111" s="30" t="inlineStr">
        <is>
          <t>smallcap</t>
        </is>
      </c>
      <c r="F111" s="30" t="n">
        <v>1530.62</v>
      </c>
      <c r="G111" s="30" t="n">
        <v>12.17</v>
      </c>
      <c r="H111" s="30" t="n">
        <v>1.42</v>
      </c>
      <c r="I111" s="30" t="n">
        <v>28145206</v>
      </c>
      <c r="J111" s="30" t="inlineStr">
        <is>
          <t>534748</t>
        </is>
      </c>
    </row>
    <row r="112">
      <c r="A112" s="30" t="inlineStr">
        <is>
          <t>BECTORFOOD</t>
        </is>
      </c>
      <c r="B112" s="30" t="inlineStr">
        <is>
          <t>Mrs Bectors Food Specialities Ltd</t>
        </is>
      </c>
      <c r="C112" s="30" t="inlineStr">
        <is>
          <t>fmcg</t>
        </is>
      </c>
      <c r="D112" s="30" t="inlineStr">
        <is>
          <t>food - processing - indian</t>
        </is>
      </c>
      <c r="E112" s="30" t="inlineStr">
        <is>
          <t>midcap</t>
        </is>
      </c>
      <c r="F112" s="30" t="n">
        <v>7430.71</v>
      </c>
      <c r="G112" s="30" t="n">
        <v>245.44</v>
      </c>
      <c r="H112" s="30" t="n">
        <v>1.4</v>
      </c>
      <c r="I112" s="30" t="n">
        <v>1400466</v>
      </c>
      <c r="J112" s="30" t="inlineStr">
        <is>
          <t>543253</t>
        </is>
      </c>
    </row>
    <row r="113">
      <c r="A113" s="30" t="inlineStr">
        <is>
          <t>CHENNPETRO</t>
        </is>
      </c>
      <c r="B113" s="30" t="inlineStr">
        <is>
          <t>Chennai Petroleum Corporation Limited</t>
        </is>
      </c>
      <c r="C113" s="30" t="inlineStr">
        <is>
          <t>energy</t>
        </is>
      </c>
      <c r="D113" s="30" t="inlineStr">
        <is>
          <t>refineries</t>
        </is>
      </c>
      <c r="E113" s="30" t="inlineStr">
        <is>
          <t>largecap</t>
        </is>
      </c>
      <c r="F113" s="30" t="n">
        <v>23891.35</v>
      </c>
      <c r="G113" s="30" t="n">
        <v>1626.4</v>
      </c>
      <c r="H113" s="30" t="n">
        <v>1.37</v>
      </c>
      <c r="I113" s="30" t="n">
        <v>3754568</v>
      </c>
      <c r="J113" s="30" t="inlineStr">
        <is>
          <t>500110</t>
        </is>
      </c>
    </row>
    <row r="114">
      <c r="A114" s="30" t="inlineStr">
        <is>
          <t>SESHAPAPER</t>
        </is>
      </c>
      <c r="B114" s="30" t="inlineStr">
        <is>
          <t>Seshasayee Paper And Boards Limited</t>
        </is>
      </c>
      <c r="C114" s="30" t="inlineStr">
        <is>
          <t>building materials</t>
        </is>
      </c>
      <c r="D114" s="30" t="inlineStr">
        <is>
          <t>paper</t>
        </is>
      </c>
      <c r="E114" s="30" t="inlineStr">
        <is>
          <t>smallcap</t>
        </is>
      </c>
      <c r="F114" s="30" t="n">
        <v>1536.84</v>
      </c>
      <c r="G114" s="30" t="n">
        <v>246.96</v>
      </c>
      <c r="H114" s="30" t="n">
        <v>1.35</v>
      </c>
      <c r="I114" s="30" t="n">
        <v>102354</v>
      </c>
      <c r="J114" s="30" t="inlineStr">
        <is>
          <t>502450</t>
        </is>
      </c>
    </row>
    <row r="115">
      <c r="A115" s="30" t="inlineStr">
        <is>
          <t>KALYANKJIL</t>
        </is>
      </c>
      <c r="B115" s="30" t="inlineStr">
        <is>
          <t>Kalyan Jewellers India Ltd</t>
        </is>
      </c>
      <c r="C115" s="30" t="inlineStr">
        <is>
          <t>consumer discretionary</t>
        </is>
      </c>
      <c r="D115" s="30" t="inlineStr">
        <is>
          <t>diamond cutting / jewellery</t>
        </is>
      </c>
      <c r="E115" s="30" t="inlineStr">
        <is>
          <t>largecap</t>
        </is>
      </c>
      <c r="F115" s="30" t="n">
        <v>62749.3</v>
      </c>
      <c r="G115" s="30" t="n">
        <v>615.2</v>
      </c>
      <c r="H115" s="30" t="n">
        <v>1.25</v>
      </c>
      <c r="I115" s="30" t="n">
        <v>6066311</v>
      </c>
      <c r="J115" s="30" t="inlineStr">
        <is>
          <t>543278</t>
        </is>
      </c>
    </row>
    <row r="116">
      <c r="A116" s="30" t="inlineStr">
        <is>
          <t>APLAPOLLO</t>
        </is>
      </c>
      <c r="B116" s="30" t="inlineStr">
        <is>
          <t>Apl Apollo Tubes Limited</t>
        </is>
      </c>
      <c r="C116" s="30" t="inlineStr">
        <is>
          <t>industrials</t>
        </is>
      </c>
      <c r="D116" s="30" t="inlineStr">
        <is>
          <t>steel - large</t>
        </is>
      </c>
      <c r="E116" s="30" t="inlineStr">
        <is>
          <t>largecap</t>
        </is>
      </c>
      <c r="F116" s="30" t="n">
        <v>60196.34</v>
      </c>
      <c r="G116" s="30" t="n">
        <v>2194.8</v>
      </c>
      <c r="H116" s="30" t="n">
        <v>1.24</v>
      </c>
      <c r="I116" s="30" t="n">
        <v>292273</v>
      </c>
      <c r="J116" s="30" t="inlineStr">
        <is>
          <t>533758</t>
        </is>
      </c>
    </row>
    <row r="117">
      <c r="A117" s="30" t="inlineStr">
        <is>
          <t>MGEL</t>
        </is>
      </c>
      <c r="B117" s="30" t="inlineStr">
        <is>
          <t>Mangalam Global Enterprise Ltd</t>
        </is>
      </c>
      <c r="C117" s="30" t="inlineStr">
        <is>
          <t>services</t>
        </is>
      </c>
      <c r="D117" s="30" t="inlineStr">
        <is>
          <t>trading</t>
        </is>
      </c>
      <c r="E117" s="30" t="inlineStr">
        <is>
          <t>smallcap</t>
        </is>
      </c>
      <c r="F117" s="30" t="n">
        <v>522.02</v>
      </c>
      <c r="G117" s="30" t="n">
        <v>16.03</v>
      </c>
      <c r="H117" s="30" t="n">
        <v>1.2</v>
      </c>
      <c r="I117" s="30" t="n">
        <v>1085311</v>
      </c>
      <c r="J117" s="30" t="inlineStr">
        <is>
          <t>535349</t>
        </is>
      </c>
    </row>
    <row r="118">
      <c r="A118" s="30" t="inlineStr">
        <is>
          <t>PPL</t>
        </is>
      </c>
      <c r="B118" s="30" t="inlineStr">
        <is>
          <t>Prakash Pipes Ltd</t>
        </is>
      </c>
      <c r="C118" s="30" t="inlineStr">
        <is>
          <t>plastic products</t>
        </is>
      </c>
      <c r="D118" s="30" t="inlineStr">
        <is>
          <t>plastics products</t>
        </is>
      </c>
      <c r="E118" s="30" t="inlineStr">
        <is>
          <t>smallcap</t>
        </is>
      </c>
      <c r="F118" s="30" t="n">
        <v>687.77</v>
      </c>
      <c r="G118" s="30" t="n">
        <v>290.9</v>
      </c>
      <c r="H118" s="30" t="n">
        <v>1.17</v>
      </c>
      <c r="I118" s="30" t="n">
        <v>42204</v>
      </c>
      <c r="J118" s="30" t="inlineStr">
        <is>
          <t>542684</t>
        </is>
      </c>
    </row>
    <row r="119">
      <c r="A119" s="30" t="inlineStr">
        <is>
          <t>SHYAMMETL</t>
        </is>
      </c>
      <c r="B119" s="30" t="inlineStr">
        <is>
          <t>Shyam Metalics &amp; Energy Ltd</t>
        </is>
      </c>
      <c r="C119" s="30" t="inlineStr">
        <is>
          <t>metals &amp; mining</t>
        </is>
      </c>
      <c r="D119" s="30" t="inlineStr">
        <is>
          <t>steel - large</t>
        </is>
      </c>
      <c r="E119" s="30" t="inlineStr">
        <is>
          <t>largecap</t>
        </is>
      </c>
      <c r="F119" s="30" t="n">
        <v>29970.39</v>
      </c>
      <c r="G119" s="30" t="n">
        <v>1086.1</v>
      </c>
      <c r="H119" s="30" t="n">
        <v>1.15</v>
      </c>
      <c r="I119" s="30" t="n">
        <v>128947</v>
      </c>
      <c r="J119" s="30" t="inlineStr">
        <is>
          <t>543299</t>
        </is>
      </c>
    </row>
    <row r="120">
      <c r="A120" s="30" t="inlineStr">
        <is>
          <t>KINGFA</t>
        </is>
      </c>
      <c r="B120" s="30" t="inlineStr">
        <is>
          <t>Kingfa Science &amp; Technology (india) Limited</t>
        </is>
      </c>
      <c r="C120" s="30" t="inlineStr">
        <is>
          <t>plastic products</t>
        </is>
      </c>
      <c r="D120" s="30" t="inlineStr">
        <is>
          <t>plastics products</t>
        </is>
      </c>
      <c r="E120" s="30" t="inlineStr">
        <is>
          <t>midcap</t>
        </is>
      </c>
      <c r="F120" s="30" t="n">
        <v>8344.26</v>
      </c>
      <c r="G120" s="30" t="n">
        <v>6227.5</v>
      </c>
      <c r="H120" s="30" t="n">
        <v>1.14</v>
      </c>
      <c r="I120" s="30" t="n">
        <v>56247</v>
      </c>
      <c r="J120" s="30" t="inlineStr">
        <is>
          <t>524019</t>
        </is>
      </c>
    </row>
    <row r="121">
      <c r="A121" s="30" t="inlineStr">
        <is>
          <t>SOMANYCERA</t>
        </is>
      </c>
      <c r="B121" s="30" t="inlineStr">
        <is>
          <t>Somany Ceramics Limited</t>
        </is>
      </c>
      <c r="C121" s="30" t="inlineStr">
        <is>
          <t>building materials</t>
        </is>
      </c>
      <c r="D121" s="30" t="inlineStr">
        <is>
          <t>ceramics - tiles / sanitaryware</t>
        </is>
      </c>
      <c r="E121" s="30" t="inlineStr">
        <is>
          <t>smallcap</t>
        </is>
      </c>
      <c r="F121" s="30" t="n">
        <v>2270.06</v>
      </c>
      <c r="G121" s="30" t="n">
        <v>559.7</v>
      </c>
      <c r="H121" s="30" t="n">
        <v>1.12</v>
      </c>
      <c r="I121" s="30" t="n">
        <v>88278</v>
      </c>
      <c r="J121" s="30" t="inlineStr">
        <is>
          <t>531548</t>
        </is>
      </c>
    </row>
    <row r="122">
      <c r="A122" s="30" t="inlineStr">
        <is>
          <t>BLISSGVS</t>
        </is>
      </c>
      <c r="B122" s="30" t="inlineStr">
        <is>
          <t>Bliss Gvs Pharma Limited</t>
        </is>
      </c>
      <c r="C122" s="30" t="inlineStr">
        <is>
          <t>healthcare</t>
        </is>
      </c>
      <c r="D122" s="30" t="inlineStr">
        <is>
          <t>pharmaceuticals - indian - formulations</t>
        </is>
      </c>
      <c r="E122" s="30" t="inlineStr">
        <is>
          <t>midcap</t>
        </is>
      </c>
      <c r="F122" s="30" t="n">
        <v>7348.11</v>
      </c>
      <c r="G122" s="30" t="n">
        <v>700.45</v>
      </c>
      <c r="H122" s="30" t="n">
        <v>1.1</v>
      </c>
      <c r="I122" s="30" t="n">
        <v>213265</v>
      </c>
      <c r="J122" s="30" t="inlineStr">
        <is>
          <t>506197</t>
        </is>
      </c>
    </row>
    <row r="123">
      <c r="A123" s="30" t="inlineStr">
        <is>
          <t>RANEHOLDIN</t>
        </is>
      </c>
      <c r="B123" s="30" t="inlineStr">
        <is>
          <t>Rane Holdings Limited</t>
        </is>
      </c>
      <c r="C123" s="30" t="inlineStr">
        <is>
          <t>financials</t>
        </is>
      </c>
      <c r="D123" s="30" t="inlineStr">
        <is>
          <t>finance &amp; investments</t>
        </is>
      </c>
      <c r="E123" s="30" t="inlineStr">
        <is>
          <t>smallcap</t>
        </is>
      </c>
      <c r="F123" s="30" t="n">
        <v>2407.81</v>
      </c>
      <c r="G123" s="30" t="n">
        <v>1704.8</v>
      </c>
      <c r="H123" s="30" t="n">
        <v>1.09</v>
      </c>
      <c r="I123" s="30" t="n">
        <v>6820</v>
      </c>
      <c r="J123" s="30" t="inlineStr">
        <is>
          <t>505800</t>
        </is>
      </c>
    </row>
    <row r="124">
      <c r="A124" s="30" t="inlineStr">
        <is>
          <t>ROSSTECH</t>
        </is>
      </c>
      <c r="B124" s="30" t="inlineStr">
        <is>
          <t>Rossell Techsys Ltd</t>
        </is>
      </c>
      <c r="C124" s="30" t="inlineStr">
        <is>
          <t>aerospace &amp; defence</t>
        </is>
      </c>
      <c r="D124" s="30" t="inlineStr">
        <is>
          <t>engineering</t>
        </is>
      </c>
      <c r="E124" s="30" t="inlineStr">
        <is>
          <t>smallcap</t>
        </is>
      </c>
      <c r="F124" s="30" t="n">
        <v>4499.83</v>
      </c>
      <c r="G124" s="30" t="n">
        <v>1206.6</v>
      </c>
      <c r="H124" s="30" t="n">
        <v>1.08</v>
      </c>
      <c r="I124" s="30" t="n">
        <v>82882</v>
      </c>
      <c r="J124" s="30" t="inlineStr">
        <is>
          <t>544294</t>
        </is>
      </c>
    </row>
    <row r="125">
      <c r="A125" s="30" t="inlineStr">
        <is>
          <t>PNB</t>
        </is>
      </c>
      <c r="B125" s="30" t="inlineStr">
        <is>
          <t>Punjab National Bank Ltd</t>
        </is>
      </c>
      <c r="C125" s="30" t="inlineStr">
        <is>
          <t>bank</t>
        </is>
      </c>
      <c r="D125" s="30" t="inlineStr">
        <is>
          <t>banks - public sector</t>
        </is>
      </c>
      <c r="E125" s="30" t="inlineStr">
        <is>
          <t>largecap</t>
        </is>
      </c>
      <c r="F125" s="30" t="n">
        <v>132869.92</v>
      </c>
      <c r="G125" s="30" t="n">
        <v>116.85</v>
      </c>
      <c r="H125" s="30" t="n">
        <v>1.07</v>
      </c>
      <c r="I125" s="30" t="n">
        <v>18231772</v>
      </c>
      <c r="J125" s="30" t="inlineStr">
        <is>
          <t>532461</t>
        </is>
      </c>
    </row>
    <row r="126">
      <c r="A126" s="30" t="inlineStr">
        <is>
          <t>GMMPFAUDLR</t>
        </is>
      </c>
      <c r="B126" s="30" t="inlineStr">
        <is>
          <t>GMM Pfaudler Ltd</t>
        </is>
      </c>
      <c r="C126" s="30" t="inlineStr">
        <is>
          <t>industrials</t>
        </is>
      </c>
      <c r="D126" s="30" t="inlineStr">
        <is>
          <t>engineering</t>
        </is>
      </c>
      <c r="E126" s="30" t="inlineStr">
        <is>
          <t>midcap</t>
        </is>
      </c>
      <c r="F126" s="30" t="n">
        <v>5868.72</v>
      </c>
      <c r="G126" s="30" t="n">
        <v>1319.2</v>
      </c>
      <c r="H126" s="30" t="n">
        <v>1.06</v>
      </c>
      <c r="I126" s="30" t="n">
        <v>385507</v>
      </c>
      <c r="J126" s="30" t="inlineStr">
        <is>
          <t>505255</t>
        </is>
      </c>
    </row>
    <row r="127">
      <c r="A127" s="30" t="inlineStr">
        <is>
          <t>TFCILTD</t>
        </is>
      </c>
      <c r="B127" s="30" t="inlineStr">
        <is>
          <t>Tourism Finance Corporation Of India Limited</t>
        </is>
      </c>
      <c r="C127" s="30" t="inlineStr">
        <is>
          <t>financials</t>
        </is>
      </c>
      <c r="D127" s="30" t="inlineStr">
        <is>
          <t>finance - term-lending institutions</t>
        </is>
      </c>
      <c r="E127" s="30" t="inlineStr">
        <is>
          <t>midcap</t>
        </is>
      </c>
      <c r="F127" s="30" t="n">
        <v>6559.92</v>
      </c>
      <c r="G127" s="30" t="n">
        <v>143.17</v>
      </c>
      <c r="H127" s="30" t="n">
        <v>1.04</v>
      </c>
      <c r="I127" s="30" t="n">
        <v>4319155</v>
      </c>
      <c r="J127" s="30" t="inlineStr">
        <is>
          <t>526650</t>
        </is>
      </c>
    </row>
    <row r="128">
      <c r="A128" s="30" t="inlineStr">
        <is>
          <t>TVSSRICHAK</t>
        </is>
      </c>
      <c r="B128" s="30" t="inlineStr">
        <is>
          <t>Tvs Srichakra Limited</t>
        </is>
      </c>
      <c r="C128" s="30" t="inlineStr">
        <is>
          <t>auto</t>
        </is>
      </c>
      <c r="D128" s="30" t="inlineStr">
        <is>
          <t>tyres</t>
        </is>
      </c>
      <c r="E128" s="30" t="inlineStr">
        <is>
          <t>smallcap</t>
        </is>
      </c>
      <c r="F128" s="30" t="n">
        <v>3957.93</v>
      </c>
      <c r="G128" s="30" t="n">
        <v>5222.5</v>
      </c>
      <c r="H128" s="30" t="n">
        <v>1.04</v>
      </c>
      <c r="I128" s="30" t="n">
        <v>5894</v>
      </c>
      <c r="J128" s="30" t="inlineStr">
        <is>
          <t>509243</t>
        </is>
      </c>
    </row>
    <row r="129">
      <c r="A129" s="30" t="inlineStr">
        <is>
          <t>IOLCP</t>
        </is>
      </c>
      <c r="B129" s="30" t="inlineStr">
        <is>
          <t>Iol Chemicals And Pharmaceuticals Limited</t>
        </is>
      </c>
      <c r="C129" s="30" t="inlineStr">
        <is>
          <t>healthcare</t>
        </is>
      </c>
      <c r="D129" s="30" t="inlineStr">
        <is>
          <t>pharmaceuticals - indian - bulk drugs &amp; formln</t>
        </is>
      </c>
      <c r="E129" s="30" t="inlineStr">
        <is>
          <t>midcap</t>
        </is>
      </c>
      <c r="F129" s="30" t="n">
        <v>6143.24</v>
      </c>
      <c r="G129" s="30" t="n">
        <v>211.43</v>
      </c>
      <c r="H129" s="30" t="n">
        <v>1.02</v>
      </c>
      <c r="I129" s="30" t="n">
        <v>3234389</v>
      </c>
      <c r="J129" s="30" t="inlineStr">
        <is>
          <t>524164</t>
        </is>
      </c>
    </row>
    <row r="130">
      <c r="A130" s="30" t="inlineStr">
        <is>
          <t>NILKAMAL</t>
        </is>
      </c>
      <c r="B130" s="30" t="inlineStr">
        <is>
          <t>Nilkamal Limited</t>
        </is>
      </c>
      <c r="C130" s="30" t="inlineStr">
        <is>
          <t>plastic products</t>
        </is>
      </c>
      <c r="D130" s="30" t="inlineStr">
        <is>
          <t>plastics products</t>
        </is>
      </c>
      <c r="E130" s="30" t="inlineStr">
        <is>
          <t>smallcap</t>
        </is>
      </c>
      <c r="F130" s="30" t="n">
        <v>3069.12</v>
      </c>
      <c r="G130" s="30" t="n">
        <v>2077.4</v>
      </c>
      <c r="H130" s="30" t="n">
        <v>1.01</v>
      </c>
      <c r="I130" s="30" t="n">
        <v>11826</v>
      </c>
      <c r="J130" s="30" t="inlineStr">
        <is>
          <t>523385</t>
        </is>
      </c>
    </row>
    <row r="131">
      <c r="A131" s="30" t="inlineStr">
        <is>
          <t>ANANDRATHI</t>
        </is>
      </c>
      <c r="B131" s="30" t="inlineStr">
        <is>
          <t>Anand Rathi Wealth Ltd</t>
        </is>
      </c>
      <c r="C131" s="30" t="inlineStr">
        <is>
          <t>financials</t>
        </is>
      </c>
      <c r="D131" s="30" t="inlineStr">
        <is>
          <t>finance &amp; investments</t>
        </is>
      </c>
      <c r="E131" s="30" t="inlineStr">
        <is>
          <t>largecap</t>
        </is>
      </c>
      <c r="F131" s="30" t="n">
        <v>36206.96</v>
      </c>
      <c r="G131" s="30" t="n">
        <v>2202.5</v>
      </c>
      <c r="H131" s="30" t="n">
        <v>1</v>
      </c>
      <c r="I131" s="30" t="n">
        <v>473429</v>
      </c>
      <c r="J131" s="30" t="inlineStr">
        <is>
          <t>543415</t>
        </is>
      </c>
    </row>
    <row r="132">
      <c r="A132" s="30" t="inlineStr">
        <is>
          <t>IDFCFIRSTB</t>
        </is>
      </c>
      <c r="B132" s="30" t="inlineStr">
        <is>
          <t>IDFC First Bank Ltd</t>
        </is>
      </c>
      <c r="C132" s="30" t="inlineStr">
        <is>
          <t>bank</t>
        </is>
      </c>
      <c r="D132" s="30" t="inlineStr">
        <is>
          <t>banks - private sector</t>
        </is>
      </c>
      <c r="E132" s="30" t="inlineStr">
        <is>
          <t>largecap</t>
        </is>
      </c>
      <c r="F132" s="30" t="n">
        <v>74086.73</v>
      </c>
      <c r="G132" s="30" t="n">
        <v>86.84</v>
      </c>
      <c r="H132" s="30" t="n">
        <v>0.98</v>
      </c>
      <c r="I132" s="30" t="n">
        <v>14637414</v>
      </c>
      <c r="J132" s="30" t="inlineStr">
        <is>
          <t>539437</t>
        </is>
      </c>
    </row>
    <row r="133">
      <c r="A133" s="30" t="inlineStr">
        <is>
          <t>VENUSPIPES</t>
        </is>
      </c>
      <c r="B133" s="30" t="inlineStr">
        <is>
          <t>Venus Pipes &amp; Tubes Ltd</t>
        </is>
      </c>
      <c r="C133" s="30" t="inlineStr">
        <is>
          <t>metals &amp; mining</t>
        </is>
      </c>
      <c r="D133" s="30" t="inlineStr">
        <is>
          <t>steel - medium / small</t>
        </is>
      </c>
      <c r="E133" s="30" t="inlineStr">
        <is>
          <t>smallcap</t>
        </is>
      </c>
      <c r="F133" s="30" t="n">
        <v>3998.42</v>
      </c>
      <c r="G133" s="30" t="n">
        <v>1949.1</v>
      </c>
      <c r="H133" s="30" t="n">
        <v>0.98</v>
      </c>
      <c r="I133" s="30" t="n">
        <v>171606</v>
      </c>
      <c r="J133" s="30" t="inlineStr">
        <is>
          <t>543528</t>
        </is>
      </c>
    </row>
    <row r="134">
      <c r="A134" s="30" t="inlineStr">
        <is>
          <t>CHEVIOT</t>
        </is>
      </c>
      <c r="B134" s="30" t="inlineStr">
        <is>
          <t>Cheviot Company Ltd</t>
        </is>
      </c>
      <c r="C134" s="30" t="inlineStr">
        <is>
          <t>textiles</t>
        </is>
      </c>
      <c r="D134" s="30" t="inlineStr">
        <is>
          <t>textiles - jute - yarn / products</t>
        </is>
      </c>
      <c r="E134" s="30" t="inlineStr">
        <is>
          <t>smallcap</t>
        </is>
      </c>
      <c r="F134" s="30" t="n">
        <v>692.2</v>
      </c>
      <c r="G134" s="30" t="n">
        <v>1195.9</v>
      </c>
      <c r="H134" s="30" t="n">
        <v>0.93</v>
      </c>
      <c r="I134" s="30" t="n">
        <v>1408</v>
      </c>
      <c r="J134" s="30" t="inlineStr">
        <is>
          <t>526817</t>
        </is>
      </c>
    </row>
    <row r="135">
      <c r="A135" s="30" t="inlineStr">
        <is>
          <t>EMAMIPAP</t>
        </is>
      </c>
      <c r="B135" s="30" t="inlineStr">
        <is>
          <t>Emami Paper Mills Ltd</t>
        </is>
      </c>
      <c r="C135" s="30" t="inlineStr">
        <is>
          <t>building materials</t>
        </is>
      </c>
      <c r="D135" s="30" t="inlineStr">
        <is>
          <t>paper</t>
        </is>
      </c>
      <c r="E135" s="30" t="inlineStr">
        <is>
          <t>smallcap</t>
        </is>
      </c>
      <c r="F135" s="30" t="n">
        <v>705.84</v>
      </c>
      <c r="G135" s="30" t="n">
        <v>117.74</v>
      </c>
      <c r="H135" s="30" t="n">
        <v>0.92</v>
      </c>
      <c r="I135" s="30" t="n">
        <v>20531</v>
      </c>
      <c r="J135" s="30" t="inlineStr">
        <is>
          <t>533208</t>
        </is>
      </c>
    </row>
    <row r="136">
      <c r="A136" s="30" t="inlineStr">
        <is>
          <t>RKFORGE</t>
        </is>
      </c>
      <c r="B136" s="30" t="inlineStr">
        <is>
          <t>Ramkrishna Forgings Limited</t>
        </is>
      </c>
      <c r="C136" s="30" t="inlineStr">
        <is>
          <t>industrials</t>
        </is>
      </c>
      <c r="D136" s="30" t="inlineStr">
        <is>
          <t>castings &amp; forgings</t>
        </is>
      </c>
      <c r="E136" s="30" t="inlineStr">
        <is>
          <t>midcap</t>
        </is>
      </c>
      <c r="F136" s="30" t="n">
        <v>13128.99</v>
      </c>
      <c r="G136" s="30" t="n">
        <v>727.05</v>
      </c>
      <c r="H136" s="30" t="n">
        <v>0.88</v>
      </c>
      <c r="I136" s="30" t="n">
        <v>717946</v>
      </c>
      <c r="J136" s="30" t="inlineStr">
        <is>
          <t>532527</t>
        </is>
      </c>
    </row>
    <row r="137">
      <c r="A137" s="30" t="inlineStr">
        <is>
          <t>GUJALKALI</t>
        </is>
      </c>
      <c r="B137" s="30" t="inlineStr">
        <is>
          <t>Gujarat Alkalies And Chemicals Limited</t>
        </is>
      </c>
      <c r="C137" s="30" t="inlineStr">
        <is>
          <t>chemicals</t>
        </is>
      </c>
      <c r="D137" s="30" t="inlineStr">
        <is>
          <t>chemicals</t>
        </is>
      </c>
      <c r="E137" s="30" t="inlineStr">
        <is>
          <t>midcap</t>
        </is>
      </c>
      <c r="F137" s="30" t="n">
        <v>5232.75</v>
      </c>
      <c r="G137" s="30" t="n">
        <v>718.75</v>
      </c>
      <c r="H137" s="30" t="n">
        <v>0.87</v>
      </c>
      <c r="I137" s="30" t="n">
        <v>61375</v>
      </c>
      <c r="J137" s="30" t="inlineStr">
        <is>
          <t>530001</t>
        </is>
      </c>
    </row>
    <row r="138">
      <c r="A138" s="30" t="inlineStr">
        <is>
          <t>OMAXE</t>
        </is>
      </c>
      <c r="B138" s="30" t="inlineStr">
        <is>
          <t>Omaxe Limited</t>
        </is>
      </c>
      <c r="C138" s="30" t="inlineStr">
        <is>
          <t>realty</t>
        </is>
      </c>
      <c r="D138" s="30" t="inlineStr">
        <is>
          <t>construction</t>
        </is>
      </c>
      <c r="E138" s="30" t="inlineStr">
        <is>
          <t>smallcap</t>
        </is>
      </c>
      <c r="F138" s="30" t="n">
        <v>2219.68</v>
      </c>
      <c r="G138" s="30" t="n">
        <v>122.42</v>
      </c>
      <c r="H138" s="30" t="n">
        <v>0.87</v>
      </c>
      <c r="I138" s="30" t="n">
        <v>742271</v>
      </c>
      <c r="J138" s="30" t="inlineStr">
        <is>
          <t>532880</t>
        </is>
      </c>
    </row>
    <row r="139">
      <c r="A139" s="30" t="inlineStr">
        <is>
          <t>RELIGARE</t>
        </is>
      </c>
      <c r="B139" s="30" t="inlineStr">
        <is>
          <t>Religare Enterprises Limited</t>
        </is>
      </c>
      <c r="C139" s="30" t="inlineStr">
        <is>
          <t>financials</t>
        </is>
      </c>
      <c r="D139" s="30" t="inlineStr">
        <is>
          <t>finance &amp; investments</t>
        </is>
      </c>
      <c r="E139" s="30" t="inlineStr">
        <is>
          <t>midcap</t>
        </is>
      </c>
      <c r="F139" s="30" t="n">
        <v>8757.76</v>
      </c>
      <c r="G139" s="30" t="n">
        <v>258.78</v>
      </c>
      <c r="H139" s="30" t="n">
        <v>0.83</v>
      </c>
      <c r="I139" s="30" t="n">
        <v>1470503</v>
      </c>
      <c r="J139" s="30" t="inlineStr">
        <is>
          <t>532915</t>
        </is>
      </c>
    </row>
    <row r="140">
      <c r="A140" s="30" t="inlineStr">
        <is>
          <t>ASAHIINDIA</t>
        </is>
      </c>
      <c r="B140" s="30" t="inlineStr">
        <is>
          <t>Asahi India Glass Limited</t>
        </is>
      </c>
      <c r="C140" s="30" t="inlineStr">
        <is>
          <t>building materials</t>
        </is>
      </c>
      <c r="D140" s="30" t="inlineStr">
        <is>
          <t>glass &amp; glass products</t>
        </is>
      </c>
      <c r="E140" s="30" t="inlineStr">
        <is>
          <t>largecap</t>
        </is>
      </c>
      <c r="F140" s="30" t="n">
        <v>24696.07</v>
      </c>
      <c r="G140" s="30" t="n">
        <v>976.2</v>
      </c>
      <c r="H140" s="30" t="n">
        <v>0.77</v>
      </c>
      <c r="I140" s="30" t="n">
        <v>220953</v>
      </c>
      <c r="J140" s="30" t="inlineStr">
        <is>
          <t>515030</t>
        </is>
      </c>
    </row>
    <row r="141">
      <c r="A141" s="30" t="inlineStr">
        <is>
          <t>BALRAMCHIN</t>
        </is>
      </c>
      <c r="B141" s="30" t="inlineStr">
        <is>
          <t>Balrampur Chini Mills Limited</t>
        </is>
      </c>
      <c r="C141" s="30" t="inlineStr">
        <is>
          <t>fmcg</t>
        </is>
      </c>
      <c r="D141" s="30" t="inlineStr">
        <is>
          <t>sugar</t>
        </is>
      </c>
      <c r="E141" s="30" t="inlineStr">
        <is>
          <t>midcap</t>
        </is>
      </c>
      <c r="F141" s="30" t="n">
        <v>14789.76</v>
      </c>
      <c r="G141" s="30" t="n">
        <v>705.15</v>
      </c>
      <c r="H141" s="30" t="n">
        <v>0.73</v>
      </c>
      <c r="I141" s="30" t="n">
        <v>1534401</v>
      </c>
      <c r="J141" s="30" t="inlineStr">
        <is>
          <t>500038</t>
        </is>
      </c>
    </row>
    <row r="142">
      <c r="A142" s="30" t="inlineStr">
        <is>
          <t>CEIGALL</t>
        </is>
      </c>
      <c r="B142" s="30" t="inlineStr">
        <is>
          <t>Ceigall India Ltd</t>
        </is>
      </c>
      <c r="C142" s="30" t="inlineStr">
        <is>
          <t>realty</t>
        </is>
      </c>
      <c r="D142" s="30" t="inlineStr">
        <is>
          <t>construction</t>
        </is>
      </c>
      <c r="E142" s="30" t="inlineStr">
        <is>
          <t>midcap</t>
        </is>
      </c>
      <c r="F142" s="30" t="n">
        <v>6557.07</v>
      </c>
      <c r="G142" s="30" t="n">
        <v>379.1</v>
      </c>
      <c r="H142" s="30" t="n">
        <v>0.72</v>
      </c>
      <c r="I142" s="30" t="n">
        <v>1175462</v>
      </c>
      <c r="J142" s="30" t="inlineStr">
        <is>
          <t>544223</t>
        </is>
      </c>
    </row>
    <row r="143">
      <c r="A143" s="30" t="inlineStr">
        <is>
          <t>VENKEYS</t>
        </is>
      </c>
      <c r="B143" s="30" t="inlineStr">
        <is>
          <t>Venky's (india) Limited</t>
        </is>
      </c>
      <c r="C143" s="30" t="inlineStr">
        <is>
          <t>fmcg</t>
        </is>
      </c>
      <c r="D143" s="30" t="inlineStr">
        <is>
          <t>miscellaneous</t>
        </is>
      </c>
      <c r="E143" s="30" t="inlineStr">
        <is>
          <t>smallcap</t>
        </is>
      </c>
      <c r="F143" s="30" t="n">
        <v>2387.38</v>
      </c>
      <c r="G143" s="30" t="n">
        <v>1706.7</v>
      </c>
      <c r="H143" s="30" t="n">
        <v>0.71</v>
      </c>
      <c r="I143" s="30" t="n">
        <v>83868</v>
      </c>
      <c r="J143" s="30" t="inlineStr">
        <is>
          <t>523261</t>
        </is>
      </c>
    </row>
    <row r="144">
      <c r="A144" s="30" t="inlineStr">
        <is>
          <t>FLUOROCHEM</t>
        </is>
      </c>
      <c r="B144" s="30" t="inlineStr">
        <is>
          <t>Gujarat Fluorochemicals Ltd</t>
        </is>
      </c>
      <c r="C144" s="30" t="inlineStr">
        <is>
          <t>chemicals</t>
        </is>
      </c>
      <c r="D144" s="30" t="inlineStr">
        <is>
          <t>chemicals</t>
        </is>
      </c>
      <c r="E144" s="30" t="inlineStr">
        <is>
          <t>largecap</t>
        </is>
      </c>
      <c r="F144" s="30" t="n">
        <v>52231.48</v>
      </c>
      <c r="G144" s="30" t="n">
        <v>4786.3</v>
      </c>
      <c r="H144" s="30" t="n">
        <v>0.66</v>
      </c>
      <c r="I144" s="30" t="n">
        <v>170274</v>
      </c>
      <c r="J144" s="30" t="inlineStr">
        <is>
          <t>542812</t>
        </is>
      </c>
    </row>
    <row r="145">
      <c r="A145" s="30" t="inlineStr">
        <is>
          <t>SUPRIYA</t>
        </is>
      </c>
      <c r="B145" s="30" t="inlineStr">
        <is>
          <t>Supriya Lifescience Ltd</t>
        </is>
      </c>
      <c r="C145" s="30" t="inlineStr">
        <is>
          <t>healthcare</t>
        </is>
      </c>
      <c r="D145" s="30" t="inlineStr">
        <is>
          <t>pharmaceuticals - indian - bulk drugs &amp; formln</t>
        </is>
      </c>
      <c r="E145" s="30" t="inlineStr">
        <is>
          <t>midcap</t>
        </is>
      </c>
      <c r="F145" s="30" t="n">
        <v>7335.2</v>
      </c>
      <c r="G145" s="30" t="n">
        <v>917.45</v>
      </c>
      <c r="H145" s="30" t="n">
        <v>0.66</v>
      </c>
      <c r="I145" s="30" t="n">
        <v>244416</v>
      </c>
      <c r="J145" s="30" t="inlineStr">
        <is>
          <t>543434</t>
        </is>
      </c>
    </row>
    <row r="146">
      <c r="A146" s="30" t="inlineStr">
        <is>
          <t>CRISIL</t>
        </is>
      </c>
      <c r="B146" s="30" t="inlineStr">
        <is>
          <t>Crisil Limited</t>
        </is>
      </c>
      <c r="C146" s="30" t="inlineStr">
        <is>
          <t>financials</t>
        </is>
      </c>
      <c r="D146" s="30" t="inlineStr">
        <is>
          <t>miscellaneous</t>
        </is>
      </c>
      <c r="E146" s="30" t="inlineStr">
        <is>
          <t>largecap</t>
        </is>
      </c>
      <c r="F146" s="30" t="n">
        <v>34302.37</v>
      </c>
      <c r="G146" s="30" t="n">
        <v>4721.7</v>
      </c>
      <c r="H146" s="30" t="n">
        <v>0.66</v>
      </c>
      <c r="I146" s="30" t="n">
        <v>22193</v>
      </c>
      <c r="J146" s="30" t="inlineStr">
        <is>
          <t>500092</t>
        </is>
      </c>
    </row>
    <row r="147">
      <c r="A147" s="30" t="inlineStr">
        <is>
          <t>JUBLPHARMA</t>
        </is>
      </c>
      <c r="B147" s="30" t="inlineStr">
        <is>
          <t>Jubilant Pharmova Ltd</t>
        </is>
      </c>
      <c r="C147" s="30" t="inlineStr">
        <is>
          <t>healthcare</t>
        </is>
      </c>
      <c r="D147" s="30" t="inlineStr">
        <is>
          <t>pharmaceuticals - indian - bulk drugs</t>
        </is>
      </c>
      <c r="E147" s="30" t="inlineStr">
        <is>
          <t>midcap</t>
        </is>
      </c>
      <c r="F147" s="30" t="n">
        <v>16230.75</v>
      </c>
      <c r="G147" s="30" t="n">
        <v>1025.65</v>
      </c>
      <c r="H147" s="30" t="n">
        <v>0.65</v>
      </c>
      <c r="I147" s="30" t="n">
        <v>173412</v>
      </c>
      <c r="J147" s="30" t="inlineStr">
        <is>
          <t>530019</t>
        </is>
      </c>
    </row>
    <row r="148">
      <c r="A148" s="30" t="inlineStr">
        <is>
          <t>KOTAKBANK</t>
        </is>
      </c>
      <c r="B148" s="30" t="inlineStr">
        <is>
          <t>Kotak Mahindra Bank Limited</t>
        </is>
      </c>
      <c r="C148" s="30" t="inlineStr">
        <is>
          <t>bank</t>
        </is>
      </c>
      <c r="D148" s="30" t="inlineStr">
        <is>
          <t>banks - private sector</t>
        </is>
      </c>
      <c r="E148" s="30" t="inlineStr">
        <is>
          <t>largecap</t>
        </is>
      </c>
      <c r="F148" s="30" t="n">
        <v>411793.76</v>
      </c>
      <c r="G148" s="30" t="n">
        <v>416.55</v>
      </c>
      <c r="H148" s="30" t="n">
        <v>0.62</v>
      </c>
      <c r="I148" s="30" t="n">
        <v>7755254</v>
      </c>
      <c r="J148" s="30" t="inlineStr">
        <is>
          <t>500247</t>
        </is>
      </c>
    </row>
    <row r="149">
      <c r="A149" s="30" t="inlineStr">
        <is>
          <t>KOPRAN</t>
        </is>
      </c>
      <c r="B149" s="30" t="inlineStr">
        <is>
          <t>Kopran Limited</t>
        </is>
      </c>
      <c r="C149" s="30" t="inlineStr">
        <is>
          <t>healthcare</t>
        </is>
      </c>
      <c r="D149" s="30" t="inlineStr">
        <is>
          <t>pharmaceuticals - indian - bulk drugs &amp; formln</t>
        </is>
      </c>
      <c r="E149" s="30" t="inlineStr">
        <is>
          <t>smallcap</t>
        </is>
      </c>
      <c r="F149" s="30" t="n">
        <v>1131.67</v>
      </c>
      <c r="G149" s="30" t="n">
        <v>235.82</v>
      </c>
      <c r="H149" s="30" t="n">
        <v>0.62</v>
      </c>
      <c r="I149" s="30" t="n">
        <v>282347</v>
      </c>
      <c r="J149" s="30" t="inlineStr">
        <is>
          <t>524280</t>
        </is>
      </c>
    </row>
    <row r="150">
      <c r="A150" s="30" t="inlineStr">
        <is>
          <t>INDIQUBE</t>
        </is>
      </c>
      <c r="B150" s="30" t="inlineStr">
        <is>
          <t>Indiqube Spaces Ltd</t>
        </is>
      </c>
      <c r="C150" s="30" t="inlineStr">
        <is>
          <t>co-working</t>
        </is>
      </c>
      <c r="D150" s="30" t="inlineStr">
        <is>
          <t>miscellaneous</t>
        </is>
      </c>
      <c r="E150" s="30" t="inlineStr">
        <is>
          <t>smallcap</t>
        </is>
      </c>
      <c r="F150" s="30" t="n">
        <v>4331.96</v>
      </c>
      <c r="G150" s="30" t="n">
        <v>205.56</v>
      </c>
      <c r="H150" s="30" t="n">
        <v>0.6</v>
      </c>
      <c r="I150" s="30" t="n">
        <v>29531</v>
      </c>
      <c r="J150" s="30" t="inlineStr">
        <is>
          <t>544454</t>
        </is>
      </c>
    </row>
    <row r="151">
      <c r="A151" s="30" t="inlineStr">
        <is>
          <t>SSWL</t>
        </is>
      </c>
      <c r="B151" s="30" t="inlineStr">
        <is>
          <t>Steel Strips Wheels Limited</t>
        </is>
      </c>
      <c r="C151" s="30" t="inlineStr">
        <is>
          <t>auto</t>
        </is>
      </c>
      <c r="D151" s="30" t="inlineStr">
        <is>
          <t>auto ancillaries</t>
        </is>
      </c>
      <c r="E151" s="30" t="inlineStr">
        <is>
          <t>midcap</t>
        </is>
      </c>
      <c r="F151" s="30" t="n">
        <v>5838.47</v>
      </c>
      <c r="G151" s="30" t="n">
        <v>373.6</v>
      </c>
      <c r="H151" s="30" t="n">
        <v>0.58</v>
      </c>
      <c r="I151" s="30" t="n">
        <v>696576</v>
      </c>
      <c r="J151" s="30" t="inlineStr">
        <is>
          <t>513262</t>
        </is>
      </c>
    </row>
    <row r="152">
      <c r="A152" s="30" t="inlineStr">
        <is>
          <t>GRASIM</t>
        </is>
      </c>
      <c r="B152" s="30" t="inlineStr">
        <is>
          <t>Grasim Industries Limited</t>
        </is>
      </c>
      <c r="C152" s="30" t="inlineStr">
        <is>
          <t>textiles</t>
        </is>
      </c>
      <c r="D152" s="30" t="inlineStr">
        <is>
          <t>textiles - manmade</t>
        </is>
      </c>
      <c r="E152" s="30" t="inlineStr">
        <is>
          <t>largecap</t>
        </is>
      </c>
      <c r="F152" s="30" t="n">
        <v>224591.59</v>
      </c>
      <c r="G152" s="30" t="n">
        <v>3319</v>
      </c>
      <c r="H152" s="30" t="n">
        <v>0.58</v>
      </c>
      <c r="I152" s="30" t="n">
        <v>1056285</v>
      </c>
      <c r="J152" s="30" t="inlineStr">
        <is>
          <t>500300</t>
        </is>
      </c>
    </row>
    <row r="153">
      <c r="A153" s="30" t="inlineStr">
        <is>
          <t>SANATHAN</t>
        </is>
      </c>
      <c r="B153" s="30" t="inlineStr">
        <is>
          <t>Sanathan Textiles Ltd</t>
        </is>
      </c>
      <c r="C153" s="30" t="inlineStr">
        <is>
          <t>textiles</t>
        </is>
      </c>
      <c r="D153" s="30" t="inlineStr">
        <is>
          <t>textiles - cotton/blended</t>
        </is>
      </c>
      <c r="E153" s="30" t="inlineStr">
        <is>
          <t>smallcap</t>
        </is>
      </c>
      <c r="F153" s="30" t="n">
        <v>4054.35</v>
      </c>
      <c r="G153" s="30" t="n">
        <v>483.1</v>
      </c>
      <c r="H153" s="30" t="n">
        <v>0.57</v>
      </c>
      <c r="I153" s="30" t="n">
        <v>210461</v>
      </c>
      <c r="J153" s="30" t="inlineStr">
        <is>
          <t>544314</t>
        </is>
      </c>
    </row>
    <row r="154">
      <c r="A154" s="30" t="inlineStr">
        <is>
          <t>AEROFLEX</t>
        </is>
      </c>
      <c r="B154" s="30" t="inlineStr">
        <is>
          <t>Aeroflex Industries Ltd</t>
        </is>
      </c>
      <c r="C154" s="30" t="inlineStr">
        <is>
          <t>metals &amp; mining</t>
        </is>
      </c>
      <c r="D154" s="30" t="inlineStr">
        <is>
          <t>steel - medium / small</t>
        </is>
      </c>
      <c r="E154" s="30" t="inlineStr">
        <is>
          <t>midcap</t>
        </is>
      </c>
      <c r="F154" s="30" t="n">
        <v>7425.74</v>
      </c>
      <c r="G154" s="30" t="n">
        <v>564.2</v>
      </c>
      <c r="H154" s="30" t="n">
        <v>0.54</v>
      </c>
      <c r="I154" s="30" t="n">
        <v>940236</v>
      </c>
      <c r="J154" s="30" t="inlineStr">
        <is>
          <t>543972</t>
        </is>
      </c>
    </row>
    <row r="155">
      <c r="A155" s="30" t="inlineStr">
        <is>
          <t>JASH</t>
        </is>
      </c>
      <c r="B155" s="30" t="inlineStr">
        <is>
          <t>Jash Engineering Ltd</t>
        </is>
      </c>
      <c r="C155" s="30" t="inlineStr">
        <is>
          <t>industrials</t>
        </is>
      </c>
      <c r="D155" s="30" t="inlineStr">
        <is>
          <t>engineering</t>
        </is>
      </c>
      <c r="E155" s="30" t="inlineStr">
        <is>
          <t>smallcap</t>
        </is>
      </c>
      <c r="F155" s="30" t="n">
        <v>3278.17</v>
      </c>
      <c r="G155" s="30" t="n">
        <v>521.45</v>
      </c>
      <c r="H155" s="30" t="n">
        <v>0.52</v>
      </c>
      <c r="I155" s="30" t="n">
        <v>189537</v>
      </c>
      <c r="J155" s="30" t="inlineStr">
        <is>
          <t>535019</t>
        </is>
      </c>
    </row>
    <row r="156">
      <c r="A156" s="30" t="inlineStr">
        <is>
          <t>SONACOMS</t>
        </is>
      </c>
      <c r="B156" s="30" t="inlineStr">
        <is>
          <t>Sona BLW Precision Forgings Ltd</t>
        </is>
      </c>
      <c r="C156" s="30" t="inlineStr">
        <is>
          <t>auto</t>
        </is>
      </c>
      <c r="D156" s="30" t="inlineStr">
        <is>
          <t>auto ancillaries</t>
        </is>
      </c>
      <c r="E156" s="30" t="inlineStr">
        <is>
          <t>largecap</t>
        </is>
      </c>
      <c r="F156" s="30" t="n">
        <v>49731.69</v>
      </c>
      <c r="G156" s="30" t="n">
        <v>803.5</v>
      </c>
      <c r="H156" s="30" t="n">
        <v>0.5</v>
      </c>
      <c r="I156" s="30" t="n">
        <v>1517259</v>
      </c>
      <c r="J156" s="30" t="inlineStr">
        <is>
          <t>543300</t>
        </is>
      </c>
    </row>
    <row r="157">
      <c r="A157" s="30" t="inlineStr">
        <is>
          <t>JAYAGROGN</t>
        </is>
      </c>
      <c r="B157" s="30" t="inlineStr">
        <is>
          <t>Jayant Agro Organics Limited</t>
        </is>
      </c>
      <c r="C157" s="30" t="inlineStr">
        <is>
          <t>chemicals</t>
        </is>
      </c>
      <c r="D157" s="30" t="inlineStr">
        <is>
          <t>chemicals</t>
        </is>
      </c>
      <c r="E157" s="30" t="inlineStr">
        <is>
          <t>smallcap</t>
        </is>
      </c>
      <c r="F157" s="30" t="n">
        <v>770.7</v>
      </c>
      <c r="G157" s="30" t="n">
        <v>258.18</v>
      </c>
      <c r="H157" s="30" t="n">
        <v>0.5</v>
      </c>
      <c r="I157" s="30" t="n">
        <v>75360</v>
      </c>
      <c r="J157" s="30" t="inlineStr">
        <is>
          <t>524330</t>
        </is>
      </c>
    </row>
    <row r="158">
      <c r="A158" s="30" t="inlineStr">
        <is>
          <t>INDOAMIN</t>
        </is>
      </c>
      <c r="B158" s="30" t="inlineStr">
        <is>
          <t>Indo Amines Ltd</t>
        </is>
      </c>
      <c r="C158" s="30" t="inlineStr">
        <is>
          <t>chemicals</t>
        </is>
      </c>
      <c r="D158" s="30" t="inlineStr">
        <is>
          <t>chemicals</t>
        </is>
      </c>
      <c r="E158" s="30" t="inlineStr">
        <is>
          <t>smallcap</t>
        </is>
      </c>
      <c r="F158" s="30" t="n">
        <v>923.6799999999999</v>
      </c>
      <c r="G158" s="30" t="n">
        <v>127.87</v>
      </c>
      <c r="H158" s="30" t="n">
        <v>0.49</v>
      </c>
      <c r="I158" s="30" t="n">
        <v>26964</v>
      </c>
      <c r="J158" s="30" t="inlineStr">
        <is>
          <t>524648</t>
        </is>
      </c>
    </row>
    <row r="159">
      <c r="A159" s="30" t="inlineStr">
        <is>
          <t>FCL</t>
        </is>
      </c>
      <c r="B159" s="30" t="inlineStr">
        <is>
          <t>Fineotex Chemical Limited</t>
        </is>
      </c>
      <c r="C159" s="30" t="inlineStr">
        <is>
          <t>chemicals</t>
        </is>
      </c>
      <c r="D159" s="30" t="inlineStr">
        <is>
          <t>chemicals</t>
        </is>
      </c>
      <c r="E159" s="30" t="inlineStr">
        <is>
          <t>midcap</t>
        </is>
      </c>
      <c r="F159" s="30" t="n">
        <v>6804.18</v>
      </c>
      <c r="G159" s="30" t="n">
        <v>58.71</v>
      </c>
      <c r="H159" s="30" t="n">
        <v>0.48</v>
      </c>
      <c r="I159" s="30" t="n">
        <v>30215858</v>
      </c>
      <c r="J159" s="30" t="inlineStr">
        <is>
          <t>533333</t>
        </is>
      </c>
    </row>
    <row r="160">
      <c r="A160" s="30" t="inlineStr">
        <is>
          <t>ETERNAL</t>
        </is>
      </c>
      <c r="B160" s="30" t="inlineStr">
        <is>
          <t>Eternal Ltd</t>
        </is>
      </c>
      <c r="C160" s="30" t="inlineStr">
        <is>
          <t>i.t</t>
        </is>
      </c>
      <c r="D160" s="30" t="inlineStr">
        <is>
          <t>miscellaneous</t>
        </is>
      </c>
      <c r="E160" s="30" t="inlineStr">
        <is>
          <t>largecap</t>
        </is>
      </c>
      <c r="F160" s="30" t="n">
        <v>309390.24</v>
      </c>
      <c r="G160" s="30" t="n">
        <v>322.1</v>
      </c>
      <c r="H160" s="30" t="n">
        <v>0.47</v>
      </c>
      <c r="I160" s="30" t="n">
        <v>15557911</v>
      </c>
      <c r="J160" s="30" t="inlineStr">
        <is>
          <t>543320</t>
        </is>
      </c>
    </row>
    <row r="161">
      <c r="A161" s="30" t="inlineStr">
        <is>
          <t>MAHASTEEL</t>
        </is>
      </c>
      <c r="B161" s="30" t="inlineStr">
        <is>
          <t>Mahamaya Steel Industries Limited</t>
        </is>
      </c>
      <c r="C161" s="30" t="inlineStr">
        <is>
          <t>metals &amp; mining</t>
        </is>
      </c>
      <c r="D161" s="30" t="inlineStr">
        <is>
          <t>steel - medium / small</t>
        </is>
      </c>
      <c r="E161" s="30" t="inlineStr">
        <is>
          <t>smallcap</t>
        </is>
      </c>
      <c r="F161" s="30" t="n">
        <v>2178.54</v>
      </c>
      <c r="G161" s="30" t="n">
        <v>1331.6</v>
      </c>
      <c r="H161" s="30" t="n">
        <v>0.45</v>
      </c>
      <c r="I161" s="30" t="n">
        <v>2443</v>
      </c>
      <c r="J161" s="30" t="inlineStr">
        <is>
          <t>513554</t>
        </is>
      </c>
    </row>
    <row r="162">
      <c r="A162" s="30" t="inlineStr">
        <is>
          <t>PRABHA</t>
        </is>
      </c>
      <c r="B162" s="30" t="inlineStr">
        <is>
          <t>Prabha Energy Ltd</t>
        </is>
      </c>
      <c r="C162" s="30" t="inlineStr">
        <is>
          <t>energy</t>
        </is>
      </c>
      <c r="D162" s="30" t="inlineStr">
        <is>
          <t>oil drilling / allied services</t>
        </is>
      </c>
      <c r="E162" s="30" t="inlineStr">
        <is>
          <t>smallcap</t>
        </is>
      </c>
      <c r="F162" s="30" t="n">
        <v>3614.19</v>
      </c>
      <c r="G162" s="30" t="n">
        <v>247.58</v>
      </c>
      <c r="H162" s="30" t="n">
        <v>0.41</v>
      </c>
      <c r="I162" s="30" t="n">
        <v>118160</v>
      </c>
      <c r="J162" s="30" t="inlineStr">
        <is>
          <t>544379</t>
        </is>
      </c>
    </row>
    <row r="163">
      <c r="A163" s="30" t="inlineStr">
        <is>
          <t>LAURUSLABS</t>
        </is>
      </c>
      <c r="B163" s="30" t="inlineStr">
        <is>
          <t>Laurus Labs Limited</t>
        </is>
      </c>
      <c r="C163" s="30" t="inlineStr">
        <is>
          <t>healthcare</t>
        </is>
      </c>
      <c r="D163" s="30" t="inlineStr">
        <is>
          <t>pharmaceuticals - indian - bulk drugs &amp; formln</t>
        </is>
      </c>
      <c r="E163" s="30" t="inlineStr">
        <is>
          <t>largecap</t>
        </is>
      </c>
      <c r="F163" s="30" t="n">
        <v>104646.34</v>
      </c>
      <c r="G163" s="30" t="n">
        <v>1945</v>
      </c>
      <c r="H163" s="30" t="n">
        <v>0.41</v>
      </c>
      <c r="I163" s="30" t="n">
        <v>1067622</v>
      </c>
      <c r="J163" s="30" t="inlineStr">
        <is>
          <t>540222</t>
        </is>
      </c>
    </row>
    <row r="164">
      <c r="A164" s="30" t="inlineStr">
        <is>
          <t>KTKBANK</t>
        </is>
      </c>
      <c r="B164" s="30" t="inlineStr">
        <is>
          <t>The Karnataka Bank Limited</t>
        </is>
      </c>
      <c r="C164" s="30" t="inlineStr">
        <is>
          <t>bank</t>
        </is>
      </c>
      <c r="D164" s="30" t="inlineStr">
        <is>
          <t>banks - private sector</t>
        </is>
      </c>
      <c r="E164" s="30" t="inlineStr">
        <is>
          <t>midcap</t>
        </is>
      </c>
      <c r="F164" s="30" t="n">
        <v>12527.99</v>
      </c>
      <c r="G164" s="30" t="n">
        <v>332.55</v>
      </c>
      <c r="H164" s="30" t="n">
        <v>0.39</v>
      </c>
      <c r="I164" s="30" t="n">
        <v>1448556</v>
      </c>
      <c r="J164" s="30" t="inlineStr">
        <is>
          <t>532652</t>
        </is>
      </c>
    </row>
    <row r="165">
      <c r="A165" s="30" t="inlineStr">
        <is>
          <t>CRAFTSMAN</t>
        </is>
      </c>
      <c r="B165" s="30" t="inlineStr">
        <is>
          <t>Craftsman Automation Ltd</t>
        </is>
      </c>
      <c r="C165" s="30" t="inlineStr">
        <is>
          <t>auto</t>
        </is>
      </c>
      <c r="D165" s="30" t="inlineStr">
        <is>
          <t>auto ancillaries</t>
        </is>
      </c>
      <c r="E165" s="30" t="inlineStr">
        <is>
          <t>largecap</t>
        </is>
      </c>
      <c r="F165" s="30" t="n">
        <v>30877.92</v>
      </c>
      <c r="G165" s="30" t="n">
        <v>11851</v>
      </c>
      <c r="H165" s="30" t="n">
        <v>0.38</v>
      </c>
      <c r="I165" s="30" t="n">
        <v>71337</v>
      </c>
      <c r="J165" s="30" t="inlineStr">
        <is>
          <t>543276</t>
        </is>
      </c>
    </row>
    <row r="166">
      <c r="A166" s="30" t="inlineStr">
        <is>
          <t>IPCALAB</t>
        </is>
      </c>
      <c r="B166" s="30" t="inlineStr">
        <is>
          <t>Ipca Laboratories Limited</t>
        </is>
      </c>
      <c r="C166" s="30" t="inlineStr">
        <is>
          <t>healthcare</t>
        </is>
      </c>
      <c r="D166" s="30" t="inlineStr">
        <is>
          <t>pharmaceuticals - indian - bulk drugs &amp; formln</t>
        </is>
      </c>
      <c r="E166" s="30" t="inlineStr">
        <is>
          <t>largecap</t>
        </is>
      </c>
      <c r="F166" s="30" t="n">
        <v>49817.36</v>
      </c>
      <c r="G166" s="30" t="n">
        <v>1970.9</v>
      </c>
      <c r="H166" s="30" t="n">
        <v>0.37</v>
      </c>
      <c r="I166" s="30" t="n">
        <v>209376</v>
      </c>
      <c r="J166" s="30" t="inlineStr">
        <is>
          <t>524494</t>
        </is>
      </c>
    </row>
    <row r="167">
      <c r="A167" s="30" t="inlineStr">
        <is>
          <t>JINDWORLD</t>
        </is>
      </c>
      <c r="B167" s="30" t="inlineStr">
        <is>
          <t>Jindal Worldwide Limited</t>
        </is>
      </c>
      <c r="C167" s="30" t="inlineStr">
        <is>
          <t>textiles</t>
        </is>
      </c>
      <c r="D167" s="30" t="inlineStr">
        <is>
          <t>textiles - products</t>
        </is>
      </c>
      <c r="E167" s="30" t="inlineStr">
        <is>
          <t>midcap</t>
        </is>
      </c>
      <c r="F167" s="30" t="n">
        <v>5558.43</v>
      </c>
      <c r="G167" s="30" t="n">
        <v>55.64</v>
      </c>
      <c r="H167" s="30" t="n">
        <v>0.36</v>
      </c>
      <c r="I167" s="30" t="n">
        <v>21274518</v>
      </c>
      <c r="J167" s="30" t="inlineStr">
        <is>
          <t>531543</t>
        </is>
      </c>
    </row>
    <row r="168">
      <c r="A168" s="30" t="inlineStr">
        <is>
          <t>MACPOWER</t>
        </is>
      </c>
      <c r="B168" s="30" t="inlineStr">
        <is>
          <t>Macpower CNC Machines Ltd</t>
        </is>
      </c>
      <c r="C168" s="30" t="inlineStr">
        <is>
          <t>industrials</t>
        </is>
      </c>
      <c r="D168" s="30" t="inlineStr">
        <is>
          <t>engineering</t>
        </is>
      </c>
      <c r="E168" s="30" t="inlineStr">
        <is>
          <t>smallcap</t>
        </is>
      </c>
      <c r="F168" s="30" t="n">
        <v>1864.58</v>
      </c>
      <c r="G168" s="30" t="n">
        <v>1870.4</v>
      </c>
      <c r="H168" s="30" t="n">
        <v>0.35</v>
      </c>
      <c r="I168" s="30" t="n">
        <v>15621</v>
      </c>
      <c r="J168" s="30" t="inlineStr">
        <is>
          <t>535057</t>
        </is>
      </c>
    </row>
    <row r="169">
      <c r="A169" s="30" t="inlineStr">
        <is>
          <t>UNITEDPOLY</t>
        </is>
      </c>
      <c r="B169" s="30" t="inlineStr">
        <is>
          <t>United Polyfab Gujarat Ltd</t>
        </is>
      </c>
      <c r="C169" s="30" t="inlineStr">
        <is>
          <t>textiles</t>
        </is>
      </c>
      <c r="D169" s="30" t="inlineStr">
        <is>
          <t>textiles - products</t>
        </is>
      </c>
      <c r="E169" s="30" t="inlineStr">
        <is>
          <t>smallcap</t>
        </is>
      </c>
      <c r="F169" s="30" t="n">
        <v>985.3099999999999</v>
      </c>
      <c r="G169" s="30" t="n">
        <v>43.07</v>
      </c>
      <c r="H169" s="30" t="n">
        <v>0.33</v>
      </c>
      <c r="I169" s="30" t="n">
        <v>88234</v>
      </c>
      <c r="J169" s="30" t="inlineStr">
        <is>
          <t>533024</t>
        </is>
      </c>
    </row>
    <row r="170">
      <c r="A170" s="30" t="inlineStr">
        <is>
          <t>SVLL</t>
        </is>
      </c>
      <c r="B170" s="30" t="inlineStr">
        <is>
          <t>Shree Vasu Logistics Ltd</t>
        </is>
      </c>
      <c r="C170" s="30" t="inlineStr">
        <is>
          <t>transportation</t>
        </is>
      </c>
      <c r="D170" s="30" t="inlineStr">
        <is>
          <t>miscellaneous</t>
        </is>
      </c>
      <c r="E170" s="30" t="inlineStr">
        <is>
          <t>smallcap</t>
        </is>
      </c>
      <c r="F170" s="30" t="n">
        <v>908.58</v>
      </c>
      <c r="G170" s="30" t="n">
        <v>793.1</v>
      </c>
      <c r="H170" s="30" t="n">
        <v>0.33</v>
      </c>
      <c r="I170" s="30" t="n">
        <v>3154</v>
      </c>
      <c r="J170" s="30" t="inlineStr">
        <is>
          <t>535084</t>
        </is>
      </c>
    </row>
    <row r="171">
      <c r="A171" s="30" t="inlineStr">
        <is>
          <t>EBGNG</t>
        </is>
      </c>
      <c r="B171" s="30" t="inlineStr">
        <is>
          <t>GNG Electronics Ltd</t>
        </is>
      </c>
      <c r="C171" s="30" t="inlineStr">
        <is>
          <t>services</t>
        </is>
      </c>
      <c r="D171" s="30" t="inlineStr">
        <is>
          <t>trading</t>
        </is>
      </c>
      <c r="E171" s="30" t="inlineStr">
        <is>
          <t>midcap</t>
        </is>
      </c>
      <c r="F171" s="30" t="n">
        <v>7704.9</v>
      </c>
      <c r="G171" s="30" t="n">
        <v>677.95</v>
      </c>
      <c r="H171" s="30" t="n">
        <v>0.32</v>
      </c>
      <c r="I171" s="30" t="n">
        <v>1283090</v>
      </c>
      <c r="J171" s="30" t="inlineStr">
        <is>
          <t>544455</t>
        </is>
      </c>
    </row>
    <row r="172">
      <c r="A172" s="30" t="inlineStr">
        <is>
          <t>JSWINFRA</t>
        </is>
      </c>
      <c r="B172" s="30" t="inlineStr">
        <is>
          <t>JSW Infrastructure Ltd</t>
        </is>
      </c>
      <c r="C172" s="30" t="inlineStr">
        <is>
          <t>transportation</t>
        </is>
      </c>
      <c r="D172" s="30" t="inlineStr">
        <is>
          <t>miscellaneous</t>
        </is>
      </c>
      <c r="E172" s="30" t="inlineStr">
        <is>
          <t>largecap</t>
        </is>
      </c>
      <c r="F172" s="30" t="n">
        <v>79546.25</v>
      </c>
      <c r="G172" s="30" t="n">
        <v>342.45</v>
      </c>
      <c r="H172" s="30" t="n">
        <v>0.31</v>
      </c>
      <c r="I172" s="30" t="n">
        <v>2842351</v>
      </c>
      <c r="J172" s="30" t="inlineStr">
        <is>
          <t>543994</t>
        </is>
      </c>
    </row>
    <row r="173">
      <c r="A173" s="30" t="inlineStr">
        <is>
          <t>OIL</t>
        </is>
      </c>
      <c r="B173" s="30" t="inlineStr">
        <is>
          <t>Oil India Limited</t>
        </is>
      </c>
      <c r="C173" s="30" t="inlineStr">
        <is>
          <t>energy</t>
        </is>
      </c>
      <c r="D173" s="30" t="inlineStr">
        <is>
          <t>oil drilling / allied services</t>
        </is>
      </c>
      <c r="E173" s="30" t="inlineStr">
        <is>
          <t>largecap</t>
        </is>
      </c>
      <c r="F173" s="30" t="n">
        <v>81159.60000000001</v>
      </c>
      <c r="G173" s="30" t="n">
        <v>500.3</v>
      </c>
      <c r="H173" s="30" t="n">
        <v>0.27</v>
      </c>
      <c r="I173" s="30" t="n">
        <v>4397946</v>
      </c>
      <c r="J173" s="30" t="inlineStr">
        <is>
          <t>533106</t>
        </is>
      </c>
    </row>
    <row r="174">
      <c r="A174" s="30" t="inlineStr">
        <is>
          <t>NORTHARC</t>
        </is>
      </c>
      <c r="B174" s="30" t="inlineStr">
        <is>
          <t>Northern ARC Capital Ltd</t>
        </is>
      </c>
      <c r="C174" s="30" t="inlineStr">
        <is>
          <t>financials</t>
        </is>
      </c>
      <c r="D174" s="30" t="inlineStr">
        <is>
          <t>finance &amp; investments</t>
        </is>
      </c>
      <c r="E174" s="30" t="inlineStr">
        <is>
          <t>smallcap</t>
        </is>
      </c>
      <c r="F174" s="30" t="n">
        <v>4983.32</v>
      </c>
      <c r="G174" s="30" t="n">
        <v>309.15</v>
      </c>
      <c r="H174" s="30" t="n">
        <v>0.26</v>
      </c>
      <c r="I174" s="30" t="n">
        <v>1349056</v>
      </c>
      <c r="J174" s="30" t="n"/>
    </row>
    <row r="175">
      <c r="A175" s="30" t="inlineStr">
        <is>
          <t>WELINV</t>
        </is>
      </c>
      <c r="B175" s="30" t="inlineStr">
        <is>
          <t>Welspun Investments And Commercials Limited</t>
        </is>
      </c>
      <c r="C175" s="30" t="inlineStr">
        <is>
          <t>financials</t>
        </is>
      </c>
      <c r="D175" s="30" t="inlineStr">
        <is>
          <t>finance &amp; investments</t>
        </is>
      </c>
      <c r="E175" s="30" t="inlineStr">
        <is>
          <t>smallcap</t>
        </is>
      </c>
      <c r="F175" s="30" t="n">
        <v>854.78</v>
      </c>
      <c r="G175" s="30" t="n">
        <v>2345</v>
      </c>
      <c r="H175" s="30" t="n">
        <v>0.26</v>
      </c>
      <c r="I175" s="30" t="n">
        <v>278</v>
      </c>
      <c r="J175" s="30" t="inlineStr">
        <is>
          <t>533252</t>
        </is>
      </c>
    </row>
    <row r="176">
      <c r="A176" s="30" t="inlineStr">
        <is>
          <t>CARTRADE</t>
        </is>
      </c>
      <c r="B176" s="30" t="inlineStr">
        <is>
          <t>Cartrade Tech Ltd</t>
        </is>
      </c>
      <c r="C176" s="30" t="inlineStr">
        <is>
          <t>consumer discretionary</t>
        </is>
      </c>
      <c r="D176" s="30" t="inlineStr">
        <is>
          <t>miscellaneous</t>
        </is>
      </c>
      <c r="E176" s="30" t="inlineStr">
        <is>
          <t>midcap</t>
        </is>
      </c>
      <c r="F176" s="30" t="n">
        <v>14537.05</v>
      </c>
      <c r="G176" s="30" t="n">
        <v>3034.7</v>
      </c>
      <c r="H176" s="30" t="n">
        <v>0.25</v>
      </c>
      <c r="I176" s="30" t="n">
        <v>155066</v>
      </c>
      <c r="J176" s="30" t="inlineStr">
        <is>
          <t>543333</t>
        </is>
      </c>
    </row>
    <row r="177">
      <c r="A177" s="30" t="inlineStr">
        <is>
          <t>SGIL</t>
        </is>
      </c>
      <c r="B177" s="30" t="inlineStr">
        <is>
          <t>Synergy Green Industries Ltd</t>
        </is>
      </c>
      <c r="C177" s="30" t="inlineStr">
        <is>
          <t>industrials</t>
        </is>
      </c>
      <c r="D177" s="30" t="inlineStr">
        <is>
          <t>castings &amp; forgings</t>
        </is>
      </c>
      <c r="E177" s="30" t="inlineStr">
        <is>
          <t>smallcap</t>
        </is>
      </c>
      <c r="F177" s="30" t="n">
        <v>933.4299999999999</v>
      </c>
      <c r="G177" s="30" t="n">
        <v>602</v>
      </c>
      <c r="H177" s="30" t="n">
        <v>0.24</v>
      </c>
      <c r="I177" s="30" t="n">
        <v>3236</v>
      </c>
      <c r="J177" s="30" t="inlineStr">
        <is>
          <t>541929</t>
        </is>
      </c>
    </row>
    <row r="178">
      <c r="A178" s="30" t="inlineStr">
        <is>
          <t>COALINDIA</t>
        </is>
      </c>
      <c r="B178" s="30" t="inlineStr">
        <is>
          <t>Coal India Limited</t>
        </is>
      </c>
      <c r="C178" s="30" t="inlineStr">
        <is>
          <t>metals &amp; mining</t>
        </is>
      </c>
      <c r="D178" s="30" t="inlineStr">
        <is>
          <t>mining / minerals / metals</t>
        </is>
      </c>
      <c r="E178" s="30" t="inlineStr">
        <is>
          <t>largecap</t>
        </is>
      </c>
      <c r="F178" s="30" t="n">
        <v>265613.59</v>
      </c>
      <c r="G178" s="30" t="n">
        <v>432</v>
      </c>
      <c r="H178" s="30" t="n">
        <v>0.23</v>
      </c>
      <c r="I178" s="30" t="n">
        <v>8811171</v>
      </c>
      <c r="J178" s="30" t="inlineStr">
        <is>
          <t>533278</t>
        </is>
      </c>
    </row>
    <row r="179">
      <c r="A179" s="30" t="inlineStr">
        <is>
          <t>TMB</t>
        </is>
      </c>
      <c r="B179" s="30" t="inlineStr">
        <is>
          <t>Tamilnad Mercantile Bank Ltd</t>
        </is>
      </c>
      <c r="C179" s="30" t="inlineStr">
        <is>
          <t>bank</t>
        </is>
      </c>
      <c r="D179" s="30" t="inlineStr">
        <is>
          <t>banks - private sector</t>
        </is>
      </c>
      <c r="E179" s="30" t="inlineStr">
        <is>
          <t>midcap</t>
        </is>
      </c>
      <c r="F179" s="30" t="n">
        <v>14603.96</v>
      </c>
      <c r="G179" s="30" t="n">
        <v>923.65</v>
      </c>
      <c r="H179" s="30" t="n">
        <v>0.15</v>
      </c>
      <c r="I179" s="30" t="n">
        <v>51371</v>
      </c>
      <c r="J179" s="30" t="inlineStr">
        <is>
          <t>543596</t>
        </is>
      </c>
    </row>
    <row r="180">
      <c r="A180" s="30" t="inlineStr">
        <is>
          <t>GIPCL</t>
        </is>
      </c>
      <c r="B180" s="30" t="inlineStr">
        <is>
          <t>Gujarat Industries Power Company Limited</t>
        </is>
      </c>
      <c r="C180" s="30" t="inlineStr">
        <is>
          <t>power &amp; utilities</t>
        </is>
      </c>
      <c r="D180" s="30" t="inlineStr">
        <is>
          <t>power generation and supply</t>
        </is>
      </c>
      <c r="E180" s="30" t="inlineStr">
        <is>
          <t>smallcap</t>
        </is>
      </c>
      <c r="F180" s="30" t="n">
        <v>3120.46</v>
      </c>
      <c r="G180" s="30" t="n">
        <v>201.3</v>
      </c>
      <c r="H180" s="30" t="n">
        <v>0.13</v>
      </c>
      <c r="I180" s="30" t="n">
        <v>352513</v>
      </c>
      <c r="J180" s="30" t="inlineStr">
        <is>
          <t>517300</t>
        </is>
      </c>
    </row>
    <row r="181">
      <c r="A181" s="30" t="inlineStr">
        <is>
          <t>CYIENT</t>
        </is>
      </c>
      <c r="B181" s="30" t="inlineStr">
        <is>
          <t>Cyient Limited</t>
        </is>
      </c>
      <c r="C181" s="30" t="inlineStr">
        <is>
          <t>i.t</t>
        </is>
      </c>
      <c r="D181" s="30" t="inlineStr">
        <is>
          <t>computers - software - medium / small</t>
        </is>
      </c>
      <c r="E181" s="30" t="inlineStr">
        <is>
          <t>midcap</t>
        </is>
      </c>
      <c r="F181" s="30" t="n">
        <v>11260.79</v>
      </c>
      <c r="G181" s="30" t="n">
        <v>1076.4</v>
      </c>
      <c r="H181" s="30" t="n">
        <v>0.12</v>
      </c>
      <c r="I181" s="30" t="n">
        <v>187031</v>
      </c>
      <c r="J181" s="30" t="inlineStr">
        <is>
          <t>532175</t>
        </is>
      </c>
    </row>
    <row r="182">
      <c r="A182" s="30" t="inlineStr">
        <is>
          <t>GOCLCORP</t>
        </is>
      </c>
      <c r="B182" s="30" t="inlineStr">
        <is>
          <t>Gocl Corporation Limited</t>
        </is>
      </c>
      <c r="C182" s="30" t="inlineStr">
        <is>
          <t>miscellaneous</t>
        </is>
      </c>
      <c r="D182" s="30" t="inlineStr">
        <is>
          <t>diversified - medium / small</t>
        </is>
      </c>
      <c r="E182" s="30" t="inlineStr">
        <is>
          <t>smallcap</t>
        </is>
      </c>
      <c r="F182" s="30" t="n">
        <v>2140.04</v>
      </c>
      <c r="G182" s="30" t="n">
        <v>432.2</v>
      </c>
      <c r="H182" s="30" t="n">
        <v>0.12</v>
      </c>
      <c r="I182" s="30" t="n">
        <v>82309</v>
      </c>
      <c r="J182" s="30" t="inlineStr">
        <is>
          <t>506480</t>
        </is>
      </c>
    </row>
    <row r="183">
      <c r="A183" s="30" t="inlineStr">
        <is>
          <t>WELSPUNLIV</t>
        </is>
      </c>
      <c r="B183" s="30" t="inlineStr">
        <is>
          <t>Welspun Living Ltd</t>
        </is>
      </c>
      <c r="C183" s="30" t="inlineStr">
        <is>
          <t>textiles</t>
        </is>
      </c>
      <c r="D183" s="30" t="inlineStr">
        <is>
          <t>textiles - products</t>
        </is>
      </c>
      <c r="E183" s="30" t="inlineStr">
        <is>
          <t>midcap</t>
        </is>
      </c>
      <c r="F183" s="30" t="n">
        <v>19866.26</v>
      </c>
      <c r="G183" s="30" t="n">
        <v>210.5</v>
      </c>
      <c r="H183" s="30" t="n">
        <v>0.1</v>
      </c>
      <c r="I183" s="30" t="n">
        <v>1879096</v>
      </c>
      <c r="J183" s="30" t="inlineStr">
        <is>
          <t>514162</t>
        </is>
      </c>
    </row>
    <row r="184">
      <c r="A184" s="30" t="inlineStr">
        <is>
          <t>STOVEKRAFT</t>
        </is>
      </c>
      <c r="B184" s="30" t="inlineStr">
        <is>
          <t>Stove Kraft Ltd</t>
        </is>
      </c>
      <c r="C184" s="30" t="inlineStr">
        <is>
          <t>consumer discretionary</t>
        </is>
      </c>
      <c r="D184" s="30" t="inlineStr">
        <is>
          <t>domestic appliances</t>
        </is>
      </c>
      <c r="E184" s="30" t="inlineStr">
        <is>
          <t>smallcap</t>
        </is>
      </c>
      <c r="F184" s="30" t="n">
        <v>2778.7</v>
      </c>
      <c r="G184" s="30" t="n">
        <v>840.05</v>
      </c>
      <c r="H184" s="30" t="n">
        <v>0.09</v>
      </c>
      <c r="I184" s="30" t="n">
        <v>48566</v>
      </c>
      <c r="J184" s="30" t="inlineStr">
        <is>
          <t>543260</t>
        </is>
      </c>
    </row>
    <row r="185">
      <c r="A185" s="30" t="inlineStr">
        <is>
          <t>MARKSANS</t>
        </is>
      </c>
      <c r="B185" s="30" t="inlineStr">
        <is>
          <t>Marksans Pharma Limited</t>
        </is>
      </c>
      <c r="C185" s="30" t="inlineStr">
        <is>
          <t>healthcare</t>
        </is>
      </c>
      <c r="D185" s="30" t="inlineStr">
        <is>
          <t>pharmaceuticals - indian - formulations</t>
        </is>
      </c>
      <c r="E185" s="30" t="inlineStr">
        <is>
          <t>midcap</t>
        </is>
      </c>
      <c r="F185" s="30" t="n">
        <v>14961.2</v>
      </c>
      <c r="G185" s="30" t="n">
        <v>330.4</v>
      </c>
      <c r="H185" s="30" t="n">
        <v>0.08</v>
      </c>
      <c r="I185" s="30" t="n">
        <v>1295256</v>
      </c>
      <c r="J185" s="30" t="inlineStr">
        <is>
          <t>524404</t>
        </is>
      </c>
    </row>
    <row r="186">
      <c r="A186" s="30" t="inlineStr">
        <is>
          <t>SOLARINDS</t>
        </is>
      </c>
      <c r="B186" s="30" t="inlineStr">
        <is>
          <t>Solar Industries India Limited</t>
        </is>
      </c>
      <c r="C186" s="30" t="inlineStr">
        <is>
          <t>aerospace &amp; defence</t>
        </is>
      </c>
      <c r="D186" s="30" t="inlineStr">
        <is>
          <t>chemicals</t>
        </is>
      </c>
      <c r="E186" s="30" t="inlineStr">
        <is>
          <t>largecap</t>
        </is>
      </c>
      <c r="F186" s="30" t="n">
        <v>202290.52</v>
      </c>
      <c r="G186" s="30" t="n">
        <v>22370</v>
      </c>
      <c r="H186" s="30" t="n">
        <v>0.07000000000000001</v>
      </c>
      <c r="I186" s="30" t="n">
        <v>58690</v>
      </c>
      <c r="J186" s="30" t="inlineStr">
        <is>
          <t>532725</t>
        </is>
      </c>
    </row>
    <row r="187">
      <c r="A187" s="30" t="inlineStr">
        <is>
          <t>NAZARA</t>
        </is>
      </c>
      <c r="B187" s="30" t="inlineStr">
        <is>
          <t>Nazara Technologies Ltd</t>
        </is>
      </c>
      <c r="C187" s="30" t="inlineStr">
        <is>
          <t>i.t</t>
        </is>
      </c>
      <c r="D187" s="30" t="inlineStr">
        <is>
          <t>telecommunications - service provider</t>
        </is>
      </c>
      <c r="E187" s="30" t="inlineStr">
        <is>
          <t>midcap</t>
        </is>
      </c>
      <c r="F187" s="30" t="n">
        <v>14403.02</v>
      </c>
      <c r="G187" s="30" t="n">
        <v>374.65</v>
      </c>
      <c r="H187" s="30" t="n">
        <v>0.07000000000000001</v>
      </c>
      <c r="I187" s="30" t="n">
        <v>1606579</v>
      </c>
      <c r="J187" s="30" t="inlineStr">
        <is>
          <t>543280</t>
        </is>
      </c>
    </row>
    <row r="188">
      <c r="A188" s="30" t="inlineStr">
        <is>
          <t>QUESS</t>
        </is>
      </c>
      <c r="B188" s="30" t="inlineStr">
        <is>
          <t>Quess Corp Limited</t>
        </is>
      </c>
      <c r="C188" s="30" t="inlineStr">
        <is>
          <t>miscellaneous</t>
        </is>
      </c>
      <c r="D188" s="30" t="inlineStr">
        <is>
          <t>diversified - large</t>
        </is>
      </c>
      <c r="E188" s="30" t="inlineStr">
        <is>
          <t>midcap</t>
        </is>
      </c>
      <c r="F188" s="30" t="n">
        <v>5302.27</v>
      </c>
      <c r="G188" s="30" t="n">
        <v>355.1</v>
      </c>
      <c r="H188" s="30" t="n">
        <v>0.03</v>
      </c>
      <c r="I188" s="30" t="n">
        <v>420571</v>
      </c>
      <c r="J188" s="30" t="inlineStr">
        <is>
          <t>539978</t>
        </is>
      </c>
    </row>
    <row r="189">
      <c r="A189" s="30" t="inlineStr">
        <is>
          <t>JSWDULUX</t>
        </is>
      </c>
      <c r="B189" s="30" t="inlineStr">
        <is>
          <t>JSW Dulux Ltd</t>
        </is>
      </c>
      <c r="C189" s="30" t="inlineStr">
        <is>
          <t>building materials</t>
        </is>
      </c>
      <c r="D189" s="30" t="inlineStr">
        <is>
          <t>paints / varnishes</t>
        </is>
      </c>
      <c r="E189" s="30" t="inlineStr">
        <is>
          <t>midcap</t>
        </is>
      </c>
      <c r="F189" s="30" t="n">
        <v>14478.18</v>
      </c>
      <c r="G189" s="30" t="n">
        <v>3179.7</v>
      </c>
      <c r="H189" s="30" t="n">
        <v>0.02</v>
      </c>
      <c r="I189" s="30" t="n">
        <v>6736</v>
      </c>
      <c r="J189" s="30" t="inlineStr">
        <is>
          <t>500710</t>
        </is>
      </c>
    </row>
    <row r="190">
      <c r="A190" s="30" t="inlineStr">
        <is>
          <t>SEAMECLTD</t>
        </is>
      </c>
      <c r="B190" s="30" t="inlineStr">
        <is>
          <t>Seamec Limited</t>
        </is>
      </c>
      <c r="C190" s="30" t="inlineStr">
        <is>
          <t>miscellaneous</t>
        </is>
      </c>
      <c r="D190" s="30" t="inlineStr">
        <is>
          <t>miscellaneous</t>
        </is>
      </c>
      <c r="E190" s="30" t="inlineStr">
        <is>
          <t>smallcap</t>
        </is>
      </c>
      <c r="F190" s="30" t="n">
        <v>4506.84</v>
      </c>
      <c r="G190" s="30" t="n">
        <v>1772.9</v>
      </c>
      <c r="H190" s="30" t="n">
        <v>0.02</v>
      </c>
      <c r="I190" s="30" t="n">
        <v>55736</v>
      </c>
      <c r="J190" s="30" t="inlineStr">
        <is>
          <t>526807</t>
        </is>
      </c>
    </row>
    <row r="191">
      <c r="A191" s="30" t="inlineStr">
        <is>
          <t>SHREEJISPG</t>
        </is>
      </c>
      <c r="B191" s="30" t="inlineStr">
        <is>
          <t>Shreeji Shipping Global Ltd</t>
        </is>
      </c>
      <c r="C191" s="30" t="inlineStr">
        <is>
          <t>transportation</t>
        </is>
      </c>
      <c r="D191" s="30" t="inlineStr">
        <is>
          <t>shipping</t>
        </is>
      </c>
      <c r="E191" s="30" t="inlineStr">
        <is>
          <t>midcap</t>
        </is>
      </c>
      <c r="F191" s="30" t="n">
        <v>11617.7</v>
      </c>
      <c r="G191" s="30" t="n">
        <v>713.1</v>
      </c>
      <c r="H191" s="30" t="n">
        <v>0</v>
      </c>
      <c r="I191" s="30" t="n">
        <v>1182838</v>
      </c>
      <c r="J191" s="30" t="inlineStr">
        <is>
          <t>544490</t>
        </is>
      </c>
    </row>
    <row r="192">
      <c r="A192" s="30" t="inlineStr">
        <is>
          <t>VIJAYA</t>
        </is>
      </c>
      <c r="B192" s="30" t="inlineStr">
        <is>
          <t>Vijaya Diagnostic Centre Ltd</t>
        </is>
      </c>
      <c r="C192" s="30" t="inlineStr">
        <is>
          <t>healthcare</t>
        </is>
      </c>
      <c r="D192" s="30" t="inlineStr">
        <is>
          <t>healthcare</t>
        </is>
      </c>
      <c r="E192" s="30" t="inlineStr">
        <is>
          <t>midcap</t>
        </is>
      </c>
      <c r="F192" s="30" t="n">
        <v>15423.19</v>
      </c>
      <c r="G192" s="30" t="n">
        <v>1498.8</v>
      </c>
      <c r="H192" s="30" t="n">
        <v>-0.01</v>
      </c>
      <c r="I192" s="30" t="n">
        <v>87796</v>
      </c>
      <c r="J192" s="30" t="inlineStr">
        <is>
          <t>543350</t>
        </is>
      </c>
    </row>
    <row r="193">
      <c r="A193" s="30" t="inlineStr">
        <is>
          <t>UNIPARTS</t>
        </is>
      </c>
      <c r="B193" s="30" t="inlineStr">
        <is>
          <t>Uniparts India Ltd</t>
        </is>
      </c>
      <c r="C193" s="30" t="inlineStr">
        <is>
          <t>industrials</t>
        </is>
      </c>
      <c r="D193" s="30" t="inlineStr">
        <is>
          <t>engineering</t>
        </is>
      </c>
      <c r="E193" s="30" t="inlineStr">
        <is>
          <t>smallcap</t>
        </is>
      </c>
      <c r="F193" s="30" t="n">
        <v>4036.02</v>
      </c>
      <c r="G193" s="30" t="n">
        <v>893.85</v>
      </c>
      <c r="H193" s="30" t="n">
        <v>-0.02</v>
      </c>
      <c r="I193" s="30" t="n">
        <v>208073</v>
      </c>
      <c r="J193" s="30" t="inlineStr">
        <is>
          <t>543689</t>
        </is>
      </c>
    </row>
    <row r="194">
      <c r="A194" s="30" t="inlineStr">
        <is>
          <t>PITTIENG</t>
        </is>
      </c>
      <c r="B194" s="30" t="inlineStr">
        <is>
          <t>Pitti Engineering Ltd</t>
        </is>
      </c>
      <c r="C194" s="30" t="inlineStr">
        <is>
          <t>industrials</t>
        </is>
      </c>
      <c r="D194" s="30" t="inlineStr">
        <is>
          <t>engineering</t>
        </is>
      </c>
      <c r="E194" s="30" t="inlineStr">
        <is>
          <t>smallcap</t>
        </is>
      </c>
      <c r="F194" s="30" t="n">
        <v>4411.49</v>
      </c>
      <c r="G194" s="30" t="n">
        <v>1171.4</v>
      </c>
      <c r="H194" s="30" t="n">
        <v>-0.02</v>
      </c>
      <c r="I194" s="30" t="n">
        <v>71222</v>
      </c>
      <c r="J194" s="30" t="inlineStr">
        <is>
          <t>513519</t>
        </is>
      </c>
    </row>
    <row r="195">
      <c r="A195" s="30" t="inlineStr">
        <is>
          <t>ARMANFIN</t>
        </is>
      </c>
      <c r="B195" s="30" t="inlineStr">
        <is>
          <t>Arman Financial Services Limited</t>
        </is>
      </c>
      <c r="C195" s="30" t="inlineStr">
        <is>
          <t>financials</t>
        </is>
      </c>
      <c r="D195" s="30" t="inlineStr">
        <is>
          <t>finance &amp; investments</t>
        </is>
      </c>
      <c r="E195" s="30" t="inlineStr">
        <is>
          <t>smallcap</t>
        </is>
      </c>
      <c r="F195" s="30" t="n">
        <v>2141.96</v>
      </c>
      <c r="G195" s="30" t="n">
        <v>2036.5</v>
      </c>
      <c r="H195" s="30" t="n">
        <v>-0.03</v>
      </c>
      <c r="I195" s="30" t="n">
        <v>16638</v>
      </c>
      <c r="J195" s="30" t="inlineStr">
        <is>
          <t>531179</t>
        </is>
      </c>
    </row>
    <row r="196">
      <c r="A196" s="30" t="inlineStr">
        <is>
          <t>CGCL</t>
        </is>
      </c>
      <c r="B196" s="30" t="inlineStr">
        <is>
          <t>Capri Global Capital Limited</t>
        </is>
      </c>
      <c r="C196" s="30" t="inlineStr">
        <is>
          <t>financials</t>
        </is>
      </c>
      <c r="D196" s="30" t="inlineStr">
        <is>
          <t>finance &amp; investments</t>
        </is>
      </c>
      <c r="E196" s="30" t="inlineStr">
        <is>
          <t>largecap</t>
        </is>
      </c>
      <c r="F196" s="30" t="n">
        <v>26209.07</v>
      </c>
      <c r="G196" s="30" t="n">
        <v>272.25</v>
      </c>
      <c r="H196" s="30" t="n">
        <v>-0.06</v>
      </c>
      <c r="I196" s="30" t="n">
        <v>6527437</v>
      </c>
      <c r="J196" s="30" t="inlineStr">
        <is>
          <t>531595</t>
        </is>
      </c>
    </row>
    <row r="197">
      <c r="A197" s="30" t="inlineStr">
        <is>
          <t>ANTHEM</t>
        </is>
      </c>
      <c r="B197" s="30" t="inlineStr">
        <is>
          <t>Anthem Biosciences Ltd</t>
        </is>
      </c>
      <c r="C197" s="30" t="inlineStr">
        <is>
          <t>healthcare</t>
        </is>
      </c>
      <c r="D197" s="30" t="inlineStr">
        <is>
          <t>pharmaceuticals - indian - bulk drugs &amp; formln</t>
        </is>
      </c>
      <c r="E197" s="30" t="inlineStr">
        <is>
          <t>largecap</t>
        </is>
      </c>
      <c r="F197" s="30" t="n">
        <v>53124.37</v>
      </c>
      <c r="G197" s="30" t="n">
        <v>942.3</v>
      </c>
      <c r="H197" s="30" t="n">
        <v>-0.07000000000000001</v>
      </c>
      <c r="I197" s="30" t="n">
        <v>844850</v>
      </c>
      <c r="J197" s="30" t="inlineStr">
        <is>
          <t>544449</t>
        </is>
      </c>
    </row>
    <row r="198">
      <c r="A198" s="30" t="inlineStr">
        <is>
          <t>MIDHANI</t>
        </is>
      </c>
      <c r="B198" s="30" t="inlineStr">
        <is>
          <t>Mishra Dhatu Nigam Ltd</t>
        </is>
      </c>
      <c r="C198" s="30" t="inlineStr">
        <is>
          <t>aerospace &amp; defence</t>
        </is>
      </c>
      <c r="D198" s="30" t="inlineStr">
        <is>
          <t>steel - medium / small</t>
        </is>
      </c>
      <c r="E198" s="30" t="inlineStr">
        <is>
          <t>midcap</t>
        </is>
      </c>
      <c r="F198" s="30" t="n">
        <v>8688.83</v>
      </c>
      <c r="G198" s="30" t="n">
        <v>463.35</v>
      </c>
      <c r="H198" s="30" t="n">
        <v>-0.1</v>
      </c>
      <c r="I198" s="30" t="n">
        <v>3378828</v>
      </c>
      <c r="J198" s="30" t="inlineStr">
        <is>
          <t>541195</t>
        </is>
      </c>
    </row>
    <row r="199">
      <c r="A199" s="30" t="inlineStr">
        <is>
          <t>ORIENTHOT</t>
        </is>
      </c>
      <c r="B199" s="30" t="inlineStr">
        <is>
          <t>Oriental Hotels Limited</t>
        </is>
      </c>
      <c r="C199" s="30" t="inlineStr">
        <is>
          <t>services</t>
        </is>
      </c>
      <c r="D199" s="30" t="inlineStr">
        <is>
          <t>hotels</t>
        </is>
      </c>
      <c r="E199" s="30" t="inlineStr">
        <is>
          <t>smallcap</t>
        </is>
      </c>
      <c r="F199" s="30" t="n">
        <v>2500.03</v>
      </c>
      <c r="G199" s="30" t="n">
        <v>139.81</v>
      </c>
      <c r="H199" s="30" t="n">
        <v>-0.12</v>
      </c>
      <c r="I199" s="30" t="n">
        <v>352137</v>
      </c>
      <c r="J199" s="30" t="inlineStr">
        <is>
          <t>500314</t>
        </is>
      </c>
    </row>
    <row r="200">
      <c r="A200" s="30" t="inlineStr">
        <is>
          <t>CARYSIL</t>
        </is>
      </c>
      <c r="B200" s="30" t="inlineStr">
        <is>
          <t>Carysil Ltd</t>
        </is>
      </c>
      <c r="C200" s="30" t="inlineStr">
        <is>
          <t>consumer discretionary</t>
        </is>
      </c>
      <c r="D200" s="30" t="inlineStr">
        <is>
          <t>domestic appliances</t>
        </is>
      </c>
      <c r="E200" s="30" t="inlineStr">
        <is>
          <t>smallcap</t>
        </is>
      </c>
      <c r="F200" s="30" t="n">
        <v>3357.08</v>
      </c>
      <c r="G200" s="30" t="n">
        <v>1178.5</v>
      </c>
      <c r="H200" s="30" t="n">
        <v>-0.15</v>
      </c>
      <c r="I200" s="30" t="n">
        <v>150482</v>
      </c>
      <c r="J200" s="30" t="inlineStr">
        <is>
          <t>524091</t>
        </is>
      </c>
    </row>
    <row r="201">
      <c r="A201" s="30" t="inlineStr">
        <is>
          <t>GUJTHEM</t>
        </is>
      </c>
      <c r="B201" s="30" t="inlineStr">
        <is>
          <t>Gujarat Themis Biosyn Ltd</t>
        </is>
      </c>
      <c r="C201" s="30" t="inlineStr">
        <is>
          <t>healthcare</t>
        </is>
      </c>
      <c r="D201" s="30" t="inlineStr">
        <is>
          <t>pharmaceuticals - indian - bulk drugs</t>
        </is>
      </c>
      <c r="E201" s="30" t="inlineStr">
        <is>
          <t>smallcap</t>
        </is>
      </c>
      <c r="F201" s="30" t="n">
        <v>4693.68</v>
      </c>
      <c r="G201" s="30" t="n">
        <v>430.1</v>
      </c>
      <c r="H201" s="30" t="n">
        <v>-0.15</v>
      </c>
      <c r="I201" s="30" t="n">
        <v>1458568</v>
      </c>
      <c r="J201" s="30" t="inlineStr">
        <is>
          <t>506879</t>
        </is>
      </c>
    </row>
    <row r="202">
      <c r="A202" s="30" t="inlineStr">
        <is>
          <t>LALPATHLAB</t>
        </is>
      </c>
      <c r="B202" s="30" t="inlineStr">
        <is>
          <t>Dr. Lal Path Labs Ltd.</t>
        </is>
      </c>
      <c r="C202" s="30" t="inlineStr">
        <is>
          <t>healthcare</t>
        </is>
      </c>
      <c r="D202" s="30" t="inlineStr">
        <is>
          <t>healthcare</t>
        </is>
      </c>
      <c r="E202" s="30" t="inlineStr">
        <is>
          <t>largecap</t>
        </is>
      </c>
      <c r="F202" s="30" t="n">
        <v>32181.42</v>
      </c>
      <c r="G202" s="30" t="n">
        <v>1916.7</v>
      </c>
      <c r="H202" s="30" t="n">
        <v>-0.16</v>
      </c>
      <c r="I202" s="30" t="n">
        <v>165825</v>
      </c>
      <c r="J202" s="30" t="inlineStr">
        <is>
          <t>539524</t>
        </is>
      </c>
    </row>
    <row r="203">
      <c r="A203" s="30" t="inlineStr">
        <is>
          <t>ARVIND</t>
        </is>
      </c>
      <c r="B203" s="30" t="inlineStr">
        <is>
          <t>Arvind Limited</t>
        </is>
      </c>
      <c r="C203" s="30" t="inlineStr">
        <is>
          <t>textiles</t>
        </is>
      </c>
      <c r="D203" s="30" t="inlineStr">
        <is>
          <t>textiles - cotton/blended</t>
        </is>
      </c>
      <c r="E203" s="30" t="inlineStr">
        <is>
          <t>midcap</t>
        </is>
      </c>
      <c r="F203" s="30" t="n">
        <v>15528.08</v>
      </c>
      <c r="G203" s="30" t="n">
        <v>569.8</v>
      </c>
      <c r="H203" s="30" t="n">
        <v>-0.18</v>
      </c>
      <c r="I203" s="30" t="n">
        <v>423712</v>
      </c>
      <c r="J203" s="30" t="inlineStr">
        <is>
          <t>500101</t>
        </is>
      </c>
    </row>
    <row r="204">
      <c r="A204" s="30" t="inlineStr">
        <is>
          <t>PASUPTAC</t>
        </is>
      </c>
      <c r="B204" s="30" t="inlineStr">
        <is>
          <t>Pasupati Acrylon Ltd</t>
        </is>
      </c>
      <c r="C204" s="30" t="inlineStr">
        <is>
          <t>textiles</t>
        </is>
      </c>
      <c r="D204" s="30" t="inlineStr">
        <is>
          <t>textiles - manmade</t>
        </is>
      </c>
      <c r="E204" s="30" t="inlineStr">
        <is>
          <t>smallcap</t>
        </is>
      </c>
      <c r="F204" s="30" t="n">
        <v>605.3</v>
      </c>
      <c r="G204" s="30" t="n">
        <v>67.76000000000001</v>
      </c>
      <c r="H204" s="30" t="n">
        <v>-0.22</v>
      </c>
      <c r="I204" s="30" t="n">
        <v>41488</v>
      </c>
      <c r="J204" s="30" t="inlineStr">
        <is>
          <t>500456</t>
        </is>
      </c>
    </row>
    <row r="205">
      <c r="A205" s="30" t="inlineStr">
        <is>
          <t>SKYGOLD</t>
        </is>
      </c>
      <c r="B205" s="30" t="inlineStr">
        <is>
          <t>Sky Gold Ltd</t>
        </is>
      </c>
      <c r="C205" s="30" t="inlineStr">
        <is>
          <t>consumer discretionary</t>
        </is>
      </c>
      <c r="D205" s="30" t="inlineStr">
        <is>
          <t>diamond cutting / jewellery</t>
        </is>
      </c>
      <c r="E205" s="30" t="inlineStr">
        <is>
          <t>midcap</t>
        </is>
      </c>
      <c r="F205" s="30" t="n">
        <v>12888.6</v>
      </c>
      <c r="G205" s="30" t="n">
        <v>830.3</v>
      </c>
      <c r="H205" s="30" t="n">
        <v>-0.23</v>
      </c>
      <c r="I205" s="30" t="n">
        <v>750031</v>
      </c>
      <c r="J205" s="30" t="inlineStr">
        <is>
          <t>541967</t>
        </is>
      </c>
    </row>
    <row r="206">
      <c r="A206" s="30" t="inlineStr">
        <is>
          <t>GODREJAGRO</t>
        </is>
      </c>
      <c r="B206" s="30" t="inlineStr">
        <is>
          <t>Godrej Agrovet Ltd</t>
        </is>
      </c>
      <c r="C206" s="30" t="inlineStr">
        <is>
          <t>fmcg</t>
        </is>
      </c>
      <c r="D206" s="30" t="inlineStr">
        <is>
          <t>food - processing - indian</t>
        </is>
      </c>
      <c r="E206" s="30" t="inlineStr">
        <is>
          <t>midcap</t>
        </is>
      </c>
      <c r="F206" s="30" t="n">
        <v>12977.57</v>
      </c>
      <c r="G206" s="30" t="n">
        <v>673.05</v>
      </c>
      <c r="H206" s="30" t="n">
        <v>-0.24</v>
      </c>
      <c r="I206" s="30" t="n">
        <v>424433</v>
      </c>
      <c r="J206" s="30" t="inlineStr">
        <is>
          <t>540743</t>
        </is>
      </c>
    </row>
    <row r="207">
      <c r="A207" s="30" t="inlineStr">
        <is>
          <t>KIRLFER</t>
        </is>
      </c>
      <c r="B207" s="30" t="inlineStr">
        <is>
          <t>Kirloskar Ferrous Industries Ltd</t>
        </is>
      </c>
      <c r="C207" s="30" t="inlineStr">
        <is>
          <t>metals &amp; mining</t>
        </is>
      </c>
      <c r="D207" s="30" t="inlineStr">
        <is>
          <t>steel - large</t>
        </is>
      </c>
      <c r="E207" s="30" t="inlineStr">
        <is>
          <t>midcap</t>
        </is>
      </c>
      <c r="F207" s="30" t="n">
        <v>7709.27</v>
      </c>
      <c r="G207" s="30" t="n">
        <v>466.1</v>
      </c>
      <c r="H207" s="30" t="n">
        <v>-0.25</v>
      </c>
      <c r="I207" s="30" t="n">
        <v>75301</v>
      </c>
      <c r="J207" s="30" t="inlineStr">
        <is>
          <t>500245</t>
        </is>
      </c>
    </row>
    <row r="208">
      <c r="A208" s="30" t="inlineStr">
        <is>
          <t>MAHABANK</t>
        </is>
      </c>
      <c r="B208" s="30" t="inlineStr">
        <is>
          <t>Bank Of Maharashtra Ltd</t>
        </is>
      </c>
      <c r="C208" s="30" t="inlineStr">
        <is>
          <t>bank</t>
        </is>
      </c>
      <c r="D208" s="30" t="inlineStr">
        <is>
          <t>banks - public sector</t>
        </is>
      </c>
      <c r="E208" s="30" t="inlineStr">
        <is>
          <t>largecap</t>
        </is>
      </c>
      <c r="F208" s="30" t="n">
        <v>65039.79</v>
      </c>
      <c r="G208" s="30" t="n">
        <v>84.34999999999999</v>
      </c>
      <c r="H208" s="30" t="n">
        <v>-0.25</v>
      </c>
      <c r="I208" s="30" t="n">
        <v>15415768</v>
      </c>
      <c r="J208" s="30" t="inlineStr">
        <is>
          <t>532525</t>
        </is>
      </c>
    </row>
    <row r="209">
      <c r="A209" s="30" t="inlineStr">
        <is>
          <t>NITINSPIN</t>
        </is>
      </c>
      <c r="B209" s="30" t="inlineStr">
        <is>
          <t>Nitin Spinners Limited</t>
        </is>
      </c>
      <c r="C209" s="30" t="inlineStr">
        <is>
          <t>textiles</t>
        </is>
      </c>
      <c r="D209" s="30" t="inlineStr">
        <is>
          <t>textiles - cotton/blended</t>
        </is>
      </c>
      <c r="E209" s="30" t="inlineStr">
        <is>
          <t>smallcap</t>
        </is>
      </c>
      <c r="F209" s="30" t="n">
        <v>3661.33</v>
      </c>
      <c r="G209" s="30" t="n">
        <v>649.5</v>
      </c>
      <c r="H209" s="30" t="n">
        <v>-0.27</v>
      </c>
      <c r="I209" s="30" t="n">
        <v>188865</v>
      </c>
      <c r="J209" s="30" t="inlineStr">
        <is>
          <t>532698</t>
        </is>
      </c>
    </row>
    <row r="210">
      <c r="A210" s="30" t="inlineStr">
        <is>
          <t>PCJEWELLER</t>
        </is>
      </c>
      <c r="B210" s="30" t="inlineStr">
        <is>
          <t>Pc Jeweller Limited</t>
        </is>
      </c>
      <c r="C210" s="30" t="inlineStr">
        <is>
          <t>consumer discretionary</t>
        </is>
      </c>
      <c r="D210" s="30" t="inlineStr">
        <is>
          <t>diamond cutting / jewellery</t>
        </is>
      </c>
      <c r="E210" s="30" t="inlineStr">
        <is>
          <t>midcap</t>
        </is>
      </c>
      <c r="F210" s="30" t="n">
        <v>13468.51</v>
      </c>
      <c r="G210" s="30" t="n">
        <v>13.83</v>
      </c>
      <c r="H210" s="30" t="n">
        <v>-0.29</v>
      </c>
      <c r="I210" s="30" t="n">
        <v>530933799</v>
      </c>
      <c r="J210" s="30" t="inlineStr">
        <is>
          <t>534809</t>
        </is>
      </c>
    </row>
    <row r="211">
      <c r="A211" s="30" t="inlineStr">
        <is>
          <t>ASIANENE</t>
        </is>
      </c>
      <c r="B211" s="30" t="inlineStr">
        <is>
          <t>Asian Energy Services Ltd</t>
        </is>
      </c>
      <c r="C211" s="30" t="inlineStr">
        <is>
          <t>energy</t>
        </is>
      </c>
      <c r="D211" s="30" t="inlineStr">
        <is>
          <t>oil drilling / allied services</t>
        </is>
      </c>
      <c r="E211" s="30" t="inlineStr">
        <is>
          <t>smallcap</t>
        </is>
      </c>
      <c r="F211" s="30" t="n">
        <v>2604.12</v>
      </c>
      <c r="G211" s="30" t="n">
        <v>533.95</v>
      </c>
      <c r="H211" s="30" t="n">
        <v>-0.29</v>
      </c>
      <c r="I211" s="30" t="n">
        <v>161522</v>
      </c>
      <c r="J211" s="30" t="inlineStr">
        <is>
          <t>530355</t>
        </is>
      </c>
    </row>
    <row r="212">
      <c r="A212" s="30" t="inlineStr">
        <is>
          <t>NYKAA</t>
        </is>
      </c>
      <c r="B212" s="30" t="inlineStr">
        <is>
          <t>FSN E-Commerce Ventures Ltd</t>
        </is>
      </c>
      <c r="C212" s="30" t="inlineStr">
        <is>
          <t>i.t</t>
        </is>
      </c>
      <c r="D212" s="30" t="inlineStr">
        <is>
          <t>trading</t>
        </is>
      </c>
      <c r="E212" s="30" t="inlineStr">
        <is>
          <t>largecap</t>
        </is>
      </c>
      <c r="F212" s="30" t="n">
        <v>98229.17</v>
      </c>
      <c r="G212" s="30" t="n">
        <v>341.95</v>
      </c>
      <c r="H212" s="30" t="n">
        <v>-0.31</v>
      </c>
      <c r="I212" s="30" t="n">
        <v>3136550</v>
      </c>
      <c r="J212" s="30" t="inlineStr">
        <is>
          <t>543384</t>
        </is>
      </c>
    </row>
    <row r="213">
      <c r="A213" s="30" t="inlineStr">
        <is>
          <t>AXISCADES</t>
        </is>
      </c>
      <c r="B213" s="30" t="inlineStr">
        <is>
          <t>AXISCADES Technologies Ltd</t>
        </is>
      </c>
      <c r="C213" s="30" t="inlineStr">
        <is>
          <t>aerospace &amp; defence</t>
        </is>
      </c>
      <c r="D213" s="30" t="inlineStr">
        <is>
          <t>computers - software - medium / small</t>
        </is>
      </c>
      <c r="E213" s="30" t="inlineStr">
        <is>
          <t>midcap</t>
        </is>
      </c>
      <c r="F213" s="30" t="n">
        <v>7977.54</v>
      </c>
      <c r="G213" s="30" t="n">
        <v>1869.7</v>
      </c>
      <c r="H213" s="30" t="n">
        <v>-0.32</v>
      </c>
      <c r="I213" s="30" t="n">
        <v>144733</v>
      </c>
      <c r="J213" s="30" t="inlineStr">
        <is>
          <t>532395</t>
        </is>
      </c>
    </row>
    <row r="214">
      <c r="A214" s="30" t="inlineStr">
        <is>
          <t>HATSUN</t>
        </is>
      </c>
      <c r="B214" s="30" t="inlineStr">
        <is>
          <t>Hatsun Agro Product Limited</t>
        </is>
      </c>
      <c r="C214" s="30" t="inlineStr">
        <is>
          <t>fmcg</t>
        </is>
      </c>
      <c r="D214" s="30" t="inlineStr">
        <is>
          <t>food - processing - indian</t>
        </is>
      </c>
      <c r="E214" s="30" t="inlineStr">
        <is>
          <t>largecap</t>
        </is>
      </c>
      <c r="F214" s="30" t="n">
        <v>26709.74</v>
      </c>
      <c r="G214" s="30" t="n">
        <v>1194.5</v>
      </c>
      <c r="H214" s="30" t="n">
        <v>-0.38</v>
      </c>
      <c r="I214" s="30" t="n">
        <v>31094</v>
      </c>
      <c r="J214" s="30" t="inlineStr">
        <is>
          <t>531531</t>
        </is>
      </c>
    </row>
    <row r="215">
      <c r="A215" s="30" t="inlineStr">
        <is>
          <t>ENGINERSIN</t>
        </is>
      </c>
      <c r="B215" s="30" t="inlineStr">
        <is>
          <t>Engineers India Limited</t>
        </is>
      </c>
      <c r="C215" s="30" t="inlineStr">
        <is>
          <t>realty</t>
        </is>
      </c>
      <c r="D215" s="30" t="inlineStr">
        <is>
          <t>engineering - turnkey services</t>
        </is>
      </c>
      <c r="E215" s="30" t="inlineStr">
        <is>
          <t>midcap</t>
        </is>
      </c>
      <c r="F215" s="30" t="n">
        <v>15349.38</v>
      </c>
      <c r="G215" s="30" t="n">
        <v>272.05</v>
      </c>
      <c r="H215" s="30" t="n">
        <v>-0.38</v>
      </c>
      <c r="I215" s="30" t="n">
        <v>1648920</v>
      </c>
      <c r="J215" s="30" t="inlineStr">
        <is>
          <t>532178</t>
        </is>
      </c>
    </row>
    <row r="216">
      <c r="A216" s="30" t="inlineStr">
        <is>
          <t>ADANIPORTS</t>
        </is>
      </c>
      <c r="B216" s="30" t="inlineStr">
        <is>
          <t>Adani Ports And Special Economic Zone Limited</t>
        </is>
      </c>
      <c r="C216" s="30" t="inlineStr">
        <is>
          <t>transportation</t>
        </is>
      </c>
      <c r="D216" s="30" t="inlineStr">
        <is>
          <t>miscellaneous</t>
        </is>
      </c>
      <c r="E216" s="30" t="inlineStr">
        <is>
          <t>largecap</t>
        </is>
      </c>
      <c r="F216" s="30" t="n">
        <v>408952.74</v>
      </c>
      <c r="G216" s="30" t="n">
        <v>1768</v>
      </c>
      <c r="H216" s="30" t="n">
        <v>-0.39</v>
      </c>
      <c r="I216" s="30" t="n">
        <v>2777377</v>
      </c>
      <c r="J216" s="30" t="inlineStr">
        <is>
          <t>532921</t>
        </is>
      </c>
    </row>
    <row r="217">
      <c r="A217" s="30" t="inlineStr">
        <is>
          <t>MOLDTECH</t>
        </is>
      </c>
      <c r="B217" s="30" t="inlineStr">
        <is>
          <t>Mold-tek Technologies Limited</t>
        </is>
      </c>
      <c r="C217" s="30" t="inlineStr">
        <is>
          <t>realty</t>
        </is>
      </c>
      <c r="D217" s="30" t="inlineStr">
        <is>
          <t>engineering - turnkey services</t>
        </is>
      </c>
      <c r="E217" s="30" t="inlineStr">
        <is>
          <t>smallcap</t>
        </is>
      </c>
      <c r="F217" s="30" t="n">
        <v>612.14</v>
      </c>
      <c r="G217" s="30" t="n">
        <v>211.69</v>
      </c>
      <c r="H217" s="30" t="n">
        <v>-0.39</v>
      </c>
      <c r="I217" s="30" t="n">
        <v>23425</v>
      </c>
      <c r="J217" s="30" t="inlineStr">
        <is>
          <t>526263</t>
        </is>
      </c>
    </row>
    <row r="218">
      <c r="A218" s="30" t="inlineStr">
        <is>
          <t>MANORAMA</t>
        </is>
      </c>
      <c r="B218" s="30" t="inlineStr">
        <is>
          <t>Manorama Industries Ltd</t>
        </is>
      </c>
      <c r="C218" s="30" t="inlineStr">
        <is>
          <t>fmcg</t>
        </is>
      </c>
      <c r="D218" s="30" t="inlineStr">
        <is>
          <t>food - processing - indian</t>
        </is>
      </c>
      <c r="E218" s="30" t="inlineStr">
        <is>
          <t>midcap</t>
        </is>
      </c>
      <c r="F218" s="30" t="n">
        <v>12498.79</v>
      </c>
      <c r="G218" s="30" t="n">
        <v>2085</v>
      </c>
      <c r="H218" s="30" t="n">
        <v>-0.4</v>
      </c>
      <c r="I218" s="30" t="n">
        <v>216714</v>
      </c>
      <c r="J218" s="30" t="inlineStr">
        <is>
          <t>541974</t>
        </is>
      </c>
    </row>
    <row r="219">
      <c r="A219" s="30" t="inlineStr">
        <is>
          <t>KAMDHENU</t>
        </is>
      </c>
      <c r="B219" s="30" t="inlineStr">
        <is>
          <t>Kamdhenu Limited</t>
        </is>
      </c>
      <c r="C219" s="30" t="inlineStr">
        <is>
          <t>metals &amp; mining</t>
        </is>
      </c>
      <c r="D219" s="30" t="inlineStr">
        <is>
          <t>steel - medium / small</t>
        </is>
      </c>
      <c r="E219" s="30" t="inlineStr">
        <is>
          <t>smallcap</t>
        </is>
      </c>
      <c r="F219" s="30" t="n">
        <v>1110.06</v>
      </c>
      <c r="G219" s="30" t="n">
        <v>39.22</v>
      </c>
      <c r="H219" s="30" t="n">
        <v>-0.41</v>
      </c>
      <c r="I219" s="30" t="n">
        <v>519572</v>
      </c>
      <c r="J219" s="30" t="inlineStr">
        <is>
          <t>532741</t>
        </is>
      </c>
    </row>
    <row r="220">
      <c r="A220" s="30" t="inlineStr">
        <is>
          <t>ALEMBICLTD</t>
        </is>
      </c>
      <c r="B220" s="30" t="inlineStr">
        <is>
          <t>Alembic Limited</t>
        </is>
      </c>
      <c r="C220" s="30" t="inlineStr">
        <is>
          <t>realty</t>
        </is>
      </c>
      <c r="D220" s="30" t="inlineStr">
        <is>
          <t>construction</t>
        </is>
      </c>
      <c r="E220" s="30" t="inlineStr">
        <is>
          <t>smallcap</t>
        </is>
      </c>
      <c r="F220" s="30" t="n">
        <v>2746.28</v>
      </c>
      <c r="G220" s="30" t="n">
        <v>106.5</v>
      </c>
      <c r="H220" s="30" t="n">
        <v>-0.42</v>
      </c>
      <c r="I220" s="30" t="n">
        <v>819704</v>
      </c>
      <c r="J220" s="30" t="inlineStr">
        <is>
          <t>506235</t>
        </is>
      </c>
    </row>
    <row r="221">
      <c r="A221" s="30" t="inlineStr">
        <is>
          <t>DCBBANK</t>
        </is>
      </c>
      <c r="B221" s="30" t="inlineStr">
        <is>
          <t>Dcb Bank Limited</t>
        </is>
      </c>
      <c r="C221" s="30" t="inlineStr">
        <is>
          <t>bank</t>
        </is>
      </c>
      <c r="D221" s="30" t="inlineStr">
        <is>
          <t>banks - private sector</t>
        </is>
      </c>
      <c r="E221" s="30" t="inlineStr">
        <is>
          <t>midcap</t>
        </is>
      </c>
      <c r="F221" s="30" t="n">
        <v>7346.59</v>
      </c>
      <c r="G221" s="30" t="n">
        <v>227.13</v>
      </c>
      <c r="H221" s="30" t="n">
        <v>-0.43</v>
      </c>
      <c r="I221" s="30" t="n">
        <v>925685</v>
      </c>
      <c r="J221" s="30" t="inlineStr">
        <is>
          <t>532772</t>
        </is>
      </c>
    </row>
    <row r="222">
      <c r="A222" s="30" t="inlineStr">
        <is>
          <t>IONEXCHANG</t>
        </is>
      </c>
      <c r="B222" s="30" t="inlineStr">
        <is>
          <t>Ion Exchange (India) Ltd</t>
        </is>
      </c>
      <c r="C222" s="30" t="inlineStr">
        <is>
          <t>realty</t>
        </is>
      </c>
      <c r="D222" s="30" t="inlineStr">
        <is>
          <t>engineering - turnkey services</t>
        </is>
      </c>
      <c r="E222" s="30" t="inlineStr">
        <is>
          <t>midcap</t>
        </is>
      </c>
      <c r="F222" s="30" t="n">
        <v>6415.93</v>
      </c>
      <c r="G222" s="30" t="n">
        <v>435.45</v>
      </c>
      <c r="H222" s="30" t="n">
        <v>-0.46</v>
      </c>
      <c r="I222" s="30" t="n">
        <v>480368</v>
      </c>
      <c r="J222" s="30" t="inlineStr">
        <is>
          <t>500214</t>
        </is>
      </c>
    </row>
    <row r="223">
      <c r="A223" s="30" t="inlineStr">
        <is>
          <t>OCCLLTD</t>
        </is>
      </c>
      <c r="B223" s="30" t="inlineStr">
        <is>
          <t>OCCL Ltd</t>
        </is>
      </c>
      <c r="C223" s="30" t="inlineStr">
        <is>
          <t>chemicals</t>
        </is>
      </c>
      <c r="D223" s="30" t="inlineStr">
        <is>
          <t>chemicals</t>
        </is>
      </c>
      <c r="E223" s="30" t="inlineStr">
        <is>
          <t>smallcap</t>
        </is>
      </c>
      <c r="F223" s="30" t="n">
        <v>822.58</v>
      </c>
      <c r="G223" s="30" t="n">
        <v>163.91</v>
      </c>
      <c r="H223" s="30" t="n">
        <v>-0.47</v>
      </c>
      <c r="I223" s="30" t="n">
        <v>17924</v>
      </c>
      <c r="J223" s="30" t="inlineStr">
        <is>
          <t>544278</t>
        </is>
      </c>
    </row>
    <row r="224">
      <c r="A224" s="30" t="inlineStr">
        <is>
          <t>THEMISMED</t>
        </is>
      </c>
      <c r="B224" s="30" t="inlineStr">
        <is>
          <t>Themis Medicare Limited</t>
        </is>
      </c>
      <c r="C224" s="30" t="inlineStr">
        <is>
          <t>healthcare</t>
        </is>
      </c>
      <c r="D224" s="30" t="inlineStr">
        <is>
          <t>pharmaceuticals - indian - bulk drugs &amp; formln</t>
        </is>
      </c>
      <c r="E224" s="30" t="inlineStr">
        <is>
          <t>smallcap</t>
        </is>
      </c>
      <c r="F224" s="30" t="n">
        <v>1222.26</v>
      </c>
      <c r="G224" s="30" t="n">
        <v>132.07</v>
      </c>
      <c r="H224" s="30" t="n">
        <v>-0.48</v>
      </c>
      <c r="I224" s="30" t="n">
        <v>80188</v>
      </c>
      <c r="J224" s="30" t="inlineStr">
        <is>
          <t>530199</t>
        </is>
      </c>
    </row>
    <row r="225">
      <c r="A225" s="30" t="inlineStr">
        <is>
          <t>LICHSGFIN</t>
        </is>
      </c>
      <c r="B225" s="30" t="inlineStr">
        <is>
          <t>Lic Housing Finance Limited</t>
        </is>
      </c>
      <c r="C225" s="30" t="inlineStr">
        <is>
          <t>financials</t>
        </is>
      </c>
      <c r="D225" s="30" t="inlineStr">
        <is>
          <t>finance - housing</t>
        </is>
      </c>
      <c r="E225" s="30" t="inlineStr">
        <is>
          <t>largecap</t>
        </is>
      </c>
      <c r="F225" s="30" t="n">
        <v>30528.5</v>
      </c>
      <c r="G225" s="30" t="n">
        <v>552.3</v>
      </c>
      <c r="H225" s="30" t="n">
        <v>-0.49</v>
      </c>
      <c r="I225" s="30" t="n">
        <v>2842584</v>
      </c>
      <c r="J225" s="30" t="inlineStr">
        <is>
          <t>500253</t>
        </is>
      </c>
    </row>
    <row r="226">
      <c r="A226" s="30" t="inlineStr">
        <is>
          <t>LINCOLN</t>
        </is>
      </c>
      <c r="B226" s="30" t="inlineStr">
        <is>
          <t>Lincoln Pharmaceuticals Limited</t>
        </is>
      </c>
      <c r="C226" s="30" t="inlineStr">
        <is>
          <t>healthcare</t>
        </is>
      </c>
      <c r="D226" s="30" t="inlineStr">
        <is>
          <t>pharmaceuticals - indian - formulations</t>
        </is>
      </c>
      <c r="E226" s="30" t="inlineStr">
        <is>
          <t>smallcap</t>
        </is>
      </c>
      <c r="F226" s="30" t="n">
        <v>1276.9</v>
      </c>
      <c r="G226" s="30" t="n">
        <v>634.4</v>
      </c>
      <c r="H226" s="30" t="n">
        <v>-0.49</v>
      </c>
      <c r="I226" s="30" t="n">
        <v>27777</v>
      </c>
      <c r="J226" s="30" t="inlineStr">
        <is>
          <t>531633</t>
        </is>
      </c>
    </row>
    <row r="227">
      <c r="A227" s="30" t="inlineStr">
        <is>
          <t>JYOTICNC</t>
        </is>
      </c>
      <c r="B227" s="30" t="inlineStr">
        <is>
          <t>Jyoti CNC Automation Ltd</t>
        </is>
      </c>
      <c r="C227" s="30" t="inlineStr">
        <is>
          <t>industrials</t>
        </is>
      </c>
      <c r="D227" s="30" t="inlineStr">
        <is>
          <t>engineering</t>
        </is>
      </c>
      <c r="E227" s="30" t="inlineStr">
        <is>
          <t>largecap</t>
        </is>
      </c>
      <c r="F227" s="30" t="n">
        <v>22948.13</v>
      </c>
      <c r="G227" s="30" t="n">
        <v>1003.9</v>
      </c>
      <c r="H227" s="30" t="n">
        <v>-0.51</v>
      </c>
      <c r="I227" s="30" t="n">
        <v>356066</v>
      </c>
      <c r="J227" s="30" t="inlineStr">
        <is>
          <t>544081</t>
        </is>
      </c>
    </row>
    <row r="228">
      <c r="A228" s="30" t="inlineStr">
        <is>
          <t>CONSOFINVT</t>
        </is>
      </c>
      <c r="B228" s="30" t="inlineStr">
        <is>
          <t>Consolidated Finvest &amp; Holdings Limited</t>
        </is>
      </c>
      <c r="C228" s="30" t="inlineStr">
        <is>
          <t>financials</t>
        </is>
      </c>
      <c r="D228" s="30" t="inlineStr">
        <is>
          <t>finance &amp; investments</t>
        </is>
      </c>
      <c r="E228" s="30" t="inlineStr">
        <is>
          <t>smallcap</t>
        </is>
      </c>
      <c r="F228" s="30" t="n">
        <v>986.12</v>
      </c>
      <c r="G228" s="30" t="n">
        <v>303.5</v>
      </c>
      <c r="H228" s="30" t="n">
        <v>-0.51</v>
      </c>
      <c r="I228" s="30" t="n">
        <v>3305</v>
      </c>
      <c r="J228" s="30" t="inlineStr">
        <is>
          <t>500226</t>
        </is>
      </c>
    </row>
    <row r="229">
      <c r="A229" s="30" t="inlineStr">
        <is>
          <t>DIVISLAB</t>
        </is>
      </c>
      <c r="B229" s="30" t="inlineStr">
        <is>
          <t>Divi's Laboratories Limited</t>
        </is>
      </c>
      <c r="C229" s="30" t="inlineStr">
        <is>
          <t>healthcare</t>
        </is>
      </c>
      <c r="D229" s="30" t="inlineStr">
        <is>
          <t>pharmaceuticals - indian - bulk drugs</t>
        </is>
      </c>
      <c r="E229" s="30" t="inlineStr">
        <is>
          <t>largecap</t>
        </is>
      </c>
      <c r="F229" s="30" t="n">
        <v>251876.59</v>
      </c>
      <c r="G229" s="30" t="n">
        <v>9438.5</v>
      </c>
      <c r="H229" s="30" t="n">
        <v>-0.52</v>
      </c>
      <c r="I229" s="30" t="n">
        <v>338181</v>
      </c>
      <c r="J229" s="30" t="inlineStr">
        <is>
          <t>532488</t>
        </is>
      </c>
    </row>
    <row r="230">
      <c r="A230" s="30" t="inlineStr">
        <is>
          <t>SUNDARMFIN</t>
        </is>
      </c>
      <c r="B230" s="30" t="inlineStr">
        <is>
          <t>Sundaram Finance Limited</t>
        </is>
      </c>
      <c r="C230" s="30" t="inlineStr">
        <is>
          <t>financials</t>
        </is>
      </c>
      <c r="D230" s="30" t="inlineStr">
        <is>
          <t>finance &amp; investments</t>
        </is>
      </c>
      <c r="E230" s="30" t="inlineStr">
        <is>
          <t>largecap</t>
        </is>
      </c>
      <c r="F230" s="30" t="n">
        <v>52529.91</v>
      </c>
      <c r="G230" s="30" t="n">
        <v>4703</v>
      </c>
      <c r="H230" s="30" t="n">
        <v>-0.53</v>
      </c>
      <c r="I230" s="30" t="n">
        <v>17626</v>
      </c>
      <c r="J230" s="30" t="inlineStr">
        <is>
          <t>590071</t>
        </is>
      </c>
    </row>
    <row r="231">
      <c r="A231" s="30" t="inlineStr">
        <is>
          <t>KDDL</t>
        </is>
      </c>
      <c r="B231" s="30" t="inlineStr">
        <is>
          <t>Kddl Limited</t>
        </is>
      </c>
      <c r="C231" s="30" t="inlineStr">
        <is>
          <t>consumer discretionary</t>
        </is>
      </c>
      <c r="D231" s="30" t="inlineStr">
        <is>
          <t>miscellaneous</t>
        </is>
      </c>
      <c r="E231" s="30" t="inlineStr">
        <is>
          <t>smallcap</t>
        </is>
      </c>
      <c r="F231" s="30" t="n">
        <v>4811.72</v>
      </c>
      <c r="G231" s="30" t="n">
        <v>3891.4</v>
      </c>
      <c r="H231" s="30" t="n">
        <v>-0.53</v>
      </c>
      <c r="I231" s="30" t="n">
        <v>16584</v>
      </c>
      <c r="J231" s="30" t="inlineStr">
        <is>
          <t>532054</t>
        </is>
      </c>
    </row>
    <row r="232">
      <c r="A232" s="30" t="inlineStr">
        <is>
          <t>ONEPOINT</t>
        </is>
      </c>
      <c r="B232" s="30" t="inlineStr">
        <is>
          <t>One Point One Solutions Ltd</t>
        </is>
      </c>
      <c r="C232" s="30" t="inlineStr">
        <is>
          <t>i.t</t>
        </is>
      </c>
      <c r="D232" s="30" t="inlineStr">
        <is>
          <t>computers - software - medium / small</t>
        </is>
      </c>
      <c r="E232" s="30" t="inlineStr">
        <is>
          <t>smallcap</t>
        </is>
      </c>
      <c r="F232" s="30" t="n">
        <v>1526.87</v>
      </c>
      <c r="G232" s="30" t="n">
        <v>57.74</v>
      </c>
      <c r="H232" s="30" t="n">
        <v>-0.57</v>
      </c>
      <c r="I232" s="30" t="n">
        <v>661574</v>
      </c>
      <c r="J232" s="30" t="inlineStr">
        <is>
          <t>535039</t>
        </is>
      </c>
    </row>
    <row r="233">
      <c r="A233" s="30" t="inlineStr">
        <is>
          <t>APARINDS</t>
        </is>
      </c>
      <c r="B233" s="30" t="inlineStr">
        <is>
          <t>Apar Industries Limited</t>
        </is>
      </c>
      <c r="C233" s="30" t="inlineStr">
        <is>
          <t>industrials</t>
        </is>
      </c>
      <c r="D233" s="30" t="inlineStr">
        <is>
          <t>electric equipment</t>
        </is>
      </c>
      <c r="E233" s="30" t="inlineStr">
        <is>
          <t>largecap</t>
        </is>
      </c>
      <c r="F233" s="30" t="n">
        <v>73058.85000000001</v>
      </c>
      <c r="G233" s="30" t="n">
        <v>17342</v>
      </c>
      <c r="H233" s="30" t="n">
        <v>-0.61</v>
      </c>
      <c r="I233" s="30" t="n">
        <v>114403</v>
      </c>
      <c r="J233" s="30" t="inlineStr">
        <is>
          <t>532259</t>
        </is>
      </c>
    </row>
    <row r="234">
      <c r="A234" s="30" t="inlineStr">
        <is>
          <t>ADANIPOWER</t>
        </is>
      </c>
      <c r="B234" s="30" t="inlineStr">
        <is>
          <t>Adani Power Limited</t>
        </is>
      </c>
      <c r="C234" s="30" t="inlineStr">
        <is>
          <t>power &amp; utilities</t>
        </is>
      </c>
      <c r="D234" s="30" t="inlineStr">
        <is>
          <t>power generation and supply</t>
        </is>
      </c>
      <c r="E234" s="30" t="inlineStr">
        <is>
          <t>largecap</t>
        </is>
      </c>
      <c r="F234" s="30" t="n">
        <v>414428.09</v>
      </c>
      <c r="G234" s="30" t="n">
        <v>213.5</v>
      </c>
      <c r="H234" s="30" t="n">
        <v>-0.65</v>
      </c>
      <c r="I234" s="30" t="n">
        <v>18719604</v>
      </c>
      <c r="J234" s="30" t="inlineStr">
        <is>
          <t>533096</t>
        </is>
      </c>
    </row>
    <row r="235">
      <c r="A235" s="30" t="inlineStr">
        <is>
          <t>BOSCHLTD</t>
        </is>
      </c>
      <c r="B235" s="30" t="inlineStr">
        <is>
          <t>Bosch Limited</t>
        </is>
      </c>
      <c r="C235" s="30" t="inlineStr">
        <is>
          <t>auto</t>
        </is>
      </c>
      <c r="D235" s="30" t="inlineStr">
        <is>
          <t>auto ancillaries</t>
        </is>
      </c>
      <c r="E235" s="30" t="inlineStr">
        <is>
          <t>largecap</t>
        </is>
      </c>
      <c r="F235" s="30" t="n">
        <v>144825.85</v>
      </c>
      <c r="G235" s="30" t="n">
        <v>48775</v>
      </c>
      <c r="H235" s="30" t="n">
        <v>-0.66</v>
      </c>
      <c r="I235" s="30" t="n">
        <v>28128</v>
      </c>
      <c r="J235" s="30" t="inlineStr">
        <is>
          <t>500530</t>
        </is>
      </c>
    </row>
    <row r="236">
      <c r="A236" s="30" t="inlineStr">
        <is>
          <t>IGPL</t>
        </is>
      </c>
      <c r="B236" s="30" t="inlineStr">
        <is>
          <t>Ig Petrochemicals Limited</t>
        </is>
      </c>
      <c r="C236" s="30" t="inlineStr">
        <is>
          <t>chemicals</t>
        </is>
      </c>
      <c r="D236" s="30" t="inlineStr">
        <is>
          <t>chemicals</t>
        </is>
      </c>
      <c r="E236" s="30" t="inlineStr">
        <is>
          <t>smallcap</t>
        </is>
      </c>
      <c r="F236" s="30" t="n">
        <v>1715.89</v>
      </c>
      <c r="G236" s="30" t="n">
        <v>553.5</v>
      </c>
      <c r="H236" s="30" t="n">
        <v>-0.66</v>
      </c>
      <c r="I236" s="30" t="n">
        <v>44341</v>
      </c>
      <c r="J236" s="30" t="inlineStr">
        <is>
          <t>500199</t>
        </is>
      </c>
    </row>
    <row r="237">
      <c r="A237" s="30" t="inlineStr">
        <is>
          <t>SANSERA</t>
        </is>
      </c>
      <c r="B237" s="30" t="inlineStr">
        <is>
          <t>Sansera Engineering Ltd</t>
        </is>
      </c>
      <c r="C237" s="30" t="inlineStr">
        <is>
          <t>auto</t>
        </is>
      </c>
      <c r="D237" s="30" t="inlineStr">
        <is>
          <t>auto ancillaries</t>
        </is>
      </c>
      <c r="E237" s="30" t="inlineStr">
        <is>
          <t>largecap</t>
        </is>
      </c>
      <c r="F237" s="30" t="n">
        <v>25809.49</v>
      </c>
      <c r="G237" s="30" t="n">
        <v>4107.9</v>
      </c>
      <c r="H237" s="30" t="n">
        <v>-0.68</v>
      </c>
      <c r="I237" s="30" t="n">
        <v>157289</v>
      </c>
      <c r="J237" s="30" t="inlineStr">
        <is>
          <t>543358</t>
        </is>
      </c>
    </row>
    <row r="238">
      <c r="A238" s="30" t="inlineStr">
        <is>
          <t>ALIVUS</t>
        </is>
      </c>
      <c r="B238" s="30" t="inlineStr">
        <is>
          <t>Alivus Life Sciences Ltd</t>
        </is>
      </c>
      <c r="C238" s="30" t="inlineStr">
        <is>
          <t>healthcare</t>
        </is>
      </c>
      <c r="D238" s="30" t="inlineStr">
        <is>
          <t>pharmaceuticals - indian - bulk drugs &amp; formln</t>
        </is>
      </c>
      <c r="E238" s="30" t="inlineStr">
        <is>
          <t>midcap</t>
        </is>
      </c>
      <c r="F238" s="30" t="n">
        <v>17184.32</v>
      </c>
      <c r="G238" s="30" t="n">
        <v>1390.2</v>
      </c>
      <c r="H238" s="30" t="n">
        <v>-0.71</v>
      </c>
      <c r="I238" s="30" t="n">
        <v>72284</v>
      </c>
      <c r="J238" s="30" t="inlineStr">
        <is>
          <t>543322</t>
        </is>
      </c>
    </row>
    <row r="239">
      <c r="A239" s="30" t="inlineStr">
        <is>
          <t>COMSYN</t>
        </is>
      </c>
      <c r="B239" s="30" t="inlineStr">
        <is>
          <t>Commercial Syn Bags Ltd</t>
        </is>
      </c>
      <c r="C239" s="30" t="inlineStr">
        <is>
          <t>industrials</t>
        </is>
      </c>
      <c r="D239" s="30" t="inlineStr">
        <is>
          <t>packaging</t>
        </is>
      </c>
      <c r="E239" s="30" t="inlineStr">
        <is>
          <t>smallcap</t>
        </is>
      </c>
      <c r="F239" s="30" t="n">
        <v>1214.82</v>
      </c>
      <c r="G239" s="30" t="n">
        <v>299</v>
      </c>
      <c r="H239" s="30" t="n">
        <v>-0.71</v>
      </c>
      <c r="I239" s="30" t="n">
        <v>468907</v>
      </c>
      <c r="J239" s="30" t="inlineStr">
        <is>
          <t>539986</t>
        </is>
      </c>
    </row>
    <row r="240">
      <c r="A240" s="30" t="inlineStr">
        <is>
          <t>PAYTM</t>
        </is>
      </c>
      <c r="B240" s="30" t="inlineStr">
        <is>
          <t>One 97 Communications Ltd</t>
        </is>
      </c>
      <c r="C240" s="30" t="inlineStr">
        <is>
          <t>i.t</t>
        </is>
      </c>
      <c r="D240" s="30" t="inlineStr">
        <is>
          <t>miscellaneous</t>
        </is>
      </c>
      <c r="E240" s="30" t="inlineStr">
        <is>
          <t>largecap</t>
        </is>
      </c>
      <c r="F240" s="30" t="n">
        <v>112155.03</v>
      </c>
      <c r="G240" s="30" t="n">
        <v>1739</v>
      </c>
      <c r="H240" s="30" t="n">
        <v>-0.71</v>
      </c>
      <c r="I240" s="30" t="n">
        <v>1479094</v>
      </c>
      <c r="J240" s="30" t="inlineStr">
        <is>
          <t>543396</t>
        </is>
      </c>
    </row>
    <row r="241">
      <c r="A241" s="30" t="inlineStr">
        <is>
          <t>RISHABH</t>
        </is>
      </c>
      <c r="B241" s="30" t="inlineStr">
        <is>
          <t>Rishabh Instruments Ltd</t>
        </is>
      </c>
      <c r="C241" s="30" t="inlineStr">
        <is>
          <t>industrials</t>
        </is>
      </c>
      <c r="D241" s="30" t="inlineStr">
        <is>
          <t>electric equipment</t>
        </is>
      </c>
      <c r="E241" s="30" t="inlineStr">
        <is>
          <t>smallcap</t>
        </is>
      </c>
      <c r="F241" s="30" t="n">
        <v>3144.97</v>
      </c>
      <c r="G241" s="30" t="n">
        <v>809.55</v>
      </c>
      <c r="H241" s="30" t="n">
        <v>-0.78</v>
      </c>
      <c r="I241" s="30" t="n">
        <v>171348</v>
      </c>
      <c r="J241" s="30" t="inlineStr">
        <is>
          <t>543977</t>
        </is>
      </c>
    </row>
    <row r="242">
      <c r="A242" s="30" t="inlineStr">
        <is>
          <t>CUPID</t>
        </is>
      </c>
      <c r="B242" s="30" t="inlineStr">
        <is>
          <t>Cupid Limited</t>
        </is>
      </c>
      <c r="C242" s="30" t="inlineStr">
        <is>
          <t>fmcg</t>
        </is>
      </c>
      <c r="D242" s="30" t="inlineStr">
        <is>
          <t>personal care - indian</t>
        </is>
      </c>
      <c r="E242" s="30" t="inlineStr">
        <is>
          <t>largecap</t>
        </is>
      </c>
      <c r="F242" s="30" t="n">
        <v>37610.16</v>
      </c>
      <c r="G242" s="30" t="n">
        <v>277.45</v>
      </c>
      <c r="H242" s="30" t="n">
        <v>-0.8</v>
      </c>
      <c r="I242" s="30" t="n">
        <v>9575089</v>
      </c>
      <c r="J242" s="30" t="inlineStr">
        <is>
          <t>530843</t>
        </is>
      </c>
    </row>
    <row r="243">
      <c r="A243" s="30" t="inlineStr">
        <is>
          <t>KRN</t>
        </is>
      </c>
      <c r="B243" s="30" t="inlineStr">
        <is>
          <t>KRN Heat Exchanger and Refrigeration Ltd</t>
        </is>
      </c>
      <c r="C243" s="30" t="inlineStr">
        <is>
          <t>industrials</t>
        </is>
      </c>
      <c r="D243" s="30" t="inlineStr">
        <is>
          <t>engineering</t>
        </is>
      </c>
      <c r="E243" s="30" t="inlineStr">
        <is>
          <t>midcap</t>
        </is>
      </c>
      <c r="F243" s="30" t="n">
        <v>10455.68</v>
      </c>
      <c r="G243" s="30" t="n">
        <v>1584.6</v>
      </c>
      <c r="H243" s="30" t="n">
        <v>-0.8</v>
      </c>
      <c r="I243" s="30" t="n">
        <v>88038</v>
      </c>
      <c r="J243" s="30" t="inlineStr">
        <is>
          <t>544263</t>
        </is>
      </c>
    </row>
    <row r="244">
      <c r="A244" s="30" t="inlineStr">
        <is>
          <t>GPTHEALTH</t>
        </is>
      </c>
      <c r="B244" s="30" t="inlineStr">
        <is>
          <t>GPT Healthcare Ltd</t>
        </is>
      </c>
      <c r="C244" s="30" t="inlineStr">
        <is>
          <t>healthcare</t>
        </is>
      </c>
      <c r="D244" s="30" t="inlineStr">
        <is>
          <t>healthcare</t>
        </is>
      </c>
      <c r="E244" s="30" t="inlineStr">
        <is>
          <t>smallcap</t>
        </is>
      </c>
      <c r="F244" s="30" t="n">
        <v>1334.46</v>
      </c>
      <c r="G244" s="30" t="n">
        <v>161.29</v>
      </c>
      <c r="H244" s="30" t="n">
        <v>-0.82</v>
      </c>
      <c r="I244" s="30" t="n">
        <v>145904</v>
      </c>
      <c r="J244" s="30" t="inlineStr">
        <is>
          <t>544131</t>
        </is>
      </c>
    </row>
    <row r="245">
      <c r="A245" s="30" t="inlineStr">
        <is>
          <t>VINCOFE</t>
        </is>
      </c>
      <c r="B245" s="30" t="inlineStr">
        <is>
          <t>Vintage Coffee &amp; Beverages Ltd</t>
        </is>
      </c>
      <c r="C245" s="30" t="inlineStr">
        <is>
          <t>consumer discretionary</t>
        </is>
      </c>
      <c r="D245" s="30" t="inlineStr">
        <is>
          <t>trading</t>
        </is>
      </c>
      <c r="E245" s="30" t="inlineStr">
        <is>
          <t>smallcap</t>
        </is>
      </c>
      <c r="F245" s="30" t="n">
        <v>2599.08</v>
      </c>
      <c r="G245" s="30" t="n">
        <v>176.93</v>
      </c>
      <c r="H245" s="30" t="n">
        <v>-0.82</v>
      </c>
      <c r="I245" s="30" t="n">
        <v>3362417</v>
      </c>
      <c r="J245" s="30" t="inlineStr">
        <is>
          <t>538920</t>
        </is>
      </c>
    </row>
    <row r="246">
      <c r="A246" s="30" t="inlineStr">
        <is>
          <t>LGBBROSLTD</t>
        </is>
      </c>
      <c r="B246" s="30" t="inlineStr">
        <is>
          <t>Lg Balakrishnan &amp; Bros Limited</t>
        </is>
      </c>
      <c r="C246" s="30" t="inlineStr">
        <is>
          <t>auto</t>
        </is>
      </c>
      <c r="D246" s="30" t="inlineStr">
        <is>
          <t>bearings</t>
        </is>
      </c>
      <c r="E246" s="30" t="inlineStr">
        <is>
          <t>midcap</t>
        </is>
      </c>
      <c r="F246" s="30" t="n">
        <v>5516.43</v>
      </c>
      <c r="G246" s="30" t="n">
        <v>1715.4</v>
      </c>
      <c r="H246" s="30" t="n">
        <v>-0.83</v>
      </c>
      <c r="I246" s="30" t="n">
        <v>9004</v>
      </c>
      <c r="J246" s="30" t="inlineStr">
        <is>
          <t>500250</t>
        </is>
      </c>
    </row>
    <row r="247">
      <c r="A247" s="30" t="inlineStr">
        <is>
          <t>TNPL</t>
        </is>
      </c>
      <c r="B247" s="30" t="inlineStr">
        <is>
          <t>Tamil Nadu Newsprint &amp; Papers Limited</t>
        </is>
      </c>
      <c r="C247" s="30" t="inlineStr">
        <is>
          <t>building materials</t>
        </is>
      </c>
      <c r="D247" s="30" t="inlineStr">
        <is>
          <t>paper</t>
        </is>
      </c>
      <c r="E247" s="30" t="inlineStr">
        <is>
          <t>smallcap</t>
        </is>
      </c>
      <c r="F247" s="30" t="n">
        <v>1075.12</v>
      </c>
      <c r="G247" s="30" t="n">
        <v>154.03</v>
      </c>
      <c r="H247" s="30" t="n">
        <v>-0.84</v>
      </c>
      <c r="I247" s="30" t="n">
        <v>364842</v>
      </c>
      <c r="J247" s="30" t="inlineStr">
        <is>
          <t>531426</t>
        </is>
      </c>
    </row>
    <row r="248">
      <c r="A248" s="30" t="inlineStr">
        <is>
          <t>GHCLTEXTIL</t>
        </is>
      </c>
      <c r="B248" s="30" t="inlineStr">
        <is>
          <t>GHCL Textiles Ltd</t>
        </is>
      </c>
      <c r="C248" s="30" t="inlineStr">
        <is>
          <t>textiles</t>
        </is>
      </c>
      <c r="D248" s="30" t="inlineStr">
        <is>
          <t>textiles - spinning - synthetic / blended</t>
        </is>
      </c>
      <c r="E248" s="30" t="inlineStr">
        <is>
          <t>smallcap</t>
        </is>
      </c>
      <c r="F248" s="30" t="n">
        <v>1277.7</v>
      </c>
      <c r="G248" s="30" t="n">
        <v>132.54</v>
      </c>
      <c r="H248" s="30" t="n">
        <v>-0.85</v>
      </c>
      <c r="I248" s="30" t="n">
        <v>233354</v>
      </c>
      <c r="J248" s="30" t="inlineStr">
        <is>
          <t>543918</t>
        </is>
      </c>
    </row>
    <row r="249">
      <c r="A249" s="30" t="inlineStr">
        <is>
          <t>NAVINFLUOR</t>
        </is>
      </c>
      <c r="B249" s="30" t="inlineStr">
        <is>
          <t>Navin Fluorine International Limited</t>
        </is>
      </c>
      <c r="C249" s="30" t="inlineStr">
        <is>
          <t>chemicals</t>
        </is>
      </c>
      <c r="D249" s="30" t="inlineStr">
        <is>
          <t>chemicals</t>
        </is>
      </c>
      <c r="E249" s="30" t="inlineStr">
        <is>
          <t>largecap</t>
        </is>
      </c>
      <c r="F249" s="30" t="n">
        <v>45010.56</v>
      </c>
      <c r="G249" s="30" t="n">
        <v>8700.5</v>
      </c>
      <c r="H249" s="30" t="n">
        <v>-0.85</v>
      </c>
      <c r="I249" s="30" t="n">
        <v>65488</v>
      </c>
      <c r="J249" s="30" t="inlineStr">
        <is>
          <t>532504</t>
        </is>
      </c>
    </row>
    <row r="250">
      <c r="A250" s="30" t="inlineStr">
        <is>
          <t>ORCHPHARMA</t>
        </is>
      </c>
      <c r="B250" s="30" t="inlineStr">
        <is>
          <t>Orchid Pharma Ltd</t>
        </is>
      </c>
      <c r="C250" s="30" t="inlineStr">
        <is>
          <t>healthcare</t>
        </is>
      </c>
      <c r="D250" s="30" t="inlineStr">
        <is>
          <t>pharmaceuticals - indian - bulk drugs &amp; formln</t>
        </is>
      </c>
      <c r="E250" s="30" t="inlineStr">
        <is>
          <t>midcap</t>
        </is>
      </c>
      <c r="F250" s="30" t="n">
        <v>5197.95</v>
      </c>
      <c r="G250" s="30" t="n">
        <v>1016.1</v>
      </c>
      <c r="H250" s="30" t="n">
        <v>-0.85</v>
      </c>
      <c r="I250" s="30" t="n">
        <v>43310</v>
      </c>
      <c r="J250" s="30" t="inlineStr">
        <is>
          <t>524372</t>
        </is>
      </c>
    </row>
    <row r="251">
      <c r="A251" s="30" t="inlineStr">
        <is>
          <t>CLSEL</t>
        </is>
      </c>
      <c r="B251" s="30" t="inlineStr">
        <is>
          <t>Chamanlal Setia Exports Ltd</t>
        </is>
      </c>
      <c r="C251" s="30" t="inlineStr">
        <is>
          <t>fmcg</t>
        </is>
      </c>
      <c r="D251" s="30" t="inlineStr">
        <is>
          <t>food - processing - indian</t>
        </is>
      </c>
      <c r="E251" s="30" t="inlineStr">
        <is>
          <t>smallcap</t>
        </is>
      </c>
      <c r="F251" s="30" t="n">
        <v>1517.63</v>
      </c>
      <c r="G251" s="30" t="n">
        <v>302.55</v>
      </c>
      <c r="H251" s="30" t="n">
        <v>-0.87</v>
      </c>
      <c r="I251" s="30" t="n">
        <v>57907</v>
      </c>
      <c r="J251" s="30" t="inlineStr">
        <is>
          <t>530307</t>
        </is>
      </c>
    </row>
    <row r="252">
      <c r="A252" s="30" t="inlineStr">
        <is>
          <t>PFOCUS</t>
        </is>
      </c>
      <c r="B252" s="30" t="inlineStr">
        <is>
          <t>Prime Focus Limited</t>
        </is>
      </c>
      <c r="C252" s="30" t="inlineStr">
        <is>
          <t>realty</t>
        </is>
      </c>
      <c r="D252" s="30" t="inlineStr">
        <is>
          <t>miscellaneous</t>
        </is>
      </c>
      <c r="E252" s="30" t="inlineStr">
        <is>
          <t>largecap</t>
        </is>
      </c>
      <c r="F252" s="30" t="n">
        <v>24560.4</v>
      </c>
      <c r="G252" s="30" t="n">
        <v>313.55</v>
      </c>
      <c r="H252" s="30" t="n">
        <v>-0.87</v>
      </c>
      <c r="I252" s="30" t="n">
        <v>374526</v>
      </c>
      <c r="J252" s="30" t="inlineStr">
        <is>
          <t>532748</t>
        </is>
      </c>
    </row>
    <row r="253">
      <c r="A253" s="30" t="inlineStr">
        <is>
          <t>ADANIENT</t>
        </is>
      </c>
      <c r="B253" s="30" t="inlineStr">
        <is>
          <t>Adani Enterprises Limited</t>
        </is>
      </c>
      <c r="C253" s="30" t="inlineStr">
        <is>
          <t>services</t>
        </is>
      </c>
      <c r="D253" s="30" t="inlineStr">
        <is>
          <t>trading</t>
        </is>
      </c>
      <c r="E253" s="30" t="inlineStr">
        <is>
          <t>largecap</t>
        </is>
      </c>
      <c r="F253" s="30" t="n">
        <v>420290.26</v>
      </c>
      <c r="G253" s="30" t="n">
        <v>3077.2</v>
      </c>
      <c r="H253" s="30" t="n">
        <v>-0.89</v>
      </c>
      <c r="I253" s="30" t="n">
        <v>1716315</v>
      </c>
      <c r="J253" s="30" t="inlineStr">
        <is>
          <t>512599</t>
        </is>
      </c>
    </row>
    <row r="254">
      <c r="A254" s="30" t="inlineStr">
        <is>
          <t>QUADFUTURE</t>
        </is>
      </c>
      <c r="B254" s="30" t="inlineStr">
        <is>
          <t>Quadrant Future Tek Ltd</t>
        </is>
      </c>
      <c r="C254" s="30" t="inlineStr">
        <is>
          <t>industrials</t>
        </is>
      </c>
      <c r="D254" s="30" t="inlineStr">
        <is>
          <t>cables - power</t>
        </is>
      </c>
      <c r="E254" s="30" t="inlineStr">
        <is>
          <t>smallcap</t>
        </is>
      </c>
      <c r="F254" s="30" t="n">
        <v>1759.4</v>
      </c>
      <c r="G254" s="30" t="n">
        <v>435.8</v>
      </c>
      <c r="H254" s="30" t="n">
        <v>-0.92</v>
      </c>
      <c r="I254" s="30" t="n">
        <v>431820</v>
      </c>
      <c r="J254" s="30" t="inlineStr">
        <is>
          <t>544336</t>
        </is>
      </c>
    </row>
    <row r="255">
      <c r="A255" s="30" t="inlineStr">
        <is>
          <t>CENTUM</t>
        </is>
      </c>
      <c r="B255" s="30" t="inlineStr">
        <is>
          <t>Centum Electronics Limited</t>
        </is>
      </c>
      <c r="C255" s="30" t="inlineStr">
        <is>
          <t>aerospace &amp; defence</t>
        </is>
      </c>
      <c r="D255" s="30" t="inlineStr">
        <is>
          <t>electronics - components</t>
        </is>
      </c>
      <c r="E255" s="30" t="inlineStr">
        <is>
          <t>midcap</t>
        </is>
      </c>
      <c r="F255" s="30" t="n">
        <v>6273.32</v>
      </c>
      <c r="G255" s="30" t="n">
        <v>4210.4</v>
      </c>
      <c r="H255" s="30" t="n">
        <v>-0.9399999999999999</v>
      </c>
      <c r="I255" s="30" t="n">
        <v>21690</v>
      </c>
      <c r="J255" s="30" t="inlineStr">
        <is>
          <t>517544</t>
        </is>
      </c>
    </row>
    <row r="256">
      <c r="A256" s="30" t="inlineStr">
        <is>
          <t>MOTILALOFS</t>
        </is>
      </c>
      <c r="B256" s="30" t="inlineStr">
        <is>
          <t>Motilal Oswal Financial Services Limited</t>
        </is>
      </c>
      <c r="C256" s="30" t="inlineStr">
        <is>
          <t>financials</t>
        </is>
      </c>
      <c r="D256" s="30" t="inlineStr">
        <is>
          <t>finance &amp; investments</t>
        </is>
      </c>
      <c r="E256" s="30" t="inlineStr">
        <is>
          <t>largecap</t>
        </is>
      </c>
      <c r="F256" s="30" t="n">
        <v>61720.04</v>
      </c>
      <c r="G256" s="30" t="n">
        <v>1015</v>
      </c>
      <c r="H256" s="30" t="n">
        <v>-0.98</v>
      </c>
      <c r="I256" s="30" t="n">
        <v>338388</v>
      </c>
      <c r="J256" s="30" t="inlineStr">
        <is>
          <t>532892</t>
        </is>
      </c>
    </row>
    <row r="257">
      <c r="A257" s="30" t="inlineStr">
        <is>
          <t>MANALIPETC</t>
        </is>
      </c>
      <c r="B257" s="30" t="inlineStr">
        <is>
          <t>Manali Petrochemicals Limited</t>
        </is>
      </c>
      <c r="C257" s="30" t="inlineStr">
        <is>
          <t>energy</t>
        </is>
      </c>
      <c r="D257" s="30" t="inlineStr">
        <is>
          <t>petrochemicals</t>
        </is>
      </c>
      <c r="E257" s="30" t="inlineStr">
        <is>
          <t>smallcap</t>
        </is>
      </c>
      <c r="F257" s="30" t="n">
        <v>1498.97</v>
      </c>
      <c r="G257" s="30" t="n">
        <v>86.27</v>
      </c>
      <c r="H257" s="30" t="n">
        <v>-1.01</v>
      </c>
      <c r="I257" s="30" t="n">
        <v>1530559</v>
      </c>
      <c r="J257" s="30" t="inlineStr">
        <is>
          <t>500268</t>
        </is>
      </c>
    </row>
    <row r="258">
      <c r="A258" s="30" t="inlineStr">
        <is>
          <t>HAL</t>
        </is>
      </c>
      <c r="B258" s="30" t="inlineStr">
        <is>
          <t>Hindustan Aeronautics Ltd</t>
        </is>
      </c>
      <c r="C258" s="30" t="inlineStr">
        <is>
          <t>aerospace &amp; defence</t>
        </is>
      </c>
      <c r="D258" s="30" t="inlineStr">
        <is>
          <t>engineering</t>
        </is>
      </c>
      <c r="E258" s="30" t="inlineStr">
        <is>
          <t>largecap</t>
        </is>
      </c>
      <c r="F258" s="30" t="n">
        <v>334420.94</v>
      </c>
      <c r="G258" s="30" t="n">
        <v>4950</v>
      </c>
      <c r="H258" s="30" t="n">
        <v>-1.01</v>
      </c>
      <c r="I258" s="30" t="n">
        <v>688500</v>
      </c>
      <c r="J258" s="30" t="inlineStr">
        <is>
          <t>541154</t>
        </is>
      </c>
    </row>
    <row r="259">
      <c r="A259" s="30" t="inlineStr">
        <is>
          <t>HAPPYFORGE</t>
        </is>
      </c>
      <c r="B259" s="30" t="inlineStr">
        <is>
          <t>Happy Forgings Ltd</t>
        </is>
      </c>
      <c r="C259" s="30" t="inlineStr">
        <is>
          <t>industrials</t>
        </is>
      </c>
      <c r="D259" s="30" t="inlineStr">
        <is>
          <t>castings &amp; forgings</t>
        </is>
      </c>
      <c r="E259" s="30" t="inlineStr">
        <is>
          <t>largecap</t>
        </is>
      </c>
      <c r="F259" s="30" t="n">
        <v>21298.45</v>
      </c>
      <c r="G259" s="30" t="n">
        <v>2233.4</v>
      </c>
      <c r="H259" s="30" t="n">
        <v>-1.03</v>
      </c>
      <c r="I259" s="30" t="n">
        <v>58774</v>
      </c>
      <c r="J259" s="30" t="inlineStr">
        <is>
          <t>544057</t>
        </is>
      </c>
    </row>
    <row r="260">
      <c r="A260" s="30" t="inlineStr">
        <is>
          <t>RPGLIFE</t>
        </is>
      </c>
      <c r="B260" s="30" t="inlineStr">
        <is>
          <t>Rpg Life Sciences Limited</t>
        </is>
      </c>
      <c r="C260" s="30" t="inlineStr">
        <is>
          <t>healthcare</t>
        </is>
      </c>
      <c r="D260" s="30" t="inlineStr">
        <is>
          <t>pharmaceuticals - indian - bulk drugs &amp; formln</t>
        </is>
      </c>
      <c r="E260" s="30" t="inlineStr">
        <is>
          <t>smallcap</t>
        </is>
      </c>
      <c r="F260" s="30" t="n">
        <v>4650.77</v>
      </c>
      <c r="G260" s="30" t="n">
        <v>2782.7</v>
      </c>
      <c r="H260" s="30" t="n">
        <v>-1.04</v>
      </c>
      <c r="I260" s="30" t="n">
        <v>11654</v>
      </c>
      <c r="J260" s="30" t="inlineStr">
        <is>
          <t>532983</t>
        </is>
      </c>
    </row>
    <row r="261">
      <c r="A261" s="30" t="inlineStr">
        <is>
          <t>METROPOLIS</t>
        </is>
      </c>
      <c r="B261" s="30" t="inlineStr">
        <is>
          <t>Metropolis Healthcare Ltd</t>
        </is>
      </c>
      <c r="C261" s="30" t="inlineStr">
        <is>
          <t>healthcare</t>
        </is>
      </c>
      <c r="D261" s="30" t="inlineStr">
        <is>
          <t>healthcare</t>
        </is>
      </c>
      <c r="E261" s="30" t="inlineStr">
        <is>
          <t>midcap</t>
        </is>
      </c>
      <c r="F261" s="30" t="n">
        <v>12483.46</v>
      </c>
      <c r="G261" s="30" t="n">
        <v>595.65</v>
      </c>
      <c r="H261" s="30" t="n">
        <v>-1.07</v>
      </c>
      <c r="I261" s="30" t="n">
        <v>291883</v>
      </c>
      <c r="J261" s="30" t="inlineStr">
        <is>
          <t>542650</t>
        </is>
      </c>
    </row>
    <row r="262">
      <c r="A262" s="30" t="inlineStr">
        <is>
          <t>MOREPENLAB</t>
        </is>
      </c>
      <c r="B262" s="30" t="inlineStr">
        <is>
          <t>Morepen Laboratories Limited</t>
        </is>
      </c>
      <c r="C262" s="30" t="inlineStr">
        <is>
          <t>healthcare</t>
        </is>
      </c>
      <c r="D262" s="30" t="inlineStr">
        <is>
          <t>pharmaceuticals - indian - bulk drugs &amp; formln</t>
        </is>
      </c>
      <c r="E262" s="30" t="inlineStr">
        <is>
          <t>midcap</t>
        </is>
      </c>
      <c r="F262" s="30" t="n">
        <v>6385.85</v>
      </c>
      <c r="G262" s="30" t="n">
        <v>115.28</v>
      </c>
      <c r="H262" s="30" t="n">
        <v>-1.08</v>
      </c>
      <c r="I262" s="30" t="n">
        <v>9814569</v>
      </c>
      <c r="J262" s="30" t="inlineStr">
        <is>
          <t>500288</t>
        </is>
      </c>
    </row>
    <row r="263">
      <c r="A263" s="30" t="inlineStr">
        <is>
          <t>SBFC</t>
        </is>
      </c>
      <c r="B263" s="30" t="inlineStr">
        <is>
          <t>SBFC Finance Ltd</t>
        </is>
      </c>
      <c r="C263" s="30" t="inlineStr">
        <is>
          <t>financials</t>
        </is>
      </c>
      <c r="D263" s="30" t="inlineStr">
        <is>
          <t>finance &amp; investments</t>
        </is>
      </c>
      <c r="E263" s="30" t="inlineStr">
        <is>
          <t>midcap</t>
        </is>
      </c>
      <c r="F263" s="30" t="n">
        <v>11027.67</v>
      </c>
      <c r="G263" s="30" t="n">
        <v>98.48</v>
      </c>
      <c r="H263" s="30" t="n">
        <v>-1.11</v>
      </c>
      <c r="I263" s="30" t="n">
        <v>716501</v>
      </c>
      <c r="J263" s="30" t="inlineStr">
        <is>
          <t>543959</t>
        </is>
      </c>
    </row>
    <row r="264">
      <c r="A264" s="30" t="inlineStr">
        <is>
          <t>UFLEX</t>
        </is>
      </c>
      <c r="B264" s="30" t="inlineStr">
        <is>
          <t>Uflex Limited</t>
        </is>
      </c>
      <c r="C264" s="30" t="inlineStr">
        <is>
          <t>industrials</t>
        </is>
      </c>
      <c r="D264" s="30" t="inlineStr">
        <is>
          <t>packaging</t>
        </is>
      </c>
      <c r="E264" s="30" t="inlineStr">
        <is>
          <t>smallcap</t>
        </is>
      </c>
      <c r="F264" s="30" t="n">
        <v>4911.46</v>
      </c>
      <c r="G264" s="30" t="n">
        <v>672.6</v>
      </c>
      <c r="H264" s="30" t="n">
        <v>-1.11</v>
      </c>
      <c r="I264" s="30" t="n">
        <v>104598</v>
      </c>
      <c r="J264" s="30" t="inlineStr">
        <is>
          <t>500148</t>
        </is>
      </c>
    </row>
    <row r="265">
      <c r="A265" s="30" t="inlineStr">
        <is>
          <t>AZAD</t>
        </is>
      </c>
      <c r="B265" s="30" t="inlineStr">
        <is>
          <t>Azad Engineering Ltd</t>
        </is>
      </c>
      <c r="C265" s="30" t="inlineStr">
        <is>
          <t>aerospace &amp; defence</t>
        </is>
      </c>
      <c r="D265" s="30" t="inlineStr">
        <is>
          <t>engineering</t>
        </is>
      </c>
      <c r="E265" s="30" t="inlineStr">
        <is>
          <t>midcap</t>
        </is>
      </c>
      <c r="F265" s="30" t="n">
        <v>18115.18</v>
      </c>
      <c r="G265" s="30" t="n">
        <v>2773.5</v>
      </c>
      <c r="H265" s="30" t="n">
        <v>-1.12</v>
      </c>
      <c r="I265" s="30" t="n">
        <v>171925</v>
      </c>
      <c r="J265" s="30" t="inlineStr">
        <is>
          <t>544061</t>
        </is>
      </c>
    </row>
    <row r="266">
      <c r="A266" s="30" t="inlineStr">
        <is>
          <t>PANACHE</t>
        </is>
      </c>
      <c r="B266" s="30" t="inlineStr">
        <is>
          <t>Panache Digilife Ltd</t>
        </is>
      </c>
      <c r="C266" s="30" t="inlineStr">
        <is>
          <t>i.t</t>
        </is>
      </c>
      <c r="D266" s="30" t="inlineStr">
        <is>
          <t>computers - hardware</t>
        </is>
      </c>
      <c r="E266" s="30" t="inlineStr">
        <is>
          <t>smallcap</t>
        </is>
      </c>
      <c r="F266" s="30" t="n">
        <v>840.74</v>
      </c>
      <c r="G266" s="30" t="n">
        <v>519</v>
      </c>
      <c r="H266" s="30" t="n">
        <v>-1.14</v>
      </c>
      <c r="I266" s="30" t="n">
        <v>2417</v>
      </c>
      <c r="J266" s="30" t="inlineStr">
        <is>
          <t>538424</t>
        </is>
      </c>
    </row>
    <row r="267">
      <c r="A267" s="30" t="inlineStr">
        <is>
          <t>WINDLAS</t>
        </is>
      </c>
      <c r="B267" s="30" t="inlineStr">
        <is>
          <t>Windlas Biotech Ltd</t>
        </is>
      </c>
      <c r="C267" s="30" t="inlineStr">
        <is>
          <t>healthcare</t>
        </is>
      </c>
      <c r="D267" s="30" t="inlineStr">
        <is>
          <t>pharmaceuticals - indian - formulations</t>
        </is>
      </c>
      <c r="E267" s="30" t="inlineStr">
        <is>
          <t>smallcap</t>
        </is>
      </c>
      <c r="F267" s="30" t="n">
        <v>2357.59</v>
      </c>
      <c r="G267" s="30" t="n">
        <v>1129.4</v>
      </c>
      <c r="H267" s="30" t="n">
        <v>-1.14</v>
      </c>
      <c r="I267" s="30" t="n">
        <v>57449</v>
      </c>
      <c r="J267" s="30" t="inlineStr">
        <is>
          <t>543329</t>
        </is>
      </c>
    </row>
    <row r="268">
      <c r="A268" s="30" t="inlineStr">
        <is>
          <t>PARAS</t>
        </is>
      </c>
      <c r="B268" s="30" t="inlineStr">
        <is>
          <t>Paras Defence and Space Technologies Ltd</t>
        </is>
      </c>
      <c r="C268" s="30" t="inlineStr">
        <is>
          <t>aerospace &amp; defence</t>
        </is>
      </c>
      <c r="D268" s="30" t="inlineStr">
        <is>
          <t>engineering</t>
        </is>
      </c>
      <c r="E268" s="30" t="inlineStr">
        <is>
          <t>midcap</t>
        </is>
      </c>
      <c r="F268" s="30" t="n">
        <v>11846.34</v>
      </c>
      <c r="G268" s="30" t="n">
        <v>1453.3</v>
      </c>
      <c r="H268" s="30" t="n">
        <v>-1.14</v>
      </c>
      <c r="I268" s="30" t="n">
        <v>745689</v>
      </c>
      <c r="J268" s="30" t="inlineStr">
        <is>
          <t>543367</t>
        </is>
      </c>
    </row>
    <row r="269">
      <c r="A269" s="30" t="inlineStr">
        <is>
          <t>UNIMECH</t>
        </is>
      </c>
      <c r="B269" s="30" t="inlineStr">
        <is>
          <t>Unimech Aerospace and Manufacturing Ltd</t>
        </is>
      </c>
      <c r="C269" s="30" t="inlineStr">
        <is>
          <t>aerospace &amp; defence</t>
        </is>
      </c>
      <c r="D269" s="30" t="inlineStr">
        <is>
          <t>engineering</t>
        </is>
      </c>
      <c r="E269" s="30" t="inlineStr">
        <is>
          <t>midcap</t>
        </is>
      </c>
      <c r="F269" s="30" t="n">
        <v>8067.94</v>
      </c>
      <c r="G269" s="30" t="n">
        <v>1568.1</v>
      </c>
      <c r="H269" s="30" t="n">
        <v>-1.15</v>
      </c>
      <c r="I269" s="30" t="n">
        <v>132067</v>
      </c>
      <c r="J269" s="30" t="inlineStr">
        <is>
          <t>544322</t>
        </is>
      </c>
    </row>
    <row r="270">
      <c r="A270" s="30" t="inlineStr">
        <is>
          <t>RBLBANK</t>
        </is>
      </c>
      <c r="B270" s="30" t="inlineStr">
        <is>
          <t>Rbl Bank Limited</t>
        </is>
      </c>
      <c r="C270" s="30" t="inlineStr">
        <is>
          <t>bank</t>
        </is>
      </c>
      <c r="D270" s="30" t="inlineStr">
        <is>
          <t>banks - private sector</t>
        </is>
      </c>
      <c r="E270" s="30" t="inlineStr">
        <is>
          <t>largecap</t>
        </is>
      </c>
      <c r="F270" s="30" t="n">
        <v>64420.01</v>
      </c>
      <c r="G270" s="30" t="n">
        <v>410.8</v>
      </c>
      <c r="H270" s="30" t="n">
        <v>-1.25</v>
      </c>
      <c r="I270" s="30" t="n">
        <v>2711005</v>
      </c>
      <c r="J270" s="30" t="inlineStr">
        <is>
          <t>540065</t>
        </is>
      </c>
    </row>
    <row r="271">
      <c r="A271" s="30" t="inlineStr">
        <is>
          <t>DEEPINDS</t>
        </is>
      </c>
      <c r="B271" s="30" t="inlineStr">
        <is>
          <t>Deep Industries Ltd</t>
        </is>
      </c>
      <c r="C271" s="30" t="inlineStr">
        <is>
          <t>energy</t>
        </is>
      </c>
      <c r="D271" s="30" t="inlineStr">
        <is>
          <t>oil drilling / allied services</t>
        </is>
      </c>
      <c r="E271" s="30" t="inlineStr">
        <is>
          <t>midcap</t>
        </is>
      </c>
      <c r="F271" s="30" t="n">
        <v>5073.28</v>
      </c>
      <c r="G271" s="30" t="n">
        <v>782.8</v>
      </c>
      <c r="H271" s="30" t="n">
        <v>-1.25</v>
      </c>
      <c r="I271" s="30" t="n">
        <v>243710</v>
      </c>
      <c r="J271" s="30" t="inlineStr">
        <is>
          <t>543288</t>
        </is>
      </c>
    </row>
    <row r="272">
      <c r="A272" s="30" t="inlineStr">
        <is>
          <t>WOCKPHARMA</t>
        </is>
      </c>
      <c r="B272" s="30" t="inlineStr">
        <is>
          <t>Wockhardt Limited</t>
        </is>
      </c>
      <c r="C272" s="30" t="inlineStr">
        <is>
          <t>healthcare</t>
        </is>
      </c>
      <c r="D272" s="30" t="inlineStr">
        <is>
          <t>pharmaceuticals - indian - bulk drugs &amp; formln</t>
        </is>
      </c>
      <c r="E272" s="30" t="inlineStr">
        <is>
          <t>largecap</t>
        </is>
      </c>
      <c r="F272" s="30" t="n">
        <v>36541.24</v>
      </c>
      <c r="G272" s="30" t="n">
        <v>2220.6</v>
      </c>
      <c r="H272" s="30" t="n">
        <v>-1.25</v>
      </c>
      <c r="I272" s="30" t="n">
        <v>693525</v>
      </c>
      <c r="J272" s="30" t="inlineStr">
        <is>
          <t>532300</t>
        </is>
      </c>
    </row>
    <row r="273">
      <c r="A273" s="30" t="inlineStr">
        <is>
          <t>MENONBE</t>
        </is>
      </c>
      <c r="B273" s="30" t="inlineStr">
        <is>
          <t>Menon Bearings Limited</t>
        </is>
      </c>
      <c r="C273" s="30" t="inlineStr">
        <is>
          <t>auto</t>
        </is>
      </c>
      <c r="D273" s="30" t="inlineStr">
        <is>
          <t>auto ancillaries</t>
        </is>
      </c>
      <c r="E273" s="30" t="inlineStr">
        <is>
          <t>smallcap</t>
        </is>
      </c>
      <c r="F273" s="30" t="n">
        <v>1712.02</v>
      </c>
      <c r="G273" s="30" t="n">
        <v>301.65</v>
      </c>
      <c r="H273" s="30" t="n">
        <v>-1.26</v>
      </c>
      <c r="I273" s="30" t="n">
        <v>38353</v>
      </c>
      <c r="J273" s="30" t="inlineStr">
        <is>
          <t>523828</t>
        </is>
      </c>
    </row>
    <row r="274">
      <c r="A274" s="30" t="inlineStr">
        <is>
          <t>YATHARTH</t>
        </is>
      </c>
      <c r="B274" s="30" t="inlineStr">
        <is>
          <t>Yatharth Hospital &amp; Trauma Care Services Ltd</t>
        </is>
      </c>
      <c r="C274" s="30" t="inlineStr">
        <is>
          <t>healthcare</t>
        </is>
      </c>
      <c r="D274" s="30" t="inlineStr">
        <is>
          <t>healthcare</t>
        </is>
      </c>
      <c r="E274" s="30" t="inlineStr">
        <is>
          <t>midcap</t>
        </is>
      </c>
      <c r="F274" s="30" t="n">
        <v>9536.190000000001</v>
      </c>
      <c r="G274" s="30" t="n">
        <v>977.2</v>
      </c>
      <c r="H274" s="30" t="n">
        <v>-1.26</v>
      </c>
      <c r="I274" s="30" t="n">
        <v>249886</v>
      </c>
      <c r="J274" s="30" t="inlineStr">
        <is>
          <t>543950</t>
        </is>
      </c>
    </row>
    <row r="275">
      <c r="A275" s="30" t="inlineStr">
        <is>
          <t>RATNAMANI</t>
        </is>
      </c>
      <c r="B275" s="30" t="inlineStr">
        <is>
          <t>Ratnamani Metals &amp; Tubes Limited</t>
        </is>
      </c>
      <c r="C275" s="30" t="inlineStr">
        <is>
          <t>industrials</t>
        </is>
      </c>
      <c r="D275" s="30" t="inlineStr">
        <is>
          <t>steel - medium / small</t>
        </is>
      </c>
      <c r="E275" s="30" t="inlineStr">
        <is>
          <t>largecap</t>
        </is>
      </c>
      <c r="F275" s="30" t="n">
        <v>20040.7</v>
      </c>
      <c r="G275" s="30" t="n">
        <v>2823</v>
      </c>
      <c r="H275" s="30" t="n">
        <v>-1.27</v>
      </c>
      <c r="I275" s="30" t="n">
        <v>93487</v>
      </c>
      <c r="J275" s="30" t="inlineStr">
        <is>
          <t>520111</t>
        </is>
      </c>
    </row>
    <row r="276">
      <c r="A276" s="30" t="inlineStr">
        <is>
          <t>SBC</t>
        </is>
      </c>
      <c r="B276" s="30" t="inlineStr">
        <is>
          <t>SBC Exports Ltd</t>
        </is>
      </c>
      <c r="C276" s="30" t="inlineStr">
        <is>
          <t>textiles</t>
        </is>
      </c>
      <c r="D276" s="30" t="inlineStr">
        <is>
          <t>textiles - products</t>
        </is>
      </c>
      <c r="E276" s="30" t="inlineStr">
        <is>
          <t>smallcap</t>
        </is>
      </c>
      <c r="F276" s="30" t="n">
        <v>2318.09</v>
      </c>
      <c r="G276" s="30" t="n">
        <v>48.05</v>
      </c>
      <c r="H276" s="30" t="n">
        <v>-1.29</v>
      </c>
      <c r="I276" s="30" t="n">
        <v>10039752</v>
      </c>
      <c r="J276" s="30" t="inlineStr">
        <is>
          <t>542725</t>
        </is>
      </c>
    </row>
    <row r="277">
      <c r="A277" s="30" t="inlineStr">
        <is>
          <t>STLTECH</t>
        </is>
      </c>
      <c r="B277" s="30" t="inlineStr">
        <is>
          <t>Sterlite Technologies Limited</t>
        </is>
      </c>
      <c r="C277" s="30" t="inlineStr">
        <is>
          <t>industrials</t>
        </is>
      </c>
      <c r="D277" s="30" t="inlineStr">
        <is>
          <t>cables - telephone</t>
        </is>
      </c>
      <c r="E277" s="30" t="inlineStr">
        <is>
          <t>largecap</t>
        </is>
      </c>
      <c r="F277" s="30" t="n">
        <v>44498.27</v>
      </c>
      <c r="G277" s="30" t="n">
        <v>854.75</v>
      </c>
      <c r="H277" s="30" t="n">
        <v>-1.29</v>
      </c>
      <c r="I277" s="30" t="n">
        <v>2260708</v>
      </c>
      <c r="J277" s="30" t="inlineStr">
        <is>
          <t>532374</t>
        </is>
      </c>
    </row>
    <row r="278">
      <c r="A278" s="30" t="inlineStr">
        <is>
          <t>ORIENTCER</t>
        </is>
      </c>
      <c r="B278" s="30" t="inlineStr">
        <is>
          <t>Orient Ceratech Ltd</t>
        </is>
      </c>
      <c r="C278" s="30" t="inlineStr">
        <is>
          <t>building materials</t>
        </is>
      </c>
      <c r="D278" s="30" t="inlineStr">
        <is>
          <t>refractories / intermediates</t>
        </is>
      </c>
      <c r="E278" s="30" t="inlineStr">
        <is>
          <t>smallcap</t>
        </is>
      </c>
      <c r="F278" s="30" t="n">
        <v>565.89</v>
      </c>
      <c r="G278" s="30" t="n">
        <v>46.68</v>
      </c>
      <c r="H278" s="30" t="n">
        <v>-1.31</v>
      </c>
      <c r="I278" s="30" t="n">
        <v>140327</v>
      </c>
      <c r="J278" s="30" t="inlineStr">
        <is>
          <t>504879</t>
        </is>
      </c>
    </row>
    <row r="279">
      <c r="A279" s="30" t="inlineStr">
        <is>
          <t>CGPOWER</t>
        </is>
      </c>
      <c r="B279" s="30" t="inlineStr">
        <is>
          <t>CG Power and Industrial Solutions Ltd</t>
        </is>
      </c>
      <c r="C279" s="30" t="inlineStr">
        <is>
          <t>industrials</t>
        </is>
      </c>
      <c r="D279" s="30" t="inlineStr">
        <is>
          <t>electric equipment</t>
        </is>
      </c>
      <c r="E279" s="30" t="inlineStr">
        <is>
          <t>largecap</t>
        </is>
      </c>
      <c r="F279" s="30" t="n">
        <v>145992.7</v>
      </c>
      <c r="G279" s="30" t="n">
        <v>914.55</v>
      </c>
      <c r="H279" s="30" t="n">
        <v>-1.34</v>
      </c>
      <c r="I279" s="30" t="n">
        <v>1989359</v>
      </c>
      <c r="J279" s="30" t="inlineStr">
        <is>
          <t>500093</t>
        </is>
      </c>
    </row>
    <row r="280">
      <c r="A280" s="30" t="inlineStr">
        <is>
          <t>ARROWGREEN</t>
        </is>
      </c>
      <c r="B280" s="30" t="inlineStr">
        <is>
          <t>Arrow Greentech Limited</t>
        </is>
      </c>
      <c r="C280" s="30" t="inlineStr">
        <is>
          <t>plastic products</t>
        </is>
      </c>
      <c r="D280" s="30" t="inlineStr">
        <is>
          <t>plastics products</t>
        </is>
      </c>
      <c r="E280" s="30" t="inlineStr">
        <is>
          <t>smallcap</t>
        </is>
      </c>
      <c r="F280" s="30" t="n">
        <v>1211.56</v>
      </c>
      <c r="G280" s="30" t="n">
        <v>791.7</v>
      </c>
      <c r="H280" s="30" t="n">
        <v>-1.41</v>
      </c>
      <c r="I280" s="30" t="n">
        <v>17443</v>
      </c>
      <c r="J280" s="30" t="inlineStr">
        <is>
          <t>516064</t>
        </is>
      </c>
    </row>
    <row r="281">
      <c r="A281" s="30" t="inlineStr">
        <is>
          <t>SYRMA</t>
        </is>
      </c>
      <c r="B281" s="30" t="inlineStr">
        <is>
          <t>Syrma SGS Technology Ltd</t>
        </is>
      </c>
      <c r="C281" s="30" t="inlineStr">
        <is>
          <t>consumer discretionary</t>
        </is>
      </c>
      <c r="D281" s="30" t="inlineStr">
        <is>
          <t>electronics - components</t>
        </is>
      </c>
      <c r="E281" s="30" t="inlineStr">
        <is>
          <t>largecap</t>
        </is>
      </c>
      <c r="F281" s="30" t="n">
        <v>31284.82</v>
      </c>
      <c r="G281" s="30" t="n">
        <v>1598.8</v>
      </c>
      <c r="H281" s="30" t="n">
        <v>-1.45</v>
      </c>
      <c r="I281" s="30" t="n">
        <v>738911</v>
      </c>
      <c r="J281" s="30" t="inlineStr">
        <is>
          <t>543573</t>
        </is>
      </c>
    </row>
    <row r="282">
      <c r="A282" s="30" t="inlineStr">
        <is>
          <t>MCX</t>
        </is>
      </c>
      <c r="B282" s="30" t="inlineStr">
        <is>
          <t>Multi Commodity Exchange Of India Limited</t>
        </is>
      </c>
      <c r="C282" s="30" t="inlineStr">
        <is>
          <t>financials</t>
        </is>
      </c>
      <c r="D282" s="30" t="inlineStr">
        <is>
          <t>miscellaneous</t>
        </is>
      </c>
      <c r="E282" s="30" t="inlineStr">
        <is>
          <t>largecap</t>
        </is>
      </c>
      <c r="F282" s="30" t="n">
        <v>85422.27</v>
      </c>
      <c r="G282" s="30" t="n">
        <v>3300</v>
      </c>
      <c r="H282" s="30" t="n">
        <v>-1.49</v>
      </c>
      <c r="I282" s="30" t="n">
        <v>1308638</v>
      </c>
      <c r="J282" s="30" t="inlineStr">
        <is>
          <t>534091</t>
        </is>
      </c>
    </row>
    <row r="283">
      <c r="A283" s="30" t="inlineStr">
        <is>
          <t>SOFTTECH</t>
        </is>
      </c>
      <c r="B283" s="30" t="inlineStr">
        <is>
          <t>Softtech Engineers Ltd</t>
        </is>
      </c>
      <c r="C283" s="30" t="inlineStr">
        <is>
          <t>i.t</t>
        </is>
      </c>
      <c r="D283" s="30" t="inlineStr">
        <is>
          <t>computers - software - medium / small</t>
        </is>
      </c>
      <c r="E283" s="30" t="inlineStr">
        <is>
          <t>smallcap</t>
        </is>
      </c>
      <c r="F283" s="30" t="n">
        <v>611.34</v>
      </c>
      <c r="G283" s="30" t="n">
        <v>435</v>
      </c>
      <c r="H283" s="30" t="n">
        <v>-1.51</v>
      </c>
      <c r="I283" s="30" t="n">
        <v>1259</v>
      </c>
      <c r="J283" s="30" t="inlineStr">
        <is>
          <t>535078</t>
        </is>
      </c>
    </row>
    <row r="284">
      <c r="A284" s="30" t="inlineStr">
        <is>
          <t>SHANTIGOLD</t>
        </is>
      </c>
      <c r="B284" s="30" t="inlineStr">
        <is>
          <t>Shanti Gold International Ltd</t>
        </is>
      </c>
      <c r="C284" s="30" t="inlineStr">
        <is>
          <t>consumer discretionary</t>
        </is>
      </c>
      <c r="D284" s="30" t="inlineStr">
        <is>
          <t>diamond cutting / jewellery</t>
        </is>
      </c>
      <c r="E284" s="30" t="inlineStr">
        <is>
          <t>smallcap</t>
        </is>
      </c>
      <c r="F284" s="30" t="n">
        <v>2005.13</v>
      </c>
      <c r="G284" s="30" t="n">
        <v>257.29</v>
      </c>
      <c r="H284" s="30" t="n">
        <v>-1.53</v>
      </c>
      <c r="I284" s="30" t="n">
        <v>1253608</v>
      </c>
      <c r="J284" s="30" t="inlineStr">
        <is>
          <t>544459</t>
        </is>
      </c>
    </row>
    <row r="285">
      <c r="A285" s="30" t="inlineStr">
        <is>
          <t>SARDAEN</t>
        </is>
      </c>
      <c r="B285" s="30" t="inlineStr">
        <is>
          <t>Sarda Energy &amp; Minerals Limited</t>
        </is>
      </c>
      <c r="C285" s="30" t="inlineStr">
        <is>
          <t>metals &amp; mining</t>
        </is>
      </c>
      <c r="D285" s="30" t="inlineStr">
        <is>
          <t>steel - medium / small</t>
        </is>
      </c>
      <c r="E285" s="30" t="inlineStr">
        <is>
          <t>midcap</t>
        </is>
      </c>
      <c r="F285" s="30" t="n">
        <v>19234.73</v>
      </c>
      <c r="G285" s="30" t="n">
        <v>537.25</v>
      </c>
      <c r="H285" s="30" t="n">
        <v>-1.58</v>
      </c>
      <c r="I285" s="30" t="n">
        <v>752808</v>
      </c>
      <c r="J285" s="30" t="inlineStr">
        <is>
          <t>504614</t>
        </is>
      </c>
    </row>
    <row r="286">
      <c r="A286" s="30" t="inlineStr">
        <is>
          <t>ARTEMISMED</t>
        </is>
      </c>
      <c r="B286" s="30" t="inlineStr">
        <is>
          <t>Artemis Medicare Services Ltd</t>
        </is>
      </c>
      <c r="C286" s="30" t="inlineStr">
        <is>
          <t>healthcare</t>
        </is>
      </c>
      <c r="D286" s="30" t="inlineStr">
        <is>
          <t>healthcare</t>
        </is>
      </c>
      <c r="E286" s="30" t="inlineStr">
        <is>
          <t>midcap</t>
        </is>
      </c>
      <c r="F286" s="30" t="n">
        <v>5608.79</v>
      </c>
      <c r="G286" s="30" t="n">
        <v>348.55</v>
      </c>
      <c r="H286" s="30" t="n">
        <v>-1.62</v>
      </c>
      <c r="I286" s="30" t="n">
        <v>724459</v>
      </c>
      <c r="J286" s="30" t="inlineStr">
        <is>
          <t>542919</t>
        </is>
      </c>
    </row>
    <row r="287">
      <c r="A287" s="30" t="inlineStr">
        <is>
          <t>KMEW</t>
        </is>
      </c>
      <c r="B287" s="30" t="inlineStr">
        <is>
          <t>Knowledge Marine &amp; Engineering Works Ltd</t>
        </is>
      </c>
      <c r="C287" s="30" t="inlineStr">
        <is>
          <t>transportation</t>
        </is>
      </c>
      <c r="D287" s="30" t="inlineStr">
        <is>
          <t>miscellaneous</t>
        </is>
      </c>
      <c r="E287" s="30" t="inlineStr">
        <is>
          <t>midcap</t>
        </is>
      </c>
      <c r="F287" s="30" t="n">
        <v>7245.23</v>
      </c>
      <c r="G287" s="30" t="n">
        <v>2915.6</v>
      </c>
      <c r="H287" s="30" t="n">
        <v>-1.63</v>
      </c>
      <c r="I287" s="30" t="n">
        <v>51447</v>
      </c>
      <c r="J287" s="30" t="inlineStr">
        <is>
          <t>543273</t>
        </is>
      </c>
    </row>
    <row r="288">
      <c r="A288" s="30" t="inlineStr">
        <is>
          <t>MRPL</t>
        </is>
      </c>
      <c r="B288" s="30" t="inlineStr">
        <is>
          <t>Mangalore Refinery And Petrochemicals Limited</t>
        </is>
      </c>
      <c r="C288" s="30" t="inlineStr">
        <is>
          <t>energy</t>
        </is>
      </c>
      <c r="D288" s="30" t="inlineStr">
        <is>
          <t>refineries</t>
        </is>
      </c>
      <c r="E288" s="30" t="inlineStr">
        <is>
          <t>largecap</t>
        </is>
      </c>
      <c r="F288" s="30" t="n">
        <v>32328.44</v>
      </c>
      <c r="G288" s="30" t="n">
        <v>181.32</v>
      </c>
      <c r="H288" s="30" t="n">
        <v>-1.7</v>
      </c>
      <c r="I288" s="30" t="n">
        <v>31180630</v>
      </c>
      <c r="J288" s="30" t="inlineStr">
        <is>
          <t>500109</t>
        </is>
      </c>
    </row>
    <row r="289">
      <c r="A289" s="30" t="inlineStr">
        <is>
          <t>PTCIL</t>
        </is>
      </c>
      <c r="B289" s="30" t="inlineStr">
        <is>
          <t>PTC Industries Ltd</t>
        </is>
      </c>
      <c r="C289" s="30" t="inlineStr">
        <is>
          <t>industrials</t>
        </is>
      </c>
      <c r="D289" s="30" t="inlineStr">
        <is>
          <t>castings &amp; forgings</t>
        </is>
      </c>
      <c r="E289" s="30" t="inlineStr">
        <is>
          <t>largecap</t>
        </is>
      </c>
      <c r="F289" s="30" t="n">
        <v>34153.03</v>
      </c>
      <c r="G289" s="30" t="n">
        <v>22385</v>
      </c>
      <c r="H289" s="30" t="n">
        <v>-1.73</v>
      </c>
      <c r="I289" s="30" t="n">
        <v>16490</v>
      </c>
      <c r="J289" s="30" t="inlineStr">
        <is>
          <t>539006</t>
        </is>
      </c>
    </row>
    <row r="290">
      <c r="A290" s="30" t="inlineStr">
        <is>
          <t>INNOVACAP</t>
        </is>
      </c>
      <c r="B290" s="30" t="inlineStr">
        <is>
          <t>Innova Captab Ltd</t>
        </is>
      </c>
      <c r="C290" s="30" t="inlineStr">
        <is>
          <t>healthcare</t>
        </is>
      </c>
      <c r="D290" s="30" t="inlineStr">
        <is>
          <t>pharmaceuticals - indian - bulk drugs &amp; formln</t>
        </is>
      </c>
      <c r="E290" s="30" t="inlineStr">
        <is>
          <t>midcap</t>
        </is>
      </c>
      <c r="F290" s="30" t="n">
        <v>6802.33</v>
      </c>
      <c r="G290" s="30" t="n">
        <v>1167.4</v>
      </c>
      <c r="H290" s="30" t="n">
        <v>-1.79</v>
      </c>
      <c r="I290" s="30" t="n">
        <v>32787</v>
      </c>
      <c r="J290" s="30" t="inlineStr">
        <is>
          <t>544067</t>
        </is>
      </c>
    </row>
    <row r="291">
      <c r="A291" s="30" t="inlineStr">
        <is>
          <t>AUROPHARMA</t>
        </is>
      </c>
      <c r="B291" s="30" t="inlineStr">
        <is>
          <t>Aurobindo Pharma Limited</t>
        </is>
      </c>
      <c r="C291" s="30" t="inlineStr">
        <is>
          <t>healthcare</t>
        </is>
      </c>
      <c r="D291" s="30" t="inlineStr">
        <is>
          <t>pharmaceuticals - indian - bulk drugs &amp; formln</t>
        </is>
      </c>
      <c r="E291" s="30" t="inlineStr">
        <is>
          <t>largecap</t>
        </is>
      </c>
      <c r="F291" s="30" t="n">
        <v>97750.95</v>
      </c>
      <c r="G291" s="30" t="n">
        <v>1668.4</v>
      </c>
      <c r="H291" s="30" t="n">
        <v>-1.8</v>
      </c>
      <c r="I291" s="30" t="n">
        <v>798368</v>
      </c>
      <c r="J291" s="30" t="inlineStr">
        <is>
          <t>524804</t>
        </is>
      </c>
    </row>
    <row r="292">
      <c r="A292" s="30" t="inlineStr">
        <is>
          <t>KILITCH</t>
        </is>
      </c>
      <c r="B292" s="30" t="inlineStr">
        <is>
          <t>Kilitch Drugs (india) Limited</t>
        </is>
      </c>
      <c r="C292" s="30" t="inlineStr">
        <is>
          <t>healthcare</t>
        </is>
      </c>
      <c r="D292" s="30" t="inlineStr">
        <is>
          <t>pharmaceuticals - indian - formulations</t>
        </is>
      </c>
      <c r="E292" s="30" t="inlineStr">
        <is>
          <t>smallcap</t>
        </is>
      </c>
      <c r="F292" s="30" t="n">
        <v>658.85</v>
      </c>
      <c r="G292" s="30" t="n">
        <v>185.03</v>
      </c>
      <c r="H292" s="30" t="n">
        <v>-1.81</v>
      </c>
      <c r="I292" s="30" t="n">
        <v>10194</v>
      </c>
      <c r="J292" s="30" t="inlineStr">
        <is>
          <t>524500</t>
        </is>
      </c>
    </row>
    <row r="293">
      <c r="A293" s="30" t="inlineStr">
        <is>
          <t>SKIPPER</t>
        </is>
      </c>
      <c r="B293" s="30" t="inlineStr">
        <is>
          <t>Skipper Limited</t>
        </is>
      </c>
      <c r="C293" s="30" t="inlineStr">
        <is>
          <t>industrials</t>
        </is>
      </c>
      <c r="D293" s="30" t="inlineStr">
        <is>
          <t>engineering</t>
        </is>
      </c>
      <c r="E293" s="30" t="inlineStr">
        <is>
          <t>midcap</t>
        </is>
      </c>
      <c r="F293" s="30" t="n">
        <v>7253.76</v>
      </c>
      <c r="G293" s="30" t="n">
        <v>583</v>
      </c>
      <c r="H293" s="30" t="n">
        <v>-1.84</v>
      </c>
      <c r="I293" s="30" t="n">
        <v>1056778</v>
      </c>
      <c r="J293" s="30" t="inlineStr">
        <is>
          <t>538562</t>
        </is>
      </c>
    </row>
    <row r="294">
      <c r="A294" s="30" t="inlineStr">
        <is>
          <t>GLOBAL</t>
        </is>
      </c>
      <c r="B294" s="30" t="inlineStr">
        <is>
          <t>Global Education Ltd</t>
        </is>
      </c>
      <c r="C294" s="30" t="inlineStr">
        <is>
          <t>services</t>
        </is>
      </c>
      <c r="D294" s="30" t="inlineStr">
        <is>
          <t>miscellaneous</t>
        </is>
      </c>
      <c r="E294" s="30" t="inlineStr">
        <is>
          <t>smallcap</t>
        </is>
      </c>
      <c r="F294" s="30" t="n">
        <v>641.05</v>
      </c>
      <c r="G294" s="30" t="n">
        <v>123.56</v>
      </c>
      <c r="H294" s="30" t="n">
        <v>-1.89</v>
      </c>
      <c r="I294" s="30" t="n">
        <v>81499</v>
      </c>
      <c r="J294" s="30" t="inlineStr">
        <is>
          <t>538406</t>
        </is>
      </c>
    </row>
    <row r="295">
      <c r="A295" s="30" t="inlineStr">
        <is>
          <t>SHREEPUSHK</t>
        </is>
      </c>
      <c r="B295" s="30" t="inlineStr">
        <is>
          <t>Shree Pushkar Chemicals &amp; Fertilisers Limited</t>
        </is>
      </c>
      <c r="C295" s="30" t="inlineStr">
        <is>
          <t>chemicals</t>
        </is>
      </c>
      <c r="D295" s="30" t="inlineStr">
        <is>
          <t>dyes and pigments</t>
        </is>
      </c>
      <c r="E295" s="30" t="inlineStr">
        <is>
          <t>smallcap</t>
        </is>
      </c>
      <c r="F295" s="30" t="n">
        <v>1620.77</v>
      </c>
      <c r="G295" s="30" t="n">
        <v>491.6</v>
      </c>
      <c r="H295" s="30" t="n">
        <v>-1.92</v>
      </c>
      <c r="I295" s="30" t="n">
        <v>85810</v>
      </c>
      <c r="J295" s="30" t="inlineStr">
        <is>
          <t>539334</t>
        </is>
      </c>
    </row>
    <row r="296">
      <c r="A296" s="30" t="inlineStr">
        <is>
          <t>ORIENTBELL</t>
        </is>
      </c>
      <c r="B296" s="30" t="inlineStr">
        <is>
          <t>Orient Bell Limited</t>
        </is>
      </c>
      <c r="C296" s="30" t="inlineStr">
        <is>
          <t>building materials</t>
        </is>
      </c>
      <c r="D296" s="30" t="inlineStr">
        <is>
          <t>ceramics - tiles / sanitaryware</t>
        </is>
      </c>
      <c r="E296" s="30" t="inlineStr">
        <is>
          <t>smallcap</t>
        </is>
      </c>
      <c r="F296" s="30" t="n">
        <v>617.99</v>
      </c>
      <c r="G296" s="30" t="n">
        <v>412</v>
      </c>
      <c r="H296" s="30" t="n">
        <v>-1.93</v>
      </c>
      <c r="I296" s="30" t="n">
        <v>16716</v>
      </c>
      <c r="J296" s="30" t="inlineStr">
        <is>
          <t>530365</t>
        </is>
      </c>
    </row>
    <row r="297">
      <c r="A297" s="30" t="inlineStr">
        <is>
          <t>ENTERO</t>
        </is>
      </c>
      <c r="B297" s="30" t="inlineStr">
        <is>
          <t>Entero Healthcare Solutions Ltd</t>
        </is>
      </c>
      <c r="C297" s="30" t="inlineStr">
        <is>
          <t>healthcare</t>
        </is>
      </c>
      <c r="D297" s="30" t="inlineStr">
        <is>
          <t>trading</t>
        </is>
      </c>
      <c r="E297" s="30" t="inlineStr">
        <is>
          <t>midcap</t>
        </is>
      </c>
      <c r="F297" s="30" t="n">
        <v>7957.32</v>
      </c>
      <c r="G297" s="30" t="n">
        <v>1792.9</v>
      </c>
      <c r="H297" s="30" t="n">
        <v>-1.94</v>
      </c>
      <c r="I297" s="30" t="n">
        <v>166179</v>
      </c>
      <c r="J297" s="30" t="inlineStr">
        <is>
          <t>544122</t>
        </is>
      </c>
    </row>
    <row r="298">
      <c r="A298" s="30" t="inlineStr">
        <is>
          <t>AEGISVOPAK</t>
        </is>
      </c>
      <c r="B298" s="30" t="inlineStr">
        <is>
          <t>Aegis Vopak Terminals Ltd</t>
        </is>
      </c>
      <c r="C298" s="30" t="inlineStr">
        <is>
          <t>transportation</t>
        </is>
      </c>
      <c r="D298" s="30" t="inlineStr">
        <is>
          <t>miscellaneous</t>
        </is>
      </c>
      <c r="E298" s="30" t="inlineStr">
        <is>
          <t>largecap</t>
        </is>
      </c>
      <c r="F298" s="30" t="n">
        <v>32979.37</v>
      </c>
      <c r="G298" s="30" t="n">
        <v>291.85</v>
      </c>
      <c r="H298" s="30" t="n">
        <v>-1.95</v>
      </c>
      <c r="I298" s="30" t="n">
        <v>693995</v>
      </c>
      <c r="J298" s="30" t="inlineStr">
        <is>
          <t>544407</t>
        </is>
      </c>
    </row>
    <row r="299">
      <c r="A299" s="30" t="inlineStr">
        <is>
          <t>AVTNPL</t>
        </is>
      </c>
      <c r="B299" s="30" t="inlineStr">
        <is>
          <t>Avt Natural Products Limited</t>
        </is>
      </c>
      <c r="C299" s="30" t="inlineStr">
        <is>
          <t>fmcg</t>
        </is>
      </c>
      <c r="D299" s="30" t="inlineStr">
        <is>
          <t>solvent extraction</t>
        </is>
      </c>
      <c r="E299" s="30" t="inlineStr">
        <is>
          <t>smallcap</t>
        </is>
      </c>
      <c r="F299" s="30" t="n">
        <v>1407.41</v>
      </c>
      <c r="G299" s="30" t="n">
        <v>90.59999999999999</v>
      </c>
      <c r="H299" s="30" t="n">
        <v>-1.97</v>
      </c>
      <c r="I299" s="30" t="n">
        <v>216414</v>
      </c>
      <c r="J299" s="30" t="inlineStr">
        <is>
          <t>519105</t>
        </is>
      </c>
    </row>
    <row r="300">
      <c r="A300" s="30" t="inlineStr">
        <is>
          <t>MAITHANALL</t>
        </is>
      </c>
      <c r="B300" s="30" t="inlineStr">
        <is>
          <t>Maithan Alloys Limited</t>
        </is>
      </c>
      <c r="C300" s="30" t="inlineStr">
        <is>
          <t>metals &amp; mining</t>
        </is>
      </c>
      <c r="D300" s="30" t="inlineStr">
        <is>
          <t>mining / minerals / metals</t>
        </is>
      </c>
      <c r="E300" s="30" t="inlineStr">
        <is>
          <t>smallcap</t>
        </is>
      </c>
      <c r="F300" s="30" t="n">
        <v>3135.31</v>
      </c>
      <c r="G300" s="30" t="n">
        <v>1055.6</v>
      </c>
      <c r="H300" s="30" t="n">
        <v>-1.99</v>
      </c>
      <c r="I300" s="30" t="n">
        <v>80381</v>
      </c>
      <c r="J300" s="30" t="inlineStr">
        <is>
          <t>590078</t>
        </is>
      </c>
    </row>
    <row r="301">
      <c r="A301" s="30" t="inlineStr">
        <is>
          <t>EXICOM</t>
        </is>
      </c>
      <c r="B301" s="30" t="inlineStr">
        <is>
          <t>Exicom Tele-Systems Ltd</t>
        </is>
      </c>
      <c r="C301" s="30" t="inlineStr">
        <is>
          <t>industrials</t>
        </is>
      </c>
      <c r="D301" s="30" t="inlineStr">
        <is>
          <t>electric equipment</t>
        </is>
      </c>
      <c r="E301" s="30" t="inlineStr">
        <is>
          <t>smallcap</t>
        </is>
      </c>
      <c r="F301" s="30" t="n">
        <v>2509.28</v>
      </c>
      <c r="G301" s="30" t="n">
        <v>176.73</v>
      </c>
      <c r="H301" s="30" t="n">
        <v>-2.05</v>
      </c>
      <c r="I301" s="30" t="n">
        <v>1218667</v>
      </c>
      <c r="J301" s="30" t="inlineStr">
        <is>
          <t>544133</t>
        </is>
      </c>
    </row>
    <row r="302">
      <c r="A302" s="30" t="inlineStr">
        <is>
          <t>SHAILY</t>
        </is>
      </c>
      <c r="B302" s="30" t="inlineStr">
        <is>
          <t>Shaily Engineering Plastics Ltd</t>
        </is>
      </c>
      <c r="C302" s="30" t="inlineStr">
        <is>
          <t>plastic products</t>
        </is>
      </c>
      <c r="D302" s="30" t="inlineStr">
        <is>
          <t>plastics products</t>
        </is>
      </c>
      <c r="E302" s="30" t="inlineStr">
        <is>
          <t>midcap</t>
        </is>
      </c>
      <c r="F302" s="30" t="n">
        <v>15891.36</v>
      </c>
      <c r="G302" s="30" t="n">
        <v>3383.2</v>
      </c>
      <c r="H302" s="30" t="n">
        <v>-2.08</v>
      </c>
      <c r="I302" s="30" t="n">
        <v>102807</v>
      </c>
      <c r="J302" s="30" t="inlineStr">
        <is>
          <t>501423</t>
        </is>
      </c>
    </row>
    <row r="303">
      <c r="A303" s="30" t="inlineStr">
        <is>
          <t>SHILPAMED</t>
        </is>
      </c>
      <c r="B303" s="30" t="inlineStr">
        <is>
          <t>Shilpa Medicare Limited</t>
        </is>
      </c>
      <c r="C303" s="30" t="inlineStr">
        <is>
          <t>healthcare</t>
        </is>
      </c>
      <c r="D303" s="30" t="inlineStr">
        <is>
          <t>pharmaceuticals - indian - formulations</t>
        </is>
      </c>
      <c r="E303" s="30" t="inlineStr">
        <is>
          <t>midcap</t>
        </is>
      </c>
      <c r="F303" s="30" t="n">
        <v>18787.59</v>
      </c>
      <c r="G303" s="30" t="n">
        <v>939.9</v>
      </c>
      <c r="H303" s="30" t="n">
        <v>-2.15</v>
      </c>
      <c r="I303" s="30" t="n">
        <v>682900</v>
      </c>
      <c r="J303" s="30" t="inlineStr">
        <is>
          <t>530549</t>
        </is>
      </c>
    </row>
    <row r="304">
      <c r="A304" s="30" t="inlineStr">
        <is>
          <t>SBCL</t>
        </is>
      </c>
      <c r="B304" s="30" t="inlineStr">
        <is>
          <t>Shivalik Bimetal Controls Ltd</t>
        </is>
      </c>
      <c r="C304" s="30" t="inlineStr">
        <is>
          <t>metals &amp; mining</t>
        </is>
      </c>
      <c r="D304" s="30" t="inlineStr">
        <is>
          <t>mining / minerals / metals</t>
        </is>
      </c>
      <c r="E304" s="30" t="inlineStr">
        <is>
          <t>midcap</t>
        </is>
      </c>
      <c r="F304" s="30" t="n">
        <v>6546.72</v>
      </c>
      <c r="G304" s="30" t="n">
        <v>1112</v>
      </c>
      <c r="H304" s="30" t="n">
        <v>-2.16</v>
      </c>
      <c r="I304" s="30" t="n">
        <v>138832</v>
      </c>
      <c r="J304" s="30" t="inlineStr">
        <is>
          <t>513097</t>
        </is>
      </c>
    </row>
    <row r="305">
      <c r="A305" s="30" t="inlineStr">
        <is>
          <t>DATAPATTNS</t>
        </is>
      </c>
      <c r="B305" s="30" t="inlineStr">
        <is>
          <t>Data Patterns (India) Ltd</t>
        </is>
      </c>
      <c r="C305" s="30" t="inlineStr">
        <is>
          <t>aerospace &amp; defence</t>
        </is>
      </c>
      <c r="D305" s="30" t="inlineStr">
        <is>
          <t>electronics - components</t>
        </is>
      </c>
      <c r="E305" s="30" t="inlineStr">
        <is>
          <t>largecap</t>
        </is>
      </c>
      <c r="F305" s="30" t="n">
        <v>27338.09</v>
      </c>
      <c r="G305" s="30" t="n">
        <v>4777.2</v>
      </c>
      <c r="H305" s="30" t="n">
        <v>-2.17</v>
      </c>
      <c r="I305" s="30" t="n">
        <v>554842</v>
      </c>
      <c r="J305" s="30" t="inlineStr">
        <is>
          <t>543428</t>
        </is>
      </c>
    </row>
    <row r="306">
      <c r="A306" s="30" t="inlineStr">
        <is>
          <t>APOLLO</t>
        </is>
      </c>
      <c r="B306" s="30" t="inlineStr">
        <is>
          <t>Apollo Micro Systems Ltd</t>
        </is>
      </c>
      <c r="C306" s="30" t="inlineStr">
        <is>
          <t>aerospace &amp; defence</t>
        </is>
      </c>
      <c r="D306" s="30" t="inlineStr">
        <is>
          <t>electronics - components</t>
        </is>
      </c>
      <c r="E306" s="30" t="inlineStr">
        <is>
          <t>midcap</t>
        </is>
      </c>
      <c r="F306" s="30" t="n">
        <v>15698.22</v>
      </c>
      <c r="G306" s="30" t="n">
        <v>413.2</v>
      </c>
      <c r="H306" s="30" t="n">
        <v>-2.19</v>
      </c>
      <c r="I306" s="30" t="n">
        <v>7449993</v>
      </c>
      <c r="J306" s="30" t="inlineStr">
        <is>
          <t>540879</t>
        </is>
      </c>
    </row>
    <row r="307">
      <c r="A307" s="30" t="inlineStr">
        <is>
          <t>BLUESTONE</t>
        </is>
      </c>
      <c r="B307" s="30" t="inlineStr">
        <is>
          <t>Bluestone Jewellery and Lifestyle Ltd</t>
        </is>
      </c>
      <c r="C307" s="30" t="inlineStr">
        <is>
          <t>consumer discretionary</t>
        </is>
      </c>
      <c r="D307" s="30" t="inlineStr">
        <is>
          <t>diamond cutting / jewellery</t>
        </is>
      </c>
      <c r="E307" s="30" t="inlineStr">
        <is>
          <t>midcap</t>
        </is>
      </c>
      <c r="F307" s="30" t="n">
        <v>13326.01</v>
      </c>
      <c r="G307" s="30" t="n">
        <v>855.15</v>
      </c>
      <c r="H307" s="30" t="n">
        <v>-2.2</v>
      </c>
      <c r="I307" s="30" t="n">
        <v>402544</v>
      </c>
      <c r="J307" s="30" t="n"/>
    </row>
    <row r="308">
      <c r="A308" s="30" t="inlineStr">
        <is>
          <t>SMARTWORKS</t>
        </is>
      </c>
      <c r="B308" s="30" t="inlineStr">
        <is>
          <t>Smartworks Coworking Spaces Ltd</t>
        </is>
      </c>
      <c r="C308" s="30" t="inlineStr">
        <is>
          <t>co-working</t>
        </is>
      </c>
      <c r="D308" s="30" t="inlineStr">
        <is>
          <t>miscellaneous</t>
        </is>
      </c>
      <c r="E308" s="30" t="inlineStr">
        <is>
          <t>midcap</t>
        </is>
      </c>
      <c r="F308" s="30" t="n">
        <v>6260.99</v>
      </c>
      <c r="G308" s="30" t="n">
        <v>535.55</v>
      </c>
      <c r="H308" s="30" t="n">
        <v>-2.26</v>
      </c>
      <c r="I308" s="30" t="n">
        <v>112126</v>
      </c>
      <c r="J308" s="30" t="inlineStr">
        <is>
          <t>544447</t>
        </is>
      </c>
    </row>
    <row r="309">
      <c r="A309" s="30" t="inlineStr">
        <is>
          <t>AGI</t>
        </is>
      </c>
      <c r="B309" s="30" t="inlineStr">
        <is>
          <t>AGI Greenpac Ltd</t>
        </is>
      </c>
      <c r="C309" s="30" t="inlineStr">
        <is>
          <t>industrials</t>
        </is>
      </c>
      <c r="D309" s="30" t="inlineStr">
        <is>
          <t>packaging</t>
        </is>
      </c>
      <c r="E309" s="30" t="inlineStr">
        <is>
          <t>midcap</t>
        </is>
      </c>
      <c r="F309" s="30" t="n">
        <v>5150.88</v>
      </c>
      <c r="G309" s="30" t="n">
        <v>778.05</v>
      </c>
      <c r="H309" s="30" t="n">
        <v>-2.27</v>
      </c>
      <c r="I309" s="30" t="n">
        <v>203446</v>
      </c>
      <c r="J309" s="30" t="inlineStr">
        <is>
          <t>500187</t>
        </is>
      </c>
    </row>
    <row r="310">
      <c r="A310" s="30" t="inlineStr">
        <is>
          <t>SURAKSHA</t>
        </is>
      </c>
      <c r="B310" s="30" t="inlineStr">
        <is>
          <t>Suraksha Diagnostic Ltd</t>
        </is>
      </c>
      <c r="C310" s="30" t="inlineStr">
        <is>
          <t>healthcare</t>
        </is>
      </c>
      <c r="D310" s="30" t="inlineStr">
        <is>
          <t>healthcare</t>
        </is>
      </c>
      <c r="E310" s="30" t="inlineStr">
        <is>
          <t>smallcap</t>
        </is>
      </c>
      <c r="F310" s="30" t="n">
        <v>1748.09</v>
      </c>
      <c r="G310" s="30" t="n">
        <v>327.85</v>
      </c>
      <c r="H310" s="30" t="n">
        <v>-2.32</v>
      </c>
      <c r="I310" s="30" t="n">
        <v>44852</v>
      </c>
      <c r="J310" s="30" t="inlineStr">
        <is>
          <t>544293</t>
        </is>
      </c>
    </row>
    <row r="311">
      <c r="A311" s="30" t="inlineStr">
        <is>
          <t>GRAPHITE</t>
        </is>
      </c>
      <c r="B311" s="30" t="inlineStr">
        <is>
          <t>Graphite India Limited</t>
        </is>
      </c>
      <c r="C311" s="30" t="inlineStr">
        <is>
          <t>industrials</t>
        </is>
      </c>
      <c r="D311" s="30" t="inlineStr">
        <is>
          <t>electrodes - graphites</t>
        </is>
      </c>
      <c r="E311" s="30" t="inlineStr">
        <is>
          <t>midcap</t>
        </is>
      </c>
      <c r="F311" s="30" t="n">
        <v>16502.4</v>
      </c>
      <c r="G311" s="30" t="n">
        <v>824.8</v>
      </c>
      <c r="H311" s="30" t="n">
        <v>-2.35</v>
      </c>
      <c r="I311" s="30" t="n">
        <v>11528239</v>
      </c>
      <c r="J311" s="30" t="inlineStr">
        <is>
          <t>509488</t>
        </is>
      </c>
    </row>
    <row r="312">
      <c r="A312" s="30" t="inlineStr">
        <is>
          <t>RAIN</t>
        </is>
      </c>
      <c r="B312" s="30" t="inlineStr">
        <is>
          <t>Rain Industries Limited</t>
        </is>
      </c>
      <c r="C312" s="30" t="inlineStr">
        <is>
          <t>miscellaneous</t>
        </is>
      </c>
      <c r="D312" s="30" t="inlineStr">
        <is>
          <t>miscellaneous</t>
        </is>
      </c>
      <c r="E312" s="30" t="inlineStr">
        <is>
          <t>midcap</t>
        </is>
      </c>
      <c r="F312" s="30" t="n">
        <v>7483.69</v>
      </c>
      <c r="G312" s="30" t="n">
        <v>217.28</v>
      </c>
      <c r="H312" s="30" t="n">
        <v>-2.35</v>
      </c>
      <c r="I312" s="30" t="n">
        <v>4114741</v>
      </c>
      <c r="J312" s="30" t="inlineStr">
        <is>
          <t>500339</t>
        </is>
      </c>
    </row>
    <row r="313">
      <c r="A313" s="30" t="inlineStr">
        <is>
          <t>CYIENTDLM</t>
        </is>
      </c>
      <c r="B313" s="30" t="inlineStr">
        <is>
          <t>Cyient DLM Ltd</t>
        </is>
      </c>
      <c r="C313" s="30" t="inlineStr">
        <is>
          <t>aerospace &amp; defence</t>
        </is>
      </c>
      <c r="D313" s="30" t="inlineStr">
        <is>
          <t>electronics - components</t>
        </is>
      </c>
      <c r="E313" s="30" t="inlineStr">
        <is>
          <t>midcap</t>
        </is>
      </c>
      <c r="F313" s="30" t="n">
        <v>7506.89</v>
      </c>
      <c r="G313" s="30" t="n">
        <v>923.3</v>
      </c>
      <c r="H313" s="30" t="n">
        <v>-2.36</v>
      </c>
      <c r="I313" s="30" t="n">
        <v>452175</v>
      </c>
      <c r="J313" s="30" t="inlineStr">
        <is>
          <t>543933</t>
        </is>
      </c>
    </row>
    <row r="314">
      <c r="A314" s="30" t="inlineStr">
        <is>
          <t>BIL</t>
        </is>
      </c>
      <c r="B314" s="30" t="inlineStr">
        <is>
          <t>Bhartiya International Limited</t>
        </is>
      </c>
      <c r="C314" s="30" t="inlineStr">
        <is>
          <t>consumer discretionary</t>
        </is>
      </c>
      <c r="D314" s="30" t="inlineStr">
        <is>
          <t>leather / leather products</t>
        </is>
      </c>
      <c r="E314" s="30" t="inlineStr">
        <is>
          <t>smallcap</t>
        </is>
      </c>
      <c r="F314" s="30" t="n">
        <v>1486.14</v>
      </c>
      <c r="G314" s="30" t="n">
        <v>1081.7</v>
      </c>
      <c r="H314" s="30" t="n">
        <v>-2.39</v>
      </c>
      <c r="I314" s="30" t="n">
        <v>50377</v>
      </c>
      <c r="J314" s="30" t="inlineStr">
        <is>
          <t>526666</t>
        </is>
      </c>
    </row>
    <row r="315">
      <c r="A315" s="30" t="inlineStr">
        <is>
          <t>BEPL</t>
        </is>
      </c>
      <c r="B315" s="30" t="inlineStr">
        <is>
          <t>Bhansali Engineering Polymers Limited</t>
        </is>
      </c>
      <c r="C315" s="30" t="inlineStr">
        <is>
          <t>energy</t>
        </is>
      </c>
      <c r="D315" s="30" t="inlineStr">
        <is>
          <t>petrochemicals</t>
        </is>
      </c>
      <c r="E315" s="30" t="inlineStr">
        <is>
          <t>smallcap</t>
        </is>
      </c>
      <c r="F315" s="30" t="n">
        <v>3323.75</v>
      </c>
      <c r="G315" s="30" t="n">
        <v>130.29</v>
      </c>
      <c r="H315" s="30" t="n">
        <v>-2.45</v>
      </c>
      <c r="I315" s="30" t="n">
        <v>1382749</v>
      </c>
      <c r="J315" s="30" t="inlineStr">
        <is>
          <t>500052</t>
        </is>
      </c>
    </row>
    <row r="316">
      <c r="A316" s="30" t="inlineStr">
        <is>
          <t>HIKAL</t>
        </is>
      </c>
      <c r="B316" s="30" t="inlineStr">
        <is>
          <t>Hikal Limited</t>
        </is>
      </c>
      <c r="C316" s="30" t="inlineStr">
        <is>
          <t>healthcare</t>
        </is>
      </c>
      <c r="D316" s="30" t="inlineStr">
        <is>
          <t>pharmaceuticals - indian - bulk drugs</t>
        </is>
      </c>
      <c r="E316" s="30" t="inlineStr">
        <is>
          <t>smallcap</t>
        </is>
      </c>
      <c r="F316" s="30" t="n">
        <v>2967.73</v>
      </c>
      <c r="G316" s="30" t="n">
        <v>234.78</v>
      </c>
      <c r="H316" s="30" t="n">
        <v>-2.46</v>
      </c>
      <c r="I316" s="30" t="n">
        <v>774444</v>
      </c>
      <c r="J316" s="30" t="inlineStr">
        <is>
          <t>524735</t>
        </is>
      </c>
    </row>
    <row r="317">
      <c r="A317" s="30" t="inlineStr">
        <is>
          <t>KRBL</t>
        </is>
      </c>
      <c r="B317" s="30" t="inlineStr">
        <is>
          <t>Krbl Limited</t>
        </is>
      </c>
      <c r="C317" s="30" t="inlineStr">
        <is>
          <t>fmcg</t>
        </is>
      </c>
      <c r="D317" s="30" t="inlineStr">
        <is>
          <t>food - processing - indian</t>
        </is>
      </c>
      <c r="E317" s="30" t="inlineStr">
        <is>
          <t>midcap</t>
        </is>
      </c>
      <c r="F317" s="30" t="n">
        <v>9944.120000000001</v>
      </c>
      <c r="G317" s="30" t="n">
        <v>423.25</v>
      </c>
      <c r="H317" s="30" t="n">
        <v>-2.58</v>
      </c>
      <c r="I317" s="30" t="n">
        <v>473016</v>
      </c>
      <c r="J317" s="30" t="inlineStr">
        <is>
          <t>530813</t>
        </is>
      </c>
    </row>
    <row r="318">
      <c r="A318" s="30" t="inlineStr">
        <is>
          <t>NRAIL</t>
        </is>
      </c>
      <c r="B318" s="30" t="inlineStr">
        <is>
          <t>N R Agarwal Industries Ltd</t>
        </is>
      </c>
      <c r="C318" s="30" t="inlineStr">
        <is>
          <t>building materials</t>
        </is>
      </c>
      <c r="D318" s="30" t="inlineStr">
        <is>
          <t>paper</t>
        </is>
      </c>
      <c r="E318" s="30" t="inlineStr">
        <is>
          <t>smallcap</t>
        </is>
      </c>
      <c r="F318" s="30" t="n">
        <v>1040.21</v>
      </c>
      <c r="G318" s="30" t="n">
        <v>595.3</v>
      </c>
      <c r="H318" s="30" t="n">
        <v>-2.6</v>
      </c>
      <c r="I318" s="30" t="n">
        <v>39747</v>
      </c>
      <c r="J318" s="30" t="inlineStr">
        <is>
          <t>516082</t>
        </is>
      </c>
    </row>
    <row r="319">
      <c r="A319" s="30" t="inlineStr">
        <is>
          <t>MTARTECH</t>
        </is>
      </c>
      <c r="B319" s="30" t="inlineStr">
        <is>
          <t>MTAR Technologies Ltd</t>
        </is>
      </c>
      <c r="C319" s="30" t="inlineStr">
        <is>
          <t>aerospace &amp; defence</t>
        </is>
      </c>
      <c r="D319" s="30" t="inlineStr">
        <is>
          <t>engineering</t>
        </is>
      </c>
      <c r="E319" s="30" t="inlineStr">
        <is>
          <t>largecap</t>
        </is>
      </c>
      <c r="F319" s="30" t="n">
        <v>23072.77</v>
      </c>
      <c r="G319" s="30" t="n">
        <v>7305</v>
      </c>
      <c r="H319" s="30" t="n">
        <v>-2.61</v>
      </c>
      <c r="I319" s="30" t="n">
        <v>66106</v>
      </c>
      <c r="J319" s="30" t="inlineStr">
        <is>
          <t>543270</t>
        </is>
      </c>
    </row>
    <row r="320">
      <c r="A320" s="30" t="inlineStr">
        <is>
          <t>GLAND</t>
        </is>
      </c>
      <c r="B320" s="30" t="inlineStr">
        <is>
          <t>Gland Pharma Ltd</t>
        </is>
      </c>
      <c r="C320" s="30" t="inlineStr">
        <is>
          <t>healthcare</t>
        </is>
      </c>
      <c r="D320" s="30" t="inlineStr">
        <is>
          <t>pharmaceuticals - indian - formulations</t>
        </is>
      </c>
      <c r="E320" s="30" t="inlineStr">
        <is>
          <t>largecap</t>
        </is>
      </c>
      <c r="F320" s="30" t="n">
        <v>49920.1</v>
      </c>
      <c r="G320" s="30" t="n">
        <v>2946.9</v>
      </c>
      <c r="H320" s="30" t="n">
        <v>-2.62</v>
      </c>
      <c r="I320" s="30" t="n">
        <v>368835</v>
      </c>
      <c r="J320" s="30" t="inlineStr">
        <is>
          <t>543245</t>
        </is>
      </c>
    </row>
    <row r="321">
      <c r="A321" s="30" t="inlineStr">
        <is>
          <t>DICIND</t>
        </is>
      </c>
      <c r="B321" s="30" t="inlineStr">
        <is>
          <t>Dic India Limited</t>
        </is>
      </c>
      <c r="C321" s="30" t="inlineStr">
        <is>
          <t>chemicals</t>
        </is>
      </c>
      <c r="D321" s="30" t="inlineStr">
        <is>
          <t>chemicals</t>
        </is>
      </c>
      <c r="E321" s="30" t="inlineStr">
        <is>
          <t>smallcap</t>
        </is>
      </c>
      <c r="F321" s="30" t="n">
        <v>566.89</v>
      </c>
      <c r="G321" s="30" t="n">
        <v>601.25</v>
      </c>
      <c r="H321" s="30" t="n">
        <v>-2.65</v>
      </c>
      <c r="I321" s="30" t="n">
        <v>2387</v>
      </c>
      <c r="J321" s="30" t="inlineStr">
        <is>
          <t>500089</t>
        </is>
      </c>
    </row>
    <row r="322">
      <c r="A322" s="30" t="inlineStr">
        <is>
          <t>JSL</t>
        </is>
      </c>
      <c r="B322" s="30" t="inlineStr">
        <is>
          <t>Jindal Stainless Limited</t>
        </is>
      </c>
      <c r="C322" s="30" t="inlineStr">
        <is>
          <t>metals &amp; mining</t>
        </is>
      </c>
      <c r="D322" s="30" t="inlineStr">
        <is>
          <t>steel - large</t>
        </is>
      </c>
      <c r="E322" s="30" t="inlineStr">
        <is>
          <t>largecap</t>
        </is>
      </c>
      <c r="F322" s="30" t="n">
        <v>64576.79</v>
      </c>
      <c r="G322" s="30" t="n">
        <v>762.15</v>
      </c>
      <c r="H322" s="30" t="n">
        <v>-2.7</v>
      </c>
      <c r="I322" s="30" t="n">
        <v>960367</v>
      </c>
      <c r="J322" s="30" t="inlineStr">
        <is>
          <t>532508</t>
        </is>
      </c>
    </row>
    <row r="323">
      <c r="A323" s="30" t="inlineStr">
        <is>
          <t>MMP</t>
        </is>
      </c>
      <c r="B323" s="30" t="inlineStr">
        <is>
          <t>MMP Industries Ltd</t>
        </is>
      </c>
      <c r="C323" s="30" t="inlineStr">
        <is>
          <t>metals &amp; mining</t>
        </is>
      </c>
      <c r="D323" s="30" t="inlineStr">
        <is>
          <t>aluminium and aluminium products</t>
        </is>
      </c>
      <c r="E323" s="30" t="inlineStr">
        <is>
          <t>smallcap</t>
        </is>
      </c>
      <c r="F323" s="30" t="n">
        <v>870.83</v>
      </c>
      <c r="G323" s="30" t="n">
        <v>447.8</v>
      </c>
      <c r="H323" s="30" t="n">
        <v>-2.71</v>
      </c>
      <c r="I323" s="30" t="n">
        <v>50469</v>
      </c>
      <c r="J323" s="30" t="inlineStr">
        <is>
          <t>535071</t>
        </is>
      </c>
    </row>
    <row r="324">
      <c r="A324" s="30" t="inlineStr">
        <is>
          <t>MVGJL</t>
        </is>
      </c>
      <c r="B324" s="30" t="inlineStr">
        <is>
          <t>Manoj Vaibhav Gems N Jewellers Ltd</t>
        </is>
      </c>
      <c r="C324" s="30" t="inlineStr">
        <is>
          <t>consumer discretionary</t>
        </is>
      </c>
      <c r="D324" s="30" t="inlineStr">
        <is>
          <t>diamond cutting / jewellery</t>
        </is>
      </c>
      <c r="E324" s="30" t="inlineStr">
        <is>
          <t>smallcap</t>
        </is>
      </c>
      <c r="F324" s="30" t="n">
        <v>1048.46</v>
      </c>
      <c r="G324" s="30" t="n">
        <v>208.78</v>
      </c>
      <c r="H324" s="30" t="n">
        <v>-2.73</v>
      </c>
      <c r="I324" s="30" t="n">
        <v>258423</v>
      </c>
      <c r="J324" s="30" t="inlineStr">
        <is>
          <t>543995</t>
        </is>
      </c>
    </row>
    <row r="325">
      <c r="A325" s="30" t="inlineStr">
        <is>
          <t>GVT&amp;D</t>
        </is>
      </c>
      <c r="B325" s="30" t="inlineStr">
        <is>
          <t>GE Vernova T&amp;D India Ltd</t>
        </is>
      </c>
      <c r="C325" s="30" t="inlineStr">
        <is>
          <t>industrials</t>
        </is>
      </c>
      <c r="D325" s="30" t="inlineStr">
        <is>
          <t>electric equipment</t>
        </is>
      </c>
      <c r="E325" s="30" t="inlineStr">
        <is>
          <t>largecap</t>
        </is>
      </c>
      <c r="F325" s="30" t="n">
        <v>119650.55</v>
      </c>
      <c r="G325" s="30" t="n">
        <v>4545</v>
      </c>
      <c r="H325" s="30" t="n">
        <v>-2.74</v>
      </c>
      <c r="I325" s="30" t="n">
        <v>685310</v>
      </c>
      <c r="J325" s="30" t="inlineStr">
        <is>
          <t>522275</t>
        </is>
      </c>
    </row>
    <row r="326">
      <c r="A326" s="30" t="inlineStr">
        <is>
          <t>SRHHYPOLTD</t>
        </is>
      </c>
      <c r="B326" s="30" t="inlineStr">
        <is>
          <t>Sree Rayalaseema Hi-strength Hypo Limited</t>
        </is>
      </c>
      <c r="C326" s="30" t="inlineStr">
        <is>
          <t>chemicals</t>
        </is>
      </c>
      <c r="D326" s="30" t="inlineStr">
        <is>
          <t>chemicals</t>
        </is>
      </c>
      <c r="E326" s="30" t="inlineStr">
        <is>
          <t>smallcap</t>
        </is>
      </c>
      <c r="F326" s="30" t="n">
        <v>913</v>
      </c>
      <c r="G326" s="30" t="n">
        <v>517.1</v>
      </c>
      <c r="H326" s="30" t="n">
        <v>-2.78</v>
      </c>
      <c r="I326" s="30" t="n">
        <v>18403</v>
      </c>
      <c r="J326" s="30" t="inlineStr">
        <is>
          <t>532842</t>
        </is>
      </c>
    </row>
    <row r="327">
      <c r="A327" s="30" t="inlineStr">
        <is>
          <t>RACLGEAR</t>
        </is>
      </c>
      <c r="B327" s="30" t="inlineStr">
        <is>
          <t>RACL Geartech Ltd</t>
        </is>
      </c>
      <c r="C327" s="30" t="inlineStr">
        <is>
          <t>auto</t>
        </is>
      </c>
      <c r="D327" s="30" t="inlineStr">
        <is>
          <t>auto ancillaries</t>
        </is>
      </c>
      <c r="E327" s="30" t="inlineStr">
        <is>
          <t>smallcap</t>
        </is>
      </c>
      <c r="F327" s="30" t="n">
        <v>1926.05</v>
      </c>
      <c r="G327" s="30" t="n">
        <v>1588.2</v>
      </c>
      <c r="H327" s="30" t="n">
        <v>-2.8</v>
      </c>
      <c r="I327" s="30" t="n">
        <v>35327</v>
      </c>
      <c r="J327" s="30" t="inlineStr">
        <is>
          <t>520073</t>
        </is>
      </c>
    </row>
    <row r="328">
      <c r="A328" s="30" t="inlineStr">
        <is>
          <t>INDSWFTLAB</t>
        </is>
      </c>
      <c r="B328" s="30" t="inlineStr">
        <is>
          <t>Ind-swift Laboratories Limited</t>
        </is>
      </c>
      <c r="C328" s="30" t="inlineStr">
        <is>
          <t>healthcare</t>
        </is>
      </c>
      <c r="D328" s="30" t="inlineStr">
        <is>
          <t>pharmaceuticals - indian - bulk drugs &amp; formln</t>
        </is>
      </c>
      <c r="E328" s="30" t="inlineStr">
        <is>
          <t>smallcap</t>
        </is>
      </c>
      <c r="F328" s="30" t="n">
        <v>3378.89</v>
      </c>
      <c r="G328" s="30" t="n">
        <v>377.5</v>
      </c>
      <c r="H328" s="30" t="n">
        <v>-2.84</v>
      </c>
      <c r="I328" s="30" t="n">
        <v>372420</v>
      </c>
      <c r="J328" s="30" t="inlineStr">
        <is>
          <t>532305</t>
        </is>
      </c>
    </row>
    <row r="329">
      <c r="A329" s="30" t="inlineStr">
        <is>
          <t>OAL</t>
        </is>
      </c>
      <c r="B329" s="30" t="inlineStr">
        <is>
          <t>Oriental Aromatics Ltd</t>
        </is>
      </c>
      <c r="C329" s="30" t="inlineStr">
        <is>
          <t>chemicals</t>
        </is>
      </c>
      <c r="D329" s="30" t="inlineStr">
        <is>
          <t>chemicals</t>
        </is>
      </c>
      <c r="E329" s="30" t="inlineStr">
        <is>
          <t>smallcap</t>
        </is>
      </c>
      <c r="F329" s="30" t="n">
        <v>1818.3</v>
      </c>
      <c r="G329" s="30" t="n">
        <v>524.7</v>
      </c>
      <c r="H329" s="30" t="n">
        <v>-2.89</v>
      </c>
      <c r="I329" s="30" t="n">
        <v>64967</v>
      </c>
      <c r="J329" s="30" t="inlineStr">
        <is>
          <t>500078</t>
        </is>
      </c>
    </row>
    <row r="330">
      <c r="A330" s="30" t="inlineStr">
        <is>
          <t>JINDRILL</t>
        </is>
      </c>
      <c r="B330" s="30" t="inlineStr">
        <is>
          <t>Jindal Drilling And Industries Limited</t>
        </is>
      </c>
      <c r="C330" s="30" t="inlineStr">
        <is>
          <t>energy</t>
        </is>
      </c>
      <c r="D330" s="30" t="inlineStr">
        <is>
          <t>oil drilling / allied services</t>
        </is>
      </c>
      <c r="E330" s="30" t="inlineStr">
        <is>
          <t>smallcap</t>
        </is>
      </c>
      <c r="F330" s="30" t="n">
        <v>1952.6</v>
      </c>
      <c r="G330" s="30" t="n">
        <v>654.2</v>
      </c>
      <c r="H330" s="30" t="n">
        <v>-2.9</v>
      </c>
      <c r="I330" s="30" t="n">
        <v>777024</v>
      </c>
      <c r="J330" s="30" t="inlineStr">
        <is>
          <t>511034</t>
        </is>
      </c>
    </row>
    <row r="331">
      <c r="A331" s="30" t="inlineStr">
        <is>
          <t>AVALON</t>
        </is>
      </c>
      <c r="B331" s="30" t="inlineStr">
        <is>
          <t>Avalon Technologies Ltd</t>
        </is>
      </c>
      <c r="C331" s="30" t="inlineStr">
        <is>
          <t>consumer discretionary</t>
        </is>
      </c>
      <c r="D331" s="30" t="inlineStr">
        <is>
          <t>electronics - components</t>
        </is>
      </c>
      <c r="E331" s="30" t="inlineStr">
        <is>
          <t>midcap</t>
        </is>
      </c>
      <c r="F331" s="30" t="n">
        <v>15323.94</v>
      </c>
      <c r="G331" s="30" t="n">
        <v>2227</v>
      </c>
      <c r="H331" s="30" t="n">
        <v>-2.9</v>
      </c>
      <c r="I331" s="30" t="n">
        <v>280040</v>
      </c>
      <c r="J331" s="30" t="inlineStr">
        <is>
          <t>543896</t>
        </is>
      </c>
    </row>
    <row r="332">
      <c r="A332" s="30" t="inlineStr">
        <is>
          <t>MARINE</t>
        </is>
      </c>
      <c r="B332" s="30" t="inlineStr">
        <is>
          <t>Marine Electricals (India) Ltd</t>
        </is>
      </c>
      <c r="C332" s="30" t="inlineStr">
        <is>
          <t>industrials</t>
        </is>
      </c>
      <c r="D332" s="30" t="inlineStr">
        <is>
          <t>electric equipment</t>
        </is>
      </c>
      <c r="E332" s="30" t="inlineStr">
        <is>
          <t>midcap</t>
        </is>
      </c>
      <c r="F332" s="30" t="n">
        <v>5892.36</v>
      </c>
      <c r="G332" s="30" t="n">
        <v>408.85</v>
      </c>
      <c r="H332" s="30" t="n">
        <v>-2.9</v>
      </c>
      <c r="I332" s="30" t="n">
        <v>475404</v>
      </c>
      <c r="J332" s="30" t="inlineStr">
        <is>
          <t>535119</t>
        </is>
      </c>
    </row>
    <row r="333">
      <c r="A333" s="30" t="inlineStr">
        <is>
          <t>SAKAR</t>
        </is>
      </c>
      <c r="B333" s="30" t="inlineStr">
        <is>
          <t>Sakar Healthcare Ltd</t>
        </is>
      </c>
      <c r="C333" s="30" t="inlineStr">
        <is>
          <t>healthcare</t>
        </is>
      </c>
      <c r="D333" s="30" t="inlineStr">
        <is>
          <t>pharmaceuticals - indian - bulk drugs &amp; formln</t>
        </is>
      </c>
      <c r="E333" s="30" t="inlineStr">
        <is>
          <t>smallcap</t>
        </is>
      </c>
      <c r="F333" s="30" t="n">
        <v>2563.97</v>
      </c>
      <c r="G333" s="30" t="n">
        <v>1117.3</v>
      </c>
      <c r="H333" s="30" t="n">
        <v>-3.04</v>
      </c>
      <c r="I333" s="30" t="n">
        <v>91278</v>
      </c>
      <c r="J333" s="30" t="inlineStr">
        <is>
          <t>538377</t>
        </is>
      </c>
    </row>
    <row r="334">
      <c r="A334" s="30" t="inlineStr">
        <is>
          <t>CONFIPET</t>
        </is>
      </c>
      <c r="B334" s="30" t="inlineStr">
        <is>
          <t>Confidence Petroleum India Ltd</t>
        </is>
      </c>
      <c r="C334" s="30" t="inlineStr">
        <is>
          <t>miscellaneous</t>
        </is>
      </c>
      <c r="D334" s="30" t="inlineStr">
        <is>
          <t>miscellaneous</t>
        </is>
      </c>
      <c r="E334" s="30" t="inlineStr">
        <is>
          <t>smallcap</t>
        </is>
      </c>
      <c r="F334" s="30" t="n">
        <v>3012.1</v>
      </c>
      <c r="G334" s="30" t="n">
        <v>87.84</v>
      </c>
      <c r="H334" s="30" t="n">
        <v>-3.11</v>
      </c>
      <c r="I334" s="30" t="n">
        <v>3216537</v>
      </c>
      <c r="J334" s="30" t="inlineStr">
        <is>
          <t>526829</t>
        </is>
      </c>
    </row>
    <row r="335">
      <c r="A335" s="30" t="inlineStr">
        <is>
          <t>SALSTEEL</t>
        </is>
      </c>
      <c r="B335" s="30" t="inlineStr">
        <is>
          <t>SAL Steel</t>
        </is>
      </c>
      <c r="C335" s="30" t="inlineStr">
        <is>
          <t>metals &amp; mining</t>
        </is>
      </c>
      <c r="D335" s="30" t="inlineStr">
        <is>
          <t>steel - sponge iron</t>
        </is>
      </c>
      <c r="E335" s="30" t="inlineStr">
        <is>
          <t>smallcap</t>
        </is>
      </c>
      <c r="F335" s="30" t="n">
        <v>1146.41</v>
      </c>
      <c r="G335" s="30" t="n">
        <v>76.63</v>
      </c>
      <c r="H335" s="30" t="n">
        <v>-3.23</v>
      </c>
      <c r="I335" s="30" t="n">
        <v>288268</v>
      </c>
      <c r="J335" s="30" t="inlineStr">
        <is>
          <t>532604</t>
        </is>
      </c>
    </row>
    <row r="336">
      <c r="A336" s="30" t="inlineStr">
        <is>
          <t>TNPETRO</t>
        </is>
      </c>
      <c r="B336" s="30" t="inlineStr">
        <is>
          <t>Tamilnadu Petroproducts Limited</t>
        </is>
      </c>
      <c r="C336" s="30" t="inlineStr">
        <is>
          <t>energy</t>
        </is>
      </c>
      <c r="D336" s="30" t="inlineStr">
        <is>
          <t>petrochemicals</t>
        </is>
      </c>
      <c r="E336" s="30" t="inlineStr">
        <is>
          <t>smallcap</t>
        </is>
      </c>
      <c r="F336" s="30" t="n">
        <v>1238.01</v>
      </c>
      <c r="G336" s="30" t="n">
        <v>133.14</v>
      </c>
      <c r="H336" s="30" t="n">
        <v>-3.24</v>
      </c>
      <c r="I336" s="30" t="n">
        <v>854501</v>
      </c>
      <c r="J336" s="30" t="inlineStr">
        <is>
          <t>500777</t>
        </is>
      </c>
    </row>
    <row r="337">
      <c r="A337" s="30" t="inlineStr">
        <is>
          <t>BEML</t>
        </is>
      </c>
      <c r="B337" s="30" t="inlineStr">
        <is>
          <t>Beml Limited</t>
        </is>
      </c>
      <c r="C337" s="30" t="inlineStr">
        <is>
          <t>aerospace &amp; defence</t>
        </is>
      </c>
      <c r="D337" s="30" t="inlineStr">
        <is>
          <t>engineering</t>
        </is>
      </c>
      <c r="E337" s="30" t="inlineStr">
        <is>
          <t>midcap</t>
        </is>
      </c>
      <c r="F337" s="30" t="n">
        <v>17472.37</v>
      </c>
      <c r="G337" s="30" t="n">
        <v>2029</v>
      </c>
      <c r="H337" s="30" t="n">
        <v>-3.28</v>
      </c>
      <c r="I337" s="30" t="n">
        <v>403865</v>
      </c>
      <c r="J337" s="30" t="inlineStr">
        <is>
          <t>500048</t>
        </is>
      </c>
    </row>
    <row r="338">
      <c r="A338" s="30" t="inlineStr">
        <is>
          <t>VINDHYATEL</t>
        </is>
      </c>
      <c r="B338" s="30" t="inlineStr">
        <is>
          <t>Vindhya Telelinks Limited</t>
        </is>
      </c>
      <c r="C338" s="30" t="inlineStr">
        <is>
          <t>realty</t>
        </is>
      </c>
      <c r="D338" s="30" t="inlineStr">
        <is>
          <t>construction</t>
        </is>
      </c>
      <c r="E338" s="30" t="inlineStr">
        <is>
          <t>smallcap</t>
        </is>
      </c>
      <c r="F338" s="30" t="n">
        <v>3456.19</v>
      </c>
      <c r="G338" s="30" t="n">
        <v>2818.3</v>
      </c>
      <c r="H338" s="30" t="n">
        <v>-3.36</v>
      </c>
      <c r="I338" s="30" t="n">
        <v>61035</v>
      </c>
      <c r="J338" s="30" t="inlineStr">
        <is>
          <t>517015</t>
        </is>
      </c>
    </row>
    <row r="339">
      <c r="A339" s="30" t="inlineStr">
        <is>
          <t>AVADHSUGAR</t>
        </is>
      </c>
      <c r="B339" s="30" t="inlineStr">
        <is>
          <t>Avadh Sugar &amp; Energy</t>
        </is>
      </c>
      <c r="C339" s="30" t="inlineStr">
        <is>
          <t>fmcg</t>
        </is>
      </c>
      <c r="D339" s="30" t="inlineStr">
        <is>
          <t>sugar</t>
        </is>
      </c>
      <c r="E339" s="30" t="inlineStr">
        <is>
          <t>smallcap</t>
        </is>
      </c>
      <c r="F339" s="30" t="n">
        <v>1646.11</v>
      </c>
      <c r="G339" s="30" t="n">
        <v>794.45</v>
      </c>
      <c r="H339" s="30" t="n">
        <v>-3.39</v>
      </c>
      <c r="I339" s="30" t="n">
        <v>70563</v>
      </c>
      <c r="J339" s="30" t="inlineStr">
        <is>
          <t>540649</t>
        </is>
      </c>
    </row>
    <row r="340">
      <c r="A340" s="30" t="inlineStr">
        <is>
          <t>RADHIKAJWE</t>
        </is>
      </c>
      <c r="B340" s="30" t="inlineStr">
        <is>
          <t>Radhika Jeweltech Ltd</t>
        </is>
      </c>
      <c r="C340" s="30" t="inlineStr">
        <is>
          <t>consumer discretionary</t>
        </is>
      </c>
      <c r="D340" s="30" t="inlineStr">
        <is>
          <t>diamond cutting / jewellery</t>
        </is>
      </c>
      <c r="E340" s="30" t="inlineStr">
        <is>
          <t>smallcap</t>
        </is>
      </c>
      <c r="F340" s="30" t="n">
        <v>1028.25</v>
      </c>
      <c r="G340" s="30" t="n">
        <v>84.15000000000001</v>
      </c>
      <c r="H340" s="30" t="n">
        <v>-3.43</v>
      </c>
      <c r="I340" s="30" t="n">
        <v>2401430</v>
      </c>
      <c r="J340" s="30" t="inlineStr">
        <is>
          <t>540125</t>
        </is>
      </c>
    </row>
    <row r="341">
      <c r="A341" s="30" t="inlineStr">
        <is>
          <t>MSTCLTD</t>
        </is>
      </c>
      <c r="B341" s="30" t="inlineStr">
        <is>
          <t>MSTC Ltd</t>
        </is>
      </c>
      <c r="C341" s="30" t="inlineStr">
        <is>
          <t>i.t</t>
        </is>
      </c>
      <c r="D341" s="30" t="inlineStr">
        <is>
          <t>trading</t>
        </is>
      </c>
      <c r="E341" s="30" t="inlineStr">
        <is>
          <t>midcap</t>
        </is>
      </c>
      <c r="F341" s="30" t="n">
        <v>5379.26</v>
      </c>
      <c r="G341" s="30" t="n">
        <v>737.55</v>
      </c>
      <c r="H341" s="30" t="n">
        <v>-3.47</v>
      </c>
      <c r="I341" s="30" t="n">
        <v>326755</v>
      </c>
      <c r="J341" s="30" t="inlineStr">
        <is>
          <t>542597</t>
        </is>
      </c>
    </row>
    <row r="342">
      <c r="A342" s="30" t="inlineStr">
        <is>
          <t>ARIES</t>
        </is>
      </c>
      <c r="B342" s="30" t="inlineStr">
        <is>
          <t>Aries Agro Limited</t>
        </is>
      </c>
      <c r="C342" s="30" t="inlineStr">
        <is>
          <t>chemicals</t>
        </is>
      </c>
      <c r="D342" s="30" t="inlineStr">
        <is>
          <t>fertilizers</t>
        </is>
      </c>
      <c r="E342" s="30" t="inlineStr">
        <is>
          <t>smallcap</t>
        </is>
      </c>
      <c r="F342" s="30" t="n">
        <v>632.21</v>
      </c>
      <c r="G342" s="30" t="n">
        <v>468.6</v>
      </c>
      <c r="H342" s="30" t="n">
        <v>-3.61</v>
      </c>
      <c r="I342" s="30" t="n">
        <v>18982</v>
      </c>
      <c r="J342" s="30" t="inlineStr">
        <is>
          <t>532935</t>
        </is>
      </c>
    </row>
    <row r="343">
      <c r="A343" s="30" t="inlineStr">
        <is>
          <t>QPOWER</t>
        </is>
      </c>
      <c r="B343" s="30" t="inlineStr">
        <is>
          <t>Quality Power Electrical Equipments Ltd</t>
        </is>
      </c>
      <c r="C343" s="30" t="inlineStr">
        <is>
          <t>industrials</t>
        </is>
      </c>
      <c r="D343" s="30" t="inlineStr">
        <is>
          <t>electric equipment</t>
        </is>
      </c>
      <c r="E343" s="30" t="inlineStr">
        <is>
          <t>midcap</t>
        </is>
      </c>
      <c r="F343" s="30" t="n">
        <v>11718.84</v>
      </c>
      <c r="G343" s="30" t="n">
        <v>1458.2</v>
      </c>
      <c r="H343" s="30" t="n">
        <v>-3.63</v>
      </c>
      <c r="I343" s="30" t="n">
        <v>213213</v>
      </c>
      <c r="J343" s="30" t="inlineStr">
        <is>
          <t>544367</t>
        </is>
      </c>
    </row>
    <row r="344">
      <c r="A344" s="30" t="inlineStr">
        <is>
          <t>WHEELS</t>
        </is>
      </c>
      <c r="B344" s="30" t="inlineStr">
        <is>
          <t>Wheels India Limited</t>
        </is>
      </c>
      <c r="C344" s="30" t="inlineStr">
        <is>
          <t>auto</t>
        </is>
      </c>
      <c r="D344" s="30" t="inlineStr">
        <is>
          <t>auto ancillaries</t>
        </is>
      </c>
      <c r="E344" s="30" t="inlineStr">
        <is>
          <t>midcap</t>
        </is>
      </c>
      <c r="F344" s="30" t="n">
        <v>5865.39</v>
      </c>
      <c r="G344" s="30" t="n">
        <v>2313</v>
      </c>
      <c r="H344" s="30" t="n">
        <v>-3.65</v>
      </c>
      <c r="I344" s="30" t="n">
        <v>2648322</v>
      </c>
      <c r="J344" s="30" t="inlineStr">
        <is>
          <t>590073</t>
        </is>
      </c>
    </row>
    <row r="345">
      <c r="A345" s="30" t="inlineStr">
        <is>
          <t>INDORAMA</t>
        </is>
      </c>
      <c r="B345" s="30" t="inlineStr">
        <is>
          <t>Indo Rama Synthetics (india) Limited</t>
        </is>
      </c>
      <c r="C345" s="30" t="inlineStr">
        <is>
          <t>textiles</t>
        </is>
      </c>
      <c r="D345" s="30" t="inlineStr">
        <is>
          <t>textiles - manmade</t>
        </is>
      </c>
      <c r="E345" s="30" t="inlineStr">
        <is>
          <t>smallcap</t>
        </is>
      </c>
      <c r="F345" s="30" t="n">
        <v>2248.97</v>
      </c>
      <c r="G345" s="30" t="n">
        <v>82.93000000000001</v>
      </c>
      <c r="H345" s="30" t="n">
        <v>-3.72</v>
      </c>
      <c r="I345" s="30" t="n">
        <v>3197552</v>
      </c>
      <c r="J345" s="30" t="inlineStr">
        <is>
          <t>500207</t>
        </is>
      </c>
    </row>
    <row r="346">
      <c r="A346" s="30" t="inlineStr">
        <is>
          <t>KOTHARIPET</t>
        </is>
      </c>
      <c r="B346" s="30" t="inlineStr">
        <is>
          <t>Kothari Petrochemicals Limited</t>
        </is>
      </c>
      <c r="C346" s="30" t="inlineStr">
        <is>
          <t>energy</t>
        </is>
      </c>
      <c r="D346" s="30" t="inlineStr">
        <is>
          <t>petrochemicals</t>
        </is>
      </c>
      <c r="E346" s="30" t="inlineStr">
        <is>
          <t>smallcap</t>
        </is>
      </c>
      <c r="F346" s="30" t="n">
        <v>876.22</v>
      </c>
      <c r="G346" s="30" t="n">
        <v>143.21</v>
      </c>
      <c r="H346" s="30" t="n">
        <v>-3.82</v>
      </c>
      <c r="I346" s="30" t="n">
        <v>80350</v>
      </c>
      <c r="J346" s="30" t="inlineStr">
        <is>
          <t>532096</t>
        </is>
      </c>
    </row>
    <row r="347">
      <c r="A347" s="30" t="inlineStr">
        <is>
          <t>ANTELOPUS</t>
        </is>
      </c>
      <c r="B347" s="30" t="inlineStr">
        <is>
          <t>Antelopus Selan Energy Ltd</t>
        </is>
      </c>
      <c r="C347" s="30" t="inlineStr">
        <is>
          <t>energy</t>
        </is>
      </c>
      <c r="D347" s="30" t="inlineStr">
        <is>
          <t>oil drilling / allied services</t>
        </is>
      </c>
      <c r="E347" s="30" t="inlineStr">
        <is>
          <t>smallcap</t>
        </is>
      </c>
      <c r="F347" s="30" t="n">
        <v>4111.89</v>
      </c>
      <c r="G347" s="30" t="n">
        <v>1124.1</v>
      </c>
      <c r="H347" s="30" t="n">
        <v>-3.87</v>
      </c>
      <c r="I347" s="30" t="n">
        <v>2976174</v>
      </c>
      <c r="J347" s="30" t="inlineStr">
        <is>
          <t>530075</t>
        </is>
      </c>
    </row>
    <row r="348">
      <c r="A348" s="30" t="inlineStr">
        <is>
          <t>MAZDA</t>
        </is>
      </c>
      <c r="B348" s="30" t="inlineStr">
        <is>
          <t>Mazda Limited</t>
        </is>
      </c>
      <c r="C348" s="30" t="inlineStr">
        <is>
          <t>industrials</t>
        </is>
      </c>
      <c r="D348" s="30" t="inlineStr">
        <is>
          <t>engineering</t>
        </is>
      </c>
      <c r="E348" s="30" t="inlineStr">
        <is>
          <t>smallcap</t>
        </is>
      </c>
      <c r="F348" s="30" t="n">
        <v>544.08</v>
      </c>
      <c r="G348" s="30" t="n">
        <v>261</v>
      </c>
      <c r="H348" s="30" t="n">
        <v>-3.94</v>
      </c>
      <c r="I348" s="30" t="n">
        <v>6151</v>
      </c>
      <c r="J348" s="30" t="inlineStr">
        <is>
          <t>523792</t>
        </is>
      </c>
    </row>
    <row r="349">
      <c r="A349" s="30" t="inlineStr">
        <is>
          <t>IDEA</t>
        </is>
      </c>
      <c r="B349" s="30" t="inlineStr">
        <is>
          <t>Vodafone Idea Ltd</t>
        </is>
      </c>
      <c r="C349" s="30" t="inlineStr">
        <is>
          <t>telecom-service</t>
        </is>
      </c>
      <c r="D349" s="30" t="inlineStr">
        <is>
          <t>telecommunications - service provider</t>
        </is>
      </c>
      <c r="E349" s="30" t="inlineStr">
        <is>
          <t>largecap</t>
        </is>
      </c>
      <c r="F349" s="30" t="n">
        <v>168148.39</v>
      </c>
      <c r="G349" s="30" t="n">
        <v>14.9</v>
      </c>
      <c r="H349" s="30" t="n">
        <v>-3.99</v>
      </c>
      <c r="I349" s="30" t="n">
        <v>888431120</v>
      </c>
      <c r="J349" s="30" t="inlineStr">
        <is>
          <t>532822</t>
        </is>
      </c>
    </row>
    <row r="350">
      <c r="A350" s="30" t="inlineStr">
        <is>
          <t>HINDOILEXP</t>
        </is>
      </c>
      <c r="B350" s="30" t="inlineStr">
        <is>
          <t>Hindustan Oil Exploration Company Limited</t>
        </is>
      </c>
      <c r="C350" s="30" t="inlineStr">
        <is>
          <t>energy</t>
        </is>
      </c>
      <c r="D350" s="30" t="inlineStr">
        <is>
          <t>oil drilling / allied services</t>
        </is>
      </c>
      <c r="E350" s="30" t="inlineStr">
        <is>
          <t>smallcap</t>
        </is>
      </c>
      <c r="F350" s="30" t="n">
        <v>2589.72</v>
      </c>
      <c r="G350" s="30" t="n">
        <v>187.66</v>
      </c>
      <c r="H350" s="30" t="n">
        <v>-4.17</v>
      </c>
      <c r="I350" s="30" t="n">
        <v>1268291</v>
      </c>
      <c r="J350" s="30" t="inlineStr">
        <is>
          <t>500186</t>
        </is>
      </c>
    </row>
    <row r="351">
      <c r="A351" s="30" t="inlineStr">
        <is>
          <t>SYNCOMF</t>
        </is>
      </c>
      <c r="B351" s="30" t="inlineStr">
        <is>
          <t>Syncom Formulations (India) Ltd</t>
        </is>
      </c>
      <c r="C351" s="30" t="inlineStr">
        <is>
          <t>healthcare</t>
        </is>
      </c>
      <c r="D351" s="30" t="inlineStr">
        <is>
          <t>pharmaceuticals - indian - bulk drugs &amp; formln</t>
        </is>
      </c>
      <c r="E351" s="30" t="inlineStr">
        <is>
          <t>smallcap</t>
        </is>
      </c>
      <c r="F351" s="30" t="n">
        <v>1893.16</v>
      </c>
      <c r="G351" s="30" t="n">
        <v>19.26</v>
      </c>
      <c r="H351" s="30" t="n">
        <v>-4.37</v>
      </c>
      <c r="I351" s="30" t="n">
        <v>8403583</v>
      </c>
      <c r="J351" s="30" t="inlineStr">
        <is>
          <t>524470</t>
        </is>
      </c>
    </row>
    <row r="352">
      <c r="A352" s="30" t="inlineStr">
        <is>
          <t>SMLMAH</t>
        </is>
      </c>
      <c r="B352" s="30" t="inlineStr">
        <is>
          <t>SML Mahindra Ltd</t>
        </is>
      </c>
      <c r="C352" s="30" t="inlineStr">
        <is>
          <t>auto</t>
        </is>
      </c>
      <c r="D352" s="30" t="inlineStr">
        <is>
          <t>automobiles - lcvs / hcvs</t>
        </is>
      </c>
      <c r="E352" s="30" t="inlineStr">
        <is>
          <t>midcap</t>
        </is>
      </c>
      <c r="F352" s="30" t="n">
        <v>9507.870000000001</v>
      </c>
      <c r="G352" s="30" t="n">
        <v>6278</v>
      </c>
      <c r="H352" s="30" t="n">
        <v>-4.44</v>
      </c>
      <c r="I352" s="30" t="n">
        <v>70105</v>
      </c>
      <c r="J352" s="30" t="inlineStr">
        <is>
          <t>505192</t>
        </is>
      </c>
    </row>
    <row r="353">
      <c r="A353" s="30" t="inlineStr">
        <is>
          <t>DOLPHIN</t>
        </is>
      </c>
      <c r="B353" s="30" t="inlineStr">
        <is>
          <t>Dolphin Offshore Enterprises (India) Ltd</t>
        </is>
      </c>
      <c r="C353" s="30" t="inlineStr">
        <is>
          <t>energy</t>
        </is>
      </c>
      <c r="D353" s="30" t="inlineStr">
        <is>
          <t>oil drilling / allied services</t>
        </is>
      </c>
      <c r="E353" s="30" t="inlineStr">
        <is>
          <t>smallcap</t>
        </is>
      </c>
      <c r="F353" s="30" t="n">
        <v>2740.31</v>
      </c>
      <c r="G353" s="30" t="n">
        <v>654</v>
      </c>
      <c r="H353" s="30" t="n">
        <v>-4.53</v>
      </c>
      <c r="I353" s="30" t="n">
        <v>33629</v>
      </c>
      <c r="J353" s="30" t="inlineStr">
        <is>
          <t>522261</t>
        </is>
      </c>
    </row>
    <row r="354">
      <c r="A354" s="30" t="inlineStr">
        <is>
          <t>UNIVPHOTO</t>
        </is>
      </c>
      <c r="B354" s="30" t="inlineStr">
        <is>
          <t>Universus Photo Imagings Ltd</t>
        </is>
      </c>
      <c r="C354" s="30" t="inlineStr">
        <is>
          <t>consumer discretionary</t>
        </is>
      </c>
      <c r="D354" s="30" t="inlineStr">
        <is>
          <t>photographic and allied products</t>
        </is>
      </c>
      <c r="E354" s="30" t="inlineStr">
        <is>
          <t>smallcap</t>
        </is>
      </c>
      <c r="F354" s="30" t="n">
        <v>619.85</v>
      </c>
      <c r="G354" s="30" t="n">
        <v>540.5</v>
      </c>
      <c r="H354" s="30" t="n">
        <v>-4.55</v>
      </c>
      <c r="I354" s="30" t="n">
        <v>1614</v>
      </c>
      <c r="J354" s="30" t="inlineStr">
        <is>
          <t>542933</t>
        </is>
      </c>
    </row>
    <row r="355">
      <c r="A355" s="30" t="inlineStr">
        <is>
          <t>TBZ</t>
        </is>
      </c>
      <c r="B355" s="30" t="inlineStr">
        <is>
          <t>Tribhovandas Bhimji Zaveri Limited</t>
        </is>
      </c>
      <c r="C355" s="30" t="inlineStr">
        <is>
          <t>consumer discretionary</t>
        </is>
      </c>
      <c r="D355" s="30" t="inlineStr">
        <is>
          <t>diamond cutting / jewellery</t>
        </is>
      </c>
      <c r="E355" s="30" t="inlineStr">
        <is>
          <t>smallcap</t>
        </is>
      </c>
      <c r="F355" s="30" t="n">
        <v>3520.71</v>
      </c>
      <c r="G355" s="30" t="n">
        <v>501.25</v>
      </c>
      <c r="H355" s="30" t="n">
        <v>-4.99</v>
      </c>
      <c r="I355" s="30" t="n">
        <v>1594014</v>
      </c>
      <c r="J355" s="30" t="inlineStr">
        <is>
          <t>534369</t>
        </is>
      </c>
    </row>
    <row r="356">
      <c r="A356" s="30" t="inlineStr">
        <is>
          <t>BHAGERIA</t>
        </is>
      </c>
      <c r="B356" s="30" t="inlineStr">
        <is>
          <t>Bhageria Industries Limited</t>
        </is>
      </c>
      <c r="C356" s="30" t="inlineStr">
        <is>
          <t>chemicals</t>
        </is>
      </c>
      <c r="D356" s="30" t="inlineStr">
        <is>
          <t>dyes and pigments</t>
        </is>
      </c>
      <c r="E356" s="30" t="inlineStr">
        <is>
          <t>smallcap</t>
        </is>
      </c>
      <c r="F356" s="30" t="n">
        <v>1392.47</v>
      </c>
      <c r="G356" s="30" t="n">
        <v>303.1</v>
      </c>
      <c r="H356" s="30" t="n">
        <v>-5</v>
      </c>
      <c r="I356" s="30" t="n">
        <v>34751</v>
      </c>
      <c r="J356" s="30" t="inlineStr">
        <is>
          <t>530803</t>
        </is>
      </c>
    </row>
    <row r="357">
      <c r="A357" s="30" t="inlineStr">
        <is>
          <t>BODALCHEM</t>
        </is>
      </c>
      <c r="B357" s="30" t="inlineStr">
        <is>
          <t>Bodal Chemicals Limited</t>
        </is>
      </c>
      <c r="C357" s="30" t="inlineStr">
        <is>
          <t>chemicals</t>
        </is>
      </c>
      <c r="D357" s="30" t="inlineStr">
        <is>
          <t>dyes and pigments</t>
        </is>
      </c>
      <c r="E357" s="30" t="inlineStr">
        <is>
          <t>smallcap</t>
        </is>
      </c>
      <c r="F357" s="30" t="n">
        <v>2202.13</v>
      </c>
      <c r="G357" s="30" t="n">
        <v>166.11</v>
      </c>
      <c r="H357" s="30" t="n">
        <v>-5</v>
      </c>
      <c r="I357" s="30" t="n">
        <v>2774629</v>
      </c>
      <c r="J357" s="30" t="inlineStr">
        <is>
          <t>524370</t>
        </is>
      </c>
    </row>
    <row r="358">
      <c r="A358" s="30" t="inlineStr">
        <is>
          <t>SAILIFE</t>
        </is>
      </c>
      <c r="B358" s="30" t="inlineStr">
        <is>
          <t>Sai Life Sciences Ltd</t>
        </is>
      </c>
      <c r="C358" s="30" t="inlineStr">
        <is>
          <t>healthcare</t>
        </is>
      </c>
      <c r="D358" s="30" t="inlineStr">
        <is>
          <t>pharmaceuticals - indian - bulk drugs &amp; formln</t>
        </is>
      </c>
      <c r="E358" s="30" t="inlineStr">
        <is>
          <t>largecap</t>
        </is>
      </c>
      <c r="F358" s="30" t="n">
        <v>35566.4</v>
      </c>
      <c r="G358" s="30" t="n">
        <v>1591.1</v>
      </c>
      <c r="H358" s="30" t="n">
        <v>-5.03</v>
      </c>
      <c r="I358" s="30" t="n">
        <v>1174342</v>
      </c>
      <c r="J358" s="30" t="inlineStr">
        <is>
          <t>544306</t>
        </is>
      </c>
    </row>
    <row r="359">
      <c r="A359" s="30" t="inlineStr">
        <is>
          <t>ASIANHOTNR</t>
        </is>
      </c>
      <c r="B359" s="30" t="inlineStr">
        <is>
          <t>Asian Hotels (north) Limited</t>
        </is>
      </c>
      <c r="C359" s="30" t="inlineStr">
        <is>
          <t>services</t>
        </is>
      </c>
      <c r="D359" s="30" t="inlineStr">
        <is>
          <t>hotels</t>
        </is>
      </c>
      <c r="E359" s="30" t="inlineStr">
        <is>
          <t>smallcap</t>
        </is>
      </c>
      <c r="F359" s="30" t="n">
        <v>1724.51</v>
      </c>
      <c r="G359" s="30" t="n">
        <v>382.15</v>
      </c>
      <c r="H359" s="30" t="n">
        <v>-5.53</v>
      </c>
      <c r="I359" s="30" t="n">
        <v>13812</v>
      </c>
      <c r="J359" s="30" t="inlineStr">
        <is>
          <t>500023</t>
        </is>
      </c>
    </row>
    <row r="360">
      <c r="A360" s="30" t="inlineStr">
        <is>
          <t>ANUHPHR</t>
        </is>
      </c>
      <c r="B360" s="30" t="inlineStr">
        <is>
          <t>Anuh Pharma Ltd</t>
        </is>
      </c>
      <c r="C360" s="30" t="inlineStr">
        <is>
          <t>healthcare</t>
        </is>
      </c>
      <c r="D360" s="30" t="inlineStr">
        <is>
          <t>pharmaceuticals - indian - bulk drugs</t>
        </is>
      </c>
      <c r="E360" s="30" t="inlineStr">
        <is>
          <t>smallcap</t>
        </is>
      </c>
      <c r="F360" s="30" t="n">
        <v>969.5700000000001</v>
      </c>
      <c r="G360" s="30" t="n">
        <v>91.20999999999999</v>
      </c>
      <c r="H360" s="30" t="n">
        <v>-5.72</v>
      </c>
      <c r="I360" s="30" t="n">
        <v>400127</v>
      </c>
      <c r="J360" s="30" t="inlineStr">
        <is>
          <t>506260</t>
        </is>
      </c>
    </row>
    <row r="361">
      <c r="A361" s="30" t="inlineStr">
        <is>
          <t>AYMSYNTEX</t>
        </is>
      </c>
      <c r="B361" s="30" t="inlineStr">
        <is>
          <t>Aym Syntex Limited</t>
        </is>
      </c>
      <c r="C361" s="30" t="inlineStr">
        <is>
          <t>textiles</t>
        </is>
      </c>
      <c r="D361" s="30" t="inlineStr">
        <is>
          <t>textiles - processing</t>
        </is>
      </c>
      <c r="E361" s="30" t="inlineStr">
        <is>
          <t>smallcap</t>
        </is>
      </c>
      <c r="F361" s="30" t="n">
        <v>1828.39</v>
      </c>
      <c r="G361" s="30" t="n">
        <v>293.1</v>
      </c>
      <c r="H361" s="30" t="n">
        <v>-5.85</v>
      </c>
      <c r="I361" s="30" t="n">
        <v>149205</v>
      </c>
      <c r="J361" s="30" t="inlineStr">
        <is>
          <t>508933</t>
        </is>
      </c>
    </row>
    <row r="362">
      <c r="A362" s="30" t="inlineStr">
        <is>
          <t>RUBYMILLS</t>
        </is>
      </c>
      <c r="B362" s="30" t="inlineStr">
        <is>
          <t>The Ruby Mills Limited</t>
        </is>
      </c>
      <c r="C362" s="30" t="inlineStr">
        <is>
          <t>textiles</t>
        </is>
      </c>
      <c r="D362" s="30" t="inlineStr">
        <is>
          <t>textiles - composite</t>
        </is>
      </c>
      <c r="E362" s="30" t="inlineStr">
        <is>
          <t>smallcap</t>
        </is>
      </c>
      <c r="F362" s="30" t="n">
        <v>1587.9</v>
      </c>
      <c r="G362" s="30" t="n">
        <v>445.9</v>
      </c>
      <c r="H362" s="30" t="n">
        <v>-6.1</v>
      </c>
      <c r="I362" s="30" t="n">
        <v>31500</v>
      </c>
      <c r="J362" s="30" t="inlineStr">
        <is>
          <t>503169</t>
        </is>
      </c>
    </row>
  </sheetData>
  <autoFilter ref="A1:J3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5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29" t="inlineStr">
        <is>
          <t>Confluence Rank</t>
        </is>
      </c>
      <c r="B1" s="29" t="inlineStr">
        <is>
          <t>Total Score</t>
        </is>
      </c>
      <c r="C1" s="29" t="inlineStr">
        <is>
          <t>Relative Strength Rating</t>
        </is>
      </c>
      <c r="D1" s="29" t="inlineStr">
        <is>
          <t>Symbol</t>
        </is>
      </c>
      <c r="E1" s="29" t="inlineStr">
        <is>
          <t>Company Name</t>
        </is>
      </c>
      <c r="F1" s="29" t="inlineStr">
        <is>
          <t>Industry</t>
        </is>
      </c>
      <c r="G1" s="29" t="inlineStr">
        <is>
          <t>Common Count</t>
        </is>
      </c>
      <c r="H1" s="29" t="inlineStr">
        <is>
          <t>Scanner Signal</t>
        </is>
      </c>
      <c r="I1" s="29" t="inlineStr">
        <is>
          <t>Chartink Universe</t>
        </is>
      </c>
      <c r="J1" s="29" t="inlineStr">
        <is>
          <t>Scan Matches Count</t>
        </is>
      </c>
      <c r="K1" s="29" t="inlineStr">
        <is>
          <t>Backtest Recurrence (30D)</t>
        </is>
      </c>
    </row>
    <row r="2">
      <c r="A2" s="30">
        <f>IF(B2=0,"",ROW()-1)</f>
        <v/>
      </c>
      <c r="B2" s="31">
        <f>IFERROR(INDEX('Monit Non Financial'!$B$2:$B$400, MATCH(D2, 'Monit Non Financial'!$C$2:$C$400, 0)), IFERROR(INDEX('Monit Banks NBFC'!$B$2:$B$100, MATCH(D2, 'Monit Banks NBFC'!$C$2:$C$100, 0)), 0))</f>
        <v/>
      </c>
      <c r="C2" s="30">
        <f>IFERROR(INDEX('Monit Non Financial'!$L$2:$L$400, MATCH(D2, 'Monit Non Financial'!$C$2:$C$400, 0)), IFERROR(INDEX('Monit Banks NBFC'!$L$2:$L$100, MATCH(D2, 'Monit Banks NBFC'!$C$2:$C$100, 0)), ""))</f>
        <v/>
      </c>
      <c r="D2" s="30" t="inlineStr">
        <is>
          <t>RML</t>
        </is>
      </c>
      <c r="E2" s="30" t="inlineStr">
        <is>
          <t>Rane (madras) Limited</t>
        </is>
      </c>
      <c r="F2" s="30" t="inlineStr">
        <is>
          <t>Auto Ancillaries - Gears</t>
        </is>
      </c>
      <c r="G2" s="30" t="n">
        <v>3</v>
      </c>
      <c r="H2" s="30" t="inlineStr">
        <is>
          <t>52W Breakout</t>
        </is>
      </c>
      <c r="I2" s="30" t="inlineStr">
        <is>
          <t>Yes</t>
        </is>
      </c>
      <c r="J2" s="30" t="n">
        <v>26</v>
      </c>
      <c r="K2" s="30" t="n">
        <v>7</v>
      </c>
    </row>
    <row r="3">
      <c r="A3" s="30">
        <f>IF(B3=0,"",ROW()-1)</f>
        <v/>
      </c>
      <c r="B3" s="31">
        <f>IFERROR(INDEX('Monit Non Financial'!$B$2:$B$400, MATCH(D3, 'Monit Non Financial'!$C$2:$C$400, 0)), IFERROR(INDEX('Monit Banks NBFC'!$B$2:$B$100, MATCH(D3, 'Monit Banks NBFC'!$C$2:$C$100, 0)), 0))</f>
        <v/>
      </c>
      <c r="C3" s="30">
        <f>IFERROR(INDEX('Monit Non Financial'!$L$2:$L$400, MATCH(D3, 'Monit Non Financial'!$C$2:$C$400, 0)), IFERROR(INDEX('Monit Banks NBFC'!$L$2:$L$100, MATCH(D3, 'Monit Banks NBFC'!$C$2:$C$100, 0)), ""))</f>
        <v/>
      </c>
      <c r="D3" s="30" t="inlineStr">
        <is>
          <t>PAISALO</t>
        </is>
      </c>
      <c r="E3" s="30" t="inlineStr">
        <is>
          <t>Paisalo Digital Ltd</t>
        </is>
      </c>
      <c r="F3" s="30" t="inlineStr">
        <is>
          <t>Finance - Capital Markets - Brokers</t>
        </is>
      </c>
      <c r="G3" s="30" t="n">
        <v>3</v>
      </c>
      <c r="H3" s="30" t="inlineStr">
        <is>
          <t>52W Breakout</t>
        </is>
      </c>
      <c r="I3" s="30" t="inlineStr">
        <is>
          <t>Yes</t>
        </is>
      </c>
      <c r="J3" s="30" t="n">
        <v>22</v>
      </c>
      <c r="K3" s="30" t="n">
        <v>8</v>
      </c>
    </row>
    <row r="4">
      <c r="A4" s="30">
        <f>IF(B4=0,"",ROW()-1)</f>
        <v/>
      </c>
      <c r="B4" s="31">
        <f>IFERROR(INDEX('Monit Non Financial'!$B$2:$B$400, MATCH(D4, 'Monit Non Financial'!$C$2:$C$400, 0)), IFERROR(INDEX('Monit Banks NBFC'!$B$2:$B$100, MATCH(D4, 'Monit Banks NBFC'!$C$2:$C$100, 0)), 0))</f>
        <v/>
      </c>
      <c r="C4" s="30">
        <f>IFERROR(INDEX('Monit Non Financial'!$L$2:$L$400, MATCH(D4, 'Monit Non Financial'!$C$2:$C$400, 0)), IFERROR(INDEX('Monit Banks NBFC'!$L$2:$L$100, MATCH(D4, 'Monit Banks NBFC'!$C$2:$C$100, 0)), ""))</f>
        <v/>
      </c>
      <c r="D4" s="30" t="inlineStr">
        <is>
          <t>SSWL</t>
        </is>
      </c>
      <c r="E4" s="30" t="inlineStr">
        <is>
          <t>Steel Strips Wheels Limited</t>
        </is>
      </c>
      <c r="F4" s="30" t="inlineStr">
        <is>
          <t>Auto Ancillaries - Wheels</t>
        </is>
      </c>
      <c r="G4" s="30" t="n">
        <v>3</v>
      </c>
      <c r="H4" s="30" t="inlineStr">
        <is>
          <t>52W Breakout</t>
        </is>
      </c>
      <c r="I4" s="30" t="inlineStr">
        <is>
          <t>Yes</t>
        </is>
      </c>
      <c r="J4" s="30" t="n">
        <v>19</v>
      </c>
      <c r="K4" s="30" t="n">
        <v>24</v>
      </c>
    </row>
    <row r="5">
      <c r="A5" s="30">
        <f>IF(B5=0,"",ROW()-1)</f>
        <v/>
      </c>
      <c r="B5" s="31">
        <f>IFERROR(INDEX('Monit Non Financial'!$B$2:$B$400, MATCH(D5, 'Monit Non Financial'!$C$2:$C$400, 0)), IFERROR(INDEX('Monit Banks NBFC'!$B$2:$B$100, MATCH(D5, 'Monit Banks NBFC'!$C$2:$C$100, 0)), 0))</f>
        <v/>
      </c>
      <c r="C5" s="30">
        <f>IFERROR(INDEX('Monit Non Financial'!$L$2:$L$400, MATCH(D5, 'Monit Non Financial'!$C$2:$C$400, 0)), IFERROR(INDEX('Monit Banks NBFC'!$L$2:$L$100, MATCH(D5, 'Monit Banks NBFC'!$C$2:$C$100, 0)), ""))</f>
        <v/>
      </c>
      <c r="D5" s="30" t="inlineStr">
        <is>
          <t>KABRAEXTRU</t>
        </is>
      </c>
      <c r="E5" s="30" t="inlineStr">
        <is>
          <t>Kabra Extrusion Technik Limited</t>
        </is>
      </c>
      <c r="F5" s="30" t="inlineStr">
        <is>
          <t>Capital Goods - Engineering Heavy</t>
        </is>
      </c>
      <c r="G5" s="30" t="n">
        <v>3</v>
      </c>
      <c r="H5" s="30" t="inlineStr">
        <is>
          <t>52W Breakout</t>
        </is>
      </c>
      <c r="I5" s="30" t="inlineStr">
        <is>
          <t>Yes</t>
        </is>
      </c>
      <c r="J5" s="30" t="n">
        <v>22</v>
      </c>
      <c r="K5" s="30" t="n">
        <v>30</v>
      </c>
    </row>
    <row r="6">
      <c r="A6" s="30">
        <f>IF(B6=0,"",ROW()-1)</f>
        <v/>
      </c>
      <c r="B6" s="31">
        <f>IFERROR(INDEX('Monit Non Financial'!$B$2:$B$400, MATCH(D6, 'Monit Non Financial'!$C$2:$C$400, 0)), IFERROR(INDEX('Monit Banks NBFC'!$B$2:$B$100, MATCH(D6, 'Monit Banks NBFC'!$C$2:$C$100, 0)), 0))</f>
        <v/>
      </c>
      <c r="C6" s="30">
        <f>IFERROR(INDEX('Monit Non Financial'!$L$2:$L$400, MATCH(D6, 'Monit Non Financial'!$C$2:$C$400, 0)), IFERROR(INDEX('Monit Banks NBFC'!$L$2:$L$100, MATCH(D6, 'Monit Banks NBFC'!$C$2:$C$100, 0)), ""))</f>
        <v/>
      </c>
      <c r="D6" s="30" t="inlineStr">
        <is>
          <t>KENNAMET</t>
        </is>
      </c>
      <c r="E6" s="30" t="inlineStr">
        <is>
          <t>Kennametal India Ltd</t>
        </is>
      </c>
      <c r="F6" s="30" t="inlineStr">
        <is>
          <t>Castings, Forgings &amp; Fastners</t>
        </is>
      </c>
      <c r="G6" s="30" t="n">
        <v>3</v>
      </c>
      <c r="H6" s="30" t="inlineStr">
        <is>
          <t>52W Breakout</t>
        </is>
      </c>
      <c r="I6" s="30" t="inlineStr">
        <is>
          <t>Yes</t>
        </is>
      </c>
      <c r="J6" s="30" t="n">
        <v>25</v>
      </c>
      <c r="K6" s="30" t="n">
        <v>29</v>
      </c>
    </row>
    <row r="7">
      <c r="A7" s="30">
        <f>IF(B7=0,"",ROW()-1)</f>
        <v/>
      </c>
      <c r="B7" s="31">
        <f>IFERROR(INDEX('Monit Non Financial'!$B$2:$B$400, MATCH(D7, 'Monit Non Financial'!$C$2:$C$400, 0)), IFERROR(INDEX('Monit Banks NBFC'!$B$2:$B$100, MATCH(D7, 'Monit Banks NBFC'!$C$2:$C$100, 0)), 0))</f>
        <v/>
      </c>
      <c r="C7" s="30">
        <f>IFERROR(INDEX('Monit Non Financial'!$L$2:$L$400, MATCH(D7, 'Monit Non Financial'!$C$2:$C$400, 0)), IFERROR(INDEX('Monit Banks NBFC'!$L$2:$L$100, MATCH(D7, 'Monit Banks NBFC'!$C$2:$C$100, 0)), ""))</f>
        <v/>
      </c>
      <c r="D7" s="30" t="inlineStr">
        <is>
          <t>CHENNPETRO</t>
        </is>
      </c>
      <c r="E7" s="30" t="inlineStr">
        <is>
          <t>Chennai Petroleum Corporation Limited</t>
        </is>
      </c>
      <c r="F7" s="30" t="inlineStr">
        <is>
          <t>Refineries</t>
        </is>
      </c>
      <c r="G7" s="30" t="n">
        <v>3</v>
      </c>
      <c r="H7" s="30" t="inlineStr">
        <is>
          <t>52W Breakout</t>
        </is>
      </c>
      <c r="I7" s="30" t="inlineStr">
        <is>
          <t>Yes</t>
        </is>
      </c>
      <c r="J7" s="30" t="n">
        <v>26</v>
      </c>
      <c r="K7" s="30" t="n">
        <v>26</v>
      </c>
    </row>
    <row r="8">
      <c r="A8" s="30">
        <f>IF(B8=0,"",ROW()-1)</f>
        <v/>
      </c>
      <c r="B8" s="31">
        <f>IFERROR(INDEX('Monit Non Financial'!$B$2:$B$400, MATCH(D8, 'Monit Non Financial'!$C$2:$C$400, 0)), IFERROR(INDEX('Monit Banks NBFC'!$B$2:$B$100, MATCH(D8, 'Monit Banks NBFC'!$C$2:$C$100, 0)), 0))</f>
        <v/>
      </c>
      <c r="C8" s="30">
        <f>IFERROR(INDEX('Monit Non Financial'!$L$2:$L$400, MATCH(D8, 'Monit Non Financial'!$C$2:$C$400, 0)), IFERROR(INDEX('Monit Banks NBFC'!$L$2:$L$100, MATCH(D8, 'Monit Banks NBFC'!$C$2:$C$100, 0)), ""))</f>
        <v/>
      </c>
      <c r="D8" s="30" t="inlineStr">
        <is>
          <t>GCSL</t>
        </is>
      </c>
      <c r="E8" s="30" t="inlineStr">
        <is>
          <t>Gretex Corporate Services Ltd</t>
        </is>
      </c>
      <c r="F8" s="30" t="inlineStr">
        <is>
          <t>Finance &amp; Investments - Others</t>
        </is>
      </c>
      <c r="G8" s="30" t="n">
        <v>3</v>
      </c>
      <c r="H8" s="30" t="inlineStr">
        <is>
          <t>52W Breakout</t>
        </is>
      </c>
      <c r="I8" s="30" t="inlineStr">
        <is>
          <t>Yes</t>
        </is>
      </c>
      <c r="J8" s="30" t="n">
        <v>20</v>
      </c>
      <c r="K8" s="30" t="n">
        <v>1</v>
      </c>
    </row>
    <row r="9">
      <c r="A9" s="30">
        <f>IF(B9=0,"",ROW()-1)</f>
        <v/>
      </c>
      <c r="B9" s="31">
        <f>IFERROR(INDEX('Monit Non Financial'!$B$2:$B$400, MATCH(D9, 'Monit Non Financial'!$C$2:$C$400, 0)), IFERROR(INDEX('Monit Banks NBFC'!$B$2:$B$100, MATCH(D9, 'Monit Banks NBFC'!$C$2:$C$100, 0)), 0))</f>
        <v/>
      </c>
      <c r="C9" s="30">
        <f>IFERROR(INDEX('Monit Non Financial'!$L$2:$L$400, MATCH(D9, 'Monit Non Financial'!$C$2:$C$400, 0)), IFERROR(INDEX('Monit Banks NBFC'!$L$2:$L$100, MATCH(D9, 'Monit Banks NBFC'!$C$2:$C$100, 0)), ""))</f>
        <v/>
      </c>
      <c r="D9" s="30" t="inlineStr">
        <is>
          <t>INDNIPPON</t>
        </is>
      </c>
      <c r="E9" s="30" t="inlineStr">
        <is>
          <t>India Nippon Electricals Limited</t>
        </is>
      </c>
      <c r="F9" s="30" t="inlineStr">
        <is>
          <t>Auto Ancillaries - Engine Parts</t>
        </is>
      </c>
      <c r="G9" s="30" t="n">
        <v>2</v>
      </c>
      <c r="H9" s="30" t="inlineStr">
        <is>
          <t>No</t>
        </is>
      </c>
      <c r="I9" s="30" t="inlineStr">
        <is>
          <t>Yes</t>
        </is>
      </c>
      <c r="J9" s="30" t="n">
        <v>21</v>
      </c>
      <c r="K9" s="30" t="n">
        <v>8</v>
      </c>
    </row>
    <row r="10">
      <c r="A10" s="30">
        <f>IF(B10=0,"",ROW()-1)</f>
        <v/>
      </c>
      <c r="B10" s="31">
        <f>IFERROR(INDEX('Monit Non Financial'!$B$2:$B$400, MATCH(D10, 'Monit Non Financial'!$C$2:$C$400, 0)), IFERROR(INDEX('Monit Banks NBFC'!$B$2:$B$100, MATCH(D10, 'Monit Banks NBFC'!$C$2:$C$100, 0)), 0))</f>
        <v/>
      </c>
      <c r="C10" s="30">
        <f>IFERROR(INDEX('Monit Non Financial'!$L$2:$L$400, MATCH(D10, 'Monit Non Financial'!$C$2:$C$400, 0)), IFERROR(INDEX('Monit Banks NBFC'!$L$2:$L$100, MATCH(D10, 'Monit Banks NBFC'!$C$2:$C$100, 0)), ""))</f>
        <v/>
      </c>
      <c r="D10" s="30" t="inlineStr">
        <is>
          <t>VISHNU</t>
        </is>
      </c>
      <c r="E10" s="30" t="inlineStr">
        <is>
          <t>Vishnu Chemicals Limited</t>
        </is>
      </c>
      <c r="F10" s="30" t="inlineStr">
        <is>
          <t>Speciality Chemicals</t>
        </is>
      </c>
      <c r="G10" s="30" t="n">
        <v>2</v>
      </c>
      <c r="H10" s="30" t="inlineStr">
        <is>
          <t>No</t>
        </is>
      </c>
      <c r="I10" s="30" t="inlineStr">
        <is>
          <t>Yes</t>
        </is>
      </c>
      <c r="J10" s="30" t="n">
        <v>19</v>
      </c>
      <c r="K10" s="30" t="n">
        <v>19</v>
      </c>
    </row>
    <row r="11">
      <c r="A11" s="30">
        <f>IF(B11=0,"",ROW()-1)</f>
        <v/>
      </c>
      <c r="B11" s="31">
        <f>IFERROR(INDEX('Monit Non Financial'!$B$2:$B$400, MATCH(D11, 'Monit Non Financial'!$C$2:$C$400, 0)), IFERROR(INDEX('Monit Banks NBFC'!$B$2:$B$100, MATCH(D11, 'Monit Banks NBFC'!$C$2:$C$100, 0)), 0))</f>
        <v/>
      </c>
      <c r="C11" s="30">
        <f>IFERROR(INDEX('Monit Non Financial'!$L$2:$L$400, MATCH(D11, 'Monit Non Financial'!$C$2:$C$400, 0)), IFERROR(INDEX('Monit Banks NBFC'!$L$2:$L$100, MATCH(D11, 'Monit Banks NBFC'!$C$2:$C$100, 0)), ""))</f>
        <v/>
      </c>
      <c r="D11" s="30" t="inlineStr">
        <is>
          <t>REDINGTON</t>
        </is>
      </c>
      <c r="E11" s="30" t="inlineStr">
        <is>
          <t>Redington (india) Limited</t>
        </is>
      </c>
      <c r="F11" s="30" t="inlineStr">
        <is>
          <t>Computer - Hardware</t>
        </is>
      </c>
      <c r="G11" s="30" t="n">
        <v>2</v>
      </c>
      <c r="H11" s="30" t="inlineStr">
        <is>
          <t>No</t>
        </is>
      </c>
      <c r="I11" s="30" t="inlineStr">
        <is>
          <t>Yes</t>
        </is>
      </c>
      <c r="J11" s="30" t="n">
        <v>19</v>
      </c>
      <c r="K11" s="30" t="n">
        <v>30</v>
      </c>
    </row>
    <row r="12">
      <c r="A12" s="30">
        <f>IF(B12=0,"",ROW()-1)</f>
        <v/>
      </c>
      <c r="B12" s="31">
        <f>IFERROR(INDEX('Monit Non Financial'!$B$2:$B$400, MATCH(D12, 'Monit Non Financial'!$C$2:$C$400, 0)), IFERROR(INDEX('Monit Banks NBFC'!$B$2:$B$100, MATCH(D12, 'Monit Banks NBFC'!$C$2:$C$100, 0)), 0))</f>
        <v/>
      </c>
      <c r="C12" s="30">
        <f>IFERROR(INDEX('Monit Non Financial'!$L$2:$L$400, MATCH(D12, 'Monit Non Financial'!$C$2:$C$400, 0)), IFERROR(INDEX('Monit Banks NBFC'!$L$2:$L$100, MATCH(D12, 'Monit Banks NBFC'!$C$2:$C$100, 0)), ""))</f>
        <v/>
      </c>
      <c r="D12" s="30" t="inlineStr">
        <is>
          <t>AVTNPL</t>
        </is>
      </c>
      <c r="E12" s="30" t="inlineStr">
        <is>
          <t>Avt Natural Products Limited</t>
        </is>
      </c>
      <c r="F12" s="30" t="inlineStr">
        <is>
          <t>Agricultural Processing - Maize</t>
        </is>
      </c>
      <c r="G12" s="30" t="n">
        <v>2</v>
      </c>
      <c r="H12" s="30" t="inlineStr">
        <is>
          <t>No</t>
        </is>
      </c>
      <c r="I12" s="30" t="inlineStr">
        <is>
          <t>Yes</t>
        </is>
      </c>
      <c r="J12" s="30" t="n">
        <v>24</v>
      </c>
      <c r="K12" s="30" t="n">
        <v>24</v>
      </c>
    </row>
    <row r="13">
      <c r="A13" s="30">
        <f>IF(B13=0,"",ROW()-1)</f>
        <v/>
      </c>
      <c r="B13" s="31">
        <f>IFERROR(INDEX('Monit Non Financial'!$B$2:$B$400, MATCH(D13, 'Monit Non Financial'!$C$2:$C$400, 0)), IFERROR(INDEX('Monit Banks NBFC'!$B$2:$B$100, MATCH(D13, 'Monit Banks NBFC'!$C$2:$C$100, 0)), 0))</f>
        <v/>
      </c>
      <c r="C13" s="30">
        <f>IFERROR(INDEX('Monit Non Financial'!$L$2:$L$400, MATCH(D13, 'Monit Non Financial'!$C$2:$C$400, 0)), IFERROR(INDEX('Monit Banks NBFC'!$L$2:$L$100, MATCH(D13, 'Monit Banks NBFC'!$C$2:$C$100, 0)), ""))</f>
        <v/>
      </c>
      <c r="D13" s="30" t="inlineStr">
        <is>
          <t>CGCL</t>
        </is>
      </c>
      <c r="E13" s="30" t="inlineStr">
        <is>
          <t>Capri Global Capital Limited</t>
        </is>
      </c>
      <c r="F13" s="30" t="inlineStr">
        <is>
          <t>Finance &amp; Investments - Gold Loan</t>
        </is>
      </c>
      <c r="G13" s="30" t="n">
        <v>2</v>
      </c>
      <c r="H13" s="30" t="inlineStr">
        <is>
          <t>No</t>
        </is>
      </c>
      <c r="I13" s="30" t="inlineStr">
        <is>
          <t>Yes</t>
        </is>
      </c>
      <c r="J13" s="30" t="n">
        <v>30</v>
      </c>
      <c r="K13" s="30" t="n">
        <v>14</v>
      </c>
    </row>
    <row r="14">
      <c r="A14" s="30">
        <f>IF(B14=0,"",ROW()-1)</f>
        <v/>
      </c>
      <c r="B14" s="31">
        <f>IFERROR(INDEX('Monit Non Financial'!$B$2:$B$400, MATCH(D14, 'Monit Non Financial'!$C$2:$C$400, 0)), IFERROR(INDEX('Monit Banks NBFC'!$B$2:$B$100, MATCH(D14, 'Monit Banks NBFC'!$C$2:$C$100, 0)), 0))</f>
        <v/>
      </c>
      <c r="C14" s="30">
        <f>IFERROR(INDEX('Monit Non Financial'!$L$2:$L$400, MATCH(D14, 'Monit Non Financial'!$C$2:$C$400, 0)), IFERROR(INDEX('Monit Banks NBFC'!$L$2:$L$100, MATCH(D14, 'Monit Banks NBFC'!$C$2:$C$100, 0)), ""))</f>
        <v/>
      </c>
      <c r="D14" s="30" t="inlineStr">
        <is>
          <t>VINCOFE</t>
        </is>
      </c>
      <c r="E14" s="30" t="inlineStr">
        <is>
          <t>Vintage Coffee &amp; Beverages Ltd</t>
        </is>
      </c>
      <c r="F14" s="30" t="inlineStr">
        <is>
          <t>FMCG - Coffee</t>
        </is>
      </c>
      <c r="G14" s="30" t="n">
        <v>2</v>
      </c>
      <c r="H14" s="30" t="inlineStr">
        <is>
          <t>No</t>
        </is>
      </c>
      <c r="I14" s="30" t="inlineStr">
        <is>
          <t>Yes</t>
        </is>
      </c>
      <c r="J14" s="30" t="n">
        <v>24</v>
      </c>
      <c r="K14" s="30" t="n">
        <v>15</v>
      </c>
    </row>
    <row r="15">
      <c r="A15" s="30">
        <f>IF(B15=0,"",ROW()-1)</f>
        <v/>
      </c>
      <c r="B15" s="31">
        <f>IFERROR(INDEX('Monit Non Financial'!$B$2:$B$400, MATCH(D15, 'Monit Non Financial'!$C$2:$C$400, 0)), IFERROR(INDEX('Monit Banks NBFC'!$B$2:$B$100, MATCH(D15, 'Monit Banks NBFC'!$C$2:$C$100, 0)), 0))</f>
        <v/>
      </c>
      <c r="C15" s="30">
        <f>IFERROR(INDEX('Monit Non Financial'!$L$2:$L$400, MATCH(D15, 'Monit Non Financial'!$C$2:$C$400, 0)), IFERROR(INDEX('Monit Banks NBFC'!$L$2:$L$100, MATCH(D15, 'Monit Banks NBFC'!$C$2:$C$100, 0)), ""))</f>
        <v/>
      </c>
      <c r="D15" s="30" t="inlineStr">
        <is>
          <t>TBZ</t>
        </is>
      </c>
      <c r="E15" s="30" t="inlineStr">
        <is>
          <t>Tribhovandas Bhimji Zaveri Limited</t>
        </is>
      </c>
      <c r="F15" s="30" t="inlineStr">
        <is>
          <t>Diamond, Gems &amp; Jewellery</t>
        </is>
      </c>
      <c r="G15" s="30" t="n">
        <v>2</v>
      </c>
      <c r="H15" s="30" t="inlineStr">
        <is>
          <t>No</t>
        </is>
      </c>
      <c r="I15" s="30" t="inlineStr">
        <is>
          <t>Yes</t>
        </is>
      </c>
      <c r="J15" s="30" t="n">
        <v>23</v>
      </c>
      <c r="K15" s="30" t="n">
        <v>23</v>
      </c>
    </row>
    <row r="16">
      <c r="A16" s="30">
        <f>IF(B16=0,"",ROW()-1)</f>
        <v/>
      </c>
      <c r="B16" s="31">
        <f>IFERROR(INDEX('Monit Non Financial'!$B$2:$B$400, MATCH(D16, 'Monit Non Financial'!$C$2:$C$400, 0)), IFERROR(INDEX('Monit Banks NBFC'!$B$2:$B$100, MATCH(D16, 'Monit Banks NBFC'!$C$2:$C$100, 0)), 0))</f>
        <v/>
      </c>
      <c r="C16" s="30">
        <f>IFERROR(INDEX('Monit Non Financial'!$L$2:$L$400, MATCH(D16, 'Monit Non Financial'!$C$2:$C$400, 0)), IFERROR(INDEX('Monit Banks NBFC'!$L$2:$L$100, MATCH(D16, 'Monit Banks NBFC'!$C$2:$C$100, 0)), ""))</f>
        <v/>
      </c>
      <c r="D16" s="30" t="inlineStr">
        <is>
          <t>BIRLACABLE</t>
        </is>
      </c>
      <c r="E16" s="30" t="inlineStr">
        <is>
          <t>Birla Cable Limited</t>
        </is>
      </c>
      <c r="F16" s="30" t="inlineStr">
        <is>
          <t>Cables - Telecom</t>
        </is>
      </c>
      <c r="G16" s="30" t="n">
        <v>2</v>
      </c>
      <c r="H16" s="30" t="inlineStr">
        <is>
          <t>No</t>
        </is>
      </c>
      <c r="I16" s="30" t="inlineStr">
        <is>
          <t>Yes</t>
        </is>
      </c>
      <c r="J16" s="30" t="n">
        <v>30</v>
      </c>
      <c r="K16" s="30" t="n">
        <v>30</v>
      </c>
    </row>
    <row r="17">
      <c r="A17" s="30">
        <f>IF(B17=0,"",ROW()-1)</f>
        <v/>
      </c>
      <c r="B17" s="31">
        <f>IFERROR(INDEX('Monit Non Financial'!$B$2:$B$400, MATCH(D17, 'Monit Non Financial'!$C$2:$C$400, 0)), IFERROR(INDEX('Monit Banks NBFC'!$B$2:$B$100, MATCH(D17, 'Monit Banks NBFC'!$C$2:$C$100, 0)), 0))</f>
        <v/>
      </c>
      <c r="C17" s="30">
        <f>IFERROR(INDEX('Monit Non Financial'!$L$2:$L$400, MATCH(D17, 'Monit Non Financial'!$C$2:$C$400, 0)), IFERROR(INDEX('Monit Banks NBFC'!$L$2:$L$100, MATCH(D17, 'Monit Banks NBFC'!$C$2:$C$100, 0)), ""))</f>
        <v/>
      </c>
      <c r="D17" s="30" t="inlineStr">
        <is>
          <t>SYRMA</t>
        </is>
      </c>
      <c r="E17" s="30" t="inlineStr">
        <is>
          <t>Syrma SGS Technology Ltd</t>
        </is>
      </c>
      <c r="F17" s="30" t="inlineStr">
        <is>
          <t>Consumer Electronics - EMS</t>
        </is>
      </c>
      <c r="G17" s="30" t="n">
        <v>2</v>
      </c>
      <c r="H17" s="30" t="inlineStr">
        <is>
          <t>No</t>
        </is>
      </c>
      <c r="I17" s="30" t="inlineStr">
        <is>
          <t>Yes</t>
        </is>
      </c>
      <c r="J17" s="30" t="n">
        <v>22</v>
      </c>
      <c r="K17" s="30" t="n">
        <v>21</v>
      </c>
    </row>
    <row r="18">
      <c r="A18" s="30">
        <f>IF(B18=0,"",ROW()-1)</f>
        <v/>
      </c>
      <c r="B18" s="31">
        <f>IFERROR(INDEX('Monit Non Financial'!$B$2:$B$400, MATCH(D18, 'Monit Non Financial'!$C$2:$C$400, 0)), IFERROR(INDEX('Monit Banks NBFC'!$B$2:$B$100, MATCH(D18, 'Monit Banks NBFC'!$C$2:$C$100, 0)), 0))</f>
        <v/>
      </c>
      <c r="C18" s="30">
        <f>IFERROR(INDEX('Monit Non Financial'!$L$2:$L$400, MATCH(D18, 'Monit Non Financial'!$C$2:$C$400, 0)), IFERROR(INDEX('Monit Banks NBFC'!$L$2:$L$100, MATCH(D18, 'Monit Banks NBFC'!$C$2:$C$100, 0)), ""))</f>
        <v/>
      </c>
      <c r="D18" s="30" t="inlineStr">
        <is>
          <t>WELINV</t>
        </is>
      </c>
      <c r="E18" s="30" t="inlineStr">
        <is>
          <t>Welspun Investments And Commercials Limited</t>
        </is>
      </c>
      <c r="F18" s="30" t="inlineStr">
        <is>
          <t>Finance - Investment/Others</t>
        </is>
      </c>
      <c r="G18" s="30" t="n">
        <v>2</v>
      </c>
      <c r="H18" s="30" t="inlineStr">
        <is>
          <t>52W Breakout</t>
        </is>
      </c>
      <c r="I18" s="30" t="inlineStr">
        <is>
          <t>Yes</t>
        </is>
      </c>
      <c r="J18" s="30" t="n">
        <v>1</v>
      </c>
      <c r="K18" s="30" t="n">
        <v>18</v>
      </c>
    </row>
    <row r="19">
      <c r="A19" s="30">
        <f>IF(B19=0,"",ROW()-1)</f>
        <v/>
      </c>
      <c r="B19" s="31">
        <f>IFERROR(INDEX('Monit Non Financial'!$B$2:$B$400, MATCH(D19, 'Monit Non Financial'!$C$2:$C$400, 0)), IFERROR(INDEX('Monit Banks NBFC'!$B$2:$B$100, MATCH(D19, 'Monit Banks NBFC'!$C$2:$C$100, 0)), 0))</f>
        <v/>
      </c>
      <c r="C19" s="30">
        <f>IFERROR(INDEX('Monit Non Financial'!$L$2:$L$400, MATCH(D19, 'Monit Non Financial'!$C$2:$C$400, 0)), IFERROR(INDEX('Monit Banks NBFC'!$L$2:$L$100, MATCH(D19, 'Monit Banks NBFC'!$C$2:$C$100, 0)), ""))</f>
        <v/>
      </c>
      <c r="D19" s="30" t="inlineStr">
        <is>
          <t>GAYAPROJ</t>
        </is>
      </c>
      <c r="E19" s="30" t="inlineStr">
        <is>
          <t>Gayatri Projects Limited</t>
        </is>
      </c>
      <c r="F19" s="30" t="inlineStr">
        <is>
          <t>Construction - Civil/Turnkey</t>
        </is>
      </c>
      <c r="G19" s="30" t="n">
        <v>2</v>
      </c>
      <c r="H19" s="30" t="inlineStr">
        <is>
          <t>No</t>
        </is>
      </c>
      <c r="I19" s="30" t="inlineStr">
        <is>
          <t>Yes</t>
        </is>
      </c>
      <c r="J19" s="30" t="n">
        <v>29</v>
      </c>
      <c r="K19" s="30" t="n">
        <v>15</v>
      </c>
    </row>
    <row r="20">
      <c r="A20" s="30">
        <f>IF(B20=0,"",ROW()-1)</f>
        <v/>
      </c>
      <c r="B20" s="31">
        <f>IFERROR(INDEX('Monit Non Financial'!$B$2:$B$400, MATCH(D20, 'Monit Non Financial'!$C$2:$C$400, 0)), IFERROR(INDEX('Monit Banks NBFC'!$B$2:$B$100, MATCH(D20, 'Monit Banks NBFC'!$C$2:$C$100, 0)), 0))</f>
        <v/>
      </c>
      <c r="C20" s="30">
        <f>IFERROR(INDEX('Monit Non Financial'!$L$2:$L$400, MATCH(D20, 'Monit Non Financial'!$C$2:$C$400, 0)), IFERROR(INDEX('Monit Banks NBFC'!$L$2:$L$100, MATCH(D20, 'Monit Banks NBFC'!$C$2:$C$100, 0)), ""))</f>
        <v/>
      </c>
      <c r="D20" s="30" t="inlineStr">
        <is>
          <t>ATHERENERG</t>
        </is>
      </c>
      <c r="E20" s="30" t="inlineStr">
        <is>
          <t>Ather Energy Ltd</t>
        </is>
      </c>
      <c r="F20" s="30" t="inlineStr">
        <is>
          <t>Auto - 2 &amp; 3 Wheelers</t>
        </is>
      </c>
      <c r="G20" s="30" t="n">
        <v>2</v>
      </c>
      <c r="H20" s="30" t="inlineStr">
        <is>
          <t>No</t>
        </is>
      </c>
      <c r="I20" s="30" t="inlineStr">
        <is>
          <t>Yes</t>
        </is>
      </c>
      <c r="J20" s="30" t="n">
        <v>21</v>
      </c>
      <c r="K20" s="30" t="n">
        <v>30</v>
      </c>
    </row>
    <row r="21">
      <c r="A21" s="30">
        <f>IF(B21=0,"",ROW()-1)</f>
        <v/>
      </c>
      <c r="B21" s="31">
        <f>IFERROR(INDEX('Monit Non Financial'!$B$2:$B$400, MATCH(D21, 'Monit Non Financial'!$C$2:$C$400, 0)), IFERROR(INDEX('Monit Banks NBFC'!$B$2:$B$100, MATCH(D21, 'Monit Banks NBFC'!$C$2:$C$100, 0)), 0))</f>
        <v/>
      </c>
      <c r="C21" s="30">
        <f>IFERROR(INDEX('Monit Non Financial'!$L$2:$L$400, MATCH(D21, 'Monit Non Financial'!$C$2:$C$400, 0)), IFERROR(INDEX('Monit Banks NBFC'!$L$2:$L$100, MATCH(D21, 'Monit Banks NBFC'!$C$2:$C$100, 0)), ""))</f>
        <v/>
      </c>
      <c r="D21" s="30" t="inlineStr">
        <is>
          <t>INNOVACAP</t>
        </is>
      </c>
      <c r="E21" s="30" t="inlineStr">
        <is>
          <t>Innova Captab Ltd</t>
        </is>
      </c>
      <c r="F21" s="30" t="inlineStr">
        <is>
          <t>Pharma - API</t>
        </is>
      </c>
      <c r="G21" s="30" t="n">
        <v>2</v>
      </c>
      <c r="H21" s="30" t="inlineStr">
        <is>
          <t>No</t>
        </is>
      </c>
      <c r="I21" s="30" t="inlineStr">
        <is>
          <t>Yes</t>
        </is>
      </c>
      <c r="J21" s="30" t="n">
        <v>19</v>
      </c>
      <c r="K21" s="30" t="n">
        <v>21</v>
      </c>
    </row>
    <row r="22">
      <c r="A22" s="30">
        <f>IF(B22=0,"",ROW()-1)</f>
        <v/>
      </c>
      <c r="B22" s="31">
        <f>IFERROR(INDEX('Monit Non Financial'!$B$2:$B$400, MATCH(D22, 'Monit Non Financial'!$C$2:$C$400, 0)), IFERROR(INDEX('Monit Banks NBFC'!$B$2:$B$100, MATCH(D22, 'Monit Banks NBFC'!$C$2:$C$100, 0)), 0))</f>
        <v/>
      </c>
      <c r="C22" s="30">
        <f>IFERROR(INDEX('Monit Non Financial'!$L$2:$L$400, MATCH(D22, 'Monit Non Financial'!$C$2:$C$400, 0)), IFERROR(INDEX('Monit Banks NBFC'!$L$2:$L$100, MATCH(D22, 'Monit Banks NBFC'!$C$2:$C$100, 0)), ""))</f>
        <v/>
      </c>
      <c r="D22" s="30" t="inlineStr">
        <is>
          <t>SHAREINDIA</t>
        </is>
      </c>
      <c r="E22" s="30" t="inlineStr">
        <is>
          <t>Share India Securities Ltd</t>
        </is>
      </c>
      <c r="F22" s="30" t="inlineStr">
        <is>
          <t>Finance - Capital Markets - Brokers</t>
        </is>
      </c>
      <c r="G22" s="30" t="n">
        <v>2</v>
      </c>
      <c r="H22" s="30" t="inlineStr">
        <is>
          <t>No</t>
        </is>
      </c>
      <c r="I22" s="30" t="inlineStr">
        <is>
          <t>Yes</t>
        </is>
      </c>
      <c r="J22" s="30" t="n">
        <v>21</v>
      </c>
      <c r="K22" s="30" t="n">
        <v>6</v>
      </c>
    </row>
    <row r="23">
      <c r="A23" s="30">
        <f>IF(B23=0,"",ROW()-1)</f>
        <v/>
      </c>
      <c r="B23" s="31">
        <f>IFERROR(INDEX('Monit Non Financial'!$B$2:$B$400, MATCH(D23, 'Monit Non Financial'!$C$2:$C$400, 0)), IFERROR(INDEX('Monit Banks NBFC'!$B$2:$B$100, MATCH(D23, 'Monit Banks NBFC'!$C$2:$C$100, 0)), 0))</f>
        <v/>
      </c>
      <c r="C23" s="30">
        <f>IFERROR(INDEX('Monit Non Financial'!$L$2:$L$400, MATCH(D23, 'Monit Non Financial'!$C$2:$C$400, 0)), IFERROR(INDEX('Monit Banks NBFC'!$L$2:$L$100, MATCH(D23, 'Monit Banks NBFC'!$C$2:$C$100, 0)), ""))</f>
        <v/>
      </c>
      <c r="D23" s="30" t="inlineStr">
        <is>
          <t>IOLCP</t>
        </is>
      </c>
      <c r="E23" s="30" t="inlineStr">
        <is>
          <t>Iol Chemicals And Pharmaceuticals Limited</t>
        </is>
      </c>
      <c r="F23" s="30" t="inlineStr">
        <is>
          <t>Pharma - API &amp; CRAMS</t>
        </is>
      </c>
      <c r="G23" s="30" t="n">
        <v>2</v>
      </c>
      <c r="H23" s="30" t="inlineStr">
        <is>
          <t>No</t>
        </is>
      </c>
      <c r="I23" s="30" t="inlineStr">
        <is>
          <t>Yes</t>
        </is>
      </c>
      <c r="J23" s="30" t="n">
        <v>21</v>
      </c>
      <c r="K23" s="30" t="n">
        <v>24</v>
      </c>
    </row>
    <row r="24">
      <c r="A24" s="30">
        <f>IF(B24=0,"",ROW()-1)</f>
        <v/>
      </c>
      <c r="B24" s="31">
        <f>IFERROR(INDEX('Monit Non Financial'!$B$2:$B$400, MATCH(D24, 'Monit Non Financial'!$C$2:$C$400, 0)), IFERROR(INDEX('Monit Banks NBFC'!$B$2:$B$100, MATCH(D24, 'Monit Banks NBFC'!$C$2:$C$100, 0)), 0))</f>
        <v/>
      </c>
      <c r="C24" s="30">
        <f>IFERROR(INDEX('Monit Non Financial'!$L$2:$L$400, MATCH(D24, 'Monit Non Financial'!$C$2:$C$400, 0)), IFERROR(INDEX('Monit Banks NBFC'!$L$2:$L$100, MATCH(D24, 'Monit Banks NBFC'!$C$2:$C$100, 0)), ""))</f>
        <v/>
      </c>
      <c r="D24" s="30" t="inlineStr">
        <is>
          <t>VENKEYS</t>
        </is>
      </c>
      <c r="E24" s="30" t="inlineStr">
        <is>
          <t>Venky's (india) Limited</t>
        </is>
      </c>
      <c r="F24" s="30" t="inlineStr">
        <is>
          <t>FMCG - Animal/Polutry</t>
        </is>
      </c>
      <c r="G24" s="30" t="n">
        <v>2</v>
      </c>
      <c r="H24" s="30" t="inlineStr">
        <is>
          <t>No</t>
        </is>
      </c>
      <c r="I24" s="30" t="inlineStr">
        <is>
          <t>Yes</t>
        </is>
      </c>
      <c r="J24" s="30" t="n">
        <v>20</v>
      </c>
      <c r="K24" s="30" t="n">
        <v>20</v>
      </c>
    </row>
    <row r="25">
      <c r="A25" s="30">
        <f>IF(B25=0,"",ROW()-1)</f>
        <v/>
      </c>
      <c r="B25" s="31">
        <f>IFERROR(INDEX('Monit Non Financial'!$B$2:$B$400, MATCH(D25, 'Monit Non Financial'!$C$2:$C$400, 0)), IFERROR(INDEX('Monit Banks NBFC'!$B$2:$B$100, MATCH(D25, 'Monit Banks NBFC'!$C$2:$C$100, 0)), 0))</f>
        <v/>
      </c>
      <c r="C25" s="30">
        <f>IFERROR(INDEX('Monit Non Financial'!$L$2:$L$400, MATCH(D25, 'Monit Non Financial'!$C$2:$C$400, 0)), IFERROR(INDEX('Monit Banks NBFC'!$L$2:$L$100, MATCH(D25, 'Monit Banks NBFC'!$C$2:$C$100, 0)), ""))</f>
        <v/>
      </c>
      <c r="D25" s="30" t="inlineStr">
        <is>
          <t>CONFIPET</t>
        </is>
      </c>
      <c r="E25" s="30" t="inlineStr">
        <is>
          <t>Confidence Petroleum India Ltd</t>
        </is>
      </c>
      <c r="F25" s="30" t="inlineStr">
        <is>
          <t>LPG Bottling</t>
        </is>
      </c>
      <c r="G25" s="30" t="n">
        <v>2</v>
      </c>
      <c r="H25" s="30" t="inlineStr">
        <is>
          <t>No</t>
        </is>
      </c>
      <c r="I25" s="30" t="inlineStr">
        <is>
          <t>Yes</t>
        </is>
      </c>
      <c r="J25" s="30" t="n">
        <v>20</v>
      </c>
      <c r="K25" s="30" t="n">
        <v>19</v>
      </c>
    </row>
    <row r="26">
      <c r="A26" s="30">
        <f>IF(B26=0,"",ROW()-1)</f>
        <v/>
      </c>
      <c r="B26" s="31">
        <f>IFERROR(INDEX('Monit Non Financial'!$B$2:$B$400, MATCH(D26, 'Monit Non Financial'!$C$2:$C$400, 0)), IFERROR(INDEX('Monit Banks NBFC'!$B$2:$B$100, MATCH(D26, 'Monit Banks NBFC'!$C$2:$C$100, 0)), 0))</f>
        <v/>
      </c>
      <c r="C26" s="30">
        <f>IFERROR(INDEX('Monit Non Financial'!$L$2:$L$400, MATCH(D26, 'Monit Non Financial'!$C$2:$C$400, 0)), IFERROR(INDEX('Monit Banks NBFC'!$L$2:$L$100, MATCH(D26, 'Monit Banks NBFC'!$C$2:$C$100, 0)), ""))</f>
        <v/>
      </c>
      <c r="D26" s="30" t="inlineStr">
        <is>
          <t>MODISONLTD</t>
        </is>
      </c>
      <c r="E26" s="30" t="inlineStr">
        <is>
          <t>Modison Ltd</t>
        </is>
      </c>
      <c r="F26" s="30" t="inlineStr">
        <is>
          <t>Capital Goods - Electric General</t>
        </is>
      </c>
      <c r="G26" s="30" t="n">
        <v>2</v>
      </c>
      <c r="H26" s="30" t="inlineStr">
        <is>
          <t>No</t>
        </is>
      </c>
      <c r="I26" s="30" t="inlineStr">
        <is>
          <t>Yes</t>
        </is>
      </c>
      <c r="J26" s="30" t="n">
        <v>27</v>
      </c>
      <c r="K26" s="30" t="n">
        <v>24</v>
      </c>
    </row>
    <row r="27">
      <c r="A27" s="30">
        <f>IF(B27=0,"",ROW()-1)</f>
        <v/>
      </c>
      <c r="B27" s="31">
        <f>IFERROR(INDEX('Monit Non Financial'!$B$2:$B$400, MATCH(D27, 'Monit Non Financial'!$C$2:$C$400, 0)), IFERROR(INDEX('Monit Banks NBFC'!$B$2:$B$100, MATCH(D27, 'Monit Banks NBFC'!$C$2:$C$100, 0)), 0))</f>
        <v/>
      </c>
      <c r="C27" s="30">
        <f>IFERROR(INDEX('Monit Non Financial'!$L$2:$L$400, MATCH(D27, 'Monit Non Financial'!$C$2:$C$400, 0)), IFERROR(INDEX('Monit Banks NBFC'!$L$2:$L$100, MATCH(D27, 'Monit Banks NBFC'!$C$2:$C$100, 0)), ""))</f>
        <v/>
      </c>
      <c r="D27" s="30" t="inlineStr">
        <is>
          <t>BHAGYANGR</t>
        </is>
      </c>
      <c r="E27" s="30" t="inlineStr">
        <is>
          <t>Bhagyanagar India</t>
        </is>
      </c>
      <c r="F27" s="30" t="inlineStr">
        <is>
          <t>Recycling</t>
        </is>
      </c>
      <c r="G27" s="30" t="n">
        <v>2</v>
      </c>
      <c r="H27" s="30" t="inlineStr">
        <is>
          <t>No</t>
        </is>
      </c>
      <c r="I27" s="30" t="inlineStr">
        <is>
          <t>Yes</t>
        </is>
      </c>
      <c r="J27" s="30" t="n">
        <v>23</v>
      </c>
      <c r="K27" s="30" t="n">
        <v>3</v>
      </c>
    </row>
    <row r="28">
      <c r="A28" s="30">
        <f>IF(B28=0,"",ROW()-1)</f>
        <v/>
      </c>
      <c r="B28" s="31">
        <f>IFERROR(INDEX('Monit Non Financial'!$B$2:$B$400, MATCH(D28, 'Monit Non Financial'!$C$2:$C$400, 0)), IFERROR(INDEX('Monit Banks NBFC'!$B$2:$B$100, MATCH(D28, 'Monit Banks NBFC'!$C$2:$C$100, 0)), 0))</f>
        <v/>
      </c>
      <c r="C28" s="30">
        <f>IFERROR(INDEX('Monit Non Financial'!$L$2:$L$400, MATCH(D28, 'Monit Non Financial'!$C$2:$C$400, 0)), IFERROR(INDEX('Monit Banks NBFC'!$L$2:$L$100, MATCH(D28, 'Monit Banks NBFC'!$C$2:$C$100, 0)), ""))</f>
        <v/>
      </c>
      <c r="D28" s="30" t="inlineStr">
        <is>
          <t>KINGFA</t>
        </is>
      </c>
      <c r="E28" s="30" t="inlineStr">
        <is>
          <t>Kingfa Science &amp; Technology (india) Limited</t>
        </is>
      </c>
      <c r="F28" s="30" t="inlineStr">
        <is>
          <t>Plastics - Plastic &amp; Plastic Products</t>
        </is>
      </c>
      <c r="G28" s="30" t="n">
        <v>2</v>
      </c>
      <c r="H28" s="30" t="inlineStr">
        <is>
          <t>No</t>
        </is>
      </c>
      <c r="I28" s="30" t="inlineStr">
        <is>
          <t>Yes</t>
        </is>
      </c>
      <c r="J28" s="30" t="n">
        <v>21</v>
      </c>
      <c r="K28" s="30" t="n">
        <v>28</v>
      </c>
    </row>
    <row r="29">
      <c r="A29" s="30">
        <f>IF(B29=0,"",ROW()-1)</f>
        <v/>
      </c>
      <c r="B29" s="31">
        <f>IFERROR(INDEX('Monit Non Financial'!$B$2:$B$400, MATCH(D29, 'Monit Non Financial'!$C$2:$C$400, 0)), IFERROR(INDEX('Monit Banks NBFC'!$B$2:$B$100, MATCH(D29, 'Monit Banks NBFC'!$C$2:$C$100, 0)), 0))</f>
        <v/>
      </c>
      <c r="C29" s="30">
        <f>IFERROR(INDEX('Monit Non Financial'!$L$2:$L$400, MATCH(D29, 'Monit Non Financial'!$C$2:$C$400, 0)), IFERROR(INDEX('Monit Banks NBFC'!$L$2:$L$100, MATCH(D29, 'Monit Banks NBFC'!$C$2:$C$100, 0)), ""))</f>
        <v/>
      </c>
      <c r="D29" s="30" t="inlineStr">
        <is>
          <t>MENONBE</t>
        </is>
      </c>
      <c r="E29" s="30" t="inlineStr">
        <is>
          <t>Menon Bearings Limited</t>
        </is>
      </c>
      <c r="F29" s="30" t="inlineStr">
        <is>
          <t>Auto Ancillaries - Bearings</t>
        </is>
      </c>
      <c r="G29" s="30" t="n">
        <v>2</v>
      </c>
      <c r="H29" s="30" t="inlineStr">
        <is>
          <t>No</t>
        </is>
      </c>
      <c r="I29" s="30" t="inlineStr">
        <is>
          <t>Yes</t>
        </is>
      </c>
      <c r="J29" s="30" t="n">
        <v>20</v>
      </c>
      <c r="K29" s="30" t="n">
        <v>30</v>
      </c>
    </row>
    <row r="30">
      <c r="A30" s="30">
        <f>IF(B30=0,"",ROW()-1)</f>
        <v/>
      </c>
      <c r="B30" s="31">
        <f>IFERROR(INDEX('Monit Non Financial'!$B$2:$B$400, MATCH(D30, 'Monit Non Financial'!$C$2:$C$400, 0)), IFERROR(INDEX('Monit Banks NBFC'!$B$2:$B$100, MATCH(D30, 'Monit Banks NBFC'!$C$2:$C$100, 0)), 0))</f>
        <v/>
      </c>
      <c r="C30" s="30">
        <f>IFERROR(INDEX('Monit Non Financial'!$L$2:$L$400, MATCH(D30, 'Monit Non Financial'!$C$2:$C$400, 0)), IFERROR(INDEX('Monit Banks NBFC'!$L$2:$L$100, MATCH(D30, 'Monit Banks NBFC'!$C$2:$C$100, 0)), ""))</f>
        <v/>
      </c>
      <c r="D30" s="30" t="inlineStr">
        <is>
          <t>KMEW</t>
        </is>
      </c>
      <c r="E30" s="30" t="inlineStr">
        <is>
          <t>Knowledge Marine &amp; Engineering Works Ltd</t>
        </is>
      </c>
      <c r="F30" s="30" t="inlineStr">
        <is>
          <t>Shipping</t>
        </is>
      </c>
      <c r="G30" s="30" t="n">
        <v>2</v>
      </c>
      <c r="H30" s="30" t="inlineStr">
        <is>
          <t>No</t>
        </is>
      </c>
      <c r="I30" s="30" t="inlineStr">
        <is>
          <t>Yes</t>
        </is>
      </c>
      <c r="J30" s="30" t="n">
        <v>22</v>
      </c>
      <c r="K30" s="30" t="n">
        <v>30</v>
      </c>
    </row>
    <row r="31">
      <c r="A31" s="30">
        <f>IF(B31=0,"",ROW()-1)</f>
        <v/>
      </c>
      <c r="B31" s="31">
        <f>IFERROR(INDEX('Monit Non Financial'!$B$2:$B$400, MATCH(D31, 'Monit Non Financial'!$C$2:$C$400, 0)), IFERROR(INDEX('Monit Banks NBFC'!$B$2:$B$100, MATCH(D31, 'Monit Banks NBFC'!$C$2:$C$100, 0)), 0))</f>
        <v/>
      </c>
      <c r="C31" s="30">
        <f>IFERROR(INDEX('Monit Non Financial'!$L$2:$L$400, MATCH(D31, 'Monit Non Financial'!$C$2:$C$400, 0)), IFERROR(INDEX('Monit Banks NBFC'!$L$2:$L$100, MATCH(D31, 'Monit Banks NBFC'!$C$2:$C$100, 0)), ""))</f>
        <v/>
      </c>
      <c r="D31" s="30" t="inlineStr">
        <is>
          <t>WELCORP</t>
        </is>
      </c>
      <c r="E31" s="30" t="inlineStr">
        <is>
          <t>Welspun Corp Limited</t>
        </is>
      </c>
      <c r="F31" s="30" t="inlineStr">
        <is>
          <t>DI Pipes/Saw Pipes</t>
        </is>
      </c>
      <c r="G31" s="30" t="n">
        <v>2</v>
      </c>
      <c r="H31" s="30" t="inlineStr">
        <is>
          <t>52W Breakout</t>
        </is>
      </c>
      <c r="I31" s="30" t="inlineStr">
        <is>
          <t>Yes</t>
        </is>
      </c>
      <c r="J31" s="30" t="n">
        <v>18</v>
      </c>
      <c r="K31" s="30" t="n">
        <v>30</v>
      </c>
    </row>
    <row r="32">
      <c r="A32" s="30">
        <f>IF(B32=0,"",ROW()-1)</f>
        <v/>
      </c>
      <c r="B32" s="31">
        <f>IFERROR(INDEX('Monit Non Financial'!$B$2:$B$400, MATCH(D32, 'Monit Non Financial'!$C$2:$C$400, 0)), IFERROR(INDEX('Monit Banks NBFC'!$B$2:$B$100, MATCH(D32, 'Monit Banks NBFC'!$C$2:$C$100, 0)), 0))</f>
        <v/>
      </c>
      <c r="C32" s="30">
        <f>IFERROR(INDEX('Monit Non Financial'!$L$2:$L$400, MATCH(D32, 'Monit Non Financial'!$C$2:$C$400, 0)), IFERROR(INDEX('Monit Banks NBFC'!$L$2:$L$100, MATCH(D32, 'Monit Banks NBFC'!$C$2:$C$100, 0)), ""))</f>
        <v/>
      </c>
      <c r="D32" s="30" t="inlineStr">
        <is>
          <t>INDSWFTLAB</t>
        </is>
      </c>
      <c r="E32" s="30" t="inlineStr">
        <is>
          <t>Ind-swift Laboratories Limited</t>
        </is>
      </c>
      <c r="F32" s="30" t="inlineStr">
        <is>
          <t>Pharma - API</t>
        </is>
      </c>
      <c r="G32" s="30" t="n">
        <v>2</v>
      </c>
      <c r="H32" s="30" t="inlineStr">
        <is>
          <t>No</t>
        </is>
      </c>
      <c r="I32" s="30" t="inlineStr">
        <is>
          <t>Yes</t>
        </is>
      </c>
      <c r="J32" s="30" t="n">
        <v>19</v>
      </c>
      <c r="K32" s="30" t="n">
        <v>28</v>
      </c>
    </row>
    <row r="33">
      <c r="A33" s="30">
        <f>IF(B33=0,"",ROW()-1)</f>
        <v/>
      </c>
      <c r="B33" s="31">
        <f>IFERROR(INDEX('Monit Non Financial'!$B$2:$B$400, MATCH(D33, 'Monit Non Financial'!$C$2:$C$400, 0)), IFERROR(INDEX('Monit Banks NBFC'!$B$2:$B$100, MATCH(D33, 'Monit Banks NBFC'!$C$2:$C$100, 0)), 0))</f>
        <v/>
      </c>
      <c r="C33" s="30">
        <f>IFERROR(INDEX('Monit Non Financial'!$L$2:$L$400, MATCH(D33, 'Monit Non Financial'!$C$2:$C$400, 0)), IFERROR(INDEX('Monit Banks NBFC'!$L$2:$L$100, MATCH(D33, 'Monit Banks NBFC'!$C$2:$C$100, 0)), ""))</f>
        <v/>
      </c>
      <c r="D33" s="30" t="inlineStr">
        <is>
          <t>WHEELS</t>
        </is>
      </c>
      <c r="E33" s="30" t="inlineStr">
        <is>
          <t>Wheels India Limited</t>
        </is>
      </c>
      <c r="F33" s="30" t="inlineStr">
        <is>
          <t>Auto Ancillaries - Wheels</t>
        </is>
      </c>
      <c r="G33" s="30" t="n">
        <v>2</v>
      </c>
      <c r="H33" s="30" t="inlineStr">
        <is>
          <t>No</t>
        </is>
      </c>
      <c r="I33" s="30" t="inlineStr">
        <is>
          <t>Yes</t>
        </is>
      </c>
      <c r="J33" s="30" t="n">
        <v>23</v>
      </c>
      <c r="K33" s="30" t="n">
        <v>15</v>
      </c>
    </row>
    <row r="34">
      <c r="A34" s="30">
        <f>IF(B34=0,"",ROW()-1)</f>
        <v/>
      </c>
      <c r="B34" s="31">
        <f>IFERROR(INDEX('Monit Non Financial'!$B$2:$B$400, MATCH(D34, 'Monit Non Financial'!$C$2:$C$400, 0)), IFERROR(INDEX('Monit Banks NBFC'!$B$2:$B$100, MATCH(D34, 'Monit Banks NBFC'!$C$2:$C$100, 0)), 0))</f>
        <v/>
      </c>
      <c r="C34" s="30">
        <f>IFERROR(INDEX('Monit Non Financial'!$L$2:$L$400, MATCH(D34, 'Monit Non Financial'!$C$2:$C$400, 0)), IFERROR(INDEX('Monit Banks NBFC'!$L$2:$L$100, MATCH(D34, 'Monit Banks NBFC'!$C$2:$C$100, 0)), ""))</f>
        <v/>
      </c>
      <c r="D34" s="30" t="inlineStr">
        <is>
          <t>SOLARINDS</t>
        </is>
      </c>
      <c r="E34" s="30" t="inlineStr">
        <is>
          <t>Solar Industries India Limited</t>
        </is>
      </c>
      <c r="F34" s="30" t="inlineStr">
        <is>
          <t>Industrial Explosives</t>
        </is>
      </c>
      <c r="G34" s="30" t="n">
        <v>2</v>
      </c>
      <c r="H34" s="30" t="inlineStr">
        <is>
          <t>No</t>
        </is>
      </c>
      <c r="I34" s="30" t="inlineStr">
        <is>
          <t>Yes</t>
        </is>
      </c>
      <c r="J34" s="30" t="n">
        <v>20</v>
      </c>
      <c r="K34" s="30" t="n">
        <v>27</v>
      </c>
    </row>
    <row r="35">
      <c r="A35" s="30">
        <f>IF(B35=0,"",ROW()-1)</f>
        <v/>
      </c>
      <c r="B35" s="31">
        <f>IFERROR(INDEX('Monit Non Financial'!$B$2:$B$400, MATCH(D35, 'Monit Non Financial'!$C$2:$C$400, 0)), IFERROR(INDEX('Monit Banks NBFC'!$B$2:$B$100, MATCH(D35, 'Monit Banks NBFC'!$C$2:$C$100, 0)), 0))</f>
        <v/>
      </c>
      <c r="C35" s="30">
        <f>IFERROR(INDEX('Monit Non Financial'!$L$2:$L$400, MATCH(D35, 'Monit Non Financial'!$C$2:$C$400, 0)), IFERROR(INDEX('Monit Banks NBFC'!$L$2:$L$100, MATCH(D35, 'Monit Banks NBFC'!$C$2:$C$100, 0)), ""))</f>
        <v/>
      </c>
      <c r="D35" s="30" t="inlineStr">
        <is>
          <t>PCJEWELLER</t>
        </is>
      </c>
      <c r="E35" s="30" t="inlineStr">
        <is>
          <t>Pc Jeweller Limited</t>
        </is>
      </c>
      <c r="F35" s="30" t="inlineStr">
        <is>
          <t>Diamond, Gems &amp; Jewellery</t>
        </is>
      </c>
      <c r="G35" s="30" t="n">
        <v>2</v>
      </c>
      <c r="H35" s="30" t="inlineStr">
        <is>
          <t>No</t>
        </is>
      </c>
      <c r="I35" s="30" t="inlineStr">
        <is>
          <t>Yes</t>
        </is>
      </c>
      <c r="J35" s="30" t="n">
        <v>24</v>
      </c>
      <c r="K35" s="30" t="n">
        <v>4</v>
      </c>
    </row>
    <row r="36">
      <c r="A36" s="30">
        <f>IF(B36=0,"",ROW()-1)</f>
        <v/>
      </c>
      <c r="B36" s="31">
        <f>IFERROR(INDEX('Monit Non Financial'!$B$2:$B$400, MATCH(D36, 'Monit Non Financial'!$C$2:$C$400, 0)), IFERROR(INDEX('Monit Banks NBFC'!$B$2:$B$100, MATCH(D36, 'Monit Banks NBFC'!$C$2:$C$100, 0)), 0))</f>
        <v/>
      </c>
      <c r="C36" s="30">
        <f>IFERROR(INDEX('Monit Non Financial'!$L$2:$L$400, MATCH(D36, 'Monit Non Financial'!$C$2:$C$400, 0)), IFERROR(INDEX('Monit Banks NBFC'!$L$2:$L$100, MATCH(D36, 'Monit Banks NBFC'!$C$2:$C$100, 0)), ""))</f>
        <v/>
      </c>
      <c r="D36" s="30" t="inlineStr">
        <is>
          <t>IKIO</t>
        </is>
      </c>
      <c r="E36" s="30" t="inlineStr">
        <is>
          <t>IKIO Lighting Ltd</t>
        </is>
      </c>
      <c r="F36" s="30" t="inlineStr">
        <is>
          <t>Capital Goods - Electric General</t>
        </is>
      </c>
      <c r="G36" s="30" t="n">
        <v>2</v>
      </c>
      <c r="H36" s="30" t="inlineStr">
        <is>
          <t>No</t>
        </is>
      </c>
      <c r="I36" s="30" t="inlineStr">
        <is>
          <t>Yes</t>
        </is>
      </c>
      <c r="J36" s="30" t="n">
        <v>20</v>
      </c>
      <c r="K36" s="30" t="n">
        <v>12</v>
      </c>
    </row>
    <row r="37">
      <c r="A37" s="30">
        <f>IF(B37=0,"",ROW()-1)</f>
        <v/>
      </c>
      <c r="B37" s="31">
        <f>IFERROR(INDEX('Monit Non Financial'!$B$2:$B$400, MATCH(D37, 'Monit Non Financial'!$C$2:$C$400, 0)), IFERROR(INDEX('Monit Banks NBFC'!$B$2:$B$100, MATCH(D37, 'Monit Banks NBFC'!$C$2:$C$100, 0)), 0))</f>
        <v/>
      </c>
      <c r="C37" s="30">
        <f>IFERROR(INDEX('Monit Non Financial'!$L$2:$L$400, MATCH(D37, 'Monit Non Financial'!$C$2:$C$400, 0)), IFERROR(INDEX('Monit Banks NBFC'!$L$2:$L$100, MATCH(D37, 'Monit Banks NBFC'!$C$2:$C$100, 0)), ""))</f>
        <v/>
      </c>
      <c r="D37" s="30" t="inlineStr">
        <is>
          <t>UNIPARTS</t>
        </is>
      </c>
      <c r="E37" s="30" t="inlineStr">
        <is>
          <t>Uniparts India Ltd</t>
        </is>
      </c>
      <c r="F37" s="30" t="inlineStr">
        <is>
          <t>Castings, Forgings &amp; Fastners</t>
        </is>
      </c>
      <c r="G37" s="30" t="n">
        <v>2</v>
      </c>
      <c r="H37" s="30" t="inlineStr">
        <is>
          <t>No</t>
        </is>
      </c>
      <c r="I37" s="30" t="inlineStr">
        <is>
          <t>Yes</t>
        </is>
      </c>
      <c r="J37" s="30" t="n">
        <v>23</v>
      </c>
      <c r="K37" s="30" t="n">
        <v>30</v>
      </c>
    </row>
    <row r="38">
      <c r="A38" s="30">
        <f>IF(B38=0,"",ROW()-1)</f>
        <v/>
      </c>
      <c r="B38" s="31">
        <f>IFERROR(INDEX('Monit Non Financial'!$B$2:$B$400, MATCH(D38, 'Monit Non Financial'!$C$2:$C$400, 0)), IFERROR(INDEX('Monit Banks NBFC'!$B$2:$B$100, MATCH(D38, 'Monit Banks NBFC'!$C$2:$C$100, 0)), 0))</f>
        <v/>
      </c>
      <c r="C38" s="30">
        <f>IFERROR(INDEX('Monit Non Financial'!$L$2:$L$400, MATCH(D38, 'Monit Non Financial'!$C$2:$C$400, 0)), IFERROR(INDEX('Monit Banks NBFC'!$L$2:$L$100, MATCH(D38, 'Monit Banks NBFC'!$C$2:$C$100, 0)), ""))</f>
        <v/>
      </c>
      <c r="D38" s="30" t="inlineStr">
        <is>
          <t>KANORICHEM</t>
        </is>
      </c>
      <c r="E38" s="30" t="inlineStr">
        <is>
          <t>Kanoria Chemicals &amp; Industries Limited</t>
        </is>
      </c>
      <c r="F38" s="30" t="inlineStr">
        <is>
          <t>Chemicals - Organic - Alcohol Based</t>
        </is>
      </c>
      <c r="G38" s="30" t="n">
        <v>2</v>
      </c>
      <c r="H38" s="30" t="inlineStr">
        <is>
          <t>52W Breakout</t>
        </is>
      </c>
      <c r="I38" s="30" t="inlineStr">
        <is>
          <t>Yes</t>
        </is>
      </c>
      <c r="J38" s="30" t="n">
        <v>3</v>
      </c>
      <c r="K38" s="30" t="n">
        <v>28</v>
      </c>
    </row>
    <row r="39">
      <c r="A39" s="30">
        <f>IF(B39=0,"",ROW()-1)</f>
        <v/>
      </c>
      <c r="B39" s="31">
        <f>IFERROR(INDEX('Monit Non Financial'!$B$2:$B$400, MATCH(D39, 'Monit Non Financial'!$C$2:$C$400, 0)), IFERROR(INDEX('Monit Banks NBFC'!$B$2:$B$100, MATCH(D39, 'Monit Banks NBFC'!$C$2:$C$100, 0)), 0))</f>
        <v/>
      </c>
      <c r="C39" s="30">
        <f>IFERROR(INDEX('Monit Non Financial'!$L$2:$L$400, MATCH(D39, 'Monit Non Financial'!$C$2:$C$400, 0)), IFERROR(INDEX('Monit Banks NBFC'!$L$2:$L$100, MATCH(D39, 'Monit Banks NBFC'!$C$2:$C$100, 0)), ""))</f>
        <v/>
      </c>
      <c r="D39" s="30" t="inlineStr">
        <is>
          <t>SETL</t>
        </is>
      </c>
      <c r="E39" s="30" t="inlineStr">
        <is>
          <t>Standard Enginnering Technology Ltd</t>
        </is>
      </c>
      <c r="F39" s="30" t="inlineStr">
        <is>
          <t>Engineering - Heavy - Glass - lined Equipment</t>
        </is>
      </c>
      <c r="G39" s="30" t="n">
        <v>2</v>
      </c>
      <c r="H39" s="30" t="inlineStr">
        <is>
          <t>52W Breakout</t>
        </is>
      </c>
      <c r="I39" s="30" t="inlineStr">
        <is>
          <t>Yes</t>
        </is>
      </c>
      <c r="J39" s="30" t="n">
        <v>14</v>
      </c>
      <c r="K39" s="30" t="n">
        <v>30</v>
      </c>
    </row>
    <row r="40">
      <c r="A40" s="30">
        <f>IF(B40=0,"",ROW()-1)</f>
        <v/>
      </c>
      <c r="B40" s="31">
        <f>IFERROR(INDEX('Monit Non Financial'!$B$2:$B$400, MATCH(D40, 'Monit Non Financial'!$C$2:$C$400, 0)), IFERROR(INDEX('Monit Banks NBFC'!$B$2:$B$100, MATCH(D40, 'Monit Banks NBFC'!$C$2:$C$100, 0)), 0))</f>
        <v/>
      </c>
      <c r="C40" s="30">
        <f>IFERROR(INDEX('Monit Non Financial'!$L$2:$L$400, MATCH(D40, 'Monit Non Financial'!$C$2:$C$400, 0)), IFERROR(INDEX('Monit Banks NBFC'!$L$2:$L$100, MATCH(D40, 'Monit Banks NBFC'!$C$2:$C$100, 0)), ""))</f>
        <v/>
      </c>
      <c r="D40" s="30" t="inlineStr">
        <is>
          <t>MOREPENLAB</t>
        </is>
      </c>
      <c r="E40" s="30" t="inlineStr">
        <is>
          <t>Morepen Laboratories Limited</t>
        </is>
      </c>
      <c r="F40" s="30" t="inlineStr">
        <is>
          <t>Pharma - API &amp; CRAMS</t>
        </is>
      </c>
      <c r="G40" s="30" t="n">
        <v>2</v>
      </c>
      <c r="H40" s="30" t="inlineStr">
        <is>
          <t>No</t>
        </is>
      </c>
      <c r="I40" s="30" t="inlineStr">
        <is>
          <t>Yes</t>
        </is>
      </c>
      <c r="J40" s="30" t="n">
        <v>22</v>
      </c>
      <c r="K40" s="30" t="n">
        <v>28</v>
      </c>
    </row>
    <row r="41">
      <c r="A41" s="30">
        <f>IF(B41=0,"",ROW()-1)</f>
        <v/>
      </c>
      <c r="B41" s="31">
        <f>IFERROR(INDEX('Monit Non Financial'!$B$2:$B$400, MATCH(D41, 'Monit Non Financial'!$C$2:$C$400, 0)), IFERROR(INDEX('Monit Banks NBFC'!$B$2:$B$100, MATCH(D41, 'Monit Banks NBFC'!$C$2:$C$100, 0)), 0))</f>
        <v/>
      </c>
      <c r="C41" s="30">
        <f>IFERROR(INDEX('Monit Non Financial'!$L$2:$L$400, MATCH(D41, 'Monit Non Financial'!$C$2:$C$400, 0)), IFERROR(INDEX('Monit Banks NBFC'!$L$2:$L$100, MATCH(D41, 'Monit Banks NBFC'!$C$2:$C$100, 0)), ""))</f>
        <v/>
      </c>
      <c r="D41" s="30" t="inlineStr">
        <is>
          <t>MANORAMA</t>
        </is>
      </c>
      <c r="E41" s="30" t="inlineStr">
        <is>
          <t>Manorama Industries Ltd</t>
        </is>
      </c>
      <c r="F41" s="30" t="inlineStr">
        <is>
          <t>FMCG - Chocolate</t>
        </is>
      </c>
      <c r="G41" s="30" t="n">
        <v>2</v>
      </c>
      <c r="H41" s="30" t="inlineStr">
        <is>
          <t>No</t>
        </is>
      </c>
      <c r="I41" s="30" t="inlineStr">
        <is>
          <t>Yes</t>
        </is>
      </c>
      <c r="J41" s="30" t="n">
        <v>19</v>
      </c>
      <c r="K41" s="30" t="n">
        <v>22</v>
      </c>
    </row>
    <row r="42">
      <c r="A42" s="30">
        <f>IF(B42=0,"",ROW()-1)</f>
        <v/>
      </c>
      <c r="B42" s="31">
        <f>IFERROR(INDEX('Monit Non Financial'!$B$2:$B$400, MATCH(D42, 'Monit Non Financial'!$C$2:$C$400, 0)), IFERROR(INDEX('Monit Banks NBFC'!$B$2:$B$100, MATCH(D42, 'Monit Banks NBFC'!$C$2:$C$100, 0)), 0))</f>
        <v/>
      </c>
      <c r="C42" s="30">
        <f>IFERROR(INDEX('Monit Non Financial'!$L$2:$L$400, MATCH(D42, 'Monit Non Financial'!$C$2:$C$400, 0)), IFERROR(INDEX('Monit Banks NBFC'!$L$2:$L$100, MATCH(D42, 'Monit Banks NBFC'!$C$2:$C$100, 0)), ""))</f>
        <v/>
      </c>
      <c r="D42" s="30" t="inlineStr">
        <is>
          <t>LOTUSDEV</t>
        </is>
      </c>
      <c r="E42" s="30" t="inlineStr">
        <is>
          <t>Sri Lotus Developers &amp; Realty Ltd</t>
        </is>
      </c>
      <c r="F42" s="30" t="inlineStr">
        <is>
          <t>Construction - Factories/Offices/Commercial</t>
        </is>
      </c>
      <c r="G42" s="30" t="n">
        <v>2</v>
      </c>
      <c r="H42" s="30" t="inlineStr">
        <is>
          <t>No</t>
        </is>
      </c>
      <c r="I42" s="30" t="inlineStr">
        <is>
          <t>Yes</t>
        </is>
      </c>
      <c r="J42" s="30" t="n">
        <v>24</v>
      </c>
      <c r="K42" s="30" t="n">
        <v>11</v>
      </c>
    </row>
    <row r="43">
      <c r="A43" s="30">
        <f>IF(B43=0,"",ROW()-1)</f>
        <v/>
      </c>
      <c r="B43" s="31">
        <f>IFERROR(INDEX('Monit Non Financial'!$B$2:$B$400, MATCH(D43, 'Monit Non Financial'!$C$2:$C$400, 0)), IFERROR(INDEX('Monit Banks NBFC'!$B$2:$B$100, MATCH(D43, 'Monit Banks NBFC'!$C$2:$C$100, 0)), 0))</f>
        <v/>
      </c>
      <c r="C43" s="30">
        <f>IFERROR(INDEX('Monit Non Financial'!$L$2:$L$400, MATCH(D43, 'Monit Non Financial'!$C$2:$C$400, 0)), IFERROR(INDEX('Monit Banks NBFC'!$L$2:$L$100, MATCH(D43, 'Monit Banks NBFC'!$C$2:$C$100, 0)), ""))</f>
        <v/>
      </c>
      <c r="D43" s="30" t="inlineStr">
        <is>
          <t>EBGNG</t>
        </is>
      </c>
      <c r="E43" s="30" t="inlineStr">
        <is>
          <t>GNG Electronics Ltd</t>
        </is>
      </c>
      <c r="F43" s="30" t="inlineStr">
        <is>
          <t>New age - Platform - E-Retail</t>
        </is>
      </c>
      <c r="G43" s="30" t="n">
        <v>2</v>
      </c>
      <c r="H43" s="30" t="inlineStr">
        <is>
          <t>No</t>
        </is>
      </c>
      <c r="I43" s="30" t="inlineStr">
        <is>
          <t>Yes</t>
        </is>
      </c>
      <c r="J43" s="30" t="n">
        <v>24</v>
      </c>
      <c r="K43" s="30" t="n">
        <v>17</v>
      </c>
    </row>
    <row r="44">
      <c r="A44" s="30">
        <f>IF(B44=0,"",ROW()-1)</f>
        <v/>
      </c>
      <c r="B44" s="31">
        <f>IFERROR(INDEX('Monit Non Financial'!$B$2:$B$400, MATCH(D44, 'Monit Non Financial'!$C$2:$C$400, 0)), IFERROR(INDEX('Monit Banks NBFC'!$B$2:$B$100, MATCH(D44, 'Monit Banks NBFC'!$C$2:$C$100, 0)), 0))</f>
        <v/>
      </c>
      <c r="C44" s="30">
        <f>IFERROR(INDEX('Monit Non Financial'!$L$2:$L$400, MATCH(D44, 'Monit Non Financial'!$C$2:$C$400, 0)), IFERROR(INDEX('Monit Banks NBFC'!$L$2:$L$100, MATCH(D44, 'Monit Banks NBFC'!$C$2:$C$100, 0)), ""))</f>
        <v/>
      </c>
      <c r="D44" s="30" t="inlineStr">
        <is>
          <t>FCL</t>
        </is>
      </c>
      <c r="E44" s="30" t="inlineStr">
        <is>
          <t>Fineotex Chemical Limited</t>
        </is>
      </c>
      <c r="F44" s="30" t="inlineStr">
        <is>
          <t>Speciality Chemicals</t>
        </is>
      </c>
      <c r="G44" s="30" t="n">
        <v>2</v>
      </c>
      <c r="H44" s="30" t="inlineStr">
        <is>
          <t>No</t>
        </is>
      </c>
      <c r="I44" s="30" t="inlineStr">
        <is>
          <t>Yes</t>
        </is>
      </c>
      <c r="J44" s="30" t="n">
        <v>23</v>
      </c>
      <c r="K44" s="30" t="n">
        <v>26</v>
      </c>
    </row>
    <row r="45">
      <c r="A45" s="30">
        <f>IF(B45=0,"",ROW()-1)</f>
        <v/>
      </c>
      <c r="B45" s="31">
        <f>IFERROR(INDEX('Monit Non Financial'!$B$2:$B$400, MATCH(D45, 'Monit Non Financial'!$C$2:$C$400, 0)), IFERROR(INDEX('Monit Banks NBFC'!$B$2:$B$100, MATCH(D45, 'Monit Banks NBFC'!$C$2:$C$100, 0)), 0))</f>
        <v/>
      </c>
      <c r="C45" s="30">
        <f>IFERROR(INDEX('Monit Non Financial'!$L$2:$L$400, MATCH(D45, 'Monit Non Financial'!$C$2:$C$400, 0)), IFERROR(INDEX('Monit Banks NBFC'!$L$2:$L$100, MATCH(D45, 'Monit Banks NBFC'!$C$2:$C$100, 0)), ""))</f>
        <v/>
      </c>
      <c r="D45" s="30" t="inlineStr">
        <is>
          <t>BHAGERIA</t>
        </is>
      </c>
      <c r="E45" s="30" t="inlineStr">
        <is>
          <t>Bhageria Industries Limited</t>
        </is>
      </c>
      <c r="F45" s="30" t="inlineStr">
        <is>
          <t>Dyes &amp; Pigments</t>
        </is>
      </c>
      <c r="G45" s="30" t="n">
        <v>2</v>
      </c>
      <c r="H45" s="30" t="inlineStr">
        <is>
          <t>No</t>
        </is>
      </c>
      <c r="I45" s="30" t="inlineStr">
        <is>
          <t>Yes</t>
        </is>
      </c>
      <c r="J45" s="30" t="n">
        <v>22</v>
      </c>
      <c r="K45" s="30" t="n">
        <v>16</v>
      </c>
    </row>
    <row r="46">
      <c r="A46" s="30">
        <f>IF(B46=0,"",ROW()-1)</f>
        <v/>
      </c>
      <c r="B46" s="31">
        <f>IFERROR(INDEX('Monit Non Financial'!$B$2:$B$400, MATCH(D46, 'Monit Non Financial'!$C$2:$C$400, 0)), IFERROR(INDEX('Monit Banks NBFC'!$B$2:$B$100, MATCH(D46, 'Monit Banks NBFC'!$C$2:$C$100, 0)), 0))</f>
        <v/>
      </c>
      <c r="C46" s="30">
        <f>IFERROR(INDEX('Monit Non Financial'!$L$2:$L$400, MATCH(D46, 'Monit Non Financial'!$C$2:$C$400, 0)), IFERROR(INDEX('Monit Banks NBFC'!$L$2:$L$100, MATCH(D46, 'Monit Banks NBFC'!$C$2:$C$100, 0)), ""))</f>
        <v/>
      </c>
      <c r="D46" s="30" t="inlineStr">
        <is>
          <t>FINCABLES</t>
        </is>
      </c>
      <c r="E46" s="30" t="inlineStr">
        <is>
          <t>Finolex Cables Limited</t>
        </is>
      </c>
      <c r="F46" s="30" t="inlineStr">
        <is>
          <t>Cables - Telecom</t>
        </is>
      </c>
      <c r="G46" s="30" t="n">
        <v>2</v>
      </c>
      <c r="H46" s="30" t="inlineStr">
        <is>
          <t>No</t>
        </is>
      </c>
      <c r="I46" s="30" t="inlineStr">
        <is>
          <t>Yes</t>
        </is>
      </c>
      <c r="J46" s="30" t="n">
        <v>25</v>
      </c>
      <c r="K46" s="30" t="n">
        <v>21</v>
      </c>
    </row>
    <row r="47">
      <c r="A47" s="30">
        <f>IF(B47=0,"",ROW()-1)</f>
        <v/>
      </c>
      <c r="B47" s="31">
        <f>IFERROR(INDEX('Monit Non Financial'!$B$2:$B$400, MATCH(D47, 'Monit Non Financial'!$C$2:$C$400, 0)), IFERROR(INDEX('Monit Banks NBFC'!$B$2:$B$100, MATCH(D47, 'Monit Banks NBFC'!$C$2:$C$100, 0)), 0))</f>
        <v/>
      </c>
      <c r="C47" s="30">
        <f>IFERROR(INDEX('Monit Non Financial'!$L$2:$L$400, MATCH(D47, 'Monit Non Financial'!$C$2:$C$400, 0)), IFERROR(INDEX('Monit Banks NBFC'!$L$2:$L$100, MATCH(D47, 'Monit Banks NBFC'!$C$2:$C$100, 0)), ""))</f>
        <v/>
      </c>
      <c r="D47" s="30" t="inlineStr">
        <is>
          <t>SKYGOLD</t>
        </is>
      </c>
      <c r="E47" s="30" t="inlineStr">
        <is>
          <t>Sky Gold Ltd</t>
        </is>
      </c>
      <c r="F47" s="30" t="inlineStr">
        <is>
          <t>Diamond, Gems &amp; Jewellery</t>
        </is>
      </c>
      <c r="G47" s="30" t="n">
        <v>2</v>
      </c>
      <c r="H47" s="30" t="inlineStr">
        <is>
          <t>No</t>
        </is>
      </c>
      <c r="I47" s="30" t="inlineStr">
        <is>
          <t>Yes</t>
        </is>
      </c>
      <c r="J47" s="30" t="n">
        <v>28</v>
      </c>
      <c r="K47" s="30" t="n">
        <v>26</v>
      </c>
    </row>
    <row r="48">
      <c r="A48" s="30">
        <f>IF(B48=0,"",ROW()-1)</f>
        <v/>
      </c>
      <c r="B48" s="31">
        <f>IFERROR(INDEX('Monit Non Financial'!$B$2:$B$400, MATCH(D48, 'Monit Non Financial'!$C$2:$C$400, 0)), IFERROR(INDEX('Monit Banks NBFC'!$B$2:$B$100, MATCH(D48, 'Monit Banks NBFC'!$C$2:$C$100, 0)), 0))</f>
        <v/>
      </c>
      <c r="C48" s="30">
        <f>IFERROR(INDEX('Monit Non Financial'!$L$2:$L$400, MATCH(D48, 'Monit Non Financial'!$C$2:$C$400, 0)), IFERROR(INDEX('Monit Banks NBFC'!$L$2:$L$100, MATCH(D48, 'Monit Banks NBFC'!$C$2:$C$100, 0)), ""))</f>
        <v/>
      </c>
      <c r="D48" s="30" t="inlineStr">
        <is>
          <t>NRBBEARING</t>
        </is>
      </c>
      <c r="E48" s="30" t="inlineStr">
        <is>
          <t>Nrb Bearing Limited</t>
        </is>
      </c>
      <c r="F48" s="30" t="inlineStr">
        <is>
          <t>Bearings</t>
        </is>
      </c>
      <c r="G48" s="30" t="n">
        <v>2</v>
      </c>
      <c r="H48" s="30" t="inlineStr">
        <is>
          <t>52W Breakout</t>
        </is>
      </c>
      <c r="I48" s="30" t="inlineStr">
        <is>
          <t>Yes</t>
        </is>
      </c>
      <c r="J48" s="30" t="n">
        <v>13</v>
      </c>
      <c r="K48" s="30" t="n">
        <v>24</v>
      </c>
    </row>
    <row r="49">
      <c r="A49" s="30">
        <f>IF(B49=0,"",ROW()-1)</f>
        <v/>
      </c>
      <c r="B49" s="31">
        <f>IFERROR(INDEX('Monit Non Financial'!$B$2:$B$400, MATCH(D49, 'Monit Non Financial'!$C$2:$C$400, 0)), IFERROR(INDEX('Monit Banks NBFC'!$B$2:$B$100, MATCH(D49, 'Monit Banks NBFC'!$C$2:$C$100, 0)), 0))</f>
        <v/>
      </c>
      <c r="C49" s="30">
        <f>IFERROR(INDEX('Monit Non Financial'!$L$2:$L$400, MATCH(D49, 'Monit Non Financial'!$C$2:$C$400, 0)), IFERROR(INDEX('Monit Banks NBFC'!$L$2:$L$100, MATCH(D49, 'Monit Banks NBFC'!$C$2:$C$100, 0)), ""))</f>
        <v/>
      </c>
      <c r="D49" s="30" t="inlineStr">
        <is>
          <t>WSTCSTPAPR</t>
        </is>
      </c>
      <c r="E49" s="30" t="inlineStr">
        <is>
          <t>West Coast Paper Mills Limited</t>
        </is>
      </c>
      <c r="F49" s="30" t="inlineStr">
        <is>
          <t>Paper</t>
        </is>
      </c>
      <c r="G49" s="30" t="n">
        <v>2</v>
      </c>
      <c r="H49" s="30" t="inlineStr">
        <is>
          <t>52W Breakout</t>
        </is>
      </c>
      <c r="I49" s="30" t="inlineStr">
        <is>
          <t>Yes</t>
        </is>
      </c>
      <c r="J49" s="30" t="n">
        <v>16</v>
      </c>
      <c r="K49" s="30" t="n">
        <v>30</v>
      </c>
    </row>
    <row r="50">
      <c r="A50" s="30">
        <f>IF(B50=0,"",ROW()-1)</f>
        <v/>
      </c>
      <c r="B50" s="31">
        <f>IFERROR(INDEX('Monit Non Financial'!$B$2:$B$400, MATCH(D50, 'Monit Non Financial'!$C$2:$C$400, 0)), IFERROR(INDEX('Monit Banks NBFC'!$B$2:$B$100, MATCH(D50, 'Monit Banks NBFC'!$C$2:$C$100, 0)), 0))</f>
        <v/>
      </c>
      <c r="C50" s="30">
        <f>IFERROR(INDEX('Monit Non Financial'!$L$2:$L$400, MATCH(D50, 'Monit Non Financial'!$C$2:$C$400, 0)), IFERROR(INDEX('Monit Banks NBFC'!$L$2:$L$100, MATCH(D50, 'Monit Banks NBFC'!$C$2:$C$100, 0)), ""))</f>
        <v/>
      </c>
      <c r="D50" s="30" t="inlineStr">
        <is>
          <t>SAKAR</t>
        </is>
      </c>
      <c r="E50" s="30" t="inlineStr">
        <is>
          <t>Sakar Healthcare Ltd</t>
        </is>
      </c>
      <c r="F50" s="30" t="inlineStr">
        <is>
          <t>Hospitals</t>
        </is>
      </c>
      <c r="G50" s="30" t="n">
        <v>2</v>
      </c>
      <c r="H50" s="30" t="inlineStr">
        <is>
          <t>No</t>
        </is>
      </c>
      <c r="I50" s="30" t="inlineStr">
        <is>
          <t>Yes</t>
        </is>
      </c>
      <c r="J50" s="30" t="n">
        <v>25</v>
      </c>
      <c r="K50" s="30" t="n">
        <v>18</v>
      </c>
    </row>
    <row r="51">
      <c r="A51" s="30">
        <f>IF(B51=0,"",ROW()-1)</f>
        <v/>
      </c>
      <c r="B51" s="31">
        <f>IFERROR(INDEX('Monit Non Financial'!$B$2:$B$400, MATCH(D51, 'Monit Non Financial'!$C$2:$C$400, 0)), IFERROR(INDEX('Monit Banks NBFC'!$B$2:$B$100, MATCH(D51, 'Monit Banks NBFC'!$C$2:$C$100, 0)), 0))</f>
        <v/>
      </c>
      <c r="C51" s="30">
        <f>IFERROR(INDEX('Monit Non Financial'!$L$2:$L$400, MATCH(D51, 'Monit Non Financial'!$C$2:$C$400, 0)), IFERROR(INDEX('Monit Banks NBFC'!$L$2:$L$100, MATCH(D51, 'Monit Banks NBFC'!$C$2:$C$100, 0)), ""))</f>
        <v/>
      </c>
      <c r="D51" s="30" t="inlineStr">
        <is>
          <t>TFCILTD</t>
        </is>
      </c>
      <c r="E51" s="30" t="inlineStr">
        <is>
          <t>Tourism Finance Corporation Of India Limited</t>
        </is>
      </c>
      <c r="F51" s="30" t="inlineStr">
        <is>
          <t>Finance - PSU Lending</t>
        </is>
      </c>
      <c r="G51" s="30" t="n">
        <v>2</v>
      </c>
      <c r="H51" s="30" t="inlineStr">
        <is>
          <t>No</t>
        </is>
      </c>
      <c r="I51" s="30" t="inlineStr">
        <is>
          <t>Yes</t>
        </is>
      </c>
      <c r="J51" s="30" t="n">
        <v>20</v>
      </c>
      <c r="K51" s="30" t="n">
        <v>30</v>
      </c>
    </row>
    <row r="52">
      <c r="A52" s="30">
        <f>IF(B52=0,"",ROW()-1)</f>
        <v/>
      </c>
      <c r="B52" s="31">
        <f>IFERROR(INDEX('Monit Non Financial'!$B$2:$B$400, MATCH(D52, 'Monit Non Financial'!$C$2:$C$400, 0)), IFERROR(INDEX('Monit Banks NBFC'!$B$2:$B$100, MATCH(D52, 'Monit Banks NBFC'!$C$2:$C$100, 0)), 0))</f>
        <v/>
      </c>
      <c r="C52" s="30">
        <f>IFERROR(INDEX('Monit Non Financial'!$L$2:$L$400, MATCH(D52, 'Monit Non Financial'!$C$2:$C$400, 0)), IFERROR(INDEX('Monit Banks NBFC'!$L$2:$L$100, MATCH(D52, 'Monit Banks NBFC'!$C$2:$C$100, 0)), ""))</f>
        <v/>
      </c>
      <c r="D52" s="30" t="inlineStr">
        <is>
          <t>SHILPAMED</t>
        </is>
      </c>
      <c r="E52" s="30" t="inlineStr">
        <is>
          <t>Shilpa Medicare Limited</t>
        </is>
      </c>
      <c r="F52" s="30" t="inlineStr">
        <is>
          <t>Pharma - API &amp; CRAMS</t>
        </is>
      </c>
      <c r="G52" s="30" t="n">
        <v>2</v>
      </c>
      <c r="H52" s="30" t="inlineStr">
        <is>
          <t>No</t>
        </is>
      </c>
      <c r="I52" s="30" t="inlineStr">
        <is>
          <t>Yes</t>
        </is>
      </c>
      <c r="J52" s="30" t="n">
        <v>21</v>
      </c>
      <c r="K52" s="30" t="n">
        <v>29</v>
      </c>
    </row>
    <row r="53">
      <c r="A53" s="30">
        <f>IF(B53=0,"",ROW()-1)</f>
        <v/>
      </c>
      <c r="B53" s="31">
        <f>IFERROR(INDEX('Monit Non Financial'!$B$2:$B$400, MATCH(D53, 'Monit Non Financial'!$C$2:$C$400, 0)), IFERROR(INDEX('Monit Banks NBFC'!$B$2:$B$100, MATCH(D53, 'Monit Banks NBFC'!$C$2:$C$100, 0)), 0))</f>
        <v/>
      </c>
      <c r="C53" s="30">
        <f>IFERROR(INDEX('Monit Non Financial'!$L$2:$L$400, MATCH(D53, 'Monit Non Financial'!$C$2:$C$400, 0)), IFERROR(INDEX('Monit Banks NBFC'!$L$2:$L$100, MATCH(D53, 'Monit Banks NBFC'!$C$2:$C$100, 0)), ""))</f>
        <v/>
      </c>
      <c r="D53" s="30" t="inlineStr">
        <is>
          <t>BODALCHEM</t>
        </is>
      </c>
      <c r="E53" s="30" t="inlineStr">
        <is>
          <t>Bodal Chemicals Limited</t>
        </is>
      </c>
      <c r="F53" s="30" t="inlineStr">
        <is>
          <t>Dyes &amp; Pigments</t>
        </is>
      </c>
      <c r="G53" s="30" t="n">
        <v>2</v>
      </c>
      <c r="H53" s="30" t="inlineStr">
        <is>
          <t>No</t>
        </is>
      </c>
      <c r="I53" s="30" t="inlineStr">
        <is>
          <t>Yes</t>
        </is>
      </c>
      <c r="J53" s="30" t="n">
        <v>28</v>
      </c>
      <c r="K53" s="30" t="n">
        <v>22</v>
      </c>
    </row>
    <row r="54">
      <c r="A54" s="30">
        <f>IF(B54=0,"",ROW()-1)</f>
        <v/>
      </c>
      <c r="B54" s="31">
        <f>IFERROR(INDEX('Monit Non Financial'!$B$2:$B$400, MATCH(D54, 'Monit Non Financial'!$C$2:$C$400, 0)), IFERROR(INDEX('Monit Banks NBFC'!$B$2:$B$100, MATCH(D54, 'Monit Banks NBFC'!$C$2:$C$100, 0)), 0))</f>
        <v/>
      </c>
      <c r="C54" s="30">
        <f>IFERROR(INDEX('Monit Non Financial'!$L$2:$L$400, MATCH(D54, 'Monit Non Financial'!$C$2:$C$400, 0)), IFERROR(INDEX('Monit Banks NBFC'!$L$2:$L$100, MATCH(D54, 'Monit Banks NBFC'!$C$2:$C$100, 0)), ""))</f>
        <v/>
      </c>
      <c r="D54" s="30" t="inlineStr">
        <is>
          <t>TVSSRICHAK</t>
        </is>
      </c>
      <c r="E54" s="30" t="inlineStr">
        <is>
          <t>Tvs Srichakra Limited</t>
        </is>
      </c>
      <c r="F54" s="30" t="inlineStr">
        <is>
          <t>Tyres &amp; Tubes</t>
        </is>
      </c>
      <c r="G54" s="30" t="n">
        <v>2</v>
      </c>
      <c r="H54" s="30" t="inlineStr">
        <is>
          <t>No</t>
        </is>
      </c>
      <c r="I54" s="30" t="inlineStr">
        <is>
          <t>Yes</t>
        </is>
      </c>
      <c r="J54" s="30" t="n">
        <v>20</v>
      </c>
      <c r="K54" s="30" t="n">
        <v>20</v>
      </c>
    </row>
    <row r="55">
      <c r="A55" s="30">
        <f>IF(B55=0,"",ROW()-1)</f>
        <v/>
      </c>
      <c r="B55" s="31">
        <f>IFERROR(INDEX('Monit Non Financial'!$B$2:$B$400, MATCH(D55, 'Monit Non Financial'!$C$2:$C$400, 0)), IFERROR(INDEX('Monit Banks NBFC'!$B$2:$B$100, MATCH(D55, 'Monit Banks NBFC'!$C$2:$C$100, 0)), 0))</f>
        <v/>
      </c>
      <c r="C55" s="30">
        <f>IFERROR(INDEX('Monit Non Financial'!$L$2:$L$400, MATCH(D55, 'Monit Non Financial'!$C$2:$C$400, 0)), IFERROR(INDEX('Monit Banks NBFC'!$L$2:$L$100, MATCH(D55, 'Monit Banks NBFC'!$C$2:$C$100, 0)), ""))</f>
        <v/>
      </c>
      <c r="D55" s="30" t="inlineStr">
        <is>
          <t>AVALON</t>
        </is>
      </c>
      <c r="E55" s="30" t="inlineStr">
        <is>
          <t>Avalon Technologies Ltd</t>
        </is>
      </c>
      <c r="F55" s="30" t="inlineStr">
        <is>
          <t>Consumer Electronics - EMS</t>
        </is>
      </c>
      <c r="G55" s="30" t="n">
        <v>2</v>
      </c>
      <c r="H55" s="30" t="inlineStr">
        <is>
          <t>No</t>
        </is>
      </c>
      <c r="I55" s="30" t="inlineStr">
        <is>
          <t>Yes</t>
        </is>
      </c>
      <c r="J55" s="30" t="n">
        <v>22</v>
      </c>
      <c r="K55" s="30" t="n">
        <v>28</v>
      </c>
    </row>
    <row r="56">
      <c r="A56" s="30">
        <f>IF(B56=0,"",ROW()-1)</f>
        <v/>
      </c>
      <c r="B56" s="31">
        <f>IFERROR(INDEX('Monit Non Financial'!$B$2:$B$400, MATCH(D56, 'Monit Non Financial'!$C$2:$C$400, 0)), IFERROR(INDEX('Monit Banks NBFC'!$B$2:$B$100, MATCH(D56, 'Monit Banks NBFC'!$C$2:$C$100, 0)), 0))</f>
        <v/>
      </c>
      <c r="C56" s="30">
        <f>IFERROR(INDEX('Monit Non Financial'!$L$2:$L$400, MATCH(D56, 'Monit Non Financial'!$C$2:$C$400, 0)), IFERROR(INDEX('Monit Banks NBFC'!$L$2:$L$100, MATCH(D56, 'Monit Banks NBFC'!$C$2:$C$100, 0)), ""))</f>
        <v/>
      </c>
      <c r="D56" s="30" t="inlineStr">
        <is>
          <t>RGL</t>
        </is>
      </c>
      <c r="E56" s="30" t="inlineStr">
        <is>
          <t>Renaissance Global Ltd</t>
        </is>
      </c>
      <c r="F56" s="30" t="inlineStr">
        <is>
          <t>Lab Grown Diamonds</t>
        </is>
      </c>
      <c r="G56" s="30" t="n">
        <v>2</v>
      </c>
      <c r="H56" s="30" t="inlineStr">
        <is>
          <t>No</t>
        </is>
      </c>
      <c r="I56" s="30" t="inlineStr">
        <is>
          <t>Yes</t>
        </is>
      </c>
      <c r="J56" s="30" t="n">
        <v>20</v>
      </c>
      <c r="K56" s="30" t="n">
        <v>23</v>
      </c>
    </row>
    <row r="57">
      <c r="A57" s="30">
        <f>IF(B57=0,"",ROW()-1)</f>
        <v/>
      </c>
      <c r="B57" s="31">
        <f>IFERROR(INDEX('Monit Non Financial'!$B$2:$B$400, MATCH(D57, 'Monit Non Financial'!$C$2:$C$400, 0)), IFERROR(INDEX('Monit Banks NBFC'!$B$2:$B$100, MATCH(D57, 'Monit Banks NBFC'!$C$2:$C$100, 0)), 0))</f>
        <v/>
      </c>
      <c r="C57" s="30">
        <f>IFERROR(INDEX('Monit Non Financial'!$L$2:$L$400, MATCH(D57, 'Monit Non Financial'!$C$2:$C$400, 0)), IFERROR(INDEX('Monit Banks NBFC'!$L$2:$L$100, MATCH(D57, 'Monit Banks NBFC'!$C$2:$C$100, 0)), ""))</f>
        <v/>
      </c>
      <c r="D57" s="30" t="inlineStr">
        <is>
          <t>GANDHAR</t>
        </is>
      </c>
      <c r="E57" s="30" t="inlineStr">
        <is>
          <t>Gandhar Oil Refinery (India) Ltd</t>
        </is>
      </c>
      <c r="F57" s="30" t="inlineStr">
        <is>
          <t>Refineries</t>
        </is>
      </c>
      <c r="G57" s="30" t="n">
        <v>2</v>
      </c>
      <c r="H57" s="30" t="inlineStr">
        <is>
          <t>No</t>
        </is>
      </c>
      <c r="I57" s="30" t="inlineStr">
        <is>
          <t>Yes</t>
        </is>
      </c>
      <c r="J57" s="30" t="n">
        <v>22</v>
      </c>
      <c r="K57" s="30" t="n">
        <v>24</v>
      </c>
    </row>
    <row r="58">
      <c r="A58" s="30">
        <f>IF(B58=0,"",ROW()-1)</f>
        <v/>
      </c>
      <c r="B58" s="31">
        <f>IFERROR(INDEX('Monit Non Financial'!$B$2:$B$400, MATCH(D58, 'Monit Non Financial'!$C$2:$C$400, 0)), IFERROR(INDEX('Monit Banks NBFC'!$B$2:$B$100, MATCH(D58, 'Monit Banks NBFC'!$C$2:$C$100, 0)), 0))</f>
        <v/>
      </c>
      <c r="C58" s="30">
        <f>IFERROR(INDEX('Monit Non Financial'!$L$2:$L$400, MATCH(D58, 'Monit Non Financial'!$C$2:$C$400, 0)), IFERROR(INDEX('Monit Banks NBFC'!$L$2:$L$100, MATCH(D58, 'Monit Banks NBFC'!$C$2:$C$100, 0)), ""))</f>
        <v/>
      </c>
      <c r="D58" s="30" t="inlineStr">
        <is>
          <t>STLNETWORK</t>
        </is>
      </c>
      <c r="E58" s="30" t="inlineStr">
        <is>
          <t>STL Networks Ltd</t>
        </is>
      </c>
      <c r="F58" s="30" t="inlineStr">
        <is>
          <t>Telecommunications - Service Provider</t>
        </is>
      </c>
      <c r="G58" s="30" t="n">
        <v>2</v>
      </c>
      <c r="H58" s="30" t="inlineStr">
        <is>
          <t>52W Breakout</t>
        </is>
      </c>
      <c r="I58" s="30" t="inlineStr">
        <is>
          <t>Yes</t>
        </is>
      </c>
      <c r="J58" s="30" t="n">
        <v>9</v>
      </c>
      <c r="K58" s="30" t="n">
        <v>2</v>
      </c>
    </row>
    <row r="59">
      <c r="A59" s="30">
        <f>IF(B59=0,"",ROW()-1)</f>
        <v/>
      </c>
      <c r="B59" s="31">
        <f>IFERROR(INDEX('Monit Non Financial'!$B$2:$B$400, MATCH(D59, 'Monit Non Financial'!$C$2:$C$400, 0)), IFERROR(INDEX('Monit Banks NBFC'!$B$2:$B$100, MATCH(D59, 'Monit Banks NBFC'!$C$2:$C$100, 0)), 0))</f>
        <v/>
      </c>
      <c r="C59" s="30">
        <f>IFERROR(INDEX('Monit Non Financial'!$L$2:$L$400, MATCH(D59, 'Monit Non Financial'!$C$2:$C$400, 0)), IFERROR(INDEX('Monit Banks NBFC'!$L$2:$L$100, MATCH(D59, 'Monit Banks NBFC'!$C$2:$C$100, 0)), ""))</f>
        <v/>
      </c>
      <c r="D59" s="30" t="inlineStr">
        <is>
          <t>NAZARA</t>
        </is>
      </c>
      <c r="E59" s="30" t="inlineStr">
        <is>
          <t>Nazara Technologies Ltd</t>
        </is>
      </c>
      <c r="F59" s="30" t="inlineStr">
        <is>
          <t>Entertainment &amp; Media</t>
        </is>
      </c>
      <c r="G59" s="30" t="n">
        <v>2</v>
      </c>
      <c r="H59" s="30" t="inlineStr">
        <is>
          <t>52W Breakout</t>
        </is>
      </c>
      <c r="I59" s="30" t="inlineStr">
        <is>
          <t>Yes</t>
        </is>
      </c>
      <c r="J59" s="30" t="n">
        <v>14</v>
      </c>
      <c r="K59" s="30" t="n">
        <v>30</v>
      </c>
    </row>
    <row r="60">
      <c r="A60" s="30">
        <f>IF(B60=0,"",ROW()-1)</f>
        <v/>
      </c>
      <c r="B60" s="31">
        <f>IFERROR(INDEX('Monit Non Financial'!$B$2:$B$400, MATCH(D60, 'Monit Non Financial'!$C$2:$C$400, 0)), IFERROR(INDEX('Monit Banks NBFC'!$B$2:$B$100, MATCH(D60, 'Monit Banks NBFC'!$C$2:$C$100, 0)), 0))</f>
        <v/>
      </c>
      <c r="C60" s="30">
        <f>IFERROR(INDEX('Monit Non Financial'!$L$2:$L$400, MATCH(D60, 'Monit Non Financial'!$C$2:$C$400, 0)), IFERROR(INDEX('Monit Banks NBFC'!$L$2:$L$100, MATCH(D60, 'Monit Banks NBFC'!$C$2:$C$100, 0)), ""))</f>
        <v/>
      </c>
      <c r="D60" s="30" t="inlineStr">
        <is>
          <t>LAURUSLABS</t>
        </is>
      </c>
      <c r="E60" s="30" t="inlineStr">
        <is>
          <t>Laurus Labs Limited</t>
        </is>
      </c>
      <c r="F60" s="30" t="inlineStr">
        <is>
          <t>Pharma - API &amp; CRAMS</t>
        </is>
      </c>
      <c r="G60" s="30" t="n">
        <v>2</v>
      </c>
      <c r="H60" s="30" t="inlineStr">
        <is>
          <t>No</t>
        </is>
      </c>
      <c r="I60" s="30" t="inlineStr">
        <is>
          <t>Yes</t>
        </is>
      </c>
      <c r="J60" s="30" t="n">
        <v>23</v>
      </c>
      <c r="K60" s="30" t="n">
        <v>29</v>
      </c>
    </row>
    <row r="61">
      <c r="A61" s="30">
        <f>IF(B61=0,"",ROW()-1)</f>
        <v/>
      </c>
      <c r="B61" s="31">
        <f>IFERROR(INDEX('Monit Non Financial'!$B$2:$B$400, MATCH(D61, 'Monit Non Financial'!$C$2:$C$400, 0)), IFERROR(INDEX('Monit Banks NBFC'!$B$2:$B$100, MATCH(D61, 'Monit Banks NBFC'!$C$2:$C$100, 0)), 0))</f>
        <v/>
      </c>
      <c r="C61" s="30">
        <f>IFERROR(INDEX('Monit Non Financial'!$L$2:$L$400, MATCH(D61, 'Monit Non Financial'!$C$2:$C$400, 0)), IFERROR(INDEX('Monit Banks NBFC'!$L$2:$L$100, MATCH(D61, 'Monit Banks NBFC'!$C$2:$C$100, 0)), ""))</f>
        <v/>
      </c>
      <c r="D61" s="30" t="inlineStr">
        <is>
          <t>NEULANDLAB</t>
        </is>
      </c>
      <c r="E61" s="30" t="inlineStr">
        <is>
          <t>Neuland Laboratories Limited</t>
        </is>
      </c>
      <c r="F61" s="30" t="inlineStr">
        <is>
          <t>Pharma - API &amp; CRAMS</t>
        </is>
      </c>
      <c r="G61" s="30" t="n">
        <v>2</v>
      </c>
      <c r="H61" s="30" t="inlineStr">
        <is>
          <t>No</t>
        </is>
      </c>
      <c r="I61" s="30" t="inlineStr">
        <is>
          <t>Yes</t>
        </is>
      </c>
      <c r="J61" s="30" t="n">
        <v>20</v>
      </c>
      <c r="K61" s="30" t="n">
        <v>30</v>
      </c>
    </row>
    <row r="62">
      <c r="A62" s="30">
        <f>IF(B62=0,"",ROW()-1)</f>
        <v/>
      </c>
      <c r="B62" s="31">
        <f>IFERROR(INDEX('Monit Non Financial'!$B$2:$B$400, MATCH(D62, 'Monit Non Financial'!$C$2:$C$400, 0)), IFERROR(INDEX('Monit Banks NBFC'!$B$2:$B$100, MATCH(D62, 'Monit Banks NBFC'!$C$2:$C$100, 0)), 0))</f>
        <v/>
      </c>
      <c r="C62" s="30">
        <f>IFERROR(INDEX('Monit Non Financial'!$L$2:$L$400, MATCH(D62, 'Monit Non Financial'!$C$2:$C$400, 0)), IFERROR(INDEX('Monit Banks NBFC'!$L$2:$L$100, MATCH(D62, 'Monit Banks NBFC'!$C$2:$C$100, 0)), ""))</f>
        <v/>
      </c>
      <c r="D62" s="30" t="inlineStr">
        <is>
          <t>MACPOWER</t>
        </is>
      </c>
      <c r="E62" s="30" t="inlineStr">
        <is>
          <t>Macpower CNC Machines Ltd</t>
        </is>
      </c>
      <c r="F62" s="30" t="inlineStr">
        <is>
          <t>CNC - Machines</t>
        </is>
      </c>
      <c r="G62" s="30" t="n">
        <v>2</v>
      </c>
      <c r="H62" s="30" t="inlineStr">
        <is>
          <t>No</t>
        </is>
      </c>
      <c r="I62" s="30" t="inlineStr">
        <is>
          <t>Yes</t>
        </is>
      </c>
      <c r="J62" s="30" t="n">
        <v>21</v>
      </c>
      <c r="K62" s="30" t="n">
        <v>28</v>
      </c>
    </row>
    <row r="63">
      <c r="A63" s="30">
        <f>IF(B63=0,"",ROW()-1)</f>
        <v/>
      </c>
      <c r="B63" s="31">
        <f>IFERROR(INDEX('Monit Non Financial'!$B$2:$B$400, MATCH(D63, 'Monit Non Financial'!$C$2:$C$400, 0)), IFERROR(INDEX('Monit Banks NBFC'!$B$2:$B$100, MATCH(D63, 'Monit Banks NBFC'!$C$2:$C$100, 0)), 0))</f>
        <v/>
      </c>
      <c r="C63" s="30">
        <f>IFERROR(INDEX('Monit Non Financial'!$L$2:$L$400, MATCH(D63, 'Monit Non Financial'!$C$2:$C$400, 0)), IFERROR(INDEX('Monit Banks NBFC'!$L$2:$L$100, MATCH(D63, 'Monit Banks NBFC'!$C$2:$C$100, 0)), ""))</f>
        <v/>
      </c>
      <c r="D63" s="30" t="inlineStr">
        <is>
          <t>STLTECH</t>
        </is>
      </c>
      <c r="E63" s="30" t="inlineStr">
        <is>
          <t>Sterlite Technologies Limited</t>
        </is>
      </c>
      <c r="F63" s="30" t="inlineStr">
        <is>
          <t>Cables - Telecom</t>
        </is>
      </c>
      <c r="G63" s="30" t="n">
        <v>2</v>
      </c>
      <c r="H63" s="30" t="inlineStr">
        <is>
          <t>No</t>
        </is>
      </c>
      <c r="I63" s="30" t="inlineStr">
        <is>
          <t>Yes</t>
        </is>
      </c>
      <c r="J63" s="30" t="n">
        <v>23</v>
      </c>
      <c r="K63" s="30" t="n">
        <v>29</v>
      </c>
    </row>
    <row r="64">
      <c r="A64" s="30">
        <f>IF(B64=0,"",ROW()-1)</f>
        <v/>
      </c>
      <c r="B64" s="31">
        <f>IFERROR(INDEX('Monit Non Financial'!$B$2:$B$400, MATCH(D64, 'Monit Non Financial'!$C$2:$C$400, 0)), IFERROR(INDEX('Monit Banks NBFC'!$B$2:$B$100, MATCH(D64, 'Monit Banks NBFC'!$C$2:$C$100, 0)), 0))</f>
        <v/>
      </c>
      <c r="C64" s="30">
        <f>IFERROR(INDEX('Monit Non Financial'!$L$2:$L$400, MATCH(D64, 'Monit Non Financial'!$C$2:$C$400, 0)), IFERROR(INDEX('Monit Banks NBFC'!$L$2:$L$100, MATCH(D64, 'Monit Banks NBFC'!$C$2:$C$100, 0)), ""))</f>
        <v/>
      </c>
      <c r="D64" s="30" t="inlineStr">
        <is>
          <t>PGIL</t>
        </is>
      </c>
      <c r="E64" s="30" t="inlineStr">
        <is>
          <t>Pearl Global Industries Limited</t>
        </is>
      </c>
      <c r="F64" s="30" t="inlineStr">
        <is>
          <t>Textiles - Readymade Apparel</t>
        </is>
      </c>
      <c r="G64" s="30" t="n">
        <v>2</v>
      </c>
      <c r="H64" s="30" t="inlineStr">
        <is>
          <t>No</t>
        </is>
      </c>
      <c r="I64" s="30" t="inlineStr">
        <is>
          <t>Yes</t>
        </is>
      </c>
      <c r="J64" s="30" t="n">
        <v>20</v>
      </c>
      <c r="K64" s="30" t="n">
        <v>23</v>
      </c>
    </row>
    <row r="65">
      <c r="A65" s="30">
        <f>IF(B65=0,"",ROW()-1)</f>
        <v/>
      </c>
      <c r="B65" s="31">
        <f>IFERROR(INDEX('Monit Non Financial'!$B$2:$B$400, MATCH(D65, 'Monit Non Financial'!$C$2:$C$400, 0)), IFERROR(INDEX('Monit Banks NBFC'!$B$2:$B$100, MATCH(D65, 'Monit Banks NBFC'!$C$2:$C$100, 0)), 0))</f>
        <v/>
      </c>
      <c r="C65" s="30">
        <f>IFERROR(INDEX('Monit Non Financial'!$L$2:$L$400, MATCH(D65, 'Monit Non Financial'!$C$2:$C$400, 0)), IFERROR(INDEX('Monit Banks NBFC'!$L$2:$L$100, MATCH(D65, 'Monit Banks NBFC'!$C$2:$C$100, 0)), ""))</f>
        <v/>
      </c>
      <c r="D65" s="30" t="inlineStr">
        <is>
          <t>AEROFLEX</t>
        </is>
      </c>
      <c r="E65" s="30" t="inlineStr">
        <is>
          <t>Aeroflex Industries Ltd</t>
        </is>
      </c>
      <c r="F65" s="30" t="inlineStr">
        <is>
          <t>Stainless Steel</t>
        </is>
      </c>
      <c r="G65" s="30" t="n">
        <v>2</v>
      </c>
      <c r="H65" s="30" t="inlineStr">
        <is>
          <t>No</t>
        </is>
      </c>
      <c r="I65" s="30" t="inlineStr">
        <is>
          <t>Yes</t>
        </is>
      </c>
      <c r="J65" s="30" t="n">
        <v>19</v>
      </c>
      <c r="K65" s="30" t="n">
        <v>22</v>
      </c>
    </row>
    <row r="66">
      <c r="A66" s="30">
        <f>IF(B66=0,"",ROW()-1)</f>
        <v/>
      </c>
      <c r="B66" s="31">
        <f>IFERROR(INDEX('Monit Non Financial'!$B$2:$B$400, MATCH(D66, 'Monit Non Financial'!$C$2:$C$400, 0)), IFERROR(INDEX('Monit Banks NBFC'!$B$2:$B$100, MATCH(D66, 'Monit Banks NBFC'!$C$2:$C$100, 0)), 0))</f>
        <v/>
      </c>
      <c r="C66" s="30">
        <f>IFERROR(INDEX('Monit Non Financial'!$L$2:$L$400, MATCH(D66, 'Monit Non Financial'!$C$2:$C$400, 0)), IFERROR(INDEX('Monit Banks NBFC'!$L$2:$L$100, MATCH(D66, 'Monit Banks NBFC'!$C$2:$C$100, 0)), ""))</f>
        <v/>
      </c>
      <c r="D66" s="30" t="inlineStr">
        <is>
          <t>MMP</t>
        </is>
      </c>
      <c r="E66" s="30" t="inlineStr">
        <is>
          <t>MMP Industries Ltd</t>
        </is>
      </c>
      <c r="F66" s="30" t="inlineStr">
        <is>
          <t>Aluminium Products</t>
        </is>
      </c>
      <c r="G66" s="30" t="n">
        <v>2</v>
      </c>
      <c r="H66" s="30" t="inlineStr">
        <is>
          <t>No</t>
        </is>
      </c>
      <c r="I66" s="30" t="inlineStr">
        <is>
          <t>Yes</t>
        </is>
      </c>
      <c r="J66" s="30" t="n">
        <v>25</v>
      </c>
      <c r="K66" s="30" t="n">
        <v>30</v>
      </c>
    </row>
    <row r="67">
      <c r="A67" s="30">
        <f>IF(B67=0,"",ROW()-1)</f>
        <v/>
      </c>
      <c r="B67" s="31">
        <f>IFERROR(INDEX('Monit Non Financial'!$B$2:$B$400, MATCH(D67, 'Monit Non Financial'!$C$2:$C$400, 0)), IFERROR(INDEX('Monit Banks NBFC'!$B$2:$B$100, MATCH(D67, 'Monit Banks NBFC'!$C$2:$C$100, 0)), 0))</f>
        <v/>
      </c>
      <c r="C67" s="30">
        <f>IFERROR(INDEX('Monit Non Financial'!$L$2:$L$400, MATCH(D67, 'Monit Non Financial'!$C$2:$C$400, 0)), IFERROR(INDEX('Monit Banks NBFC'!$L$2:$L$100, MATCH(D67, 'Monit Banks NBFC'!$C$2:$C$100, 0)), ""))</f>
        <v/>
      </c>
      <c r="D67" s="30" t="inlineStr">
        <is>
          <t>NRAIL</t>
        </is>
      </c>
      <c r="E67" s="30" t="inlineStr">
        <is>
          <t>N R Agarwal Industries Ltd</t>
        </is>
      </c>
      <c r="F67" s="30" t="inlineStr">
        <is>
          <t>Paper</t>
        </is>
      </c>
      <c r="G67" s="30" t="n">
        <v>2</v>
      </c>
      <c r="H67" s="30" t="inlineStr">
        <is>
          <t>No</t>
        </is>
      </c>
      <c r="I67" s="30" t="inlineStr">
        <is>
          <t>Yes</t>
        </is>
      </c>
      <c r="J67" s="30" t="n">
        <v>21</v>
      </c>
      <c r="K67" s="30" t="n">
        <v>20</v>
      </c>
    </row>
    <row r="68">
      <c r="A68" s="30">
        <f>IF(B68=0,"",ROW()-1)</f>
        <v/>
      </c>
      <c r="B68" s="31">
        <f>IFERROR(INDEX('Monit Non Financial'!$B$2:$B$400, MATCH(D68, 'Monit Non Financial'!$C$2:$C$400, 0)), IFERROR(INDEX('Monit Banks NBFC'!$B$2:$B$100, MATCH(D68, 'Monit Banks NBFC'!$C$2:$C$100, 0)), 0))</f>
        <v/>
      </c>
      <c r="C68" s="30">
        <f>IFERROR(INDEX('Monit Non Financial'!$L$2:$L$400, MATCH(D68, 'Monit Non Financial'!$C$2:$C$400, 0)), IFERROR(INDEX('Monit Banks NBFC'!$L$2:$L$100, MATCH(D68, 'Monit Banks NBFC'!$C$2:$C$100, 0)), ""))</f>
        <v/>
      </c>
      <c r="D68" s="30" t="inlineStr">
        <is>
          <t>SIGMAADV</t>
        </is>
      </c>
      <c r="E68" s="30" t="inlineStr">
        <is>
          <t>Sigma Advanced System Ltd</t>
        </is>
      </c>
      <c r="F68" s="30" t="inlineStr">
        <is>
          <t>Aerospace &amp; Defence - Equipments</t>
        </is>
      </c>
      <c r="G68" s="30" t="n">
        <v>2</v>
      </c>
      <c r="H68" s="30" t="inlineStr">
        <is>
          <t>52W Breakout</t>
        </is>
      </c>
      <c r="I68" s="30" t="inlineStr">
        <is>
          <t>Yes</t>
        </is>
      </c>
      <c r="J68" s="30" t="n">
        <v>14</v>
      </c>
      <c r="K68" s="30" t="n">
        <v>28</v>
      </c>
    </row>
    <row r="69">
      <c r="A69" s="30">
        <f>IF(B69=0,"",ROW()-1)</f>
        <v/>
      </c>
      <c r="B69" s="31">
        <f>IFERROR(INDEX('Monit Non Financial'!$B$2:$B$400, MATCH(D69, 'Monit Non Financial'!$C$2:$C$400, 0)), IFERROR(INDEX('Monit Banks NBFC'!$B$2:$B$100, MATCH(D69, 'Monit Banks NBFC'!$C$2:$C$100, 0)), 0))</f>
        <v/>
      </c>
      <c r="C69" s="30">
        <f>IFERROR(INDEX('Monit Non Financial'!$L$2:$L$400, MATCH(D69, 'Monit Non Financial'!$C$2:$C$400, 0)), IFERROR(INDEX('Monit Banks NBFC'!$L$2:$L$100, MATCH(D69, 'Monit Banks NBFC'!$C$2:$C$100, 0)), ""))</f>
        <v/>
      </c>
      <c r="D69" s="30" t="inlineStr">
        <is>
          <t>SHREEJISPG</t>
        </is>
      </c>
      <c r="E69" s="30" t="inlineStr">
        <is>
          <t>Shreeji Shipping Global Ltd</t>
        </is>
      </c>
      <c r="F69" s="30" t="inlineStr">
        <is>
          <t>Shipping/Dredging</t>
        </is>
      </c>
      <c r="G69" s="30" t="n">
        <v>2</v>
      </c>
      <c r="H69" s="30" t="inlineStr">
        <is>
          <t>52W Breakout</t>
        </is>
      </c>
      <c r="I69" s="30" t="inlineStr">
        <is>
          <t>Yes</t>
        </is>
      </c>
      <c r="J69" s="30" t="n">
        <v>11</v>
      </c>
      <c r="K69" s="30" t="n">
        <v>6</v>
      </c>
    </row>
    <row r="70">
      <c r="A70" s="30">
        <f>IF(B70=0,"",ROW()-1)</f>
        <v/>
      </c>
      <c r="B70" s="31">
        <f>IFERROR(INDEX('Monit Non Financial'!$B$2:$B$400, MATCH(D70, 'Monit Non Financial'!$C$2:$C$400, 0)), IFERROR(INDEX('Monit Banks NBFC'!$B$2:$B$100, MATCH(D70, 'Monit Banks NBFC'!$C$2:$C$100, 0)), 0))</f>
        <v/>
      </c>
      <c r="C70" s="30">
        <f>IFERROR(INDEX('Monit Non Financial'!$L$2:$L$400, MATCH(D70, 'Monit Non Financial'!$C$2:$C$400, 0)), IFERROR(INDEX('Monit Banks NBFC'!$L$2:$L$100, MATCH(D70, 'Monit Banks NBFC'!$C$2:$C$100, 0)), ""))</f>
        <v/>
      </c>
      <c r="D70" s="30" t="inlineStr">
        <is>
          <t>ALEMBICLTD</t>
        </is>
      </c>
      <c r="E70" s="30" t="inlineStr">
        <is>
          <t>Alembic Limited</t>
        </is>
      </c>
      <c r="F70" s="30" t="inlineStr">
        <is>
          <t>Finance - Holding Company</t>
        </is>
      </c>
      <c r="G70" s="30" t="n">
        <v>2</v>
      </c>
      <c r="H70" s="30" t="inlineStr">
        <is>
          <t>No</t>
        </is>
      </c>
      <c r="I70" s="30" t="inlineStr">
        <is>
          <t>Yes</t>
        </is>
      </c>
      <c r="J70" s="30" t="n">
        <v>19</v>
      </c>
      <c r="K70" s="30" t="n">
        <v>14</v>
      </c>
    </row>
    <row r="71">
      <c r="A71" s="30">
        <f>IF(B71=0,"",ROW()-1)</f>
        <v/>
      </c>
      <c r="B71" s="31">
        <f>IFERROR(INDEX('Monit Non Financial'!$B$2:$B$400, MATCH(D71, 'Monit Non Financial'!$C$2:$C$400, 0)), IFERROR(INDEX('Monit Banks NBFC'!$B$2:$B$100, MATCH(D71, 'Monit Banks NBFC'!$C$2:$C$100, 0)), 0))</f>
        <v/>
      </c>
      <c r="C71" s="30">
        <f>IFERROR(INDEX('Monit Non Financial'!$L$2:$L$400, MATCH(D71, 'Monit Non Financial'!$C$2:$C$400, 0)), IFERROR(INDEX('Monit Banks NBFC'!$L$2:$L$100, MATCH(D71, 'Monit Banks NBFC'!$C$2:$C$100, 0)), ""))</f>
        <v/>
      </c>
      <c r="D71" s="30" t="inlineStr">
        <is>
          <t>ENTERO</t>
        </is>
      </c>
      <c r="E71" s="30" t="inlineStr">
        <is>
          <t>Entero Healthcare Solutions Ltd</t>
        </is>
      </c>
      <c r="F71" s="30" t="inlineStr">
        <is>
          <t>Pharmacy Distribution</t>
        </is>
      </c>
      <c r="G71" s="30" t="n">
        <v>2</v>
      </c>
      <c r="H71" s="30" t="inlineStr">
        <is>
          <t>No</t>
        </is>
      </c>
      <c r="I71" s="30" t="inlineStr">
        <is>
          <t>Yes</t>
        </is>
      </c>
      <c r="J71" s="30" t="n">
        <v>25</v>
      </c>
      <c r="K71" s="30" t="n">
        <v>26</v>
      </c>
    </row>
    <row r="72">
      <c r="A72" s="30">
        <f>IF(B72=0,"",ROW()-1)</f>
        <v/>
      </c>
      <c r="B72" s="31">
        <f>IFERROR(INDEX('Monit Non Financial'!$B$2:$B$400, MATCH(D72, 'Monit Non Financial'!$C$2:$C$400, 0)), IFERROR(INDEX('Monit Banks NBFC'!$B$2:$B$100, MATCH(D72, 'Monit Banks NBFC'!$C$2:$C$100, 0)), 0))</f>
        <v/>
      </c>
      <c r="C72" s="30">
        <f>IFERROR(INDEX('Monit Non Financial'!$L$2:$L$400, MATCH(D72, 'Monit Non Financial'!$C$2:$C$400, 0)), IFERROR(INDEX('Monit Banks NBFC'!$L$2:$L$100, MATCH(D72, 'Monit Banks NBFC'!$C$2:$C$100, 0)), ""))</f>
        <v/>
      </c>
      <c r="D72" s="30" t="inlineStr">
        <is>
          <t>STAR</t>
        </is>
      </c>
      <c r="E72" s="30" t="inlineStr">
        <is>
          <t>Strides Shasun Limited</t>
        </is>
      </c>
      <c r="F72" s="30" t="inlineStr">
        <is>
          <t>Pharma - Formulators</t>
        </is>
      </c>
      <c r="G72" s="30" t="n">
        <v>2</v>
      </c>
      <c r="H72" s="30" t="inlineStr">
        <is>
          <t>No</t>
        </is>
      </c>
      <c r="I72" s="30" t="inlineStr">
        <is>
          <t>Yes</t>
        </is>
      </c>
      <c r="J72" s="30" t="n">
        <v>19</v>
      </c>
      <c r="K72" s="30" t="n">
        <v>7</v>
      </c>
    </row>
    <row r="73">
      <c r="A73" s="30">
        <f>IF(B73=0,"",ROW()-1)</f>
        <v/>
      </c>
      <c r="B73" s="31">
        <f>IFERROR(INDEX('Monit Non Financial'!$B$2:$B$400, MATCH(D73, 'Monit Non Financial'!$C$2:$C$400, 0)), IFERROR(INDEX('Monit Banks NBFC'!$B$2:$B$100, MATCH(D73, 'Monit Banks NBFC'!$C$2:$C$100, 0)), 0))</f>
        <v/>
      </c>
      <c r="C73" s="30">
        <f>IFERROR(INDEX('Monit Non Financial'!$L$2:$L$400, MATCH(D73, 'Monit Non Financial'!$C$2:$C$400, 0)), IFERROR(INDEX('Monit Banks NBFC'!$L$2:$L$100, MATCH(D73, 'Monit Banks NBFC'!$C$2:$C$100, 0)), ""))</f>
        <v/>
      </c>
      <c r="D73" s="30" t="inlineStr">
        <is>
          <t>ANTELOPUS</t>
        </is>
      </c>
      <c r="E73" s="30" t="inlineStr">
        <is>
          <t>Antelopus Selan Energy Ltd</t>
        </is>
      </c>
      <c r="F73" s="30" t="inlineStr">
        <is>
          <t>Oil Drilling &amp; Exploration</t>
        </is>
      </c>
      <c r="G73" s="30" t="n">
        <v>2</v>
      </c>
      <c r="H73" s="30" t="inlineStr">
        <is>
          <t>No</t>
        </is>
      </c>
      <c r="I73" s="30" t="inlineStr">
        <is>
          <t>Yes</t>
        </is>
      </c>
      <c r="J73" s="30" t="n">
        <v>31</v>
      </c>
      <c r="K73" s="30" t="n">
        <v>10</v>
      </c>
    </row>
    <row r="74">
      <c r="A74" s="30">
        <f>IF(B74=0,"",ROW()-1)</f>
        <v/>
      </c>
      <c r="B74" s="31">
        <f>IFERROR(INDEX('Monit Non Financial'!$B$2:$B$400, MATCH(D74, 'Monit Non Financial'!$C$2:$C$400, 0)), IFERROR(INDEX('Monit Banks NBFC'!$B$2:$B$100, MATCH(D74, 'Monit Banks NBFC'!$C$2:$C$100, 0)), 0))</f>
        <v/>
      </c>
      <c r="C74" s="30">
        <f>IFERROR(INDEX('Monit Non Financial'!$L$2:$L$400, MATCH(D74, 'Monit Non Financial'!$C$2:$C$400, 0)), IFERROR(INDEX('Monit Banks NBFC'!$L$2:$L$100, MATCH(D74, 'Monit Banks NBFC'!$C$2:$C$100, 0)), ""))</f>
        <v/>
      </c>
      <c r="D74" s="30" t="inlineStr">
        <is>
          <t>CRAFTSMAN</t>
        </is>
      </c>
      <c r="E74" s="30" t="inlineStr">
        <is>
          <t>Craftsman Automation Ltd</t>
        </is>
      </c>
      <c r="F74" s="30" t="inlineStr">
        <is>
          <t>Auto &amp; Auto Ancl - CV</t>
        </is>
      </c>
      <c r="G74" s="30" t="n">
        <v>2</v>
      </c>
      <c r="H74" s="30" t="inlineStr">
        <is>
          <t>No</t>
        </is>
      </c>
      <c r="I74" s="30" t="inlineStr">
        <is>
          <t>Yes</t>
        </is>
      </c>
      <c r="J74" s="30" t="n">
        <v>23</v>
      </c>
      <c r="K74" s="30" t="n">
        <v>29</v>
      </c>
    </row>
    <row r="75">
      <c r="A75" s="30">
        <f>IF(B75=0,"",ROW()-1)</f>
        <v/>
      </c>
      <c r="B75" s="31">
        <f>IFERROR(INDEX('Monit Non Financial'!$B$2:$B$400, MATCH(D75, 'Monit Non Financial'!$C$2:$C$400, 0)), IFERROR(INDEX('Monit Banks NBFC'!$B$2:$B$100, MATCH(D75, 'Monit Banks NBFC'!$C$2:$C$100, 0)), 0))</f>
        <v/>
      </c>
      <c r="C75" s="30">
        <f>IFERROR(INDEX('Monit Non Financial'!$L$2:$L$400, MATCH(D75, 'Monit Non Financial'!$C$2:$C$400, 0)), IFERROR(INDEX('Monit Banks NBFC'!$L$2:$L$100, MATCH(D75, 'Monit Banks NBFC'!$C$2:$C$100, 0)), ""))</f>
        <v/>
      </c>
      <c r="D75" s="30" t="inlineStr">
        <is>
          <t>KOVAI</t>
        </is>
      </c>
      <c r="E75" s="30" t="inlineStr">
        <is>
          <t>Kovai Medical Center &amp; Hospital Ltd</t>
        </is>
      </c>
      <c r="F75" s="30" t="inlineStr">
        <is>
          <t>Hospitals</t>
        </is>
      </c>
      <c r="G75" s="30" t="n">
        <v>2</v>
      </c>
      <c r="H75" s="30" t="inlineStr">
        <is>
          <t>52W Breakout</t>
        </is>
      </c>
      <c r="I75" s="30" t="inlineStr">
        <is>
          <t>Yes</t>
        </is>
      </c>
      <c r="J75" s="30" t="n">
        <v>13</v>
      </c>
      <c r="K75" s="30" t="n">
        <v>11</v>
      </c>
    </row>
    <row r="76">
      <c r="A76" s="30">
        <f>IF(B76=0,"",ROW()-1)</f>
        <v/>
      </c>
      <c r="B76" s="31">
        <f>IFERROR(INDEX('Monit Non Financial'!$B$2:$B$400, MATCH(D76, 'Monit Non Financial'!$C$2:$C$400, 0)), IFERROR(INDEX('Monit Banks NBFC'!$B$2:$B$100, MATCH(D76, 'Monit Banks NBFC'!$C$2:$C$100, 0)), 0))</f>
        <v/>
      </c>
      <c r="C76" s="30">
        <f>IFERROR(INDEX('Monit Non Financial'!$L$2:$L$400, MATCH(D76, 'Monit Non Financial'!$C$2:$C$400, 0)), IFERROR(INDEX('Monit Banks NBFC'!$L$2:$L$100, MATCH(D76, 'Monit Banks NBFC'!$C$2:$C$100, 0)), ""))</f>
        <v/>
      </c>
      <c r="D76" s="30" t="inlineStr">
        <is>
          <t>VARROC</t>
        </is>
      </c>
      <c r="E76" s="30" t="inlineStr">
        <is>
          <t>Varroc Engineering Ltd</t>
        </is>
      </c>
      <c r="F76" s="30" t="inlineStr">
        <is>
          <t>Auto Ancillaries - Diversified</t>
        </is>
      </c>
      <c r="G76" s="30" t="n">
        <v>2</v>
      </c>
      <c r="H76" s="30" t="inlineStr">
        <is>
          <t>52W Breakout</t>
        </is>
      </c>
      <c r="I76" s="30" t="inlineStr">
        <is>
          <t>Yes</t>
        </is>
      </c>
      <c r="J76" s="30" t="n">
        <v>11</v>
      </c>
      <c r="K76" s="30" t="n">
        <v>30</v>
      </c>
    </row>
    <row r="77">
      <c r="A77" s="30">
        <f>IF(B77=0,"",ROW()-1)</f>
        <v/>
      </c>
      <c r="B77" s="31">
        <f>IFERROR(INDEX('Monit Non Financial'!$B$2:$B$400, MATCH(D77, 'Monit Non Financial'!$C$2:$C$400, 0)), IFERROR(INDEX('Monit Banks NBFC'!$B$2:$B$100, MATCH(D77, 'Monit Banks NBFC'!$C$2:$C$100, 0)), 0))</f>
        <v/>
      </c>
      <c r="C77" s="30">
        <f>IFERROR(INDEX('Monit Non Financial'!$L$2:$L$400, MATCH(D77, 'Monit Non Financial'!$C$2:$C$400, 0)), IFERROR(INDEX('Monit Banks NBFC'!$L$2:$L$100, MATCH(D77, 'Monit Banks NBFC'!$C$2:$C$100, 0)), ""))</f>
        <v/>
      </c>
      <c r="D77" s="30" t="inlineStr">
        <is>
          <t>DOLPHIN</t>
        </is>
      </c>
      <c r="E77" s="30" t="inlineStr">
        <is>
          <t>Dolphin Offshore Enterprises (India) Ltd</t>
        </is>
      </c>
      <c r="F77" s="30" t="inlineStr">
        <is>
          <t>Oil Drilling &amp; Exploration</t>
        </is>
      </c>
      <c r="G77" s="30" t="n">
        <v>2</v>
      </c>
      <c r="H77" s="30" t="inlineStr">
        <is>
          <t>No</t>
        </is>
      </c>
      <c r="I77" s="30" t="inlineStr">
        <is>
          <t>Yes</t>
        </is>
      </c>
      <c r="J77" s="30" t="n">
        <v>21</v>
      </c>
      <c r="K77" s="30" t="n">
        <v>29</v>
      </c>
    </row>
    <row r="78">
      <c r="A78" s="30">
        <f>IF(B78=0,"",ROW()-1)</f>
        <v/>
      </c>
      <c r="B78" s="31">
        <f>IFERROR(INDEX('Monit Non Financial'!$B$2:$B$400, MATCH(D78, 'Monit Non Financial'!$C$2:$C$400, 0)), IFERROR(INDEX('Monit Banks NBFC'!$B$2:$B$100, MATCH(D78, 'Monit Banks NBFC'!$C$2:$C$100, 0)), 0))</f>
        <v/>
      </c>
      <c r="C78" s="30">
        <f>IFERROR(INDEX('Monit Non Financial'!$L$2:$L$400, MATCH(D78, 'Monit Non Financial'!$C$2:$C$400, 0)), IFERROR(INDEX('Monit Banks NBFC'!$L$2:$L$100, MATCH(D78, 'Monit Banks NBFC'!$C$2:$C$100, 0)), ""))</f>
        <v/>
      </c>
      <c r="D78" s="30" t="inlineStr">
        <is>
          <t>MANINDS</t>
        </is>
      </c>
      <c r="E78" s="30" t="inlineStr">
        <is>
          <t>Man Industries (india) Limited</t>
        </is>
      </c>
      <c r="F78" s="30" t="inlineStr">
        <is>
          <t>Steel - Tubes/Pipes</t>
        </is>
      </c>
      <c r="G78" s="30" t="n">
        <v>2</v>
      </c>
      <c r="H78" s="30" t="inlineStr">
        <is>
          <t>No</t>
        </is>
      </c>
      <c r="I78" s="30" t="inlineStr">
        <is>
          <t>Yes</t>
        </is>
      </c>
      <c r="J78" s="30" t="n">
        <v>25</v>
      </c>
      <c r="K78" s="30" t="n">
        <v>23</v>
      </c>
    </row>
    <row r="79">
      <c r="A79" s="30">
        <f>IF(B79=0,"",ROW()-1)</f>
        <v/>
      </c>
      <c r="B79" s="31">
        <f>IFERROR(INDEX('Monit Non Financial'!$B$2:$B$400, MATCH(D79, 'Monit Non Financial'!$C$2:$C$400, 0)), IFERROR(INDEX('Monit Banks NBFC'!$B$2:$B$100, MATCH(D79, 'Monit Banks NBFC'!$C$2:$C$100, 0)), 0))</f>
        <v/>
      </c>
      <c r="C79" s="30">
        <f>IFERROR(INDEX('Monit Non Financial'!$L$2:$L$400, MATCH(D79, 'Monit Non Financial'!$C$2:$C$400, 0)), IFERROR(INDEX('Monit Banks NBFC'!$L$2:$L$100, MATCH(D79, 'Monit Banks NBFC'!$C$2:$C$100, 0)), ""))</f>
        <v/>
      </c>
      <c r="D79" s="30" t="inlineStr">
        <is>
          <t>SAMBHV</t>
        </is>
      </c>
      <c r="E79" s="30" t="inlineStr">
        <is>
          <t>Sambhv Steel Tubes Ltd</t>
        </is>
      </c>
      <c r="F79" s="30" t="inlineStr">
        <is>
          <t>Steel - Tubes/Pipes</t>
        </is>
      </c>
      <c r="G79" s="30" t="n">
        <v>2</v>
      </c>
      <c r="H79" s="30" t="inlineStr">
        <is>
          <t>No</t>
        </is>
      </c>
      <c r="I79" s="30" t="inlineStr">
        <is>
          <t>Yes</t>
        </is>
      </c>
      <c r="J79" s="30" t="n">
        <v>19</v>
      </c>
      <c r="K79" s="30" t="n">
        <v>20</v>
      </c>
    </row>
    <row r="80">
      <c r="A80" s="30">
        <f>IF(B80=0,"",ROW()-1)</f>
        <v/>
      </c>
      <c r="B80" s="31">
        <f>IFERROR(INDEX('Monit Non Financial'!$B$2:$B$400, MATCH(D80, 'Monit Non Financial'!$C$2:$C$400, 0)), IFERROR(INDEX('Monit Banks NBFC'!$B$2:$B$100, MATCH(D80, 'Monit Banks NBFC'!$C$2:$C$100, 0)), 0))</f>
        <v/>
      </c>
      <c r="C80" s="30">
        <f>IFERROR(INDEX('Monit Non Financial'!$L$2:$L$400, MATCH(D80, 'Monit Non Financial'!$C$2:$C$400, 0)), IFERROR(INDEX('Monit Banks NBFC'!$L$2:$L$100, MATCH(D80, 'Monit Banks NBFC'!$C$2:$C$100, 0)), ""))</f>
        <v/>
      </c>
      <c r="D80" s="30" t="inlineStr">
        <is>
          <t>INOXINDIA</t>
        </is>
      </c>
      <c r="E80" s="30" t="inlineStr">
        <is>
          <t>Inox India Ltd</t>
        </is>
      </c>
      <c r="F80" s="30" t="inlineStr">
        <is>
          <t>Industrial Gas</t>
        </is>
      </c>
      <c r="G80" s="30" t="n">
        <v>2</v>
      </c>
      <c r="H80" s="30" t="inlineStr">
        <is>
          <t>52W Breakout</t>
        </is>
      </c>
      <c r="I80" s="30" t="inlineStr">
        <is>
          <t>Yes</t>
        </is>
      </c>
      <c r="J80" s="30" t="n">
        <v>14</v>
      </c>
      <c r="K80" s="30" t="n">
        <v>12</v>
      </c>
    </row>
    <row r="81">
      <c r="A81" s="30">
        <f>IF(B81=0,"",ROW()-1)</f>
        <v/>
      </c>
      <c r="B81" s="31">
        <f>IFERROR(INDEX('Monit Non Financial'!$B$2:$B$400, MATCH(D81, 'Monit Non Financial'!$C$2:$C$400, 0)), IFERROR(INDEX('Monit Banks NBFC'!$B$2:$B$100, MATCH(D81, 'Monit Banks NBFC'!$C$2:$C$100, 0)), 0))</f>
        <v/>
      </c>
      <c r="C81" s="30">
        <f>IFERROR(INDEX('Monit Non Financial'!$L$2:$L$400, MATCH(D81, 'Monit Non Financial'!$C$2:$C$400, 0)), IFERROR(INDEX('Monit Banks NBFC'!$L$2:$L$100, MATCH(D81, 'Monit Banks NBFC'!$C$2:$C$100, 0)), ""))</f>
        <v/>
      </c>
      <c r="D81" s="30" t="inlineStr">
        <is>
          <t>MARKSANS</t>
        </is>
      </c>
      <c r="E81" s="30" t="inlineStr">
        <is>
          <t>Marksans Pharma Limited</t>
        </is>
      </c>
      <c r="F81" s="30" t="inlineStr">
        <is>
          <t>Pharma - Formulators</t>
        </is>
      </c>
      <c r="G81" s="30" t="n">
        <v>2</v>
      </c>
      <c r="H81" s="30" t="inlineStr">
        <is>
          <t>No</t>
        </is>
      </c>
      <c r="I81" s="30" t="inlineStr">
        <is>
          <t>Yes</t>
        </is>
      </c>
      <c r="J81" s="30" t="n">
        <v>20</v>
      </c>
      <c r="K81" s="30" t="n">
        <v>28</v>
      </c>
    </row>
    <row r="82">
      <c r="A82" s="30">
        <f>IF(B82=0,"",ROW()-1)</f>
        <v/>
      </c>
      <c r="B82" s="31">
        <f>IFERROR(INDEX('Monit Non Financial'!$B$2:$B$400, MATCH(D82, 'Monit Non Financial'!$C$2:$C$400, 0)), IFERROR(INDEX('Monit Banks NBFC'!$B$2:$B$100, MATCH(D82, 'Monit Banks NBFC'!$C$2:$C$100, 0)), 0))</f>
        <v/>
      </c>
      <c r="C82" s="30">
        <f>IFERROR(INDEX('Monit Non Financial'!$L$2:$L$400, MATCH(D82, 'Monit Non Financial'!$C$2:$C$400, 0)), IFERROR(INDEX('Monit Banks NBFC'!$L$2:$L$100, MATCH(D82, 'Monit Banks NBFC'!$C$2:$C$100, 0)), ""))</f>
        <v/>
      </c>
      <c r="D82" s="30" t="inlineStr">
        <is>
          <t>BIL</t>
        </is>
      </c>
      <c r="E82" s="30" t="inlineStr">
        <is>
          <t>Bhartiya International Limited</t>
        </is>
      </c>
      <c r="F82" s="30" t="inlineStr">
        <is>
          <t>Textiles</t>
        </is>
      </c>
      <c r="G82" s="30" t="n">
        <v>2</v>
      </c>
      <c r="H82" s="30" t="inlineStr">
        <is>
          <t>No</t>
        </is>
      </c>
      <c r="I82" s="30" t="inlineStr">
        <is>
          <t>Yes</t>
        </is>
      </c>
      <c r="J82" s="30" t="n">
        <v>20</v>
      </c>
      <c r="K82" s="30" t="n">
        <v>28</v>
      </c>
    </row>
    <row r="83">
      <c r="A83" s="30">
        <f>IF(B83=0,"",ROW()-1)</f>
        <v/>
      </c>
      <c r="B83" s="31">
        <f>IFERROR(INDEX('Monit Non Financial'!$B$2:$B$400, MATCH(D83, 'Monit Non Financial'!$C$2:$C$400, 0)), IFERROR(INDEX('Monit Banks NBFC'!$B$2:$B$100, MATCH(D83, 'Monit Banks NBFC'!$C$2:$C$100, 0)), 0))</f>
        <v/>
      </c>
      <c r="C83" s="30">
        <f>IFERROR(INDEX('Monit Non Financial'!$L$2:$L$400, MATCH(D83, 'Monit Non Financial'!$C$2:$C$400, 0)), IFERROR(INDEX('Monit Banks NBFC'!$L$2:$L$100, MATCH(D83, 'Monit Banks NBFC'!$C$2:$C$100, 0)), ""))</f>
        <v/>
      </c>
      <c r="D83" s="30" t="inlineStr">
        <is>
          <t>RATNAVEER</t>
        </is>
      </c>
      <c r="E83" s="30" t="inlineStr">
        <is>
          <t>Ratnaveer Precision Engineering Ltd</t>
        </is>
      </c>
      <c r="F83" s="30" t="inlineStr">
        <is>
          <t>Stainless Steel</t>
        </is>
      </c>
      <c r="G83" s="30" t="n">
        <v>2</v>
      </c>
      <c r="H83" s="30" t="inlineStr">
        <is>
          <t>52W Breakout</t>
        </is>
      </c>
      <c r="I83" s="30" t="inlineStr">
        <is>
          <t>Yes</t>
        </is>
      </c>
      <c r="J83" s="30" t="n">
        <v>18</v>
      </c>
      <c r="K83" s="30" t="n">
        <v>29</v>
      </c>
    </row>
    <row r="84">
      <c r="A84" s="30">
        <f>IF(B84=0,"",ROW()-1)</f>
        <v/>
      </c>
      <c r="B84" s="31">
        <f>IFERROR(INDEX('Monit Non Financial'!$B$2:$B$400, MATCH(D84, 'Monit Non Financial'!$C$2:$C$400, 0)), IFERROR(INDEX('Monit Banks NBFC'!$B$2:$B$100, MATCH(D84, 'Monit Banks NBFC'!$C$2:$C$100, 0)), 0))</f>
        <v/>
      </c>
      <c r="C84" s="30">
        <f>IFERROR(INDEX('Monit Non Financial'!$L$2:$L$400, MATCH(D84, 'Monit Non Financial'!$C$2:$C$400, 0)), IFERROR(INDEX('Monit Banks NBFC'!$L$2:$L$100, MATCH(D84, 'Monit Banks NBFC'!$C$2:$C$100, 0)), ""))</f>
        <v/>
      </c>
      <c r="D84" s="30" t="inlineStr">
        <is>
          <t>CUPID</t>
        </is>
      </c>
      <c r="E84" s="30" t="inlineStr">
        <is>
          <t>Cupid Limited</t>
        </is>
      </c>
      <c r="F84" s="30" t="inlineStr">
        <is>
          <t>Contraceptives/Protectives</t>
        </is>
      </c>
      <c r="G84" s="30" t="n">
        <v>2</v>
      </c>
      <c r="H84" s="30" t="inlineStr">
        <is>
          <t>No</t>
        </is>
      </c>
      <c r="I84" s="30" t="inlineStr">
        <is>
          <t>Yes</t>
        </is>
      </c>
      <c r="J84" s="30" t="n">
        <v>20</v>
      </c>
      <c r="K84" s="30" t="n">
        <v>29</v>
      </c>
    </row>
    <row r="85">
      <c r="A85" s="30">
        <f>IF(B85=0,"",ROW()-1)</f>
        <v/>
      </c>
      <c r="B85" s="31">
        <f>IFERROR(INDEX('Monit Non Financial'!$B$2:$B$400, MATCH(D85, 'Monit Non Financial'!$C$2:$C$400, 0)), IFERROR(INDEX('Monit Banks NBFC'!$B$2:$B$100, MATCH(D85, 'Monit Banks NBFC'!$C$2:$C$100, 0)), 0))</f>
        <v/>
      </c>
      <c r="C85" s="30">
        <f>IFERROR(INDEX('Monit Non Financial'!$L$2:$L$400, MATCH(D85, 'Monit Non Financial'!$C$2:$C$400, 0)), IFERROR(INDEX('Monit Banks NBFC'!$L$2:$L$100, MATCH(D85, 'Monit Banks NBFC'!$C$2:$C$100, 0)), ""))</f>
        <v/>
      </c>
      <c r="D85" s="30" t="inlineStr">
        <is>
          <t>DEEPINDS</t>
        </is>
      </c>
      <c r="E85" s="30" t="inlineStr">
        <is>
          <t>Deep Industries Ltd</t>
        </is>
      </c>
      <c r="F85" s="30" t="inlineStr">
        <is>
          <t>Oil Drilling &amp; Exploration</t>
        </is>
      </c>
      <c r="G85" s="30" t="n">
        <v>2</v>
      </c>
      <c r="H85" s="30" t="inlineStr">
        <is>
          <t>No</t>
        </is>
      </c>
      <c r="I85" s="30" t="inlineStr">
        <is>
          <t>Yes</t>
        </is>
      </c>
      <c r="J85" s="30" t="n">
        <v>21</v>
      </c>
      <c r="K85" s="30" t="n">
        <v>30</v>
      </c>
    </row>
    <row r="86">
      <c r="A86" s="30">
        <f>IF(B86=0,"",ROW()-1)</f>
        <v/>
      </c>
      <c r="B86" s="31">
        <f>IFERROR(INDEX('Monit Non Financial'!$B$2:$B$400, MATCH(D86, 'Monit Non Financial'!$C$2:$C$400, 0)), IFERROR(INDEX('Monit Banks NBFC'!$B$2:$B$100, MATCH(D86, 'Monit Banks NBFC'!$C$2:$C$100, 0)), 0))</f>
        <v/>
      </c>
      <c r="C86" s="30">
        <f>IFERROR(INDEX('Monit Non Financial'!$L$2:$L$400, MATCH(D86, 'Monit Non Financial'!$C$2:$C$400, 0)), IFERROR(INDEX('Monit Banks NBFC'!$L$2:$L$100, MATCH(D86, 'Monit Banks NBFC'!$C$2:$C$100, 0)), ""))</f>
        <v/>
      </c>
      <c r="D86" s="30" t="inlineStr">
        <is>
          <t>MAHSEAMLES</t>
        </is>
      </c>
      <c r="E86" s="30" t="inlineStr">
        <is>
          <t>Maharashtra Seamless Limited</t>
        </is>
      </c>
      <c r="F86" s="30" t="inlineStr">
        <is>
          <t>Steel - Tubes/Pipes</t>
        </is>
      </c>
      <c r="G86" s="30" t="n">
        <v>2</v>
      </c>
      <c r="H86" s="30" t="inlineStr">
        <is>
          <t>No</t>
        </is>
      </c>
      <c r="I86" s="30" t="inlineStr">
        <is>
          <t>Yes</t>
        </is>
      </c>
      <c r="J86" s="30" t="n">
        <v>20</v>
      </c>
      <c r="K86" s="30" t="n">
        <v>23</v>
      </c>
    </row>
    <row r="87">
      <c r="A87" s="30">
        <f>IF(B87=0,"",ROW()-1)</f>
        <v/>
      </c>
      <c r="B87" s="31">
        <f>IFERROR(INDEX('Monit Non Financial'!$B$2:$B$400, MATCH(D87, 'Monit Non Financial'!$C$2:$C$400, 0)), IFERROR(INDEX('Monit Banks NBFC'!$B$2:$B$100, MATCH(D87, 'Monit Banks NBFC'!$C$2:$C$100, 0)), 0))</f>
        <v/>
      </c>
      <c r="C87" s="30">
        <f>IFERROR(INDEX('Monit Non Financial'!$L$2:$L$400, MATCH(D87, 'Monit Non Financial'!$C$2:$C$400, 0)), IFERROR(INDEX('Monit Banks NBFC'!$L$2:$L$100, MATCH(D87, 'Monit Banks NBFC'!$C$2:$C$100, 0)), ""))</f>
        <v/>
      </c>
      <c r="D87" s="30" t="inlineStr">
        <is>
          <t>SHANTIGEAR</t>
        </is>
      </c>
      <c r="E87" s="30" t="inlineStr">
        <is>
          <t>Shanthi Gears Limited</t>
        </is>
      </c>
      <c r="F87" s="30" t="inlineStr">
        <is>
          <t>Auto Ancillaries - Gears</t>
        </is>
      </c>
      <c r="G87" s="30" t="n">
        <v>2</v>
      </c>
      <c r="H87" s="30" t="inlineStr">
        <is>
          <t>No</t>
        </is>
      </c>
      <c r="I87" s="30" t="inlineStr">
        <is>
          <t>Yes</t>
        </is>
      </c>
      <c r="J87" s="30" t="n">
        <v>20</v>
      </c>
      <c r="K87" s="30" t="n">
        <v>14</v>
      </c>
    </row>
    <row r="88">
      <c r="A88" s="30">
        <f>IF(B88=0,"",ROW()-1)</f>
        <v/>
      </c>
      <c r="B88" s="31">
        <f>IFERROR(INDEX('Monit Non Financial'!$B$2:$B$400, MATCH(D88, 'Monit Non Financial'!$C$2:$C$400, 0)), IFERROR(INDEX('Monit Banks NBFC'!$B$2:$B$100, MATCH(D88, 'Monit Banks NBFC'!$C$2:$C$100, 0)), 0))</f>
        <v/>
      </c>
      <c r="C88" s="30">
        <f>IFERROR(INDEX('Monit Non Financial'!$L$2:$L$400, MATCH(D88, 'Monit Non Financial'!$C$2:$C$400, 0)), IFERROR(INDEX('Monit Banks NBFC'!$L$2:$L$100, MATCH(D88, 'Monit Banks NBFC'!$C$2:$C$100, 0)), ""))</f>
        <v/>
      </c>
      <c r="D88" s="30" t="inlineStr">
        <is>
          <t>NAVINFLUOR</t>
        </is>
      </c>
      <c r="E88" s="30" t="inlineStr">
        <is>
          <t>Navin Fluorine International Limited</t>
        </is>
      </c>
      <c r="F88" s="30" t="inlineStr">
        <is>
          <t>Chemicals - Flourine</t>
        </is>
      </c>
      <c r="G88" s="30" t="n">
        <v>2</v>
      </c>
      <c r="H88" s="30" t="inlineStr">
        <is>
          <t>No</t>
        </is>
      </c>
      <c r="I88" s="30" t="inlineStr">
        <is>
          <t>Yes</t>
        </is>
      </c>
      <c r="J88" s="30" t="n">
        <v>19</v>
      </c>
      <c r="K88" s="30" t="n">
        <v>26</v>
      </c>
    </row>
    <row r="89">
      <c r="A89" s="30">
        <f>IF(B89=0,"",ROW()-1)</f>
        <v/>
      </c>
      <c r="B89" s="31">
        <f>IFERROR(INDEX('Monit Non Financial'!$B$2:$B$400, MATCH(D89, 'Monit Non Financial'!$C$2:$C$400, 0)), IFERROR(INDEX('Monit Banks NBFC'!$B$2:$B$100, MATCH(D89, 'Monit Banks NBFC'!$C$2:$C$100, 0)), 0))</f>
        <v/>
      </c>
      <c r="C89" s="30">
        <f>IFERROR(INDEX('Monit Non Financial'!$L$2:$L$400, MATCH(D89, 'Monit Non Financial'!$C$2:$C$400, 0)), IFERROR(INDEX('Monit Banks NBFC'!$L$2:$L$100, MATCH(D89, 'Monit Banks NBFC'!$C$2:$C$100, 0)), ""))</f>
        <v/>
      </c>
      <c r="D89" s="30" t="inlineStr">
        <is>
          <t>GMMPFAUDLR</t>
        </is>
      </c>
      <c r="E89" s="30" t="inlineStr">
        <is>
          <t>GMM Pfaudler Ltd</t>
        </is>
      </c>
      <c r="F89" s="30" t="inlineStr">
        <is>
          <t>Glass - Others</t>
        </is>
      </c>
      <c r="G89" s="30" t="n">
        <v>2</v>
      </c>
      <c r="H89" s="30" t="inlineStr">
        <is>
          <t>No</t>
        </is>
      </c>
      <c r="I89" s="30" t="inlineStr">
        <is>
          <t>Yes</t>
        </is>
      </c>
      <c r="J89" s="30" t="n">
        <v>22</v>
      </c>
      <c r="K89" s="30" t="n">
        <v>8</v>
      </c>
    </row>
    <row r="90">
      <c r="A90" s="30">
        <f>IF(B90=0,"",ROW()-1)</f>
        <v/>
      </c>
      <c r="B90" s="31">
        <f>IFERROR(INDEX('Monit Non Financial'!$B$2:$B$400, MATCH(D90, 'Monit Non Financial'!$C$2:$C$400, 0)), IFERROR(INDEX('Monit Banks NBFC'!$B$2:$B$100, MATCH(D90, 'Monit Banks NBFC'!$C$2:$C$100, 0)), 0))</f>
        <v/>
      </c>
      <c r="C90" s="30">
        <f>IFERROR(INDEX('Monit Non Financial'!$L$2:$L$400, MATCH(D90, 'Monit Non Financial'!$C$2:$C$400, 0)), IFERROR(INDEX('Monit Banks NBFC'!$L$2:$L$100, MATCH(D90, 'Monit Banks NBFC'!$C$2:$C$100, 0)), ""))</f>
        <v/>
      </c>
      <c r="D90" s="30" t="inlineStr">
        <is>
          <t>SBC</t>
        </is>
      </c>
      <c r="E90" s="30" t="inlineStr">
        <is>
          <t>SBC Exports Ltd</t>
        </is>
      </c>
      <c r="F90" s="30" t="inlineStr">
        <is>
          <t>Textiles - Readymade Apparel</t>
        </is>
      </c>
      <c r="G90" s="30" t="n">
        <v>2</v>
      </c>
      <c r="H90" s="30" t="inlineStr">
        <is>
          <t>No</t>
        </is>
      </c>
      <c r="I90" s="30" t="inlineStr">
        <is>
          <t>Yes</t>
        </is>
      </c>
      <c r="J90" s="30" t="n">
        <v>22</v>
      </c>
      <c r="K90" s="30" t="n">
        <v>13</v>
      </c>
    </row>
    <row r="91">
      <c r="A91" s="30">
        <f>IF(B91=0,"",ROW()-1)</f>
        <v/>
      </c>
      <c r="B91" s="31">
        <f>IFERROR(INDEX('Monit Non Financial'!$B$2:$B$400, MATCH(D91, 'Monit Non Financial'!$C$2:$C$400, 0)), IFERROR(INDEX('Monit Banks NBFC'!$B$2:$B$100, MATCH(D91, 'Monit Banks NBFC'!$C$2:$C$100, 0)), 0))</f>
        <v/>
      </c>
      <c r="C91" s="30">
        <f>IFERROR(INDEX('Monit Non Financial'!$L$2:$L$400, MATCH(D91, 'Monit Non Financial'!$C$2:$C$400, 0)), IFERROR(INDEX('Monit Banks NBFC'!$L$2:$L$100, MATCH(D91, 'Monit Banks NBFC'!$C$2:$C$100, 0)), ""))</f>
        <v/>
      </c>
      <c r="D91" s="30" t="inlineStr">
        <is>
          <t>TNPETRO</t>
        </is>
      </c>
      <c r="E91" s="30" t="inlineStr">
        <is>
          <t>Tamilnadu Petroproducts Limited</t>
        </is>
      </c>
      <c r="F91" s="30" t="inlineStr">
        <is>
          <t>Petrochem - Others</t>
        </is>
      </c>
      <c r="G91" s="30" t="n">
        <v>2</v>
      </c>
      <c r="H91" s="30" t="inlineStr">
        <is>
          <t>No</t>
        </is>
      </c>
      <c r="I91" s="30" t="inlineStr">
        <is>
          <t>Yes</t>
        </is>
      </c>
      <c r="J91" s="30" t="n">
        <v>23</v>
      </c>
      <c r="K91" s="30" t="n">
        <v>22</v>
      </c>
    </row>
    <row r="92">
      <c r="A92" s="30">
        <f>IF(B92=0,"",ROW()-1)</f>
        <v/>
      </c>
      <c r="B92" s="31">
        <f>IFERROR(INDEX('Monit Non Financial'!$B$2:$B$400, MATCH(D92, 'Monit Non Financial'!$C$2:$C$400, 0)), IFERROR(INDEX('Monit Banks NBFC'!$B$2:$B$100, MATCH(D92, 'Monit Banks NBFC'!$C$2:$C$100, 0)), 0))</f>
        <v/>
      </c>
      <c r="C92" s="30">
        <f>IFERROR(INDEX('Monit Non Financial'!$L$2:$L$400, MATCH(D92, 'Monit Non Financial'!$C$2:$C$400, 0)), IFERROR(INDEX('Monit Banks NBFC'!$L$2:$L$100, MATCH(D92, 'Monit Banks NBFC'!$C$2:$C$100, 0)), ""))</f>
        <v/>
      </c>
      <c r="D92" s="30" t="inlineStr">
        <is>
          <t>PRABHA</t>
        </is>
      </c>
      <c r="E92" s="30" t="inlineStr">
        <is>
          <t>Prabha Energy Ltd</t>
        </is>
      </c>
      <c r="F92" s="30" t="inlineStr">
        <is>
          <t>Oil Exploration/Allied Services</t>
        </is>
      </c>
      <c r="G92" s="30" t="n">
        <v>2</v>
      </c>
      <c r="H92" s="30" t="inlineStr">
        <is>
          <t>No</t>
        </is>
      </c>
      <c r="I92" s="30" t="inlineStr">
        <is>
          <t>Yes</t>
        </is>
      </c>
      <c r="J92" s="30" t="n">
        <v>27</v>
      </c>
      <c r="K92" s="30" t="n">
        <v>8</v>
      </c>
    </row>
    <row r="93">
      <c r="A93" s="30">
        <f>IF(B93=0,"",ROW()-1)</f>
        <v/>
      </c>
      <c r="B93" s="31">
        <f>IFERROR(INDEX('Monit Non Financial'!$B$2:$B$400, MATCH(D93, 'Monit Non Financial'!$C$2:$C$400, 0)), IFERROR(INDEX('Monit Banks NBFC'!$B$2:$B$100, MATCH(D93, 'Monit Banks NBFC'!$C$2:$C$100, 0)), 0))</f>
        <v/>
      </c>
      <c r="C93" s="30">
        <f>IFERROR(INDEX('Monit Non Financial'!$L$2:$L$400, MATCH(D93, 'Monit Non Financial'!$C$2:$C$400, 0)), IFERROR(INDEX('Monit Banks NBFC'!$L$2:$L$100, MATCH(D93, 'Monit Banks NBFC'!$C$2:$C$100, 0)), ""))</f>
        <v/>
      </c>
      <c r="D93" s="30" t="inlineStr">
        <is>
          <t>JTLIND</t>
        </is>
      </c>
      <c r="E93" s="30" t="inlineStr">
        <is>
          <t>JTL Industries Ltd</t>
        </is>
      </c>
      <c r="F93" s="30" t="inlineStr">
        <is>
          <t>Steel - Tubes/Pipes</t>
        </is>
      </c>
      <c r="G93" s="30" t="n">
        <v>2</v>
      </c>
      <c r="H93" s="30" t="inlineStr">
        <is>
          <t>No</t>
        </is>
      </c>
      <c r="I93" s="30" t="inlineStr">
        <is>
          <t>Yes</t>
        </is>
      </c>
      <c r="J93" s="30" t="n">
        <v>21</v>
      </c>
      <c r="K93" s="30" t="n">
        <v>17</v>
      </c>
    </row>
    <row r="94">
      <c r="A94" s="30">
        <f>IF(B94=0,"",ROW()-1)</f>
        <v/>
      </c>
      <c r="B94" s="31">
        <f>IFERROR(INDEX('Monit Non Financial'!$B$2:$B$400, MATCH(D94, 'Monit Non Financial'!$C$2:$C$400, 0)), IFERROR(INDEX('Monit Banks NBFC'!$B$2:$B$100, MATCH(D94, 'Monit Banks NBFC'!$C$2:$C$100, 0)), 0))</f>
        <v/>
      </c>
      <c r="C94" s="30">
        <f>IFERROR(INDEX('Monit Non Financial'!$L$2:$L$400, MATCH(D94, 'Monit Non Financial'!$C$2:$C$400, 0)), IFERROR(INDEX('Monit Banks NBFC'!$L$2:$L$100, MATCH(D94, 'Monit Banks NBFC'!$C$2:$C$100, 0)), ""))</f>
        <v/>
      </c>
      <c r="D94" s="30" t="inlineStr">
        <is>
          <t>TIMKEN</t>
        </is>
      </c>
      <c r="E94" s="30" t="inlineStr">
        <is>
          <t>Timken India Limited</t>
        </is>
      </c>
      <c r="F94" s="30" t="inlineStr">
        <is>
          <t>Bearings</t>
        </is>
      </c>
      <c r="G94" s="30" t="n">
        <v>2</v>
      </c>
      <c r="H94" s="30" t="inlineStr">
        <is>
          <t>EMA Crossover</t>
        </is>
      </c>
      <c r="I94" s="30" t="inlineStr">
        <is>
          <t>Yes</t>
        </is>
      </c>
      <c r="J94" s="30" t="n">
        <v>4</v>
      </c>
      <c r="K94" s="30" t="n">
        <v>4</v>
      </c>
    </row>
    <row r="95">
      <c r="A95" s="30">
        <f>IF(B95=0,"",ROW()-1)</f>
        <v/>
      </c>
      <c r="B95" s="31">
        <f>IFERROR(INDEX('Monit Non Financial'!$B$2:$B$400, MATCH(D95, 'Monit Non Financial'!$C$2:$C$400, 0)), IFERROR(INDEX('Monit Banks NBFC'!$B$2:$B$100, MATCH(D95, 'Monit Banks NBFC'!$C$2:$C$100, 0)), 0))</f>
        <v/>
      </c>
      <c r="C95" s="30">
        <f>IFERROR(INDEX('Monit Non Financial'!$L$2:$L$400, MATCH(D95, 'Monit Non Financial'!$C$2:$C$400, 0)), IFERROR(INDEX('Monit Banks NBFC'!$L$2:$L$100, MATCH(D95, 'Monit Banks NBFC'!$C$2:$C$100, 0)), ""))</f>
        <v/>
      </c>
      <c r="D95" s="30" t="inlineStr">
        <is>
          <t>GIPCL</t>
        </is>
      </c>
      <c r="E95" s="30" t="inlineStr">
        <is>
          <t>Gujarat Industries Power Company Limited</t>
        </is>
      </c>
      <c r="F95" s="30" t="inlineStr">
        <is>
          <t>Power - Generation/Distribution</t>
        </is>
      </c>
      <c r="G95" s="30" t="n">
        <v>2</v>
      </c>
      <c r="H95" s="30" t="inlineStr">
        <is>
          <t>No</t>
        </is>
      </c>
      <c r="I95" s="30" t="inlineStr">
        <is>
          <t>Yes</t>
        </is>
      </c>
      <c r="J95" s="30" t="n">
        <v>20</v>
      </c>
      <c r="K95" s="30" t="n">
        <v>24</v>
      </c>
    </row>
  </sheetData>
  <autoFilter ref="A1:K95"/>
  <conditionalFormatting sqref="G2:G9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5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31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</row>
    <row r="2">
      <c r="A2" s="30">
        <f>IF(B2=0,"",RANK(B2,$B$2:$B$331,0))</f>
        <v/>
      </c>
      <c r="B2" s="31">
        <f>SUM(N2,Y2,AA2,AC2,AE2,AG2,AI2,AK2,AM2,AO2,AQ2,AS2,AU2,AW2,AY2,BA2,BC2,BE2,BG2,BI2,BK2,BM2,BO2,BQ2,BS2,BU2,BW2,BY2,CA2,CC2,CE2)</f>
        <v/>
      </c>
      <c r="C2" s="30" t="inlineStr">
        <is>
          <t>VINDHYATEL</t>
        </is>
      </c>
      <c r="D2" s="30" t="inlineStr">
        <is>
          <t>Vindhya Telelinks Limited</t>
        </is>
      </c>
      <c r="E2" s="30" t="inlineStr">
        <is>
          <t>realty</t>
        </is>
      </c>
      <c r="F2" s="30" t="inlineStr">
        <is>
          <t>construction</t>
        </is>
      </c>
      <c r="G2" s="30" t="inlineStr">
        <is>
          <t>smallcap</t>
        </is>
      </c>
      <c r="H2" s="31" t="n">
        <v>3456.19</v>
      </c>
      <c r="I2" s="31" t="n">
        <v>2818.3</v>
      </c>
      <c r="J2" s="31" t="n">
        <v>-3.36</v>
      </c>
      <c r="K2" s="31" t="n">
        <v>61035</v>
      </c>
      <c r="L2" s="30" t="n">
        <v>93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72.64</v>
      </c>
      <c r="P2" s="31" t="n">
        <v>52.18</v>
      </c>
      <c r="Q2" s="31" t="n">
        <v>2050.93</v>
      </c>
      <c r="R2" s="30" t="inlineStr">
        <is>
          <t>Near 52W High Breakout</t>
        </is>
      </c>
      <c r="S2" s="30" t="inlineStr">
        <is>
          <t>Nifty Realty</t>
        </is>
      </c>
      <c r="T2" s="31" t="n">
        <v>-8.26</v>
      </c>
      <c r="U2" s="31" t="n">
        <v>79.43000000000001</v>
      </c>
      <c r="V2" s="31" t="n">
        <v>95.59</v>
      </c>
      <c r="W2" s="31" t="n">
        <v>45.79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B2B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One Time, Lower Annuity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Between 50 to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Less than 1.5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</row>
    <row r="3">
      <c r="A3" s="30">
        <f>IF(B3=0,"",RANK(B3,$B$2:$B$331,0))</f>
        <v/>
      </c>
      <c r="B3" s="31">
        <f>SUM(N3,Y3,AA3,AC3,AE3,AG3,AI3,AK3,AM3,AO3,AQ3,AS3,AU3,AW3,AY3,BA3,BC3,BE3,BG3,BI3,BK3,BM3,BO3,BQ3,BS3,BU3,BW3,BY3,CA3,CC3,CE3)</f>
        <v/>
      </c>
      <c r="C3" s="30" t="inlineStr">
        <is>
          <t>BLUSPRING</t>
        </is>
      </c>
      <c r="D3" s="30" t="inlineStr">
        <is>
          <t>Bluspring Enterprises Ltd</t>
        </is>
      </c>
      <c r="E3" s="30" t="inlineStr">
        <is>
          <t>miscellaneous</t>
        </is>
      </c>
      <c r="F3" s="30" t="inlineStr">
        <is>
          <t>diversified - large</t>
        </is>
      </c>
      <c r="G3" s="30" t="inlineStr">
        <is>
          <t>smallcap</t>
        </is>
      </c>
      <c r="H3" s="31" t="n">
        <v>1950.5</v>
      </c>
      <c r="I3" s="31" t="n">
        <v>137.45</v>
      </c>
      <c r="J3" s="31" t="n">
        <v>5.31</v>
      </c>
      <c r="K3" s="31" t="n">
        <v>835035</v>
      </c>
      <c r="L3" s="30" t="n">
        <v>81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72.84</v>
      </c>
      <c r="P3" s="31" t="n">
        <v>64.75</v>
      </c>
      <c r="Q3" s="31" t="n">
        <v>95.81</v>
      </c>
      <c r="R3" s="30" t="inlineStr">
        <is>
          <t>Near 52W High Breakout</t>
        </is>
      </c>
      <c r="S3" s="30" t="inlineStr">
        <is>
          <t>Nifty 50</t>
        </is>
      </c>
      <c r="T3" s="31" t="n">
        <v>-6.52</v>
      </c>
      <c r="U3" s="31" t="n">
        <v>73.77</v>
      </c>
      <c r="V3" s="31" t="n">
        <v>85.88</v>
      </c>
      <c r="W3" s="31" t="n">
        <v>31.49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B2B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One Time, Lower Annuity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Above 40</t>
        </is>
      </c>
      <c r="AY3" s="30">
        <f>IF(AX3="Above 40",20,IF(AX3="20 to 40",10,IF(AX3="0 to 20",-5,0)))</f>
        <v/>
      </c>
      <c r="AZ3" s="30" t="inlineStr">
        <is>
          <t>Between 50 to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No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Above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</row>
    <row r="4">
      <c r="A4" s="30">
        <f>IF(B4=0,"",RANK(B4,$B$2:$B$331,0))</f>
        <v/>
      </c>
      <c r="B4" s="31">
        <f>SUM(N4,Y4,AA4,AC4,AE4,AG4,AI4,AK4,AM4,AO4,AQ4,AS4,AU4,AW4,AY4,BA4,BC4,BE4,BG4,BI4,BK4,BM4,BO4,BQ4,BS4,BU4,BW4,BY4,CA4,CC4,CE4)</f>
        <v/>
      </c>
      <c r="C4" s="30" t="inlineStr">
        <is>
          <t>INDNIPPON</t>
        </is>
      </c>
      <c r="D4" s="30" t="inlineStr">
        <is>
          <t>India Nippon Electricals Limited</t>
        </is>
      </c>
      <c r="E4" s="30" t="inlineStr">
        <is>
          <t>auto</t>
        </is>
      </c>
      <c r="F4" s="30" t="inlineStr">
        <is>
          <t>auto ancillaries</t>
        </is>
      </c>
      <c r="G4" s="30" t="inlineStr">
        <is>
          <t>smallcap</t>
        </is>
      </c>
      <c r="H4" s="31" t="n">
        <v>2970.87</v>
      </c>
      <c r="I4" s="31" t="n">
        <v>1369</v>
      </c>
      <c r="J4" s="31" t="n">
        <v>4.24</v>
      </c>
      <c r="K4" s="31" t="n">
        <v>2823252</v>
      </c>
      <c r="L4" s="30" t="n">
        <v>82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74.95</v>
      </c>
      <c r="P4" s="31" t="n">
        <v>46.15</v>
      </c>
      <c r="Q4" s="31" t="n">
        <v>1027.76</v>
      </c>
      <c r="R4" s="30" t="inlineStr">
        <is>
          <t>Volume Spike &amp; Near 52W High Breakout</t>
        </is>
      </c>
      <c r="S4" s="30" t="inlineStr">
        <is>
          <t>Nifty Auto</t>
        </is>
      </c>
      <c r="T4" s="31" t="n">
        <v>15.81</v>
      </c>
      <c r="U4" s="31" t="n">
        <v>80.14</v>
      </c>
      <c r="V4" s="31" t="n">
        <v>55.55</v>
      </c>
      <c r="W4" s="31" t="n">
        <v>32.59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B2B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One Time, Lower Annuity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Between 50 to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Blue sky scenario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Less than 1.5</t>
        </is>
      </c>
      <c r="BU4" s="30">
        <f>IF(BT4="Above 2",0,IF(BT4="Between 1.5 to 2",5,IF(BT4="Less than 1.5",10,0)))</f>
        <v/>
      </c>
      <c r="BV4" s="30" t="inlineStr">
        <is>
          <t>Above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</row>
    <row r="5">
      <c r="A5" s="30">
        <f>IF(B5=0,"",RANK(B5,$B$2:$B$331,0))</f>
        <v/>
      </c>
      <c r="B5" s="31">
        <f>SUM(N5,Y5,AA5,AC5,AE5,AG5,AI5,AK5,AM5,AO5,AQ5,AS5,AU5,AW5,AY5,BA5,BC5,BE5,BG5,BI5,BK5,BM5,BO5,BQ5,BS5,BU5,BW5,BY5,CA5,CC5,CE5)</f>
        <v/>
      </c>
      <c r="C5" s="30" t="inlineStr">
        <is>
          <t>BIRLACABLE</t>
        </is>
      </c>
      <c r="D5" s="30" t="inlineStr">
        <is>
          <t>Birla Cable Limited</t>
        </is>
      </c>
      <c r="E5" s="30" t="inlineStr">
        <is>
          <t>industrials</t>
        </is>
      </c>
      <c r="F5" s="30" t="inlineStr">
        <is>
          <t>cables - telephone</t>
        </is>
      </c>
      <c r="G5" s="30" t="inlineStr">
        <is>
          <t>smallcap</t>
        </is>
      </c>
      <c r="H5" s="31" t="n">
        <v>1070.55</v>
      </c>
      <c r="I5" s="31" t="n">
        <v>374.65</v>
      </c>
      <c r="J5" s="31" t="n">
        <v>4.99</v>
      </c>
      <c r="K5" s="31" t="n">
        <v>929542</v>
      </c>
      <c r="L5" s="30" t="n">
        <v>95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79</v>
      </c>
      <c r="P5" s="31" t="n">
        <v>51.02</v>
      </c>
      <c r="Q5" s="31" t="n">
        <v>277.5</v>
      </c>
      <c r="R5" s="30" t="inlineStr">
        <is>
          <t>Volume Spike &amp; Near 52W High Breakout</t>
        </is>
      </c>
      <c r="S5" s="30" t="inlineStr">
        <is>
          <t>Nifty Infra</t>
        </is>
      </c>
      <c r="T5" s="31" t="n">
        <v>0.74</v>
      </c>
      <c r="U5" s="31" t="n">
        <v>120.21</v>
      </c>
      <c r="V5" s="31" t="n">
        <v>118.59</v>
      </c>
      <c r="W5" s="31" t="n">
        <v>55.65</v>
      </c>
      <c r="X5" s="30" t="inlineStr">
        <is>
          <t>Cyclical in an Upturn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No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One Time, Lower Annuity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Above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No</t>
        </is>
      </c>
      <c r="BS5" s="30">
        <f>IF(BR5="NO",5,0)</f>
        <v/>
      </c>
      <c r="BT5" s="30" t="inlineStr">
        <is>
          <t>Less than 1.5</t>
        </is>
      </c>
      <c r="BU5" s="30">
        <f>IF(BT5="Above 2",0,IF(BT5="Between 1.5 to 2",5,IF(BT5="Less than 1.5",10,0)))</f>
        <v/>
      </c>
      <c r="BV5" s="30" t="inlineStr">
        <is>
          <t>Above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</row>
    <row r="6">
      <c r="A6" s="30">
        <f>IF(B6=0,"",RANK(B6,$B$2:$B$331,0))</f>
        <v/>
      </c>
      <c r="B6" s="31">
        <f>SUM(N6,Y6,AA6,AC6,AE6,AG6,AI6,AK6,AM6,AO6,AQ6,AS6,AU6,AW6,AY6,BA6,BC6,BE6,BG6,BI6,BK6,BM6,BO6,BQ6,BS6,BU6,BW6,BY6,CA6,CC6,CE6)</f>
        <v/>
      </c>
      <c r="C6" s="30" t="inlineStr">
        <is>
          <t>REDINGTON</t>
        </is>
      </c>
      <c r="D6" s="30" t="inlineStr">
        <is>
          <t>Redington (india) Limited</t>
        </is>
      </c>
      <c r="E6" s="30" t="inlineStr">
        <is>
          <t>services</t>
        </is>
      </c>
      <c r="F6" s="30" t="inlineStr">
        <is>
          <t>trading</t>
        </is>
      </c>
      <c r="G6" s="30" t="inlineStr">
        <is>
          <t>largecap</t>
        </is>
      </c>
      <c r="H6" s="31" t="n">
        <v>29554.98</v>
      </c>
      <c r="I6" s="31" t="n">
        <v>392</v>
      </c>
      <c r="J6" s="31" t="n">
        <v>3.69</v>
      </c>
      <c r="K6" s="31" t="n">
        <v>23154564</v>
      </c>
      <c r="L6" s="30" t="n">
        <v>77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74.11</v>
      </c>
      <c r="P6" s="31" t="n">
        <v>44.86</v>
      </c>
      <c r="Q6" s="31" t="n">
        <v>305.54</v>
      </c>
      <c r="R6" s="30" t="inlineStr">
        <is>
          <t>Near 52W High Breakout</t>
        </is>
      </c>
      <c r="S6" s="30" t="inlineStr">
        <is>
          <t>Nifty 50</t>
        </is>
      </c>
      <c r="T6" s="31" t="n">
        <v>-6.52</v>
      </c>
      <c r="U6" s="31" t="n">
        <v>64.31999999999999</v>
      </c>
      <c r="V6" s="31" t="n">
        <v>75.77</v>
      </c>
      <c r="W6" s="31" t="n">
        <v>27.73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One Time, Lower Annuity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Between 50 to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Blue sky scenario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No</t>
        </is>
      </c>
      <c r="BS6" s="30">
        <f>IF(BR6="NO",5,0)</f>
        <v/>
      </c>
      <c r="BT6" s="30" t="inlineStr">
        <is>
          <t>Less than 1.5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</row>
    <row r="7">
      <c r="A7" s="30">
        <f>IF(B7=0,"",RANK(B7,$B$2:$B$331,0))</f>
        <v/>
      </c>
      <c r="B7" s="31">
        <f>SUM(N7,Y7,AA7,AC7,AE7,AG7,AI7,AK7,AM7,AO7,AQ7,AS7,AU7,AW7,AY7,BA7,BC7,BE7,BG7,BI7,BK7,BM7,BO7,BQ7,BS7,BU7,BW7,BY7,CA7,CC7,CE7)</f>
        <v/>
      </c>
      <c r="C7" s="30" t="inlineStr">
        <is>
          <t>GNA</t>
        </is>
      </c>
      <c r="D7" s="30" t="inlineStr">
        <is>
          <t>Gna Axles Limited</t>
        </is>
      </c>
      <c r="E7" s="30" t="inlineStr">
        <is>
          <t>auto</t>
        </is>
      </c>
      <c r="F7" s="30" t="inlineStr">
        <is>
          <t>auto ancillaries</t>
        </is>
      </c>
      <c r="G7" s="30" t="inlineStr">
        <is>
          <t>smallcap</t>
        </is>
      </c>
      <c r="H7" s="31" t="n">
        <v>2316.33</v>
      </c>
      <c r="I7" s="31" t="n">
        <v>553.95</v>
      </c>
      <c r="J7" s="31" t="n">
        <v>2.67</v>
      </c>
      <c r="K7" s="31" t="n">
        <v>297519</v>
      </c>
      <c r="L7" s="30" t="n">
        <v>61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65.86</v>
      </c>
      <c r="P7" s="31" t="n">
        <v>45.26</v>
      </c>
      <c r="Q7" s="31" t="n">
        <v>428.05</v>
      </c>
      <c r="R7" s="30" t="inlineStr">
        <is>
          <t>Near 52W High Breakout</t>
        </is>
      </c>
      <c r="S7" s="30" t="inlineStr">
        <is>
          <t>Nifty Auto</t>
        </is>
      </c>
      <c r="T7" s="31" t="n">
        <v>15.81</v>
      </c>
      <c r="U7" s="31" t="n">
        <v>78.14</v>
      </c>
      <c r="V7" s="31" t="n">
        <v>53.82</v>
      </c>
      <c r="W7" s="31" t="n">
        <v>18.91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No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One Time, Lower Annuity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Above 40</t>
        </is>
      </c>
      <c r="AY7" s="30">
        <f>IF(AX7="Above 40",20,IF(AX7="20 to 40",10,IF(AX7="0 to 20",-5,0)))</f>
        <v/>
      </c>
      <c r="AZ7" s="30" t="inlineStr">
        <is>
          <t>Between 50 to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Blue sky scenario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No</t>
        </is>
      </c>
      <c r="BS7" s="30">
        <f>IF(BR7="NO",5,0)</f>
        <v/>
      </c>
      <c r="BT7" s="30" t="inlineStr">
        <is>
          <t>Less than 1.5</t>
        </is>
      </c>
      <c r="BU7" s="30">
        <f>IF(BT7="Above 2",0,IF(BT7="Between 1.5 to 2",5,IF(BT7="Less than 1.5",10,0)))</f>
        <v/>
      </c>
      <c r="BV7" s="30" t="inlineStr">
        <is>
          <t>Above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</row>
    <row r="8">
      <c r="A8" s="30">
        <f>IF(B8=0,"",RANK(B8,$B$2:$B$331,0))</f>
        <v/>
      </c>
      <c r="B8" s="31">
        <f>SUM(N8,Y8,AA8,AC8,AE8,AG8,AI8,AK8,AM8,AO8,AQ8,AS8,AU8,AW8,AY8,BA8,BC8,BE8,BG8,BI8,BK8,BM8,BO8,BQ8,BS8,BU8,BW8,BY8,CA8,CC8,CE8)</f>
        <v/>
      </c>
      <c r="C8" s="30" t="inlineStr">
        <is>
          <t>VISHNU</t>
        </is>
      </c>
      <c r="D8" s="30" t="inlineStr">
        <is>
          <t>Vishnu Chemicals Limited</t>
        </is>
      </c>
      <c r="E8" s="30" t="inlineStr">
        <is>
          <t>chemicals</t>
        </is>
      </c>
      <c r="F8" s="30" t="inlineStr">
        <is>
          <t>chemicals</t>
        </is>
      </c>
      <c r="G8" s="30" t="inlineStr">
        <is>
          <t>smallcap</t>
        </is>
      </c>
      <c r="H8" s="31" t="n">
        <v>4772.99</v>
      </c>
      <c r="I8" s="31" t="n">
        <v>723.8</v>
      </c>
      <c r="J8" s="31" t="n">
        <v>2.08</v>
      </c>
      <c r="K8" s="31" t="n">
        <v>82846</v>
      </c>
      <c r="L8" s="30" t="n">
        <v>42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72.3</v>
      </c>
      <c r="P8" s="31" t="n">
        <v>45.03</v>
      </c>
      <c r="Q8" s="31" t="n">
        <v>586.6900000000001</v>
      </c>
      <c r="R8" s="30" t="inlineStr">
        <is>
          <t>Near 52W High Breakout</t>
        </is>
      </c>
      <c r="S8" s="30" t="inlineStr">
        <is>
          <t>Nifty IT</t>
        </is>
      </c>
      <c r="T8" s="31" t="n">
        <v>-19.99</v>
      </c>
      <c r="U8" s="31" t="n">
        <v>46.17</v>
      </c>
      <c r="V8" s="31" t="n">
        <v>82.7</v>
      </c>
      <c r="W8" s="31" t="n">
        <v>12.83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No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B2B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One Time, Lower Annuity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Between 50 to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No</t>
        </is>
      </c>
      <c r="BS8" s="30">
        <f>IF(BR8="NO",5,0)</f>
        <v/>
      </c>
      <c r="BT8" s="30" t="inlineStr">
        <is>
          <t>Less than 1.5</t>
        </is>
      </c>
      <c r="BU8" s="30">
        <f>IF(BT8="Above 2",0,IF(BT8="Between 1.5 to 2",5,IF(BT8="Less than 1.5",10,0)))</f>
        <v/>
      </c>
      <c r="BV8" s="30" t="inlineStr">
        <is>
          <t>Above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</row>
    <row r="9">
      <c r="A9" s="30">
        <f>IF(B9=0,"",RANK(B9,$B$2:$B$331,0))</f>
        <v/>
      </c>
      <c r="B9" s="31">
        <f>SUM(N9,Y9,AA9,AC9,AE9,AG9,AI9,AK9,AM9,AO9,AQ9,AS9,AU9,AW9,AY9,BA9,BC9,BE9,BG9,BI9,BK9,BM9,BO9,BQ9,BS9,BU9,BW9,BY9,CA9,CC9,CE9)</f>
        <v/>
      </c>
      <c r="C9" s="30" t="inlineStr">
        <is>
          <t>OCCLLTD</t>
        </is>
      </c>
      <c r="D9" s="30" t="inlineStr">
        <is>
          <t>OCCL Ltd</t>
        </is>
      </c>
      <c r="E9" s="30" t="inlineStr">
        <is>
          <t>chemicals</t>
        </is>
      </c>
      <c r="F9" s="30" t="inlineStr">
        <is>
          <t>chemicals</t>
        </is>
      </c>
      <c r="G9" s="30" t="inlineStr">
        <is>
          <t>smallcap</t>
        </is>
      </c>
      <c r="H9" s="31" t="n">
        <v>822.58</v>
      </c>
      <c r="I9" s="31" t="n">
        <v>163.91</v>
      </c>
      <c r="J9" s="31" t="n">
        <v>-0.47</v>
      </c>
      <c r="K9" s="31" t="n">
        <v>17924</v>
      </c>
      <c r="L9" s="30" t="n">
        <v>43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72.68000000000001</v>
      </c>
      <c r="P9" s="31" t="n">
        <v>49.31</v>
      </c>
      <c r="Q9" s="31" t="n">
        <v>122.25</v>
      </c>
      <c r="R9" s="30" t="inlineStr">
        <is>
          <t>Near 52W High Breakout</t>
        </is>
      </c>
      <c r="S9" s="30" t="inlineStr">
        <is>
          <t>Nifty 50</t>
        </is>
      </c>
      <c r="T9" s="31" t="n">
        <v>-6.52</v>
      </c>
      <c r="U9" s="31" t="n">
        <v>20.3</v>
      </c>
      <c r="V9" s="31" t="n">
        <v>28.69</v>
      </c>
      <c r="W9" s="31" t="n">
        <v>13.15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No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One Time, Lower Annuity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Between 50 to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No</t>
        </is>
      </c>
      <c r="BS9" s="30">
        <f>IF(BR9="NO",5,0)</f>
        <v/>
      </c>
      <c r="BT9" s="30" t="inlineStr">
        <is>
          <t>Less than 1.5</t>
        </is>
      </c>
      <c r="BU9" s="30">
        <f>IF(BT9="Above 2",0,IF(BT9="Between 1.5 to 2",5,IF(BT9="Less than 1.5",10,0)))</f>
        <v/>
      </c>
      <c r="BV9" s="30" t="inlineStr">
        <is>
          <t>Above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</row>
    <row r="10">
      <c r="A10" s="30">
        <f>IF(B10=0,"",RANK(B10,$B$2:$B$331,0))</f>
        <v/>
      </c>
      <c r="B10" s="31">
        <f>SUM(N10,Y10,AA10,AC10,AE10,AG10,AI10,AK10,AM10,AO10,AQ10,AS10,AU10,AW10,AY10,BA10,BC10,BE10,BG10,BI10,BK10,BM10,BO10,BQ10,BS10,BU10,BW10,BY10,CA10,CC10,CE10)</f>
        <v/>
      </c>
      <c r="C10" s="30" t="inlineStr">
        <is>
          <t>ORIENTBELL</t>
        </is>
      </c>
      <c r="D10" s="30" t="inlineStr">
        <is>
          <t>Orient Bell Limited</t>
        </is>
      </c>
      <c r="E10" s="30" t="inlineStr">
        <is>
          <t>building materials</t>
        </is>
      </c>
      <c r="F10" s="30" t="inlineStr">
        <is>
          <t>ceramics - tiles / sanitaryware</t>
        </is>
      </c>
      <c r="G10" s="30" t="inlineStr">
        <is>
          <t>smallcap</t>
        </is>
      </c>
      <c r="H10" s="31" t="n">
        <v>617.99</v>
      </c>
      <c r="I10" s="31" t="n">
        <v>412</v>
      </c>
      <c r="J10" s="31" t="n">
        <v>-1.93</v>
      </c>
      <c r="K10" s="31" t="n">
        <v>16716</v>
      </c>
      <c r="L10" s="30" t="n">
        <v>55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71.31</v>
      </c>
      <c r="P10" s="31" t="n">
        <v>42.23</v>
      </c>
      <c r="Q10" s="31" t="n">
        <v>323.22</v>
      </c>
      <c r="R10" s="30" t="inlineStr">
        <is>
          <t>Near 52W High Breakout</t>
        </is>
      </c>
      <c r="S10" s="30" t="inlineStr">
        <is>
          <t>Nifty Infra</t>
        </is>
      </c>
      <c r="T10" s="31" t="n">
        <v>0.74</v>
      </c>
      <c r="U10" s="31" t="n">
        <v>34.76</v>
      </c>
      <c r="V10" s="31" t="n">
        <v>33.77</v>
      </c>
      <c r="W10" s="31" t="n">
        <v>17.29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No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One Time, Lower Annuity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Between 50 to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No</t>
        </is>
      </c>
      <c r="BS10" s="30">
        <f>IF(BR10="NO",5,0)</f>
        <v/>
      </c>
      <c r="BT10" s="30" t="inlineStr">
        <is>
          <t>Less than 1.5</t>
        </is>
      </c>
      <c r="BU10" s="30">
        <f>IF(BT10="Above 2",0,IF(BT10="Between 1.5 to 2",5,IF(BT10="Less than 1.5",10,0)))</f>
        <v/>
      </c>
      <c r="BV10" s="30" t="inlineStr">
        <is>
          <t>Above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</row>
    <row r="11">
      <c r="A11" s="30">
        <f>IF(B11=0,"",RANK(B11,$B$2:$B$331,0))</f>
        <v/>
      </c>
      <c r="B11" s="31">
        <f>SUM(N11,Y11,AA11,AC11,AE11,AG11,AI11,AK11,AM11,AO11,AQ11,AS11,AU11,AW11,AY11,BA11,BC11,BE11,BG11,BI11,BK11,BM11,BO11,BQ11,BS11,BU11,BW11,BY11,CA11,CC11,CE11)</f>
        <v/>
      </c>
      <c r="C11" s="30" t="inlineStr">
        <is>
          <t>MSTCLTD</t>
        </is>
      </c>
      <c r="D11" s="30" t="inlineStr">
        <is>
          <t>MSTC Ltd</t>
        </is>
      </c>
      <c r="E11" s="30" t="inlineStr">
        <is>
          <t>i.t</t>
        </is>
      </c>
      <c r="F11" s="30" t="inlineStr">
        <is>
          <t>trading</t>
        </is>
      </c>
      <c r="G11" s="30" t="inlineStr">
        <is>
          <t>midcap</t>
        </is>
      </c>
      <c r="H11" s="31" t="n">
        <v>5379.26</v>
      </c>
      <c r="I11" s="31" t="n">
        <v>737.55</v>
      </c>
      <c r="J11" s="31" t="n">
        <v>-3.47</v>
      </c>
      <c r="K11" s="31" t="n">
        <v>326755</v>
      </c>
      <c r="L11" s="30" t="n">
        <v>48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67.13</v>
      </c>
      <c r="P11" s="31" t="n">
        <v>47.19</v>
      </c>
      <c r="Q11" s="31" t="n">
        <v>552.6799999999999</v>
      </c>
      <c r="R11" s="30" t="inlineStr">
        <is>
          <t>Near 52W High Breakout</t>
        </is>
      </c>
      <c r="S11" s="30" t="inlineStr">
        <is>
          <t>Nifty IT</t>
        </is>
      </c>
      <c r="T11" s="31" t="n">
        <v>-19.99</v>
      </c>
      <c r="U11" s="31" t="n">
        <v>42.08</v>
      </c>
      <c r="V11" s="31" t="n">
        <v>77.58</v>
      </c>
      <c r="W11" s="31" t="n">
        <v>15.1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One Time, Lower Annuity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Between 50 to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Blue sky scenario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No</t>
        </is>
      </c>
      <c r="BS11" s="30">
        <f>IF(BR11="NO",5,0)</f>
        <v/>
      </c>
      <c r="BT11" s="30" t="inlineStr">
        <is>
          <t>Less than 1.5</t>
        </is>
      </c>
      <c r="BU11" s="30">
        <f>IF(BT11="Above 2",0,IF(BT11="Between 1.5 to 2",5,IF(BT11="Less than 1.5",10,0)))</f>
        <v/>
      </c>
      <c r="BV11" s="30" t="inlineStr">
        <is>
          <t>Above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</row>
    <row r="12">
      <c r="A12" s="30">
        <f>IF(B12=0,"",RANK(B12,$B$2:$B$331,0))</f>
        <v/>
      </c>
      <c r="B12" s="31">
        <f>SUM(N12,Y12,AA12,AC12,AE12,AG12,AI12,AK12,AM12,AO12,AQ12,AS12,AU12,AW12,AY12,BA12,BC12,BE12,BG12,BI12,BK12,BM12,BO12,BQ12,BS12,BU12,BW12,BY12,CA12,CC12,CE12)</f>
        <v/>
      </c>
      <c r="C12" s="30" t="inlineStr">
        <is>
          <t>EMCURE</t>
        </is>
      </c>
      <c r="D12" s="30" t="inlineStr">
        <is>
          <t>Emcure Pharmaceuticals Ltd</t>
        </is>
      </c>
      <c r="E12" s="30" t="inlineStr">
        <is>
          <t>healthcare</t>
        </is>
      </c>
      <c r="F12" s="30" t="inlineStr">
        <is>
          <t>pharmaceuticals - indian - bulk drugs &amp; formln</t>
        </is>
      </c>
      <c r="G12" s="30" t="inlineStr">
        <is>
          <t>largecap</t>
        </is>
      </c>
      <c r="H12" s="31" t="n">
        <v>36312.37</v>
      </c>
      <c r="I12" s="31" t="n">
        <v>1962.8</v>
      </c>
      <c r="J12" s="31" t="n">
        <v>2.53</v>
      </c>
      <c r="K12" s="31" t="n">
        <v>248776</v>
      </c>
      <c r="L12" s="30" t="n">
        <v>35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65.73</v>
      </c>
      <c r="P12" s="31" t="n">
        <v>60.06</v>
      </c>
      <c r="Q12" s="31" t="n">
        <v>1627.04</v>
      </c>
      <c r="R12" s="30" t="inlineStr">
        <is>
          <t>Near 52W High Breakout</t>
        </is>
      </c>
      <c r="S12" s="30" t="inlineStr">
        <is>
          <t>Nifty Pharma</t>
        </is>
      </c>
      <c r="T12" s="31" t="n">
        <v>18.86</v>
      </c>
      <c r="U12" s="31" t="n">
        <v>45.79</v>
      </c>
      <c r="V12" s="31" t="n">
        <v>22.66</v>
      </c>
      <c r="W12" s="31" t="n">
        <v>10.78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Yes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Annuity, Lower One Time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Above 40</t>
        </is>
      </c>
      <c r="AY12" s="30">
        <f>IF(AX12="Above 40",20,IF(AX12="20 to 40",10,IF(AX12="0 to 20",-5,0)))</f>
        <v/>
      </c>
      <c r="AZ12" s="30" t="inlineStr">
        <is>
          <t>Between 50 to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Blue sky scenario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No</t>
        </is>
      </c>
      <c r="BS12" s="30">
        <f>IF(BR12="NO",5,0)</f>
        <v/>
      </c>
      <c r="BT12" s="30" t="inlineStr">
        <is>
          <t>Less than 1.5</t>
        </is>
      </c>
      <c r="BU12" s="30">
        <f>IF(BT12="Above 2",0,IF(BT12="Between 1.5 to 2",5,IF(BT12="Less than 1.5",10,0)))</f>
        <v/>
      </c>
      <c r="BV12" s="30" t="inlineStr">
        <is>
          <t>Above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</row>
    <row r="13">
      <c r="A13" s="30">
        <f>IF(B13=0,"",RANK(B13,$B$2:$B$331,0))</f>
        <v/>
      </c>
      <c r="B13" s="31">
        <f>SUM(N13,Y13,AA13,AC13,AE13,AG13,AI13,AK13,AM13,AO13,AQ13,AS13,AU13,AW13,AY13,BA13,BC13,BE13,BG13,BI13,BK13,BM13,BO13,BQ13,BS13,BU13,BW13,BY13,CA13,CC13,CE13)</f>
        <v/>
      </c>
      <c r="C13" s="30" t="inlineStr">
        <is>
          <t>IPCALAB</t>
        </is>
      </c>
      <c r="D13" s="30" t="inlineStr">
        <is>
          <t>Ipca Laboratories Limited</t>
        </is>
      </c>
      <c r="E13" s="30" t="inlineStr">
        <is>
          <t>healthcare</t>
        </is>
      </c>
      <c r="F13" s="30" t="inlineStr">
        <is>
          <t>pharmaceuticals - indian - bulk drugs &amp; formln</t>
        </is>
      </c>
      <c r="G13" s="30" t="inlineStr">
        <is>
          <t>largecap</t>
        </is>
      </c>
      <c r="H13" s="31" t="n">
        <v>49817.36</v>
      </c>
      <c r="I13" s="31" t="n">
        <v>1970.9</v>
      </c>
      <c r="J13" s="31" t="n">
        <v>0.37</v>
      </c>
      <c r="K13" s="31" t="n">
        <v>209376</v>
      </c>
      <c r="L13" s="30" t="n">
        <v>46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69.56999999999999</v>
      </c>
      <c r="P13" s="31" t="n">
        <v>42.99</v>
      </c>
      <c r="Q13" s="31" t="n">
        <v>1610.9</v>
      </c>
      <c r="R13" s="30" t="inlineStr">
        <is>
          <t>Near 52W High Breakout</t>
        </is>
      </c>
      <c r="S13" s="30" t="inlineStr">
        <is>
          <t>Nifty Pharma</t>
        </is>
      </c>
      <c r="T13" s="31" t="n">
        <v>18.86</v>
      </c>
      <c r="U13" s="31" t="n">
        <v>50.42</v>
      </c>
      <c r="V13" s="31" t="n">
        <v>26.55</v>
      </c>
      <c r="W13" s="31" t="n">
        <v>13.85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Yes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Higher Annuity, Lower One Time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Above 40</t>
        </is>
      </c>
      <c r="AY13" s="30">
        <f>IF(AX13="Above 40",20,IF(AX13="20 to 40",10,IF(AX13="0 to 20",-5,0)))</f>
        <v/>
      </c>
      <c r="AZ13" s="30" t="inlineStr">
        <is>
          <t>Between 50 to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Blue sky scenario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No</t>
        </is>
      </c>
      <c r="BS13" s="30">
        <f>IF(BR13="NO",5,0)</f>
        <v/>
      </c>
      <c r="BT13" s="30" t="inlineStr">
        <is>
          <t>Less than 1.5</t>
        </is>
      </c>
      <c r="BU13" s="30">
        <f>IF(BT13="Above 2",0,IF(BT13="Between 1.5 to 2",5,IF(BT13="Less than 1.5",10,0)))</f>
        <v/>
      </c>
      <c r="BV13" s="30" t="inlineStr">
        <is>
          <t>Above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</row>
    <row r="14">
      <c r="A14" s="30">
        <f>IF(B14=0,"",RANK(B14,$B$2:$B$331,0))</f>
        <v/>
      </c>
      <c r="B14" s="31">
        <f>SUM(N14,Y14,AA14,AC14,AE14,AG14,AI14,AK14,AM14,AO14,AQ14,AS14,AU14,AW14,AY14,BA14,BC14,BE14,BG14,BI14,BK14,BM14,BO14,BQ14,BS14,BU14,BW14,BY14,CA14,CC14,CE14)</f>
        <v/>
      </c>
      <c r="C14" s="30" t="inlineStr">
        <is>
          <t>AUROPHARMA</t>
        </is>
      </c>
      <c r="D14" s="30" t="inlineStr">
        <is>
          <t>Aurobindo Pharma Limited</t>
        </is>
      </c>
      <c r="E14" s="30" t="inlineStr">
        <is>
          <t>healthcare</t>
        </is>
      </c>
      <c r="F14" s="30" t="inlineStr">
        <is>
          <t>pharmaceuticals - indian - bulk drugs &amp; formln</t>
        </is>
      </c>
      <c r="G14" s="30" t="inlineStr">
        <is>
          <t>largecap</t>
        </is>
      </c>
      <c r="H14" s="31" t="n">
        <v>97750.95</v>
      </c>
      <c r="I14" s="31" t="n">
        <v>1668.4</v>
      </c>
      <c r="J14" s="31" t="n">
        <v>-1.8</v>
      </c>
      <c r="K14" s="31" t="n">
        <v>798368</v>
      </c>
      <c r="L14" s="30" t="n">
        <v>37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70.15000000000001</v>
      </c>
      <c r="P14" s="31" t="n">
        <v>41.85</v>
      </c>
      <c r="Q14" s="31" t="n">
        <v>1438.75</v>
      </c>
      <c r="R14" s="30" t="inlineStr">
        <is>
          <t>Near 52W High Breakout</t>
        </is>
      </c>
      <c r="S14" s="30" t="inlineStr">
        <is>
          <t>Nifty Pharma</t>
        </is>
      </c>
      <c r="T14" s="31" t="n">
        <v>18.86</v>
      </c>
      <c r="U14" s="31" t="n">
        <v>52.45</v>
      </c>
      <c r="V14" s="31" t="n">
        <v>28.25</v>
      </c>
      <c r="W14" s="31" t="n">
        <v>11.57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Yes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Annuity, Lower One Time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Between 50 to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Blue sky scenario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No</t>
        </is>
      </c>
      <c r="BS14" s="30">
        <f>IF(BR14="NO",5,0)</f>
        <v/>
      </c>
      <c r="BT14" s="30" t="inlineStr">
        <is>
          <t>Less than 1.5</t>
        </is>
      </c>
      <c r="BU14" s="30">
        <f>IF(BT14="Above 2",0,IF(BT14="Between 1.5 to 2",5,IF(BT14="Less than 1.5",10,0)))</f>
        <v/>
      </c>
      <c r="BV14" s="30" t="inlineStr">
        <is>
          <t>Above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</row>
    <row r="15">
      <c r="A15" s="30">
        <f>IF(B15=0,"",RANK(B15,$B$2:$B$331,0))</f>
        <v/>
      </c>
      <c r="B15" s="31">
        <f>SUM(N15,Y15,AA15,AC15,AE15,AG15,AI15,AK15,AM15,AO15,AQ15,AS15,AU15,AW15,AY15,BA15,BC15,BE15,BG15,BI15,BK15,BM15,BO15,BQ15,BS15,BU15,BW15,BY15,CA15,CC15,CE15)</f>
        <v/>
      </c>
      <c r="C15" s="30" t="inlineStr">
        <is>
          <t>AVTNPL</t>
        </is>
      </c>
      <c r="D15" s="30" t="inlineStr">
        <is>
          <t>Avt Natural Products Limited</t>
        </is>
      </c>
      <c r="E15" s="30" t="inlineStr">
        <is>
          <t>fmcg</t>
        </is>
      </c>
      <c r="F15" s="30" t="inlineStr">
        <is>
          <t>solvent extraction</t>
        </is>
      </c>
      <c r="G15" s="30" t="inlineStr">
        <is>
          <t>smallcap</t>
        </is>
      </c>
      <c r="H15" s="31" t="n">
        <v>1407.41</v>
      </c>
      <c r="I15" s="31" t="n">
        <v>90.59999999999999</v>
      </c>
      <c r="J15" s="31" t="n">
        <v>-1.97</v>
      </c>
      <c r="K15" s="31" t="n">
        <v>216414</v>
      </c>
      <c r="L15" s="30" t="n">
        <v>39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74.87</v>
      </c>
      <c r="P15" s="31" t="n">
        <v>42.71</v>
      </c>
      <c r="Q15" s="31" t="n">
        <v>72.70999999999999</v>
      </c>
      <c r="R15" s="30" t="inlineStr">
        <is>
          <t>Near 52W High Breakout</t>
        </is>
      </c>
      <c r="S15" s="30" t="inlineStr">
        <is>
          <t>Nifty FMCG</t>
        </is>
      </c>
      <c r="T15" s="31" t="n">
        <v>-17.21</v>
      </c>
      <c r="U15" s="31" t="n">
        <v>20.57</v>
      </c>
      <c r="V15" s="31" t="n">
        <v>45.63</v>
      </c>
      <c r="W15" s="31" t="n">
        <v>12.12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B2C</t>
        </is>
      </c>
      <c r="AO15" s="30">
        <f>IF(AN15="B2C",10,IF(AN15="B2B",5,0))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Higher Annuity, Lower One Time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Above 40</t>
        </is>
      </c>
      <c r="AY15" s="30">
        <f>IF(AX15="Above 40",20,IF(AX15="20 to 40",10,IF(AX15="0 to 20",-5,0)))</f>
        <v/>
      </c>
      <c r="AZ15" s="30" t="inlineStr">
        <is>
          <t>Between 50 to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Blue sky scenario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No</t>
        </is>
      </c>
      <c r="BS15" s="30">
        <f>IF(BR15="NO",5,0)</f>
        <v/>
      </c>
      <c r="BT15" s="30" t="inlineStr">
        <is>
          <t>Above 2</t>
        </is>
      </c>
      <c r="BU15" s="30">
        <f>IF(BT15="Above 2",0,IF(BT15="Between 1.5 to 2",5,IF(BT15="Less than 1.5",10,0)))</f>
        <v/>
      </c>
      <c r="BV15" s="30" t="inlineStr">
        <is>
          <t>Above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</row>
    <row r="16">
      <c r="A16" s="30">
        <f>IF(B16=0,"",RANK(B16,$B$2:$B$331,0))</f>
        <v/>
      </c>
      <c r="B16" s="31">
        <f>SUM(N16,Y16,AA16,AC16,AE16,AG16,AI16,AK16,AM16,AO16,AQ16,AS16,AU16,AW16,AY16,BA16,BC16,BE16,BG16,BI16,BK16,BM16,BO16,BQ16,BS16,BU16,BW16,BY16,CA16,CC16,CE16)</f>
        <v/>
      </c>
      <c r="C16" s="30" t="inlineStr">
        <is>
          <t>ATHERENERG</t>
        </is>
      </c>
      <c r="D16" s="30" t="inlineStr">
        <is>
          <t>Ather Energy Ltd</t>
        </is>
      </c>
      <c r="E16" s="30" t="inlineStr">
        <is>
          <t>auto</t>
        </is>
      </c>
      <c r="F16" s="30" t="inlineStr">
        <is>
          <t>automobiles - scooters and 3 - wheelers</t>
        </is>
      </c>
      <c r="G16" s="30" t="inlineStr">
        <is>
          <t>largecap</t>
        </is>
      </c>
      <c r="H16" s="31" t="n">
        <v>62271.8</v>
      </c>
      <c r="I16" s="31" t="n">
        <v>1658.3</v>
      </c>
      <c r="J16" s="31" t="n">
        <v>4.96</v>
      </c>
      <c r="K16" s="31" t="n">
        <v>8086256</v>
      </c>
      <c r="L16" s="30" t="n">
        <v>97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78.97</v>
      </c>
      <c r="P16" s="31" t="n">
        <v>67.47</v>
      </c>
      <c r="Q16" s="31" t="n">
        <v>1290.62</v>
      </c>
      <c r="R16" s="30" t="inlineStr">
        <is>
          <t>Near 52W High Breakout</t>
        </is>
      </c>
      <c r="S16" s="30" t="inlineStr">
        <is>
          <t>Nifty Auto</t>
        </is>
      </c>
      <c r="T16" s="31" t="n">
        <v>15.81</v>
      </c>
      <c r="U16" s="31" t="n">
        <v>396.05</v>
      </c>
      <c r="V16" s="31" t="n">
        <v>328.34</v>
      </c>
      <c r="W16" s="31" t="n">
        <v>63.4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No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B2B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Higher One Time, Lower Annuity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Above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Blue sky scenario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No</t>
        </is>
      </c>
      <c r="BS16" s="30">
        <f>IF(BR16="NO",5,0)</f>
        <v/>
      </c>
      <c r="BT16" s="30" t="inlineStr">
        <is>
          <t>Above 2</t>
        </is>
      </c>
      <c r="BU16" s="30">
        <f>IF(BT16="Above 2",0,IF(BT16="Between 1.5 to 2",5,IF(BT16="Less than 1.5",10,0)))</f>
        <v/>
      </c>
      <c r="BV16" s="30" t="inlineStr">
        <is>
          <t>Above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</row>
    <row r="17">
      <c r="A17" s="30">
        <f>IF(B17=0,"",RANK(B17,$B$2:$B$331,0))</f>
        <v/>
      </c>
      <c r="B17" s="31">
        <f>SUM(N17,Y17,AA17,AC17,AE17,AG17,AI17,AK17,AM17,AO17,AQ17,AS17,AU17,AW17,AY17,BA17,BC17,BE17,BG17,BI17,BK17,BM17,BO17,BQ17,BS17,BU17,BW17,BY17,CA17,CC17,CE17)</f>
        <v/>
      </c>
      <c r="C17" s="30" t="inlineStr">
        <is>
          <t>GAYAPROJ</t>
        </is>
      </c>
      <c r="D17" s="30" t="inlineStr">
        <is>
          <t>Gayatri Projects Limited</t>
        </is>
      </c>
      <c r="E17" s="30" t="inlineStr">
        <is>
          <t>realty</t>
        </is>
      </c>
      <c r="F17" s="30" t="inlineStr">
        <is>
          <t>construction</t>
        </is>
      </c>
      <c r="G17" s="30" t="inlineStr">
        <is>
          <t>smallcap</t>
        </is>
      </c>
      <c r="H17" s="31" t="n">
        <v>1097.6</v>
      </c>
      <c r="I17" s="31" t="n">
        <v>24.8</v>
      </c>
      <c r="J17" s="31" t="n">
        <v>4.91</v>
      </c>
      <c r="K17" s="31" t="n">
        <v>2185895</v>
      </c>
      <c r="L17" s="30" t="n">
        <v>80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70.66</v>
      </c>
      <c r="P17" s="31" t="n">
        <v>28.93</v>
      </c>
      <c r="Q17" s="31" t="n">
        <v>18.51</v>
      </c>
      <c r="R17" s="30" t="inlineStr">
        <is>
          <t>Volume Spike &amp; Near 52W High Breakout</t>
        </is>
      </c>
      <c r="S17" s="30" t="inlineStr">
        <is>
          <t>Nifty Realty</t>
        </is>
      </c>
      <c r="T17" s="31" t="n">
        <v>-8.26</v>
      </c>
      <c r="U17" s="31" t="n">
        <v>191.76</v>
      </c>
      <c r="V17" s="31" t="n">
        <v>218.05</v>
      </c>
      <c r="W17" s="31" t="n">
        <v>31.17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Higher One Time, Lower Annuity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20 to 40</t>
        </is>
      </c>
      <c r="AY17" s="30">
        <f>IF(AX17="Above 40",20,IF(AX17="20 to 40",10,IF(AX17="0 to 20",-5,0)))</f>
        <v/>
      </c>
      <c r="AZ17" s="30" t="inlineStr">
        <is>
          <t>Between 50 to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Blue sky scenario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No</t>
        </is>
      </c>
      <c r="BS17" s="30">
        <f>IF(BR17="NO",5,0)</f>
        <v/>
      </c>
      <c r="BT17" s="30" t="inlineStr">
        <is>
          <t>Less than 1.5</t>
        </is>
      </c>
      <c r="BU17" s="30">
        <f>IF(BT17="Above 2",0,IF(BT17="Between 1.5 to 2",5,IF(BT17="Less than 1.5",10,0)))</f>
        <v/>
      </c>
      <c r="BV17" s="30" t="inlineStr">
        <is>
          <t>Above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</row>
    <row r="18">
      <c r="A18" s="30">
        <f>IF(B18=0,"",RANK(B18,$B$2:$B$331,0))</f>
        <v/>
      </c>
      <c r="B18" s="31">
        <f>SUM(N18,Y18,AA18,AC18,AE18,AG18,AI18,AK18,AM18,AO18,AQ18,AS18,AU18,AW18,AY18,BA18,BC18,BE18,BG18,BI18,BK18,BM18,BO18,BQ18,BS18,BU18,BW18,BY18,CA18,CC18,CE18)</f>
        <v/>
      </c>
      <c r="C18" s="30" t="inlineStr">
        <is>
          <t>RPEL</t>
        </is>
      </c>
      <c r="D18" s="30" t="inlineStr">
        <is>
          <t>Raghav Productivity Enhancers Ltd</t>
        </is>
      </c>
      <c r="E18" s="30" t="inlineStr">
        <is>
          <t>building materials</t>
        </is>
      </c>
      <c r="F18" s="30" t="inlineStr">
        <is>
          <t>refractories / intermediates</t>
        </is>
      </c>
      <c r="G18" s="30" t="inlineStr">
        <is>
          <t>midcap</t>
        </is>
      </c>
      <c r="H18" s="31" t="n">
        <v>7672.64</v>
      </c>
      <c r="I18" s="31" t="n">
        <v>1743.5</v>
      </c>
      <c r="J18" s="31" t="n">
        <v>4.35</v>
      </c>
      <c r="K18" s="31" t="n">
        <v>213981</v>
      </c>
      <c r="L18" s="30" t="n">
        <v>97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79.02</v>
      </c>
      <c r="P18" s="31" t="n">
        <v>63.86</v>
      </c>
      <c r="Q18" s="31" t="n">
        <v>1388.6</v>
      </c>
      <c r="R18" s="30" t="inlineStr">
        <is>
          <t>Near 52W High Breakout</t>
        </is>
      </c>
      <c r="S18" s="30" t="inlineStr">
        <is>
          <t>Nifty Infra</t>
        </is>
      </c>
      <c r="T18" s="31" t="n">
        <v>0.74</v>
      </c>
      <c r="U18" s="31" t="n">
        <v>164.05</v>
      </c>
      <c r="V18" s="31" t="n">
        <v>162.11</v>
      </c>
      <c r="W18" s="31" t="n">
        <v>63.33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No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Higher One Time, Lower Annuity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Above 40</t>
        </is>
      </c>
      <c r="AY18" s="30">
        <f>IF(AX18="Above 40",20,IF(AX18="20 to 40",10,IF(AX18="0 to 20",-5,0)))</f>
        <v/>
      </c>
      <c r="AZ18" s="30" t="inlineStr">
        <is>
          <t>Above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Blue sky scenario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Yes</t>
        </is>
      </c>
      <c r="BS18" s="30">
        <f>IF(BR18="NO",5,0)</f>
        <v/>
      </c>
      <c r="BT18" s="30" t="inlineStr">
        <is>
          <t>Between 1.5 to 2</t>
        </is>
      </c>
      <c r="BU18" s="30">
        <f>IF(BT18="Above 2",0,IF(BT18="Between 1.5 to 2",5,IF(BT18="Less than 1.5",10,0)))</f>
        <v/>
      </c>
      <c r="BV18" s="30" t="inlineStr">
        <is>
          <t>Above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</row>
    <row r="19">
      <c r="A19" s="30">
        <f>IF(B19=0,"",RANK(B19,$B$2:$B$331,0))</f>
        <v/>
      </c>
      <c r="B19" s="31">
        <f>SUM(N19,Y19,AA19,AC19,AE19,AG19,AI19,AK19,AM19,AO19,AQ19,AS19,AU19,AW19,AY19,BA19,BC19,BE19,BG19,BI19,BK19,BM19,BO19,BQ19,BS19,BU19,BW19,BY19,CA19,CC19,CE19)</f>
        <v/>
      </c>
      <c r="C19" s="30" t="inlineStr">
        <is>
          <t>RML</t>
        </is>
      </c>
      <c r="D19" s="30" t="inlineStr">
        <is>
          <t>Rane (madras) Limited</t>
        </is>
      </c>
      <c r="E19" s="30" t="inlineStr">
        <is>
          <t>auto</t>
        </is>
      </c>
      <c r="F19" s="30" t="inlineStr">
        <is>
          <t>auto ancillaries</t>
        </is>
      </c>
      <c r="G19" s="30" t="inlineStr">
        <is>
          <t>smallcap</t>
        </is>
      </c>
      <c r="H19" s="31" t="n">
        <v>3770.53</v>
      </c>
      <c r="I19" s="31" t="n">
        <v>1408.9</v>
      </c>
      <c r="J19" s="31" t="n">
        <v>3.27</v>
      </c>
      <c r="K19" s="31" t="n">
        <v>187566</v>
      </c>
      <c r="L19" s="30" t="n">
        <v>85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70.95</v>
      </c>
      <c r="P19" s="31" t="n">
        <v>53.01</v>
      </c>
      <c r="Q19" s="31" t="n">
        <v>1070.59</v>
      </c>
      <c r="R19" s="30" t="inlineStr">
        <is>
          <t>Near 52W High Breakout</t>
        </is>
      </c>
      <c r="S19" s="30" t="inlineStr">
        <is>
          <t>Nifty Auto</t>
        </is>
      </c>
      <c r="T19" s="31" t="n">
        <v>15.81</v>
      </c>
      <c r="U19" s="31" t="n">
        <v>69.2</v>
      </c>
      <c r="V19" s="31" t="n">
        <v>46.11</v>
      </c>
      <c r="W19" s="31" t="n">
        <v>34.15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No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B2B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One Time, Lower Annuity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Above 40</t>
        </is>
      </c>
      <c r="AY19" s="30">
        <f>IF(AX19="Above 40",20,IF(AX19="20 to 40",10,IF(AX19="0 to 20",-5,0)))</f>
        <v/>
      </c>
      <c r="AZ19" s="30" t="inlineStr">
        <is>
          <t>Between 50 to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Blue sky scenario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No</t>
        </is>
      </c>
      <c r="BS19" s="30">
        <f>IF(BR19="NO",5,0)</f>
        <v/>
      </c>
      <c r="BT19" s="30" t="inlineStr">
        <is>
          <t>Less than 1.5</t>
        </is>
      </c>
      <c r="BU19" s="30">
        <f>IF(BT19="Above 2",0,IF(BT19="Between 1.5 to 2",5,IF(BT19="Less than 1.5",10,0)))</f>
        <v/>
      </c>
      <c r="BV19" s="30" t="inlineStr">
        <is>
          <t>Above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Between 0.7 to 1.2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</row>
    <row r="20">
      <c r="A20" s="30">
        <f>IF(B20=0,"",RANK(B20,$B$2:$B$331,0))</f>
        <v/>
      </c>
      <c r="B20" s="31">
        <f>SUM(N20,Y20,AA20,AC20,AE20,AG20,AI20,AK20,AM20,AO20,AQ20,AS20,AU20,AW20,AY20,BA20,BC20,BE20,BG20,BI20,BK20,BM20,BO20,BQ20,BS20,BU20,BW20,BY20,CA20,CC20,CE20)</f>
        <v/>
      </c>
      <c r="C20" s="30" t="inlineStr">
        <is>
          <t>SWANDEF</t>
        </is>
      </c>
      <c r="D20" s="30" t="inlineStr">
        <is>
          <t>Swan Defence and Heavy Industries Ltd</t>
        </is>
      </c>
      <c r="E20" s="30" t="inlineStr">
        <is>
          <t>transportation</t>
        </is>
      </c>
      <c r="F20" s="30" t="inlineStr">
        <is>
          <t>miscellaneous</t>
        </is>
      </c>
      <c r="G20" s="30" t="inlineStr">
        <is>
          <t>midcap</t>
        </is>
      </c>
      <c r="H20" s="31" t="n">
        <v>13615.7</v>
      </c>
      <c r="I20" s="31" t="n">
        <v>2662.8</v>
      </c>
      <c r="J20" s="31" t="n">
        <v>3.03</v>
      </c>
      <c r="K20" s="31" t="n">
        <v>22304</v>
      </c>
      <c r="L20" s="30" t="n">
        <v>95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67.17</v>
      </c>
      <c r="P20" s="31" t="n">
        <v>55.42</v>
      </c>
      <c r="Q20" s="31" t="n">
        <v>2044.33</v>
      </c>
      <c r="R20" s="30" t="inlineStr">
        <is>
          <t>Near 52W High Breakout</t>
        </is>
      </c>
      <c r="S20" s="30" t="inlineStr">
        <is>
          <t>Nifty 50</t>
        </is>
      </c>
      <c r="T20" s="31" t="n">
        <v>-6.52</v>
      </c>
      <c r="U20" s="31" t="n">
        <v>408.65</v>
      </c>
      <c r="V20" s="31" t="n">
        <v>444.1</v>
      </c>
      <c r="W20" s="31" t="n">
        <v>56.12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No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B2B</t>
        </is>
      </c>
      <c r="AO20" s="30">
        <f>IF(AN20="B2C",10,IF(AN20="B2B",5,0))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Higher One Time, Lower Annuity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Above 40</t>
        </is>
      </c>
      <c r="AY20" s="30">
        <f>IF(AX20="Above 40",20,IF(AX20="20 to 40",10,IF(AX20="0 to 20",-5,0)))</f>
        <v/>
      </c>
      <c r="AZ20" s="30" t="inlineStr">
        <is>
          <t>Between 50 to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Blue sky scenario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No</t>
        </is>
      </c>
      <c r="BS20" s="30">
        <f>IF(BR20="NO",5,0)</f>
        <v/>
      </c>
      <c r="BT20" s="30" t="inlineStr">
        <is>
          <t>Less than 1.5</t>
        </is>
      </c>
      <c r="BU20" s="30">
        <f>IF(BT20="Above 2",0,IF(BT20="Between 1.5 to 2",5,IF(BT20="Less than 1.5",10,0)))</f>
        <v/>
      </c>
      <c r="BV20" s="30" t="inlineStr">
        <is>
          <t>Above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More than 1.2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</row>
    <row r="21">
      <c r="A21" s="30">
        <f>IF(B21=0,"",RANK(B21,$B$2:$B$331,0))</f>
        <v/>
      </c>
      <c r="B21" s="31">
        <f>SUM(N21,Y21,AA21,AC21,AE21,AG21,AI21,AK21,AM21,AO21,AQ21,AS21,AU21,AW21,AY21,BA21,BC21,BE21,BG21,BI21,BK21,BM21,BO21,BQ21,BS21,BU21,BW21,BY21,CA21,CC21,CE21)</f>
        <v/>
      </c>
      <c r="C21" s="30" t="inlineStr">
        <is>
          <t>QUESS</t>
        </is>
      </c>
      <c r="D21" s="30" t="inlineStr">
        <is>
          <t>Quess Corp Limited</t>
        </is>
      </c>
      <c r="E21" s="30" t="inlineStr">
        <is>
          <t>miscellaneous</t>
        </is>
      </c>
      <c r="F21" s="30" t="inlineStr">
        <is>
          <t>diversified - large</t>
        </is>
      </c>
      <c r="G21" s="30" t="inlineStr">
        <is>
          <t>midcap</t>
        </is>
      </c>
      <c r="H21" s="31" t="n">
        <v>5302.27</v>
      </c>
      <c r="I21" s="31" t="n">
        <v>355.1</v>
      </c>
      <c r="J21" s="31" t="n">
        <v>0.03</v>
      </c>
      <c r="K21" s="31" t="n">
        <v>420571</v>
      </c>
      <c r="L21" s="30" t="n">
        <v>64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72.12</v>
      </c>
      <c r="P21" s="31" t="n">
        <v>63.56</v>
      </c>
      <c r="Q21" s="31" t="n">
        <v>287.98</v>
      </c>
      <c r="R21" s="30" t="inlineStr">
        <is>
          <t>Near 52W High Breakout</t>
        </is>
      </c>
      <c r="S21" s="30" t="inlineStr">
        <is>
          <t>Nifty 50</t>
        </is>
      </c>
      <c r="T21" s="31" t="n">
        <v>-6.52</v>
      </c>
      <c r="U21" s="31" t="n">
        <v>40.65</v>
      </c>
      <c r="V21" s="31" t="n">
        <v>50.45</v>
      </c>
      <c r="W21" s="31" t="n">
        <v>19.59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No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B2B</t>
        </is>
      </c>
      <c r="AO21" s="30">
        <f>IF(AN21="B2C",10,IF(AN21="B2B",5,0))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Higher One Time, Lower Annuity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Above 40</t>
        </is>
      </c>
      <c r="AY21" s="30">
        <f>IF(AX21="Above 40",20,IF(AX21="20 to 40",10,IF(AX21="0 to 20",-5,0)))</f>
        <v/>
      </c>
      <c r="AZ21" s="30" t="inlineStr">
        <is>
          <t>Between 50 to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Close to 52 week high or retracement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No</t>
        </is>
      </c>
      <c r="BS21" s="30">
        <f>IF(BR21="NO",5,0)</f>
        <v/>
      </c>
      <c r="BT21" s="30" t="inlineStr">
        <is>
          <t>Less than 1.5</t>
        </is>
      </c>
      <c r="BU21" s="30">
        <f>IF(BT21="Above 2",0,IF(BT21="Between 1.5 to 2",5,IF(BT21="Less than 1.5",10,0)))</f>
        <v/>
      </c>
      <c r="BV21" s="30" t="inlineStr">
        <is>
          <t>Above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</row>
    <row r="22">
      <c r="A22" s="30">
        <f>IF(B22=0,"",RANK(B22,$B$2:$B$331,0))</f>
        <v/>
      </c>
      <c r="B22" s="31">
        <f>SUM(N22,Y22,AA22,AC22,AE22,AG22,AI22,AK22,AM22,AO22,AQ22,AS22,AU22,AW22,AY22,BA22,BC22,BE22,BG22,BI22,BK22,BM22,BO22,BQ22,BS22,BU22,BW22,BY22,CA22,CC22,CE22)</f>
        <v/>
      </c>
      <c r="C22" s="30" t="inlineStr">
        <is>
          <t>SYRMA</t>
        </is>
      </c>
      <c r="D22" s="30" t="inlineStr">
        <is>
          <t>Syrma SGS Technology Ltd</t>
        </is>
      </c>
      <c r="E22" s="30" t="inlineStr">
        <is>
          <t>consumer discretionary</t>
        </is>
      </c>
      <c r="F22" s="30" t="inlineStr">
        <is>
          <t>electronics - components</t>
        </is>
      </c>
      <c r="G22" s="30" t="inlineStr">
        <is>
          <t>largecap</t>
        </is>
      </c>
      <c r="H22" s="31" t="n">
        <v>31284.82</v>
      </c>
      <c r="I22" s="31" t="n">
        <v>1598.8</v>
      </c>
      <c r="J22" s="31" t="n">
        <v>-1.45</v>
      </c>
      <c r="K22" s="31" t="n">
        <v>738911</v>
      </c>
      <c r="L22" s="30" t="n">
        <v>71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72.67</v>
      </c>
      <c r="P22" s="31" t="n">
        <v>60.74</v>
      </c>
      <c r="Q22" s="31" t="n">
        <v>1257.51</v>
      </c>
      <c r="R22" s="30" t="inlineStr">
        <is>
          <t>Near 52W High Breakout</t>
        </is>
      </c>
      <c r="S22" s="30" t="inlineStr">
        <is>
          <t>Nifty 50</t>
        </is>
      </c>
      <c r="T22" s="31" t="n">
        <v>-6.52</v>
      </c>
      <c r="U22" s="31" t="n">
        <v>94.27</v>
      </c>
      <c r="V22" s="31" t="n">
        <v>107.81</v>
      </c>
      <c r="W22" s="31" t="n">
        <v>23.05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No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One Time, Lower Annuity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Above 40</t>
        </is>
      </c>
      <c r="AY22" s="30">
        <f>IF(AX22="Above 40",20,IF(AX22="20 to 40",10,IF(AX22="0 to 20",-5,0)))</f>
        <v/>
      </c>
      <c r="AZ22" s="30" t="inlineStr">
        <is>
          <t>Between 50 to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Blue sky scenario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Yes</t>
        </is>
      </c>
      <c r="BS22" s="30">
        <f>IF(BR22="NO",5,0)</f>
        <v/>
      </c>
      <c r="BT22" s="30" t="inlineStr">
        <is>
          <t>Less than 1.5</t>
        </is>
      </c>
      <c r="BU22" s="30">
        <f>IF(BT22="Above 2",0,IF(BT22="Between 1.5 to 2",5,IF(BT22="Less than 1.5",10,0)))</f>
        <v/>
      </c>
      <c r="BV22" s="30" t="inlineStr">
        <is>
          <t>Above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</row>
    <row r="23">
      <c r="A23" s="30">
        <f>IF(B23=0,"",RANK(B23,$B$2:$B$331,0))</f>
        <v/>
      </c>
      <c r="B23" s="31">
        <f>SUM(N23,Y23,AA23,AC23,AE23,AG23,AI23,AK23,AM23,AO23,AQ23,AS23,AU23,AW23,AY23,BA23,BC23,BE23,BG23,BI23,BK23,BM23,BO23,BQ23,BS23,BU23,BW23,BY23,CA23,CC23,CE23)</f>
        <v/>
      </c>
      <c r="C23" s="30" t="inlineStr">
        <is>
          <t>TBZ</t>
        </is>
      </c>
      <c r="D23" s="30" t="inlineStr">
        <is>
          <t>Tribhovandas Bhimji Zaveri Limited</t>
        </is>
      </c>
      <c r="E23" s="30" t="inlineStr">
        <is>
          <t>consumer discretionary</t>
        </is>
      </c>
      <c r="F23" s="30" t="inlineStr">
        <is>
          <t>diamond cutting / jewellery</t>
        </is>
      </c>
      <c r="G23" s="30" t="inlineStr">
        <is>
          <t>smallcap</t>
        </is>
      </c>
      <c r="H23" s="31" t="n">
        <v>3520.71</v>
      </c>
      <c r="I23" s="31" t="n">
        <v>501.25</v>
      </c>
      <c r="J23" s="31" t="n">
        <v>-4.99</v>
      </c>
      <c r="K23" s="31" t="n">
        <v>1594014</v>
      </c>
      <c r="L23" s="30" t="n">
        <v>98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89.09</v>
      </c>
      <c r="P23" s="31" t="n">
        <v>52.68</v>
      </c>
      <c r="Q23" s="31" t="n">
        <v>368.28</v>
      </c>
      <c r="R23" s="30" t="inlineStr">
        <is>
          <t>Near 52W High Breakout</t>
        </is>
      </c>
      <c r="S23" s="30" t="inlineStr">
        <is>
          <t>Nifty 50</t>
        </is>
      </c>
      <c r="T23" s="31" t="n">
        <v>-6.52</v>
      </c>
      <c r="U23" s="31" t="n">
        <v>170.1</v>
      </c>
      <c r="V23" s="31" t="n">
        <v>188.93</v>
      </c>
      <c r="W23" s="31" t="n">
        <v>71.38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No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Higher One Time, Lower Annuity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Above 40</t>
        </is>
      </c>
      <c r="AY23" s="30">
        <f>IF(AX23="Above 40",20,IF(AX23="20 to 40",10,IF(AX23="0 to 20",-5,0)))</f>
        <v/>
      </c>
      <c r="AZ23" s="30" t="inlineStr">
        <is>
          <t>Above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Blue sky scenario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No</t>
        </is>
      </c>
      <c r="BS23" s="30">
        <f>IF(BR23="NO",5,0)</f>
        <v/>
      </c>
      <c r="BT23" s="30" t="inlineStr">
        <is>
          <t>Less than 1.5</t>
        </is>
      </c>
      <c r="BU23" s="30">
        <f>IF(BT23="Above 2",0,IF(BT23="Between 1.5 to 2",5,IF(BT23="Less than 1.5",10,0)))</f>
        <v/>
      </c>
      <c r="BV23" s="30" t="inlineStr">
        <is>
          <t>Above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Between 0.7 to 1.2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</row>
    <row r="24">
      <c r="A24" s="30">
        <f>IF(B24=0,"",RANK(B24,$B$2:$B$331,0))</f>
        <v/>
      </c>
      <c r="B24" s="31">
        <f>SUM(N24,Y24,AA24,AC24,AE24,AG24,AI24,AK24,AM24,AO24,AQ24,AS24,AU24,AW24,AY24,BA24,BC24,BE24,BG24,BI24,BK24,BM24,BO24,BQ24,BS24,BU24,BW24,BY24,CA24,CC24,CE24)</f>
        <v/>
      </c>
      <c r="C24" s="30" t="inlineStr">
        <is>
          <t>IOLCP</t>
        </is>
      </c>
      <c r="D24" s="30" t="inlineStr">
        <is>
          <t>Iol Chemicals And Pharmaceuticals Limited</t>
        </is>
      </c>
      <c r="E24" s="30" t="inlineStr">
        <is>
          <t>healthcare</t>
        </is>
      </c>
      <c r="F24" s="30" t="inlineStr">
        <is>
          <t>pharmaceuticals - indian - bulk drugs &amp; formln</t>
        </is>
      </c>
      <c r="G24" s="30" t="inlineStr">
        <is>
          <t>midcap</t>
        </is>
      </c>
      <c r="H24" s="31" t="n">
        <v>6143.24</v>
      </c>
      <c r="I24" s="31" t="n">
        <v>211.43</v>
      </c>
      <c r="J24" s="31" t="n">
        <v>1.02</v>
      </c>
      <c r="K24" s="31" t="n">
        <v>3234389</v>
      </c>
      <c r="L24" s="30" t="n">
        <v>83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81.22</v>
      </c>
      <c r="P24" s="31" t="n">
        <v>81.87</v>
      </c>
      <c r="Q24" s="31" t="n">
        <v>158.91</v>
      </c>
      <c r="R24" s="30" t="inlineStr">
        <is>
          <t>Near 52W High Breakout</t>
        </is>
      </c>
      <c r="S24" s="30" t="inlineStr">
        <is>
          <t>Nifty Pharma</t>
        </is>
      </c>
      <c r="T24" s="31" t="n">
        <v>18.86</v>
      </c>
      <c r="U24" s="31" t="n">
        <v>85.12</v>
      </c>
      <c r="V24" s="31" t="n">
        <v>55.74</v>
      </c>
      <c r="W24" s="31" t="n">
        <v>33.16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Yes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B2B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Higher Annuity, Lower One Time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Above 40</t>
        </is>
      </c>
      <c r="AY24" s="30">
        <f>IF(AX24="Above 40",20,IF(AX24="20 to 40",10,IF(AX24="0 to 20",-5,0)))</f>
        <v/>
      </c>
      <c r="AZ24" s="30" t="inlineStr">
        <is>
          <t>Above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Blue sky scenario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No</t>
        </is>
      </c>
      <c r="BS24" s="30">
        <f>IF(BR24="NO",5,0)</f>
        <v/>
      </c>
      <c r="BT24" s="30" t="inlineStr">
        <is>
          <t>Less than 1.5</t>
        </is>
      </c>
      <c r="BU24" s="30">
        <f>IF(BT24="Above 2",0,IF(BT24="Between 1.5 to 2",5,IF(BT24="Less than 1.5",10,0)))</f>
        <v/>
      </c>
      <c r="BV24" s="30" t="inlineStr">
        <is>
          <t>Above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</row>
    <row r="25">
      <c r="A25" s="30">
        <f>IF(B25=0,"",RANK(B25,$B$2:$B$331,0))</f>
        <v/>
      </c>
      <c r="B25" s="31">
        <f>SUM(N25,Y25,AA25,AC25,AE25,AG25,AI25,AK25,AM25,AO25,AQ25,AS25,AU25,AW25,AY25,BA25,BC25,BE25,BG25,BI25,BK25,BM25,BO25,BQ25,BS25,BU25,BW25,BY25,CA25,CC25,CE25)</f>
        <v/>
      </c>
      <c r="C25" s="30" t="inlineStr">
        <is>
          <t>VENKEYS</t>
        </is>
      </c>
      <c r="D25" s="30" t="inlineStr">
        <is>
          <t>Venky's (india) Limited</t>
        </is>
      </c>
      <c r="E25" s="30" t="inlineStr">
        <is>
          <t>fmcg</t>
        </is>
      </c>
      <c r="F25" s="30" t="inlineStr">
        <is>
          <t>miscellaneous</t>
        </is>
      </c>
      <c r="G25" s="30" t="inlineStr">
        <is>
          <t>smallcap</t>
        </is>
      </c>
      <c r="H25" s="31" t="n">
        <v>2387.38</v>
      </c>
      <c r="I25" s="31" t="n">
        <v>1706.7</v>
      </c>
      <c r="J25" s="31" t="n">
        <v>0.71</v>
      </c>
      <c r="K25" s="31" t="n">
        <v>83868</v>
      </c>
      <c r="L25" s="30" t="n">
        <v>14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64.59</v>
      </c>
      <c r="P25" s="31" t="n">
        <v>41.06</v>
      </c>
      <c r="Q25" s="31" t="n">
        <v>1358.93</v>
      </c>
      <c r="R25" s="30" t="inlineStr">
        <is>
          <t>Near 52W High Breakout</t>
        </is>
      </c>
      <c r="S25" s="30" t="inlineStr">
        <is>
          <t>Nifty FMCG</t>
        </is>
      </c>
      <c r="T25" s="31" t="n">
        <v>-17.21</v>
      </c>
      <c r="U25" s="31" t="n">
        <v>11.19</v>
      </c>
      <c r="V25" s="31" t="n">
        <v>34.31</v>
      </c>
      <c r="W25" s="31" t="n">
        <v>4.77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No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B2C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Annuity, Lower One Time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Above 40</t>
        </is>
      </c>
      <c r="AY25" s="30">
        <f>IF(AX25="Above 40",20,IF(AX25="20 to 40",10,IF(AX25="0 to 20",-5,0)))</f>
        <v/>
      </c>
      <c r="AZ25" s="30" t="inlineStr">
        <is>
          <t>Between 50 to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Close to 52 week high or retracement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No</t>
        </is>
      </c>
      <c r="BS25" s="30">
        <f>IF(BR25="NO",5,0)</f>
        <v/>
      </c>
      <c r="BT25" s="30" t="inlineStr">
        <is>
          <t>Above 2</t>
        </is>
      </c>
      <c r="BU25" s="30">
        <f>IF(BT25="Above 2",0,IF(BT25="Between 1.5 to 2",5,IF(BT25="Less than 1.5",10,0)))</f>
        <v/>
      </c>
      <c r="BV25" s="30" t="inlineStr">
        <is>
          <t>Above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</row>
    <row r="26">
      <c r="A26" s="30">
        <f>IF(B26=0,"",RANK(B26,$B$2:$B$331,0))</f>
        <v/>
      </c>
      <c r="B26" s="31">
        <f>SUM(N26,Y26,AA26,AC26,AE26,AG26,AI26,AK26,AM26,AO26,AQ26,AS26,AU26,AW26,AY26,BA26,BC26,BE26,BG26,BI26,BK26,BM26,BO26,BQ26,BS26,BU26,BW26,BY26,CA26,CC26,CE26)</f>
        <v/>
      </c>
      <c r="C26" s="30" t="inlineStr">
        <is>
          <t>CLSEL</t>
        </is>
      </c>
      <c r="D26" s="30" t="inlineStr">
        <is>
          <t>Chamanlal Setia Exports Ltd</t>
        </is>
      </c>
      <c r="E26" s="30" t="inlineStr">
        <is>
          <t>fmcg</t>
        </is>
      </c>
      <c r="F26" s="30" t="inlineStr">
        <is>
          <t>food - processing - indian</t>
        </is>
      </c>
      <c r="G26" s="30" t="inlineStr">
        <is>
          <t>smallcap</t>
        </is>
      </c>
      <c r="H26" s="31" t="n">
        <v>1517.63</v>
      </c>
      <c r="I26" s="31" t="n">
        <v>302.55</v>
      </c>
      <c r="J26" s="31" t="n">
        <v>-0.87</v>
      </c>
      <c r="K26" s="31" t="n">
        <v>57907</v>
      </c>
      <c r="L26" s="30" t="n">
        <v>6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58.69</v>
      </c>
      <c r="P26" s="31" t="n">
        <v>28.18</v>
      </c>
      <c r="Q26" s="31" t="n">
        <v>230.71</v>
      </c>
      <c r="R26" s="30" t="inlineStr">
        <is>
          <t>Near 52W High Breakout</t>
        </is>
      </c>
      <c r="S26" s="30" t="inlineStr">
        <is>
          <t>Nifty FMCG</t>
        </is>
      </c>
      <c r="T26" s="31" t="n">
        <v>-17.21</v>
      </c>
      <c r="U26" s="31" t="n">
        <v>-7.94</v>
      </c>
      <c r="V26" s="31" t="n">
        <v>11.2</v>
      </c>
      <c r="W26" s="31" t="n">
        <v>2.01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No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B2C</t>
        </is>
      </c>
      <c r="AO26" s="30">
        <f>IF(AN26="B2C",10,IF(AN26="B2B",5,0))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Higher Annuity, Lower One Time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20 to 40</t>
        </is>
      </c>
      <c r="AY26" s="30">
        <f>IF(AX26="Above 40",20,IF(AX26="20 to 40",10,IF(AX26="0 to 20",-5,0)))</f>
        <v/>
      </c>
      <c r="AZ26" s="30" t="inlineStr">
        <is>
          <t>Between 50 to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Close to 52 week high or retracement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No</t>
        </is>
      </c>
      <c r="BS26" s="30">
        <f>IF(BR26="NO",5,0)</f>
        <v/>
      </c>
      <c r="BT26" s="30" t="inlineStr">
        <is>
          <t>Less than 1.5</t>
        </is>
      </c>
      <c r="BU26" s="30">
        <f>IF(BT26="Above 2",0,IF(BT26="Between 1.5 to 2",5,IF(BT26="Less than 1.5",10,0)))</f>
        <v/>
      </c>
      <c r="BV26" s="30" t="inlineStr">
        <is>
          <t>Above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</row>
    <row r="27">
      <c r="A27" s="30">
        <f>IF(B27=0,"",RANK(B27,$B$2:$B$331,0))</f>
        <v/>
      </c>
      <c r="B27" s="31">
        <f>SUM(N27,Y27,AA27,AC27,AE27,AG27,AI27,AK27,AM27,AO27,AQ27,AS27,AU27,AW27,AY27,BA27,BC27,BE27,BG27,BI27,BK27,BM27,BO27,BQ27,BS27,BU27,BW27,BY27,CA27,CC27,CE27)</f>
        <v/>
      </c>
      <c r="C27" s="30" t="inlineStr">
        <is>
          <t>INNOVACAP</t>
        </is>
      </c>
      <c r="D27" s="30" t="inlineStr">
        <is>
          <t>Innova Captab Ltd</t>
        </is>
      </c>
      <c r="E27" s="30" t="inlineStr">
        <is>
          <t>healthcare</t>
        </is>
      </c>
      <c r="F27" s="30" t="inlineStr">
        <is>
          <t>pharmaceuticals - indian - bulk drugs &amp; formln</t>
        </is>
      </c>
      <c r="G27" s="30" t="inlineStr">
        <is>
          <t>midcap</t>
        </is>
      </c>
      <c r="H27" s="31" t="n">
        <v>6802.33</v>
      </c>
      <c r="I27" s="31" t="n">
        <v>1167.4</v>
      </c>
      <c r="J27" s="31" t="n">
        <v>-1.79</v>
      </c>
      <c r="K27" s="31" t="n">
        <v>32787</v>
      </c>
      <c r="L27" s="30" t="n">
        <v>41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74.65000000000001</v>
      </c>
      <c r="P27" s="31" t="n">
        <v>63.62</v>
      </c>
      <c r="Q27" s="31" t="n">
        <v>932.6</v>
      </c>
      <c r="R27" s="30" t="inlineStr">
        <is>
          <t>Near 52W High Breakout</t>
        </is>
      </c>
      <c r="S27" s="30" t="inlineStr">
        <is>
          <t>Nifty Pharma</t>
        </is>
      </c>
      <c r="T27" s="31" t="n">
        <v>18.86</v>
      </c>
      <c r="U27" s="31" t="n">
        <v>36.21</v>
      </c>
      <c r="V27" s="31" t="n">
        <v>14.59</v>
      </c>
      <c r="W27" s="31" t="n">
        <v>12.59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Yes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Higher Annuity, Lower One Time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Above 40</t>
        </is>
      </c>
      <c r="AY27" s="30">
        <f>IF(AX27="Above 40",20,IF(AX27="20 to 40",10,IF(AX27="0 to 20",-5,0)))</f>
        <v/>
      </c>
      <c r="AZ27" s="30" t="inlineStr">
        <is>
          <t>Between 50 to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Blue sky scenario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Yes</t>
        </is>
      </c>
      <c r="BS27" s="30">
        <f>IF(BR27="NO",5,0)</f>
        <v/>
      </c>
      <c r="BT27" s="30" t="inlineStr">
        <is>
          <t>Less than 1.5</t>
        </is>
      </c>
      <c r="BU27" s="30">
        <f>IF(BT27="Above 2",0,IF(BT27="Between 1.5 to 2",5,IF(BT27="Less than 1.5",10,0)))</f>
        <v/>
      </c>
      <c r="BV27" s="30" t="inlineStr">
        <is>
          <t>Above 70%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</row>
    <row r="28">
      <c r="A28" s="30">
        <f>IF(B28=0,"",RANK(B28,$B$2:$B$331,0))</f>
        <v/>
      </c>
      <c r="B28" s="31">
        <f>SUM(N28,Y28,AA28,AC28,AE28,AG28,AI28,AK28,AM28,AO28,AQ28,AS28,AU28,AW28,AY28,BA28,BC28,BE28,BG28,BI28,BK28,BM28,BO28,BQ28,BS28,BU28,BW28,BY28,CA28,CC28,CE28)</f>
        <v/>
      </c>
      <c r="C28" s="30" t="inlineStr">
        <is>
          <t>WELCORP</t>
        </is>
      </c>
      <c r="D28" s="30" t="inlineStr">
        <is>
          <t>Welspun Corp Limited</t>
        </is>
      </c>
      <c r="E28" s="30" t="inlineStr">
        <is>
          <t>industrials</t>
        </is>
      </c>
      <c r="F28" s="30" t="inlineStr">
        <is>
          <t>steel - large</t>
        </is>
      </c>
      <c r="G28" s="30" t="inlineStr">
        <is>
          <t>largecap</t>
        </is>
      </c>
      <c r="H28" s="31" t="n">
        <v>68809.78999999999</v>
      </c>
      <c r="I28" s="31" t="n">
        <v>2776.9</v>
      </c>
      <c r="J28" s="31" t="n">
        <v>6.46</v>
      </c>
      <c r="K28" s="31" t="n">
        <v>4261554</v>
      </c>
      <c r="L28" s="30" t="n">
        <v>97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95.41</v>
      </c>
      <c r="P28" s="31" t="n">
        <v>77.06</v>
      </c>
      <c r="Q28" s="31" t="n">
        <v>2290.49</v>
      </c>
      <c r="R28" s="30" t="inlineStr">
        <is>
          <t>Near 52W High Breakout</t>
        </is>
      </c>
      <c r="S28" s="30" t="inlineStr">
        <is>
          <t>Nifty Metal</t>
        </is>
      </c>
      <c r="T28" s="31" t="n">
        <v>41.17</v>
      </c>
      <c r="U28" s="31" t="n">
        <v>214.14</v>
      </c>
      <c r="V28" s="31" t="n">
        <v>122.53</v>
      </c>
      <c r="W28" s="31" t="n">
        <v>61.68</v>
      </c>
      <c r="X28" s="30" t="inlineStr">
        <is>
          <t>Cyclical in an Upturn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No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Higher One Time, Lower Annuity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Above 40</t>
        </is>
      </c>
      <c r="AY28" s="30">
        <f>IF(AX28="Above 40",20,IF(AX28="20 to 40",10,IF(AX28="0 to 20",-5,0)))</f>
        <v/>
      </c>
      <c r="AZ28" s="30" t="inlineStr">
        <is>
          <t>Above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Blue sky scenario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No</t>
        </is>
      </c>
      <c r="BS28" s="30">
        <f>IF(BR28="NO",5,0)</f>
        <v/>
      </c>
      <c r="BT28" s="30" t="inlineStr">
        <is>
          <t>Above 2</t>
        </is>
      </c>
      <c r="BU28" s="30">
        <f>IF(BT28="Above 2",0,IF(BT28="Between 1.5 to 2",5,IF(BT28="Less than 1.5",10,0)))</f>
        <v/>
      </c>
      <c r="BV28" s="30" t="inlineStr">
        <is>
          <t>Above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</row>
    <row r="29">
      <c r="A29" s="30">
        <f>IF(B29=0,"",RANK(B29,$B$2:$B$331,0))</f>
        <v/>
      </c>
      <c r="B29" s="31">
        <f>SUM(N29,Y29,AA29,AC29,AE29,AG29,AI29,AK29,AM29,AO29,AQ29,AS29,AU29,AW29,AY29,BA29,BC29,BE29,BG29,BI29,BK29,BM29,BO29,BQ29,BS29,BU29,BW29,BY29,CA29,CC29,CE29)</f>
        <v/>
      </c>
      <c r="C29" s="30" t="inlineStr">
        <is>
          <t>KROSS</t>
        </is>
      </c>
      <c r="D29" s="30" t="inlineStr">
        <is>
          <t>Kross Ltd</t>
        </is>
      </c>
      <c r="E29" s="30" t="inlineStr">
        <is>
          <t>auto</t>
        </is>
      </c>
      <c r="F29" s="30" t="inlineStr">
        <is>
          <t>auto ancillaries</t>
        </is>
      </c>
      <c r="G29" s="30" t="inlineStr">
        <is>
          <t>smallcap</t>
        </is>
      </c>
      <c r="H29" s="31" t="n">
        <v>1417.08</v>
      </c>
      <c r="I29" s="31" t="n">
        <v>231.54</v>
      </c>
      <c r="J29" s="31" t="n">
        <v>5.4</v>
      </c>
      <c r="K29" s="31" t="n">
        <v>8960812</v>
      </c>
      <c r="L29" s="30" t="n">
        <v>33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64.16</v>
      </c>
      <c r="P29" s="31" t="n">
        <v>27.36</v>
      </c>
      <c r="Q29" s="31" t="n">
        <v>174.99</v>
      </c>
      <c r="R29" s="30" t="inlineStr">
        <is>
          <t>Volume Spike &amp; Near 52W High Breakout</t>
        </is>
      </c>
      <c r="S29" s="30" t="inlineStr">
        <is>
          <t>Nifty Auto</t>
        </is>
      </c>
      <c r="T29" s="31" t="n">
        <v>15.81</v>
      </c>
      <c r="U29" s="31" t="n">
        <v>24.13</v>
      </c>
      <c r="V29" s="31" t="n">
        <v>7.19</v>
      </c>
      <c r="W29" s="31" t="n">
        <v>10.03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No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One Time, Lower Annuity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20 to 40</t>
        </is>
      </c>
      <c r="AY29" s="30">
        <f>IF(AX29="Above 40",20,IF(AX29="20 to 40",10,IF(AX29="0 to 20",-5,0)))</f>
        <v/>
      </c>
      <c r="AZ29" s="30" t="inlineStr">
        <is>
          <t>Between 50 to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Blue sky scenario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No</t>
        </is>
      </c>
      <c r="BS29" s="30">
        <f>IF(BR29="NO",5,0)</f>
        <v/>
      </c>
      <c r="BT29" s="30" t="inlineStr">
        <is>
          <t>Less than 1.5</t>
        </is>
      </c>
      <c r="BU29" s="30">
        <f>IF(BT29="Above 2",0,IF(BT29="Between 1.5 to 2",5,IF(BT29="Less than 1.5",10,0)))</f>
        <v/>
      </c>
      <c r="BV29" s="30" t="inlineStr">
        <is>
          <t>Above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</row>
    <row r="30">
      <c r="A30" s="30">
        <f>IF(B30=0,"",RANK(B30,$B$2:$B$331,0))</f>
        <v/>
      </c>
      <c r="B30" s="31">
        <f>SUM(N30,Y30,AA30,AC30,AE30,AG30,AI30,AK30,AM30,AO30,AQ30,AS30,AU30,AW30,AY30,BA30,BC30,BE30,BG30,BI30,BK30,BM30,BO30,BQ30,BS30,BU30,BW30,BY30,CA30,CC30,CE30)</f>
        <v/>
      </c>
      <c r="C30" s="30" t="inlineStr">
        <is>
          <t>MODISONLTD</t>
        </is>
      </c>
      <c r="D30" s="30" t="inlineStr">
        <is>
          <t>Modison Ltd</t>
        </is>
      </c>
      <c r="E30" s="30" t="inlineStr">
        <is>
          <t>industrials</t>
        </is>
      </c>
      <c r="F30" s="30" t="inlineStr">
        <is>
          <t>electric equipment</t>
        </is>
      </c>
      <c r="G30" s="30" t="inlineStr">
        <is>
          <t>smallcap</t>
        </is>
      </c>
      <c r="H30" s="31" t="n">
        <v>1591.02</v>
      </c>
      <c r="I30" s="31" t="n">
        <v>514.8</v>
      </c>
      <c r="J30" s="31" t="n">
        <v>5</v>
      </c>
      <c r="K30" s="31" t="n">
        <v>170543</v>
      </c>
      <c r="L30" s="30" t="n">
        <v>95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83.02</v>
      </c>
      <c r="P30" s="31" t="n">
        <v>59.16</v>
      </c>
      <c r="Q30" s="31" t="n">
        <v>379.48</v>
      </c>
      <c r="R30" s="30" t="inlineStr">
        <is>
          <t>Near 52W High Breakout</t>
        </is>
      </c>
      <c r="S30" s="30" t="inlineStr">
        <is>
          <t>Nifty 50</t>
        </is>
      </c>
      <c r="T30" s="31" t="n">
        <v>-6.52</v>
      </c>
      <c r="U30" s="31" t="n">
        <v>228.3</v>
      </c>
      <c r="V30" s="31" t="n">
        <v>251.18</v>
      </c>
      <c r="W30" s="31" t="n">
        <v>54.43</v>
      </c>
      <c r="X30" s="30" t="inlineStr">
        <is>
          <t>Cyclical in an Upturn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Higher One Time, Lower Annuity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Above 40</t>
        </is>
      </c>
      <c r="AY30" s="30">
        <f>IF(AX30="Above 40",20,IF(AX30="20 to 40",10,IF(AX30="0 to 20",-5,0)))</f>
        <v/>
      </c>
      <c r="AZ30" s="30" t="inlineStr">
        <is>
          <t>Above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Blue sky scenario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No</t>
        </is>
      </c>
      <c r="BS30" s="30">
        <f>IF(BR30="NO",5,0)</f>
        <v/>
      </c>
      <c r="BT30" s="30" t="inlineStr">
        <is>
          <t>Above 2</t>
        </is>
      </c>
      <c r="BU30" s="30">
        <f>IF(BT30="Above 2",0,IF(BT30="Between 1.5 to 2",5,IF(BT30="Less than 1.5",10,0)))</f>
        <v/>
      </c>
      <c r="BV30" s="30" t="inlineStr">
        <is>
          <t>Above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</row>
    <row r="31">
      <c r="A31" s="30">
        <f>IF(B31=0,"",RANK(B31,$B$2:$B$331,0))</f>
        <v/>
      </c>
      <c r="B31" s="31">
        <f>SUM(N31,Y31,AA31,AC31,AE31,AG31,AI31,AK31,AM31,AO31,AQ31,AS31,AU31,AW31,AY31,BA31,BC31,BE31,BG31,BI31,BK31,BM31,BO31,BQ31,BS31,BU31,BW31,BY31,CA31,CC31,CE31)</f>
        <v/>
      </c>
      <c r="C31" s="30" t="inlineStr">
        <is>
          <t>BHAGYANGR</t>
        </is>
      </c>
      <c r="D31" s="30" t="inlineStr">
        <is>
          <t>Bhagyanagar India</t>
        </is>
      </c>
      <c r="E31" s="30" t="inlineStr">
        <is>
          <t>power &amp; utilities</t>
        </is>
      </c>
      <c r="F31" s="30" t="inlineStr">
        <is>
          <t>power generation and supply</t>
        </is>
      </c>
      <c r="G31" s="30" t="inlineStr">
        <is>
          <t>smallcap</t>
        </is>
      </c>
      <c r="H31" s="31" t="n">
        <v>1378.88</v>
      </c>
      <c r="I31" s="31" t="n">
        <v>432.2</v>
      </c>
      <c r="J31" s="31" t="n">
        <v>4.99</v>
      </c>
      <c r="K31" s="31" t="n">
        <v>487769</v>
      </c>
      <c r="L31" s="30" t="n">
        <v>93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69.39</v>
      </c>
      <c r="P31" s="31" t="n">
        <v>66.76000000000001</v>
      </c>
      <c r="Q31" s="31" t="n">
        <v>308.39</v>
      </c>
      <c r="R31" s="30" t="inlineStr">
        <is>
          <t>Volume Spike &amp; Near 52W High Breakout</t>
        </is>
      </c>
      <c r="S31" s="30" t="inlineStr">
        <is>
          <t>Nifty IT</t>
        </is>
      </c>
      <c r="T31" s="31" t="n">
        <v>-19.99</v>
      </c>
      <c r="U31" s="31" t="n">
        <v>363.24</v>
      </c>
      <c r="V31" s="31" t="n">
        <v>479</v>
      </c>
      <c r="W31" s="31" t="n">
        <v>48.85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No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Higher One Time, Lower Annuity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Above 40</t>
        </is>
      </c>
      <c r="AY31" s="30">
        <f>IF(AX31="Above 40",20,IF(AX31="20 to 40",10,IF(AX31="0 to 20",-5,0)))</f>
        <v/>
      </c>
      <c r="AZ31" s="30" t="inlineStr">
        <is>
          <t>Between 50 to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Blue sky scenario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No</t>
        </is>
      </c>
      <c r="BS31" s="30">
        <f>IF(BR31="NO",5,0)</f>
        <v/>
      </c>
      <c r="BT31" s="30" t="inlineStr">
        <is>
          <t>Above 2</t>
        </is>
      </c>
      <c r="BU31" s="30">
        <f>IF(BT31="Above 2",0,IF(BT31="Between 1.5 to 2",5,IF(BT31="Less than 1.5",10,0)))</f>
        <v/>
      </c>
      <c r="BV31" s="30" t="inlineStr">
        <is>
          <t>Above 70%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Between 0.7 to 1.2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</row>
    <row r="32">
      <c r="A32" s="30">
        <f>IF(B32=0,"",RANK(B32,$B$2:$B$331,0))</f>
        <v/>
      </c>
      <c r="B32" s="31">
        <f>SUM(N32,Y32,AA32,AC32,AE32,AG32,AI32,AK32,AM32,AO32,AQ32,AS32,AU32,AW32,AY32,BA32,BC32,BE32,BG32,BI32,BK32,BM32,BO32,BQ32,BS32,BU32,BW32,BY32,CA32,CC32,CE32)</f>
        <v/>
      </c>
      <c r="C32" s="30" t="inlineStr">
        <is>
          <t>NRL</t>
        </is>
      </c>
      <c r="D32" s="30" t="inlineStr">
        <is>
          <t>Nupur Recyclers Ltd</t>
        </is>
      </c>
      <c r="E32" s="30" t="inlineStr">
        <is>
          <t>services</t>
        </is>
      </c>
      <c r="F32" s="30" t="inlineStr">
        <is>
          <t>trading</t>
        </is>
      </c>
      <c r="G32" s="30" t="inlineStr">
        <is>
          <t>smallcap</t>
        </is>
      </c>
      <c r="H32" s="31" t="n">
        <v>894.4400000000001</v>
      </c>
      <c r="I32" s="31" t="n">
        <v>134.84</v>
      </c>
      <c r="J32" s="31" t="n">
        <v>4.12</v>
      </c>
      <c r="K32" s="31" t="n">
        <v>115844</v>
      </c>
      <c r="L32" s="30" t="n">
        <v>87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89.16</v>
      </c>
      <c r="P32" s="31" t="n">
        <v>68.59</v>
      </c>
      <c r="Q32" s="31" t="n">
        <v>112.49</v>
      </c>
      <c r="R32" s="30" t="inlineStr">
        <is>
          <t>Near 52W High Breakout</t>
        </is>
      </c>
      <c r="S32" s="30" t="inlineStr">
        <is>
          <t>Nifty 50</t>
        </is>
      </c>
      <c r="T32" s="31" t="n">
        <v>-6.52</v>
      </c>
      <c r="U32" s="31" t="n">
        <v>87.54000000000001</v>
      </c>
      <c r="V32" s="31" t="n">
        <v>100.61</v>
      </c>
      <c r="W32" s="31" t="n">
        <v>35.43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Higher One Time, Lower Annuity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Above 40</t>
        </is>
      </c>
      <c r="AY32" s="30">
        <f>IF(AX32="Above 40",20,IF(AX32="20 to 40",10,IF(AX32="0 to 20",-5,0)))</f>
        <v/>
      </c>
      <c r="AZ32" s="30" t="inlineStr">
        <is>
          <t>Above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Blue sky scenario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Yes</t>
        </is>
      </c>
      <c r="BS32" s="30">
        <f>IF(BR32="NO",5,0)</f>
        <v/>
      </c>
      <c r="BT32" s="30" t="inlineStr">
        <is>
          <t>Less than 1.5</t>
        </is>
      </c>
      <c r="BU32" s="30">
        <f>IF(BT32="Above 2",0,IF(BT32="Between 1.5 to 2",5,IF(BT32="Less than 1.5",10,0)))</f>
        <v/>
      </c>
      <c r="BV32" s="30" t="inlineStr">
        <is>
          <t>Above 70%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</row>
    <row r="33">
      <c r="A33" s="30">
        <f>IF(B33=0,"",RANK(B33,$B$2:$B$331,0))</f>
        <v/>
      </c>
      <c r="B33" s="31">
        <f>SUM(N33,Y33,AA33,AC33,AE33,AG33,AI33,AK33,AM33,AO33,AQ33,AS33,AU33,AW33,AY33,BA33,BC33,BE33,BG33,BI33,BK33,BM33,BO33,BQ33,BS33,BU33,BW33,BY33,CA33,CC33,CE33)</f>
        <v/>
      </c>
      <c r="C33" s="30" t="inlineStr">
        <is>
          <t>WABAG</t>
        </is>
      </c>
      <c r="D33" s="30" t="inlineStr">
        <is>
          <t>Va Tech Wabag Limited</t>
        </is>
      </c>
      <c r="E33" s="30" t="inlineStr">
        <is>
          <t>realty</t>
        </is>
      </c>
      <c r="F33" s="30" t="inlineStr">
        <is>
          <t>engineering - turnkey services</t>
        </is>
      </c>
      <c r="G33" s="30" t="inlineStr">
        <is>
          <t>midcap</t>
        </is>
      </c>
      <c r="H33" s="31" t="n">
        <v>13287.18</v>
      </c>
      <c r="I33" s="31" t="n">
        <v>2211.8</v>
      </c>
      <c r="J33" s="31" t="n">
        <v>3.8</v>
      </c>
      <c r="K33" s="31" t="n">
        <v>1260627</v>
      </c>
      <c r="L33" s="30" t="n">
        <v>64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67.81999999999999</v>
      </c>
      <c r="P33" s="31" t="n">
        <v>36.88</v>
      </c>
      <c r="Q33" s="31" t="n">
        <v>1713.19</v>
      </c>
      <c r="R33" s="30" t="inlineStr">
        <is>
          <t>Near 52W High Breakout</t>
        </is>
      </c>
      <c r="S33" s="30" t="inlineStr">
        <is>
          <t>Nifty Realty</t>
        </is>
      </c>
      <c r="T33" s="31" t="n">
        <v>-8.26</v>
      </c>
      <c r="U33" s="31" t="n">
        <v>36.87</v>
      </c>
      <c r="V33" s="31" t="n">
        <v>49.2</v>
      </c>
      <c r="W33" s="31" t="n">
        <v>20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No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One Time, Lower Annuity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20 to 40</t>
        </is>
      </c>
      <c r="AY33" s="30">
        <f>IF(AX33="Above 40",20,IF(AX33="20 to 40",10,IF(AX33="0 to 20",-5,0)))</f>
        <v/>
      </c>
      <c r="AZ33" s="30" t="inlineStr">
        <is>
          <t>Between 50 to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Blue sky scenario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No</t>
        </is>
      </c>
      <c r="BS33" s="30">
        <f>IF(BR33="NO",5,0)</f>
        <v/>
      </c>
      <c r="BT33" s="30" t="inlineStr">
        <is>
          <t>Less than 1.5</t>
        </is>
      </c>
      <c r="BU33" s="30">
        <f>IF(BT33="Above 2",0,IF(BT33="Between 1.5 to 2",5,IF(BT33="Less than 1.5",10,0)))</f>
        <v/>
      </c>
      <c r="BV33" s="30" t="inlineStr">
        <is>
          <t>Above 70%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</row>
    <row r="34">
      <c r="A34" s="30">
        <f>IF(B34=0,"",RANK(B34,$B$2:$B$331,0))</f>
        <v/>
      </c>
      <c r="B34" s="31">
        <f>SUM(N34,Y34,AA34,AC34,AE34,AG34,AI34,AK34,AM34,AO34,AQ34,AS34,AU34,AW34,AY34,BA34,BC34,BE34,BG34,BI34,BK34,BM34,BO34,BQ34,BS34,BU34,BW34,BY34,CA34,CC34,CE34)</f>
        <v/>
      </c>
      <c r="C34" s="30" t="inlineStr">
        <is>
          <t>KPIL</t>
        </is>
      </c>
      <c r="D34" s="30" t="inlineStr">
        <is>
          <t>Kalpataru Projects International Ltd</t>
        </is>
      </c>
      <c r="E34" s="30" t="inlineStr">
        <is>
          <t>realty</t>
        </is>
      </c>
      <c r="F34" s="30" t="inlineStr">
        <is>
          <t>transmisson line towers / equipment</t>
        </is>
      </c>
      <c r="G34" s="30" t="inlineStr">
        <is>
          <t>largecap</t>
        </is>
      </c>
      <c r="H34" s="31" t="n">
        <v>24053.31</v>
      </c>
      <c r="I34" s="31" t="n">
        <v>1432</v>
      </c>
      <c r="J34" s="31" t="n">
        <v>1.67</v>
      </c>
      <c r="K34" s="31" t="n">
        <v>138417</v>
      </c>
      <c r="L34" s="30" t="n">
        <v>27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66.61</v>
      </c>
      <c r="P34" s="31" t="n">
        <v>34.49</v>
      </c>
      <c r="Q34" s="31" t="n">
        <v>1193.41</v>
      </c>
      <c r="R34" s="30" t="inlineStr">
        <is>
          <t>Near 52W High Breakout</t>
        </is>
      </c>
      <c r="S34" s="30" t="inlineStr">
        <is>
          <t>Nifty Realty</t>
        </is>
      </c>
      <c r="T34" s="31" t="n">
        <v>-8.26</v>
      </c>
      <c r="U34" s="31" t="n">
        <v>25.3</v>
      </c>
      <c r="V34" s="31" t="n">
        <v>36.59</v>
      </c>
      <c r="W34" s="31" t="n">
        <v>8.359999999999999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No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Higher One Time, Lower Annuity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20 to 40</t>
        </is>
      </c>
      <c r="AY34" s="30">
        <f>IF(AX34="Above 40",20,IF(AX34="20 to 40",10,IF(AX34="0 to 20",-5,0)))</f>
        <v/>
      </c>
      <c r="AZ34" s="30" t="inlineStr">
        <is>
          <t>Between 50 to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Blue sky scenario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No</t>
        </is>
      </c>
      <c r="BS34" s="30">
        <f>IF(BR34="NO",5,0)</f>
        <v/>
      </c>
      <c r="BT34" s="30" t="inlineStr">
        <is>
          <t>Less than 1.5</t>
        </is>
      </c>
      <c r="BU34" s="30">
        <f>IF(BT34="Above 2",0,IF(BT34="Between 1.5 to 2",5,IF(BT34="Less than 1.5",10,0)))</f>
        <v/>
      </c>
      <c r="BV34" s="30" t="inlineStr">
        <is>
          <t>Above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</row>
    <row r="35">
      <c r="A35" s="30">
        <f>IF(B35=0,"",RANK(B35,$B$2:$B$331,0))</f>
        <v/>
      </c>
      <c r="B35" s="31">
        <f>SUM(N35,Y35,AA35,AC35,AE35,AG35,AI35,AK35,AM35,AO35,AQ35,AS35,AU35,AW35,AY35,BA35,BC35,BE35,BG35,BI35,BK35,BM35,BO35,BQ35,BS35,BU35,BW35,BY35,CA35,CC35,CE35)</f>
        <v/>
      </c>
      <c r="C35" s="30" t="inlineStr">
        <is>
          <t>KINGFA</t>
        </is>
      </c>
      <c r="D35" s="30" t="inlineStr">
        <is>
          <t>Kingfa Science &amp; Technology (india) Limited</t>
        </is>
      </c>
      <c r="E35" s="30" t="inlineStr">
        <is>
          <t>plastic products</t>
        </is>
      </c>
      <c r="F35" s="30" t="inlineStr">
        <is>
          <t>plastics products</t>
        </is>
      </c>
      <c r="G35" s="30" t="inlineStr">
        <is>
          <t>midcap</t>
        </is>
      </c>
      <c r="H35" s="31" t="n">
        <v>8344.26</v>
      </c>
      <c r="I35" s="31" t="n">
        <v>6227.5</v>
      </c>
      <c r="J35" s="31" t="n">
        <v>1.14</v>
      </c>
      <c r="K35" s="31" t="n">
        <v>56247</v>
      </c>
      <c r="L35" s="30" t="n">
        <v>58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73.16</v>
      </c>
      <c r="P35" s="31" t="n">
        <v>36.44</v>
      </c>
      <c r="Q35" s="31" t="n">
        <v>5031.73</v>
      </c>
      <c r="R35" s="30" t="inlineStr">
        <is>
          <t>Near 52W High Breakout</t>
        </is>
      </c>
      <c r="S35" s="30" t="inlineStr">
        <is>
          <t>Nifty Infra</t>
        </is>
      </c>
      <c r="T35" s="31" t="n">
        <v>0.74</v>
      </c>
      <c r="U35" s="31" t="n">
        <v>72.39</v>
      </c>
      <c r="V35" s="31" t="n">
        <v>71.13</v>
      </c>
      <c r="W35" s="31" t="n">
        <v>18.3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No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Higher One Time, Lower Annuity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20 to 40</t>
        </is>
      </c>
      <c r="AY35" s="30">
        <f>IF(AX35="Above 40",20,IF(AX35="20 to 40",10,IF(AX35="0 to 20",-5,0)))</f>
        <v/>
      </c>
      <c r="AZ35" s="30" t="inlineStr">
        <is>
          <t>Between 50 to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Blue sky scenario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No</t>
        </is>
      </c>
      <c r="BS35" s="30">
        <f>IF(BR35="NO",5,0)</f>
        <v/>
      </c>
      <c r="BT35" s="30" t="inlineStr">
        <is>
          <t>Less than 1.5</t>
        </is>
      </c>
      <c r="BU35" s="30">
        <f>IF(BT35="Above 2",0,IF(BT35="Between 1.5 to 2",5,IF(BT35="Less than 1.5",10,0)))</f>
        <v/>
      </c>
      <c r="BV35" s="30" t="inlineStr">
        <is>
          <t>Above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</row>
    <row r="36">
      <c r="A36" s="30">
        <f>IF(B36=0,"",RANK(B36,$B$2:$B$331,0))</f>
        <v/>
      </c>
      <c r="B36" s="31">
        <f>SUM(N36,Y36,AA36,AC36,AE36,AG36,AI36,AK36,AM36,AO36,AQ36,AS36,AU36,AW36,AY36,BA36,BC36,BE36,BG36,BI36,BK36,BM36,BO36,BQ36,BS36,BU36,BW36,BY36,CA36,CC36,CE36)</f>
        <v/>
      </c>
      <c r="C36" s="30" t="inlineStr">
        <is>
          <t>NILKAMAL</t>
        </is>
      </c>
      <c r="D36" s="30" t="inlineStr">
        <is>
          <t>Nilkamal Limited</t>
        </is>
      </c>
      <c r="E36" s="30" t="inlineStr">
        <is>
          <t>plastic products</t>
        </is>
      </c>
      <c r="F36" s="30" t="inlineStr">
        <is>
          <t>plastics products</t>
        </is>
      </c>
      <c r="G36" s="30" t="inlineStr">
        <is>
          <t>smallcap</t>
        </is>
      </c>
      <c r="H36" s="31" t="n">
        <v>3069.12</v>
      </c>
      <c r="I36" s="31" t="n">
        <v>2077.4</v>
      </c>
      <c r="J36" s="31" t="n">
        <v>1.01</v>
      </c>
      <c r="K36" s="31" t="n">
        <v>11826</v>
      </c>
      <c r="L36" s="30" t="n">
        <v>70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79.22</v>
      </c>
      <c r="P36" s="31" t="n">
        <v>48.87</v>
      </c>
      <c r="Q36" s="31" t="n">
        <v>1694.89</v>
      </c>
      <c r="R36" s="30" t="inlineStr">
        <is>
          <t>Near 52W High Breakout</t>
        </is>
      </c>
      <c r="S36" s="30" t="inlineStr">
        <is>
          <t>Nifty 50</t>
        </is>
      </c>
      <c r="T36" s="31" t="n">
        <v>-6.52</v>
      </c>
      <c r="U36" s="31" t="n">
        <v>36.34</v>
      </c>
      <c r="V36" s="31" t="n">
        <v>45.84</v>
      </c>
      <c r="W36" s="31" t="n">
        <v>22.69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No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Higher One Time, Lower Annuity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Above 40</t>
        </is>
      </c>
      <c r="AY36" s="30">
        <f>IF(AX36="Above 40",20,IF(AX36="20 to 40",10,IF(AX36="0 to 20",-5,0)))</f>
        <v/>
      </c>
      <c r="AZ36" s="30" t="inlineStr">
        <is>
          <t>Above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Blue sky scenario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No</t>
        </is>
      </c>
      <c r="BS36" s="30">
        <f>IF(BR36="NO",5,0)</f>
        <v/>
      </c>
      <c r="BT36" s="30" t="inlineStr">
        <is>
          <t>Less than 1.5</t>
        </is>
      </c>
      <c r="BU36" s="30">
        <f>IF(BT36="Above 2",0,IF(BT36="Between 1.5 to 2",5,IF(BT36="Less than 1.5",10,0)))</f>
        <v/>
      </c>
      <c r="BV36" s="30" t="inlineStr">
        <is>
          <t>Above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</row>
    <row r="37">
      <c r="A37" s="30">
        <f>IF(B37=0,"",RANK(B37,$B$2:$B$331,0))</f>
        <v/>
      </c>
      <c r="B37" s="31">
        <f>SUM(N37,Y37,AA37,AC37,AE37,AG37,AI37,AK37,AM37,AO37,AQ37,AS37,AU37,AW37,AY37,BA37,BC37,BE37,BG37,BI37,BK37,BM37,BO37,BQ37,BS37,BU37,BW37,BY37,CA37,CC37,CE37)</f>
        <v/>
      </c>
      <c r="C37" s="30" t="inlineStr">
        <is>
          <t>CEIGALL</t>
        </is>
      </c>
      <c r="D37" s="30" t="inlineStr">
        <is>
          <t>Ceigall India Ltd</t>
        </is>
      </c>
      <c r="E37" s="30" t="inlineStr">
        <is>
          <t>realty</t>
        </is>
      </c>
      <c r="F37" s="30" t="inlineStr">
        <is>
          <t>construction</t>
        </is>
      </c>
      <c r="G37" s="30" t="inlineStr">
        <is>
          <t>midcap</t>
        </is>
      </c>
      <c r="H37" s="31" t="n">
        <v>6557.07</v>
      </c>
      <c r="I37" s="31" t="n">
        <v>379.1</v>
      </c>
      <c r="J37" s="31" t="n">
        <v>0.72</v>
      </c>
      <c r="K37" s="31" t="n">
        <v>1175462</v>
      </c>
      <c r="L37" s="30" t="n">
        <v>36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64.06</v>
      </c>
      <c r="P37" s="31" t="n">
        <v>31.12</v>
      </c>
      <c r="Q37" s="31" t="n">
        <v>300.22</v>
      </c>
      <c r="R37" s="30" t="inlineStr">
        <is>
          <t>Near 52W High Breakout</t>
        </is>
      </c>
      <c r="S37" s="30" t="inlineStr">
        <is>
          <t>Nifty Realty</t>
        </is>
      </c>
      <c r="T37" s="31" t="n">
        <v>-8.26</v>
      </c>
      <c r="U37" s="31" t="n">
        <v>43.76</v>
      </c>
      <c r="V37" s="31" t="n">
        <v>56.71</v>
      </c>
      <c r="W37" s="31" t="n">
        <v>11.12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No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Higher One Time, Lower Annuity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20 to 40</t>
        </is>
      </c>
      <c r="AY37" s="30">
        <f>IF(AX37="Above 40",20,IF(AX37="20 to 40",10,IF(AX37="0 to 20",-5,0)))</f>
        <v/>
      </c>
      <c r="AZ37" s="30" t="inlineStr">
        <is>
          <t>Between 50 to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Blue sky scenario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No</t>
        </is>
      </c>
      <c r="BS37" s="30">
        <f>IF(BR37="NO",5,0)</f>
        <v/>
      </c>
      <c r="BT37" s="30" t="inlineStr">
        <is>
          <t>Less than 1.5</t>
        </is>
      </c>
      <c r="BU37" s="30">
        <f>IF(BT37="Above 2",0,IF(BT37="Between 1.5 to 2",5,IF(BT37="Less than 1.5",10,0)))</f>
        <v/>
      </c>
      <c r="BV37" s="30" t="inlineStr">
        <is>
          <t>Above 70%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</row>
    <row r="38">
      <c r="A38" s="30">
        <f>IF(B38=0,"",RANK(B38,$B$2:$B$331,0))</f>
        <v/>
      </c>
      <c r="B38" s="31">
        <f>SUM(N38,Y38,AA38,AC38,AE38,AG38,AI38,AK38,AM38,AO38,AQ38,AS38,AU38,AW38,AY38,BA38,BC38,BE38,BG38,BI38,BK38,BM38,BO38,BQ38,BS38,BU38,BW38,BY38,CA38,CC38,CE38)</f>
        <v/>
      </c>
      <c r="C38" s="30" t="inlineStr">
        <is>
          <t>SSWL</t>
        </is>
      </c>
      <c r="D38" s="30" t="inlineStr">
        <is>
          <t>Steel Strips Wheels Limited</t>
        </is>
      </c>
      <c r="E38" s="30" t="inlineStr">
        <is>
          <t>auto</t>
        </is>
      </c>
      <c r="F38" s="30" t="inlineStr">
        <is>
          <t>auto ancillaries</t>
        </is>
      </c>
      <c r="G38" s="30" t="inlineStr">
        <is>
          <t>midcap</t>
        </is>
      </c>
      <c r="H38" s="31" t="n">
        <v>5838.47</v>
      </c>
      <c r="I38" s="31" t="n">
        <v>373.6</v>
      </c>
      <c r="J38" s="31" t="n">
        <v>0.58</v>
      </c>
      <c r="K38" s="31" t="n">
        <v>696576</v>
      </c>
      <c r="L38" s="30" t="n">
        <v>79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79.58</v>
      </c>
      <c r="P38" s="31" t="n">
        <v>41.9</v>
      </c>
      <c r="Q38" s="31" t="n">
        <v>299.76</v>
      </c>
      <c r="R38" s="30" t="inlineStr">
        <is>
          <t>Near 52W High Breakout</t>
        </is>
      </c>
      <c r="S38" s="30" t="inlineStr">
        <is>
          <t>Nifty Auto</t>
        </is>
      </c>
      <c r="T38" s="31" t="n">
        <v>15.81</v>
      </c>
      <c r="U38" s="31" t="n">
        <v>55.99</v>
      </c>
      <c r="V38" s="31" t="n">
        <v>34.7</v>
      </c>
      <c r="W38" s="31" t="n">
        <v>29.72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No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Higher One Time, Lower Annuity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Above 40</t>
        </is>
      </c>
      <c r="AY38" s="30">
        <f>IF(AX38="Above 40",20,IF(AX38="20 to 40",10,IF(AX38="0 to 20",-5,0)))</f>
        <v/>
      </c>
      <c r="AZ38" s="30" t="inlineStr">
        <is>
          <t>Above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Blue sky scenario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No</t>
        </is>
      </c>
      <c r="BS38" s="30">
        <f>IF(BR38="NO",5,0)</f>
        <v/>
      </c>
      <c r="BT38" s="30" t="inlineStr">
        <is>
          <t>Less than 1.5</t>
        </is>
      </c>
      <c r="BU38" s="30">
        <f>IF(BT38="Above 2",0,IF(BT38="Between 1.5 to 2",5,IF(BT38="Less than 1.5",10,0)))</f>
        <v/>
      </c>
      <c r="BV38" s="30" t="inlineStr">
        <is>
          <t>Above 70%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</row>
    <row r="39">
      <c r="A39" s="30">
        <f>IF(B39=0,"",RANK(B39,$B$2:$B$331,0))</f>
        <v/>
      </c>
      <c r="B39" s="31">
        <f>SUM(N39,Y39,AA39,AC39,AE39,AG39,AI39,AK39,AM39,AO39,AQ39,AS39,AU39,AW39,AY39,BA39,BC39,BE39,BG39,BI39,BK39,BM39,BO39,BQ39,BS39,BU39,BW39,BY39,CA39,CC39,CE39)</f>
        <v/>
      </c>
      <c r="C39" s="30" t="inlineStr">
        <is>
          <t>SONACOMS</t>
        </is>
      </c>
      <c r="D39" s="30" t="inlineStr">
        <is>
          <t>Sona BLW Precision Forgings Ltd</t>
        </is>
      </c>
      <c r="E39" s="30" t="inlineStr">
        <is>
          <t>auto</t>
        </is>
      </c>
      <c r="F39" s="30" t="inlineStr">
        <is>
          <t>auto ancillaries</t>
        </is>
      </c>
      <c r="G39" s="30" t="inlineStr">
        <is>
          <t>largecap</t>
        </is>
      </c>
      <c r="H39" s="31" t="n">
        <v>49731.69</v>
      </c>
      <c r="I39" s="31" t="n">
        <v>803.5</v>
      </c>
      <c r="J39" s="31" t="n">
        <v>0.5</v>
      </c>
      <c r="K39" s="31" t="n">
        <v>1517259</v>
      </c>
      <c r="L39" s="30" t="n">
        <v>67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72.63</v>
      </c>
      <c r="P39" s="31" t="n">
        <v>59.47</v>
      </c>
      <c r="Q39" s="31" t="n">
        <v>694.55</v>
      </c>
      <c r="R39" s="30" t="inlineStr">
        <is>
          <t>Near 52W High Breakout</t>
        </is>
      </c>
      <c r="S39" s="30" t="inlineStr">
        <is>
          <t>Nifty Auto</t>
        </is>
      </c>
      <c r="T39" s="31" t="n">
        <v>15.81</v>
      </c>
      <c r="U39" s="31" t="n">
        <v>72.20999999999999</v>
      </c>
      <c r="V39" s="31" t="n">
        <v>48.71</v>
      </c>
      <c r="W39" s="31" t="n">
        <v>21.36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No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Higher One Time, Lower Annuity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Above 40</t>
        </is>
      </c>
      <c r="AY39" s="30">
        <f>IF(AX39="Above 40",20,IF(AX39="20 to 40",10,IF(AX39="0 to 20",-5,0)))</f>
        <v/>
      </c>
      <c r="AZ39" s="30" t="inlineStr">
        <is>
          <t>Between 50 to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Blue sky scenario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Yes</t>
        </is>
      </c>
      <c r="BS39" s="30">
        <f>IF(BR39="NO",5,0)</f>
        <v/>
      </c>
      <c r="BT39" s="30" t="inlineStr">
        <is>
          <t>Between 1.5 to 2</t>
        </is>
      </c>
      <c r="BU39" s="30">
        <f>IF(BT39="Above 2",0,IF(BT39="Between 1.5 to 2",5,IF(BT39="Less than 1.5",10,0)))</f>
        <v/>
      </c>
      <c r="BV39" s="30" t="inlineStr">
        <is>
          <t>Above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</row>
    <row r="40">
      <c r="A40" s="30">
        <f>IF(B40=0,"",RANK(B40,$B$2:$B$331,0))</f>
        <v/>
      </c>
      <c r="B40" s="31">
        <f>SUM(N40,Y40,AA40,AC40,AE40,AG40,AI40,AK40,AM40,AO40,AQ40,AS40,AU40,AW40,AY40,BA40,BC40,BE40,BG40,BI40,BK40,BM40,BO40,BQ40,BS40,BU40,BW40,BY40,CA40,CC40,CE40)</f>
        <v/>
      </c>
      <c r="C40" s="30" t="inlineStr">
        <is>
          <t>STOVEKRAFT</t>
        </is>
      </c>
      <c r="D40" s="30" t="inlineStr">
        <is>
          <t>Stove Kraft Ltd</t>
        </is>
      </c>
      <c r="E40" s="30" t="inlineStr">
        <is>
          <t>consumer discretionary</t>
        </is>
      </c>
      <c r="F40" s="30" t="inlineStr">
        <is>
          <t>domestic appliances</t>
        </is>
      </c>
      <c r="G40" s="30" t="inlineStr">
        <is>
          <t>smallcap</t>
        </is>
      </c>
      <c r="H40" s="31" t="n">
        <v>2778.7</v>
      </c>
      <c r="I40" s="31" t="n">
        <v>840.05</v>
      </c>
      <c r="J40" s="31" t="n">
        <v>0.09</v>
      </c>
      <c r="K40" s="31" t="n">
        <v>48566</v>
      </c>
      <c r="L40" s="30" t="n">
        <v>40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72.66</v>
      </c>
      <c r="P40" s="31" t="n">
        <v>49.9</v>
      </c>
      <c r="Q40" s="31" t="n">
        <v>654.4400000000001</v>
      </c>
      <c r="R40" s="30" t="inlineStr">
        <is>
          <t>Near 52W High Breakout</t>
        </is>
      </c>
      <c r="S40" s="30" t="inlineStr">
        <is>
          <t>Nifty 50</t>
        </is>
      </c>
      <c r="T40" s="31" t="n">
        <v>-6.52</v>
      </c>
      <c r="U40" s="31" t="n">
        <v>25.93</v>
      </c>
      <c r="V40" s="31" t="n">
        <v>34.71</v>
      </c>
      <c r="W40" s="31" t="n">
        <v>12.21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No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Higher One Time, Lower Annuity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Above 40</t>
        </is>
      </c>
      <c r="AY40" s="30">
        <f>IF(AX40="Above 40",20,IF(AX40="20 to 40",10,IF(AX40="0 to 20",-5,0)))</f>
        <v/>
      </c>
      <c r="AZ40" s="30" t="inlineStr">
        <is>
          <t>Between 50 to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Close to 52 week high or retracement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Yes</t>
        </is>
      </c>
      <c r="BS40" s="30">
        <f>IF(BR40="NO",5,0)</f>
        <v/>
      </c>
      <c r="BT40" s="30" t="inlineStr">
        <is>
          <t>Less than 1.5</t>
        </is>
      </c>
      <c r="BU40" s="30">
        <f>IF(BT40="Above 2",0,IF(BT40="Between 1.5 to 2",5,IF(BT40="Less than 1.5",10,0)))</f>
        <v/>
      </c>
      <c r="BV40" s="30" t="inlineStr">
        <is>
          <t>Above 70%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</row>
    <row r="41">
      <c r="A41" s="30">
        <f>IF(B41=0,"",RANK(B41,$B$2:$B$331,0))</f>
        <v/>
      </c>
      <c r="B41" s="31">
        <f>SUM(N41,Y41,AA41,AC41,AE41,AG41,AI41,AK41,AM41,AO41,AQ41,AS41,AU41,AW41,AY41,BA41,BC41,BE41,BG41,BI41,BK41,BM41,BO41,BQ41,BS41,BU41,BW41,BY41,CA41,CC41,CE41)</f>
        <v/>
      </c>
      <c r="C41" s="30" t="inlineStr">
        <is>
          <t>APARINDS</t>
        </is>
      </c>
      <c r="D41" s="30" t="inlineStr">
        <is>
          <t>Apar Industries Limited</t>
        </is>
      </c>
      <c r="E41" s="30" t="inlineStr">
        <is>
          <t>industrials</t>
        </is>
      </c>
      <c r="F41" s="30" t="inlineStr">
        <is>
          <t>electric equipment</t>
        </is>
      </c>
      <c r="G41" s="30" t="inlineStr">
        <is>
          <t>largecap</t>
        </is>
      </c>
      <c r="H41" s="31" t="n">
        <v>73058.85000000001</v>
      </c>
      <c r="I41" s="31" t="n">
        <v>17342</v>
      </c>
      <c r="J41" s="31" t="n">
        <v>-0.61</v>
      </c>
      <c r="K41" s="31" t="n">
        <v>114403</v>
      </c>
      <c r="L41" s="30" t="n">
        <v>65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70.95999999999999</v>
      </c>
      <c r="P41" s="31" t="n">
        <v>44.45</v>
      </c>
      <c r="Q41" s="31" t="n">
        <v>13692.93</v>
      </c>
      <c r="R41" s="30" t="inlineStr">
        <is>
          <t>Near 52W High Breakout</t>
        </is>
      </c>
      <c r="S41" s="30" t="inlineStr">
        <is>
          <t>Nifty 50</t>
        </is>
      </c>
      <c r="T41" s="31" t="n">
        <v>-6.52</v>
      </c>
      <c r="U41" s="31" t="n">
        <v>100.95</v>
      </c>
      <c r="V41" s="31" t="n">
        <v>114.95</v>
      </c>
      <c r="W41" s="31" t="n">
        <v>20.28</v>
      </c>
      <c r="X41" s="30" t="inlineStr">
        <is>
          <t>Cyclical in an Upturn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No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Higher One Time, Lower Annuity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Above 40</t>
        </is>
      </c>
      <c r="AY41" s="30">
        <f>IF(AX41="Above 40",20,IF(AX41="20 to 40",10,IF(AX41="0 to 20",-5,0)))</f>
        <v/>
      </c>
      <c r="AZ41" s="30" t="inlineStr">
        <is>
          <t>Between 50 to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Blue sky scenario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Yes</t>
        </is>
      </c>
      <c r="BS41" s="30">
        <f>IF(BR41="NO",5,0)</f>
        <v/>
      </c>
      <c r="BT41" s="30" t="inlineStr">
        <is>
          <t>Less than 1.5</t>
        </is>
      </c>
      <c r="BU41" s="30">
        <f>IF(BT41="Above 2",0,IF(BT41="Between 1.5 to 2",5,IF(BT41="Less than 1.5",10,0)))</f>
        <v/>
      </c>
      <c r="BV41" s="30" t="inlineStr">
        <is>
          <t>Above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</row>
    <row r="42">
      <c r="A42" s="30">
        <f>IF(B42=0,"",RANK(B42,$B$2:$B$331,0))</f>
        <v/>
      </c>
      <c r="B42" s="31">
        <f>SUM(N42,Y42,AA42,AC42,AE42,AG42,AI42,AK42,AM42,AO42,AQ42,AS42,AU42,AW42,AY42,BA42,BC42,BE42,BG42,BI42,BK42,BM42,BO42,BQ42,BS42,BU42,BW42,BY42,CA42,CC42,CE42)</f>
        <v/>
      </c>
      <c r="C42" s="30" t="inlineStr">
        <is>
          <t>VINCOFE</t>
        </is>
      </c>
      <c r="D42" s="30" t="inlineStr">
        <is>
          <t>Vintage Coffee &amp; Beverages Ltd</t>
        </is>
      </c>
      <c r="E42" s="30" t="inlineStr">
        <is>
          <t>consumer discretionary</t>
        </is>
      </c>
      <c r="F42" s="30" t="inlineStr">
        <is>
          <t>trading</t>
        </is>
      </c>
      <c r="G42" s="30" t="inlineStr">
        <is>
          <t>smallcap</t>
        </is>
      </c>
      <c r="H42" s="31" t="n">
        <v>2599.08</v>
      </c>
      <c r="I42" s="31" t="n">
        <v>176.93</v>
      </c>
      <c r="J42" s="31" t="n">
        <v>-0.82</v>
      </c>
      <c r="K42" s="31" t="n">
        <v>3362417</v>
      </c>
      <c r="L42" s="30" t="n">
        <v>24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64.16</v>
      </c>
      <c r="P42" s="31" t="n">
        <v>29.4</v>
      </c>
      <c r="Q42" s="31" t="n">
        <v>132.63</v>
      </c>
      <c r="R42" s="30" t="inlineStr">
        <is>
          <t>Near 52W High Breakout</t>
        </is>
      </c>
      <c r="S42" s="30" t="inlineStr">
        <is>
          <t>Nifty 50</t>
        </is>
      </c>
      <c r="T42" s="31" t="n">
        <v>-6.52</v>
      </c>
      <c r="U42" s="31" t="n">
        <v>17.59</v>
      </c>
      <c r="V42" s="31" t="n">
        <v>25.79</v>
      </c>
      <c r="W42" s="31" t="n">
        <v>7.18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No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Higher One Time, Lower Annuity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20 to 40</t>
        </is>
      </c>
      <c r="AY42" s="30">
        <f>IF(AX42="Above 40",20,IF(AX42="20 to 40",10,IF(AX42="0 to 20",-5,0)))</f>
        <v/>
      </c>
      <c r="AZ42" s="30" t="inlineStr">
        <is>
          <t>Between 50 to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Blue sky scenario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No</t>
        </is>
      </c>
      <c r="BS42" s="30">
        <f>IF(BR42="NO",5,0)</f>
        <v/>
      </c>
      <c r="BT42" s="30" t="inlineStr">
        <is>
          <t>Less than 1.5</t>
        </is>
      </c>
      <c r="BU42" s="30">
        <f>IF(BT42="Above 2",0,IF(BT42="Between 1.5 to 2",5,IF(BT42="Less than 1.5",10,0)))</f>
        <v/>
      </c>
      <c r="BV42" s="30" t="inlineStr">
        <is>
          <t>Above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</row>
    <row r="43">
      <c r="A43" s="30">
        <f>IF(B43=0,"",RANK(B43,$B$2:$B$331,0))</f>
        <v/>
      </c>
      <c r="B43" s="31">
        <f>SUM(N43,Y43,AA43,AC43,AE43,AG43,AI43,AK43,AM43,AO43,AQ43,AS43,AU43,AW43,AY43,BA43,BC43,BE43,BG43,BI43,BK43,BM43,BO43,BQ43,BS43,BU43,BW43,BY43,CA43,CC43,CE43)</f>
        <v/>
      </c>
      <c r="C43" s="30" t="inlineStr">
        <is>
          <t>GHCLTEXTIL</t>
        </is>
      </c>
      <c r="D43" s="30" t="inlineStr">
        <is>
          <t>GHCL Textiles Ltd</t>
        </is>
      </c>
      <c r="E43" s="30" t="inlineStr">
        <is>
          <t>textiles</t>
        </is>
      </c>
      <c r="F43" s="30" t="inlineStr">
        <is>
          <t>textiles - spinning - synthetic / blended</t>
        </is>
      </c>
      <c r="G43" s="30" t="inlineStr">
        <is>
          <t>smallcap</t>
        </is>
      </c>
      <c r="H43" s="31" t="n">
        <v>1277.7</v>
      </c>
      <c r="I43" s="31" t="n">
        <v>132.54</v>
      </c>
      <c r="J43" s="31" t="n">
        <v>-0.85</v>
      </c>
      <c r="K43" s="31" t="n">
        <v>233354</v>
      </c>
      <c r="L43" s="30" t="n">
        <v>67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72.18000000000001</v>
      </c>
      <c r="P43" s="31" t="n">
        <v>45.72</v>
      </c>
      <c r="Q43" s="31" t="n">
        <v>107.39</v>
      </c>
      <c r="R43" s="30" t="inlineStr">
        <is>
          <t>Near 52W High Breakout</t>
        </is>
      </c>
      <c r="S43" s="30" t="inlineStr">
        <is>
          <t>Nifty 50</t>
        </is>
      </c>
      <c r="T43" s="31" t="n">
        <v>-6.52</v>
      </c>
      <c r="U43" s="31" t="n">
        <v>64.48999999999999</v>
      </c>
      <c r="V43" s="31" t="n">
        <v>75.95</v>
      </c>
      <c r="W43" s="31" t="n">
        <v>21.41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No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One Time, Lower Annuity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Above 40</t>
        </is>
      </c>
      <c r="AY43" s="30">
        <f>IF(AX43="Above 40",20,IF(AX43="20 to 40",10,IF(AX43="0 to 20",-5,0)))</f>
        <v/>
      </c>
      <c r="AZ43" s="30" t="inlineStr">
        <is>
          <t>Between 50 to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Blue sky scenario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No</t>
        </is>
      </c>
      <c r="BS43" s="30">
        <f>IF(BR43="NO",5,0)</f>
        <v/>
      </c>
      <c r="BT43" s="30" t="inlineStr">
        <is>
          <t>Above 2</t>
        </is>
      </c>
      <c r="BU43" s="30">
        <f>IF(BT43="Above 2",0,IF(BT43="Between 1.5 to 2",5,IF(BT43="Less than 1.5",10,0)))</f>
        <v/>
      </c>
      <c r="BV43" s="30" t="inlineStr">
        <is>
          <t>Above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</row>
    <row r="44">
      <c r="A44" s="30">
        <f>IF(B44=0,"",RANK(B44,$B$2:$B$331,0))</f>
        <v/>
      </c>
      <c r="B44" s="31">
        <f>SUM(N44,Y44,AA44,AC44,AE44,AG44,AI44,AK44,AM44,AO44,AQ44,AS44,AU44,AW44,AY44,BA44,BC44,BE44,BG44,BI44,BK44,BM44,BO44,BQ44,BS44,BU44,BW44,BY44,CA44,CC44,CE44)</f>
        <v/>
      </c>
      <c r="C44" s="30" t="inlineStr">
        <is>
          <t>MENONBE</t>
        </is>
      </c>
      <c r="D44" s="30" t="inlineStr">
        <is>
          <t>Menon Bearings Limited</t>
        </is>
      </c>
      <c r="E44" s="30" t="inlineStr">
        <is>
          <t>auto</t>
        </is>
      </c>
      <c r="F44" s="30" t="inlineStr">
        <is>
          <t>auto ancillaries</t>
        </is>
      </c>
      <c r="G44" s="30" t="inlineStr">
        <is>
          <t>smallcap</t>
        </is>
      </c>
      <c r="H44" s="31" t="n">
        <v>1712.02</v>
      </c>
      <c r="I44" s="31" t="n">
        <v>301.65</v>
      </c>
      <c r="J44" s="31" t="n">
        <v>-1.26</v>
      </c>
      <c r="K44" s="31" t="n">
        <v>38353</v>
      </c>
      <c r="L44" s="30" t="n">
        <v>96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77.56999999999999</v>
      </c>
      <c r="P44" s="31" t="n">
        <v>63.59</v>
      </c>
      <c r="Q44" s="31" t="n">
        <v>240.7</v>
      </c>
      <c r="R44" s="30" t="inlineStr">
        <is>
          <t>Earnings / Momentum Support</t>
        </is>
      </c>
      <c r="S44" s="30" t="inlineStr">
        <is>
          <t>Nifty Auto</t>
        </is>
      </c>
      <c r="T44" s="31" t="n">
        <v>15.81</v>
      </c>
      <c r="U44" s="31" t="n">
        <v>137.35</v>
      </c>
      <c r="V44" s="31" t="n">
        <v>104.95</v>
      </c>
      <c r="W44" s="31" t="n">
        <v>61.03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No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No</t>
        </is>
      </c>
      <c r="AQ44" s="30">
        <f>IF(AP44="Yes",10,0)</f>
        <v/>
      </c>
      <c r="AR44" s="30" t="inlineStr">
        <is>
          <t>Higher One Time, Lower Annuity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Above 40</t>
        </is>
      </c>
      <c r="AY44" s="30">
        <f>IF(AX44="Above 40",20,IF(AX44="20 to 40",10,IF(AX44="0 to 20",-5,0)))</f>
        <v/>
      </c>
      <c r="AZ44" s="30" t="inlineStr">
        <is>
          <t>Above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Close to 52 week high or retracement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No</t>
        </is>
      </c>
      <c r="BS44" s="30">
        <f>IF(BR44="NO",5,0)</f>
        <v/>
      </c>
      <c r="BT44" s="30" t="inlineStr">
        <is>
          <t>Less than 1.5</t>
        </is>
      </c>
      <c r="BU44" s="30">
        <f>IF(BT44="Above 2",0,IF(BT44="Between 1.5 to 2",5,IF(BT44="Less than 1.5",10,0)))</f>
        <v/>
      </c>
      <c r="BV44" s="30" t="inlineStr">
        <is>
          <t>Above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</row>
    <row r="45">
      <c r="A45" s="30">
        <f>IF(B45=0,"",RANK(B45,$B$2:$B$331,0))</f>
        <v/>
      </c>
      <c r="B45" s="31">
        <f>SUM(N45,Y45,AA45,AC45,AE45,AG45,AI45,AK45,AM45,AO45,AQ45,AS45,AU45,AW45,AY45,BA45,BC45,BE45,BG45,BI45,BK45,BM45,BO45,BQ45,BS45,BU45,BW45,BY45,CA45,CC45,CE45)</f>
        <v/>
      </c>
      <c r="C45" s="30" t="inlineStr">
        <is>
          <t>SHANTIGOLD</t>
        </is>
      </c>
      <c r="D45" s="30" t="inlineStr">
        <is>
          <t>Shanti Gold International Ltd</t>
        </is>
      </c>
      <c r="E45" s="30" t="inlineStr">
        <is>
          <t>consumer discretionary</t>
        </is>
      </c>
      <c r="F45" s="30" t="inlineStr">
        <is>
          <t>diamond cutting / jewellery</t>
        </is>
      </c>
      <c r="G45" s="30" t="inlineStr">
        <is>
          <t>smallcap</t>
        </is>
      </c>
      <c r="H45" s="31" t="n">
        <v>2005.13</v>
      </c>
      <c r="I45" s="31" t="n">
        <v>257.29</v>
      </c>
      <c r="J45" s="31" t="n">
        <v>-1.53</v>
      </c>
      <c r="K45" s="31" t="n">
        <v>1253608</v>
      </c>
      <c r="L45" s="30" t="n">
        <v>20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62.54</v>
      </c>
      <c r="P45" s="31" t="n">
        <v>36.81</v>
      </c>
      <c r="Q45" s="31" t="n">
        <v>199.79</v>
      </c>
      <c r="R45" s="30" t="inlineStr">
        <is>
          <t>Near 52W High Breakout</t>
        </is>
      </c>
      <c r="S45" s="30" t="inlineStr">
        <is>
          <t>Nifty 50</t>
        </is>
      </c>
      <c r="T45" s="31" t="n">
        <v>-6.52</v>
      </c>
      <c r="U45" s="31" t="n">
        <v>15.06</v>
      </c>
      <c r="V45" s="31" t="n">
        <v>23.08</v>
      </c>
      <c r="W45" s="31" t="n">
        <v>6.37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No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One Time, Lower Annuity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20 to 40</t>
        </is>
      </c>
      <c r="AY45" s="30">
        <f>IF(AX45="Above 40",20,IF(AX45="20 to 40",10,IF(AX45="0 to 20",-5,0)))</f>
        <v/>
      </c>
      <c r="AZ45" s="30" t="inlineStr">
        <is>
          <t>Between 50 to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Blue sky scenario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No</t>
        </is>
      </c>
      <c r="BS45" s="30">
        <f>IF(BR45="NO",5,0)</f>
        <v/>
      </c>
      <c r="BT45" s="30" t="inlineStr">
        <is>
          <t>Less than 1.5</t>
        </is>
      </c>
      <c r="BU45" s="30">
        <f>IF(BT45="Above 2",0,IF(BT45="Between 1.5 to 2",5,IF(BT45="Less than 1.5",10,0)))</f>
        <v/>
      </c>
      <c r="BV45" s="30" t="inlineStr">
        <is>
          <t>Above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</row>
    <row r="46">
      <c r="A46" s="30">
        <f>IF(B46=0,"",RANK(B46,$B$2:$B$331,0))</f>
        <v/>
      </c>
      <c r="B46" s="31">
        <f>SUM(N46,Y46,AA46,AC46,AE46,AG46,AI46,AK46,AM46,AO46,AQ46,AS46,AU46,AW46,AY46,BA46,BC46,BE46,BG46,BI46,BK46,BM46,BO46,BQ46,BS46,BU46,BW46,BY46,CA46,CC46,CE46)</f>
        <v/>
      </c>
      <c r="C46" s="30" t="inlineStr">
        <is>
          <t>KMEW</t>
        </is>
      </c>
      <c r="D46" s="30" t="inlineStr">
        <is>
          <t>Knowledge Marine &amp; Engineering Works Ltd</t>
        </is>
      </c>
      <c r="E46" s="30" t="inlineStr">
        <is>
          <t>transportation</t>
        </is>
      </c>
      <c r="F46" s="30" t="inlineStr">
        <is>
          <t>miscellaneous</t>
        </is>
      </c>
      <c r="G46" s="30" t="inlineStr">
        <is>
          <t>midcap</t>
        </is>
      </c>
      <c r="H46" s="31" t="n">
        <v>7245.23</v>
      </c>
      <c r="I46" s="31" t="n">
        <v>2915.6</v>
      </c>
      <c r="J46" s="31" t="n">
        <v>-1.63</v>
      </c>
      <c r="K46" s="31" t="n">
        <v>51447</v>
      </c>
      <c r="L46" s="30" t="n">
        <v>86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74.18000000000001</v>
      </c>
      <c r="P46" s="31" t="n">
        <v>57.75</v>
      </c>
      <c r="Q46" s="31" t="n">
        <v>2262.6</v>
      </c>
      <c r="R46" s="30" t="inlineStr">
        <is>
          <t>Near 52W High Breakout</t>
        </is>
      </c>
      <c r="S46" s="30" t="inlineStr">
        <is>
          <t>Nifty 50</t>
        </is>
      </c>
      <c r="T46" s="31" t="n">
        <v>-6.52</v>
      </c>
      <c r="U46" s="31" t="n">
        <v>167.35</v>
      </c>
      <c r="V46" s="31" t="n">
        <v>185.98</v>
      </c>
      <c r="W46" s="31" t="n">
        <v>34.56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Higher One Time, Lower Annuity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Above 40</t>
        </is>
      </c>
      <c r="AY46" s="30">
        <f>IF(AX46="Above 40",20,IF(AX46="20 to 40",10,IF(AX46="0 to 20",-5,0)))</f>
        <v/>
      </c>
      <c r="AZ46" s="30" t="inlineStr">
        <is>
          <t>Between 50 to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Blue sky scenario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Yes</t>
        </is>
      </c>
      <c r="BS46" s="30">
        <f>IF(BR46="NO",5,0)</f>
        <v/>
      </c>
      <c r="BT46" s="30" t="inlineStr">
        <is>
          <t>Above 2</t>
        </is>
      </c>
      <c r="BU46" s="30">
        <f>IF(BT46="Above 2",0,IF(BT46="Between 1.5 to 2",5,IF(BT46="Less than 1.5",10,0)))</f>
        <v/>
      </c>
      <c r="BV46" s="30" t="inlineStr">
        <is>
          <t>Above 70%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</row>
    <row r="47">
      <c r="A47" s="30">
        <f>IF(B47=0,"",RANK(B47,$B$2:$B$331,0))</f>
        <v/>
      </c>
      <c r="B47" s="31">
        <f>SUM(N47,Y47,AA47,AC47,AE47,AG47,AI47,AK47,AM47,AO47,AQ47,AS47,AU47,AW47,AY47,BA47,BC47,BE47,BG47,BI47,BK47,BM47,BO47,BQ47,BS47,BU47,BW47,BY47,CA47,CC47,CE47)</f>
        <v/>
      </c>
      <c r="C47" s="30" t="inlineStr">
        <is>
          <t>CONFIPET</t>
        </is>
      </c>
      <c r="D47" s="30" t="inlineStr">
        <is>
          <t>Confidence Petroleum India Ltd</t>
        </is>
      </c>
      <c r="E47" s="30" t="inlineStr">
        <is>
          <t>miscellaneous</t>
        </is>
      </c>
      <c r="F47" s="30" t="inlineStr">
        <is>
          <t>miscellaneous</t>
        </is>
      </c>
      <c r="G47" s="30" t="inlineStr">
        <is>
          <t>smallcap</t>
        </is>
      </c>
      <c r="H47" s="31" t="n">
        <v>3012.1</v>
      </c>
      <c r="I47" s="31" t="n">
        <v>87.84</v>
      </c>
      <c r="J47" s="31" t="n">
        <v>-3.11</v>
      </c>
      <c r="K47" s="31" t="n">
        <v>3216537</v>
      </c>
      <c r="L47" s="30" t="n">
        <v>79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70.61</v>
      </c>
      <c r="P47" s="31" t="n">
        <v>61.02</v>
      </c>
      <c r="Q47" s="31" t="n">
        <v>61.49</v>
      </c>
      <c r="R47" s="30" t="inlineStr">
        <is>
          <t>Near 52W High Breakout</t>
        </is>
      </c>
      <c r="S47" s="30" t="inlineStr">
        <is>
          <t>Nifty Energy</t>
        </is>
      </c>
      <c r="T47" s="31" t="n">
        <v>8.43</v>
      </c>
      <c r="U47" s="31" t="n">
        <v>68.64</v>
      </c>
      <c r="V47" s="31" t="n">
        <v>55.52</v>
      </c>
      <c r="W47" s="31" t="n">
        <v>29.72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No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Higher One Time, Lower Annuity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Above 40</t>
        </is>
      </c>
      <c r="AY47" s="30">
        <f>IF(AX47="Above 40",20,IF(AX47="20 to 40",10,IF(AX47="0 to 20",-5,0)))</f>
        <v/>
      </c>
      <c r="AZ47" s="30" t="inlineStr">
        <is>
          <t>Between 50 to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Blue sky scenario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No</t>
        </is>
      </c>
      <c r="BS47" s="30">
        <f>IF(BR47="NO",5,0)</f>
        <v/>
      </c>
      <c r="BT47" s="30" t="inlineStr">
        <is>
          <t>Above 2</t>
        </is>
      </c>
      <c r="BU47" s="30">
        <f>IF(BT47="Above 2",0,IF(BT47="Between 1.5 to 2",5,IF(BT47="Less than 1.5",10,0)))</f>
        <v/>
      </c>
      <c r="BV47" s="30" t="inlineStr">
        <is>
          <t>Above 70%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</row>
    <row r="48">
      <c r="A48" s="30">
        <f>IF(B48=0,"",RANK(B48,$B$2:$B$331,0))</f>
        <v/>
      </c>
      <c r="B48" s="31">
        <f>SUM(N48,Y48,AA48,AC48,AE48,AG48,AI48,AK48,AM48,AO48,AQ48,AS48,AU48,AW48,AY48,BA48,BC48,BE48,BG48,BI48,BK48,BM48,BO48,BQ48,BS48,BU48,BW48,BY48,CA48,CC48,CE48)</f>
        <v/>
      </c>
      <c r="C48" s="30" t="inlineStr">
        <is>
          <t>ASIANHOTNR</t>
        </is>
      </c>
      <c r="D48" s="30" t="inlineStr">
        <is>
          <t>Asian Hotels (north) Limited</t>
        </is>
      </c>
      <c r="E48" s="30" t="inlineStr">
        <is>
          <t>services</t>
        </is>
      </c>
      <c r="F48" s="30" t="inlineStr">
        <is>
          <t>hotels</t>
        </is>
      </c>
      <c r="G48" s="30" t="inlineStr">
        <is>
          <t>smallcap</t>
        </is>
      </c>
      <c r="H48" s="31" t="n">
        <v>1724.51</v>
      </c>
      <c r="I48" s="31" t="n">
        <v>382.15</v>
      </c>
      <c r="J48" s="31" t="n">
        <v>-5.53</v>
      </c>
      <c r="K48" s="31" t="n">
        <v>13812</v>
      </c>
      <c r="L48" s="30" t="n">
        <v>33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69.28</v>
      </c>
      <c r="P48" s="31" t="n">
        <v>35.02</v>
      </c>
      <c r="Q48" s="31" t="n">
        <v>277.1</v>
      </c>
      <c r="R48" s="30" t="inlineStr">
        <is>
          <t>Near 52W High Breakout</t>
        </is>
      </c>
      <c r="S48" s="30" t="inlineStr">
        <is>
          <t>Nifty 50</t>
        </is>
      </c>
      <c r="T48" s="31" t="n">
        <v>-6.52</v>
      </c>
      <c r="U48" s="31" t="n">
        <v>19.27</v>
      </c>
      <c r="V48" s="31" t="n">
        <v>27.59</v>
      </c>
      <c r="W48" s="31" t="n">
        <v>10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No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One Time, Lower Annuity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20 to 40</t>
        </is>
      </c>
      <c r="AY48" s="30">
        <f>IF(AX48="Above 40",20,IF(AX48="20 to 40",10,IF(AX48="0 to 20",-5,0)))</f>
        <v/>
      </c>
      <c r="AZ48" s="30" t="inlineStr">
        <is>
          <t>Between 50 to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Blue sky scenario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No</t>
        </is>
      </c>
      <c r="BS48" s="30">
        <f>IF(BR48="NO",5,0)</f>
        <v/>
      </c>
      <c r="BT48" s="30" t="inlineStr">
        <is>
          <t>Less than 1.5</t>
        </is>
      </c>
      <c r="BU48" s="30">
        <f>IF(BT48="Above 2",0,IF(BT48="Between 1.5 to 2",5,IF(BT48="Less than 1.5",10,0)))</f>
        <v/>
      </c>
      <c r="BV48" s="30" t="inlineStr">
        <is>
          <t>Above 70%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Less than 0.7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</row>
    <row r="49">
      <c r="A49" s="30">
        <f>IF(B49=0,"",RANK(B49,$B$2:$B$331,0))</f>
        <v/>
      </c>
      <c r="B49" s="31">
        <f>SUM(N49,Y49,AA49,AC49,AE49,AG49,AI49,AK49,AM49,AO49,AQ49,AS49,AU49,AW49,AY49,BA49,BC49,BE49,BG49,BI49,BK49,BM49,BO49,BQ49,BS49,BU49,BW49,BY49,CA49,CC49,CE49)</f>
        <v/>
      </c>
      <c r="C49" s="30" t="inlineStr">
        <is>
          <t>63MOONS</t>
        </is>
      </c>
      <c r="D49" s="30" t="inlineStr">
        <is>
          <t>63 Moons Technologies Ltd</t>
        </is>
      </c>
      <c r="E49" s="30" t="inlineStr">
        <is>
          <t>i.t</t>
        </is>
      </c>
      <c r="F49" s="30" t="inlineStr">
        <is>
          <t>computers - software - medium / small</t>
        </is>
      </c>
      <c r="G49" s="30" t="inlineStr">
        <is>
          <t>smallcap</t>
        </is>
      </c>
      <c r="H49" s="31" t="n">
        <v>3986.02</v>
      </c>
      <c r="I49" s="31" t="n">
        <v>886.35</v>
      </c>
      <c r="J49" s="31" t="n">
        <v>2.46</v>
      </c>
      <c r="K49" s="31" t="n">
        <v>841520</v>
      </c>
      <c r="L49" s="30" t="n">
        <v>27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61.85</v>
      </c>
      <c r="P49" s="31" t="n">
        <v>29.35</v>
      </c>
      <c r="Q49" s="31" t="n">
        <v>674.08</v>
      </c>
      <c r="R49" s="30" t="inlineStr">
        <is>
          <t>Near 52W High Breakout</t>
        </is>
      </c>
      <c r="S49" s="30" t="inlineStr">
        <is>
          <t>Nifty IT</t>
        </is>
      </c>
      <c r="T49" s="31" t="n">
        <v>-19.99</v>
      </c>
      <c r="U49" s="31" t="n">
        <v>-5.75</v>
      </c>
      <c r="V49" s="31" t="n">
        <v>17.81</v>
      </c>
      <c r="W49" s="31" t="n">
        <v>8.25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No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Yes</t>
        </is>
      </c>
      <c r="AQ49" s="30">
        <f>IF(AP49="Yes",10,0)</f>
        <v/>
      </c>
      <c r="AR49" s="30" t="inlineStr">
        <is>
          <t>Higher Annuity, Lower One Time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20 to 40</t>
        </is>
      </c>
      <c r="AY49" s="30">
        <f>IF(AX49="Above 40",20,IF(AX49="20 to 40",10,IF(AX49="0 to 20",-5,0)))</f>
        <v/>
      </c>
      <c r="AZ49" s="30" t="inlineStr">
        <is>
          <t>Between 50 to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Close to 52 week high or retracement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No</t>
        </is>
      </c>
      <c r="BS49" s="30">
        <f>IF(BR49="NO",5,0)</f>
        <v/>
      </c>
      <c r="BT49" s="30" t="inlineStr">
        <is>
          <t>Less than 1.5</t>
        </is>
      </c>
      <c r="BU49" s="30">
        <f>IF(BT49="Above 2",0,IF(BT49="Between 1.5 to 2",5,IF(BT49="Less than 1.5",10,0)))</f>
        <v/>
      </c>
      <c r="BV49" s="30" t="inlineStr">
        <is>
          <t>Above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Less than 0.7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</row>
    <row r="50">
      <c r="A50" s="30">
        <f>IF(B50=0,"",RANK(B50,$B$2:$B$331,0))</f>
        <v/>
      </c>
      <c r="B50" s="31">
        <f>SUM(N50,Y50,AA50,AC50,AE50,AG50,AI50,AK50,AM50,AO50,AQ50,AS50,AU50,AW50,AY50,BA50,BC50,BE50,BG50,BI50,BK50,BM50,BO50,BQ50,BS50,BU50,BW50,BY50,CA50,CC50,CE50)</f>
        <v/>
      </c>
      <c r="C50" s="30" t="inlineStr">
        <is>
          <t>GRANULES</t>
        </is>
      </c>
      <c r="D50" s="30" t="inlineStr">
        <is>
          <t>Granules India Limited</t>
        </is>
      </c>
      <c r="E50" s="30" t="inlineStr">
        <is>
          <t>healthcare</t>
        </is>
      </c>
      <c r="F50" s="30" t="inlineStr">
        <is>
          <t>pharmaceuticals - indian - bulk drugs &amp; formln</t>
        </is>
      </c>
      <c r="G50" s="30" t="inlineStr">
        <is>
          <t>largecap</t>
        </is>
      </c>
      <c r="H50" s="31" t="n">
        <v>21925.07</v>
      </c>
      <c r="I50" s="31" t="n">
        <v>899.25</v>
      </c>
      <c r="J50" s="31" t="n">
        <v>1.63</v>
      </c>
      <c r="K50" s="31" t="n">
        <v>1597031</v>
      </c>
      <c r="L50" s="30" t="n">
        <v>49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69.04000000000001</v>
      </c>
      <c r="P50" s="31" t="n">
        <v>39.59</v>
      </c>
      <c r="Q50" s="31" t="n">
        <v>748.0700000000001</v>
      </c>
      <c r="R50" s="30" t="inlineStr">
        <is>
          <t>Near 52W High Breakout</t>
        </is>
      </c>
      <c r="S50" s="30" t="inlineStr">
        <is>
          <t>Nifty Pharma</t>
        </is>
      </c>
      <c r="T50" s="31" t="n">
        <v>18.86</v>
      </c>
      <c r="U50" s="31" t="n">
        <v>68.64</v>
      </c>
      <c r="V50" s="31" t="n">
        <v>41.87</v>
      </c>
      <c r="W50" s="31" t="n">
        <v>15.37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Yes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Yes</t>
        </is>
      </c>
      <c r="AQ50" s="30">
        <f>IF(AP50="Yes",10,0)</f>
        <v/>
      </c>
      <c r="AR50" s="30" t="inlineStr">
        <is>
          <t>Higher Annuity, Lower One Time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20 to 40</t>
        </is>
      </c>
      <c r="AY50" s="30">
        <f>IF(AX50="Above 40",20,IF(AX50="20 to 40",10,IF(AX50="0 to 20",-5,0)))</f>
        <v/>
      </c>
      <c r="AZ50" s="30" t="inlineStr">
        <is>
          <t>Between 50 to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Positive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Blue sky scenario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No</t>
        </is>
      </c>
      <c r="BS50" s="30">
        <f>IF(BR50="NO",5,0)</f>
        <v/>
      </c>
      <c r="BT50" s="30" t="inlineStr">
        <is>
          <t>Less than 1.5</t>
        </is>
      </c>
      <c r="BU50" s="30">
        <f>IF(BT50="Above 2",0,IF(BT50="Between 1.5 to 2",5,IF(BT50="Less than 1.5",10,0)))</f>
        <v/>
      </c>
      <c r="BV50" s="30" t="inlineStr">
        <is>
          <t>Above 70%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Less than 0.7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</row>
    <row r="51">
      <c r="A51" s="30">
        <f>IF(B51=0,"",RANK(B51,$B$2:$B$331,0))</f>
        <v/>
      </c>
      <c r="B51" s="31">
        <f>SUM(N51,Y51,AA51,AC51,AE51,AG51,AI51,AK51,AM51,AO51,AQ51,AS51,AU51,AW51,AY51,BA51,BC51,BE51,BG51,BI51,BK51,BM51,BO51,BQ51,BS51,BU51,BW51,BY51,CA51,CC51,CE51)</f>
        <v/>
      </c>
      <c r="C51" s="30" t="inlineStr">
        <is>
          <t>ALIVUS</t>
        </is>
      </c>
      <c r="D51" s="30" t="inlineStr">
        <is>
          <t>Alivus Life Sciences Ltd</t>
        </is>
      </c>
      <c r="E51" s="30" t="inlineStr">
        <is>
          <t>healthcare</t>
        </is>
      </c>
      <c r="F51" s="30" t="inlineStr">
        <is>
          <t>pharmaceuticals - indian - bulk drugs &amp; formln</t>
        </is>
      </c>
      <c r="G51" s="30" t="inlineStr">
        <is>
          <t>midcap</t>
        </is>
      </c>
      <c r="H51" s="31" t="n">
        <v>17184.32</v>
      </c>
      <c r="I51" s="31" t="n">
        <v>1390.2</v>
      </c>
      <c r="J51" s="31" t="n">
        <v>-0.71</v>
      </c>
      <c r="K51" s="31" t="n">
        <v>72284</v>
      </c>
      <c r="L51" s="30" t="n">
        <v>50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75.51000000000001</v>
      </c>
      <c r="P51" s="31" t="n">
        <v>48.9</v>
      </c>
      <c r="Q51" s="31" t="n">
        <v>1128.99</v>
      </c>
      <c r="R51" s="30" t="inlineStr">
        <is>
          <t>Near 52W High Breakout</t>
        </is>
      </c>
      <c r="S51" s="30" t="inlineStr">
        <is>
          <t>Nifty Pharma</t>
        </is>
      </c>
      <c r="T51" s="31" t="n">
        <v>18.86</v>
      </c>
      <c r="U51" s="31" t="n">
        <v>48.91</v>
      </c>
      <c r="V51" s="31" t="n">
        <v>25.28</v>
      </c>
      <c r="W51" s="31" t="n">
        <v>15.74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Yes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Higher Annuity, Lower One Time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Above 40</t>
        </is>
      </c>
      <c r="AY51" s="30">
        <f>IF(AX51="Above 40",20,IF(AX51="20 to 40",10,IF(AX51="0 to 20",-5,0)))</f>
        <v/>
      </c>
      <c r="AZ51" s="30" t="inlineStr">
        <is>
          <t>Above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Blue sky scenario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No</t>
        </is>
      </c>
      <c r="BS51" s="30">
        <f>IF(BR51="NO",5,0)</f>
        <v/>
      </c>
      <c r="BT51" s="30" t="inlineStr">
        <is>
          <t>Less than 1.5</t>
        </is>
      </c>
      <c r="BU51" s="30">
        <f>IF(BT51="Above 2",0,IF(BT51="Between 1.5 to 2",5,IF(BT51="Less than 1.5",10,0)))</f>
        <v/>
      </c>
      <c r="BV51" s="30" t="inlineStr">
        <is>
          <t>Above 70%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Less than 0.7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</row>
    <row r="52">
      <c r="A52" s="30">
        <f>IF(B52=0,"",RANK(B52,$B$2:$B$331,0))</f>
        <v/>
      </c>
      <c r="B52" s="31">
        <f>SUM(N52,Y52,AA52,AC52,AE52,AG52,AI52,AK52,AM52,AO52,AQ52,AS52,AU52,AW52,AY52,BA52,BC52,BE52,BG52,BI52,BK52,BM52,BO52,BQ52,BS52,BU52,BW52,BY52,CA52,CC52,CE52)</f>
        <v/>
      </c>
      <c r="C52" s="30" t="inlineStr">
        <is>
          <t>INDSWFTLAB</t>
        </is>
      </c>
      <c r="D52" s="30" t="inlineStr">
        <is>
          <t>Ind-swift Laboratories Limited</t>
        </is>
      </c>
      <c r="E52" s="30" t="inlineStr">
        <is>
          <t>healthcare</t>
        </is>
      </c>
      <c r="F52" s="30" t="inlineStr">
        <is>
          <t>pharmaceuticals - indian - bulk drugs &amp; formln</t>
        </is>
      </c>
      <c r="G52" s="30" t="inlineStr">
        <is>
          <t>smallcap</t>
        </is>
      </c>
      <c r="H52" s="31" t="n">
        <v>3378.89</v>
      </c>
      <c r="I52" s="31" t="n">
        <v>377.5</v>
      </c>
      <c r="J52" s="31" t="n">
        <v>-2.84</v>
      </c>
      <c r="K52" s="31" t="n">
        <v>372420</v>
      </c>
      <c r="L52" s="30" t="n">
        <v>97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87.63</v>
      </c>
      <c r="P52" s="31" t="n">
        <v>74.59999999999999</v>
      </c>
      <c r="Q52" s="31" t="n">
        <v>284.5</v>
      </c>
      <c r="R52" s="30" t="inlineStr">
        <is>
          <t>Near 52W High Breakout</t>
        </is>
      </c>
      <c r="S52" s="30" t="inlineStr">
        <is>
          <t>Nifty Pharma</t>
        </is>
      </c>
      <c r="T52" s="31" t="n">
        <v>18.86</v>
      </c>
      <c r="U52" s="31" t="n">
        <v>257.24</v>
      </c>
      <c r="V52" s="31" t="n">
        <v>200.55</v>
      </c>
      <c r="W52" s="31" t="n">
        <v>62.95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Yes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Yes</t>
        </is>
      </c>
      <c r="AQ52" s="30">
        <f>IF(AP52="Yes",10,0)</f>
        <v/>
      </c>
      <c r="AR52" s="30" t="inlineStr">
        <is>
          <t>Higher Annuity, Lower One Time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Above 40</t>
        </is>
      </c>
      <c r="AY52" s="30">
        <f>IF(AX52="Above 40",20,IF(AX52="20 to 40",10,IF(AX52="0 to 20",-5,0)))</f>
        <v/>
      </c>
      <c r="AZ52" s="30" t="inlineStr">
        <is>
          <t>Above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Blue sky scenario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Yes</t>
        </is>
      </c>
      <c r="BS52" s="30">
        <f>IF(BR52="NO",5,0)</f>
        <v/>
      </c>
      <c r="BT52" s="30" t="inlineStr">
        <is>
          <t>Above 2</t>
        </is>
      </c>
      <c r="BU52" s="30">
        <f>IF(BT52="Above 2",0,IF(BT52="Between 1.5 to 2",5,IF(BT52="Less than 1.5",10,0)))</f>
        <v/>
      </c>
      <c r="BV52" s="30" t="inlineStr">
        <is>
          <t>Above 70%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</row>
    <row r="53">
      <c r="A53" s="30">
        <f>IF(B53=0,"",RANK(B53,$B$2:$B$331,0))</f>
        <v/>
      </c>
      <c r="B53" s="31">
        <f>SUM(N53,Y53,AA53,AC53,AE53,AG53,AI53,AK53,AM53,AO53,AQ53,AS53,AU53,AW53,AY53,BA53,BC53,BE53,BG53,BI53,BK53,BM53,BO53,BQ53,BS53,BU53,BW53,BY53,CA53,CC53,CE53)</f>
        <v/>
      </c>
      <c r="C53" s="30" t="inlineStr">
        <is>
          <t>SREEL</t>
        </is>
      </c>
      <c r="D53" s="30" t="inlineStr">
        <is>
          <t>Sreeleathers Limited</t>
        </is>
      </c>
      <c r="E53" s="30" t="inlineStr">
        <is>
          <t>consumer discretionary</t>
        </is>
      </c>
      <c r="F53" s="30" t="inlineStr">
        <is>
          <t>trading</t>
        </is>
      </c>
      <c r="G53" s="30" t="inlineStr">
        <is>
          <t>smallcap</t>
        </is>
      </c>
      <c r="H53" s="31" t="n">
        <v>798.87</v>
      </c>
      <c r="I53" s="31" t="n">
        <v>370.3</v>
      </c>
      <c r="J53" s="31" t="n">
        <v>7.33</v>
      </c>
      <c r="K53" s="31" t="n">
        <v>487582</v>
      </c>
      <c r="L53" s="30" t="n">
        <v>81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87.76000000000001</v>
      </c>
      <c r="P53" s="31" t="n">
        <v>54.29</v>
      </c>
      <c r="Q53" s="31" t="n">
        <v>286.85</v>
      </c>
      <c r="R53" s="30" t="inlineStr">
        <is>
          <t>Volume Spike &amp; Near 52W High Breakout</t>
        </is>
      </c>
      <c r="S53" s="30" t="inlineStr">
        <is>
          <t>Nifty 50</t>
        </is>
      </c>
      <c r="T53" s="31" t="n">
        <v>-6.52</v>
      </c>
      <c r="U53" s="31" t="n">
        <v>58.8</v>
      </c>
      <c r="V53" s="31" t="n">
        <v>69.87</v>
      </c>
      <c r="W53" s="31" t="n">
        <v>31.81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Above 40</t>
        </is>
      </c>
      <c r="AY53" s="30">
        <f>IF(AX53="Above 40",20,IF(AX53="20 to 40",10,IF(AX53="0 to 20",-5,0)))</f>
        <v/>
      </c>
      <c r="AZ53" s="30" t="inlineStr">
        <is>
          <t>Above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Blue sky scenario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No</t>
        </is>
      </c>
      <c r="BS53" s="30">
        <f>IF(BR53="NO",5,0)</f>
        <v/>
      </c>
      <c r="BT53" s="30" t="inlineStr">
        <is>
          <t>Above 2</t>
        </is>
      </c>
      <c r="BU53" s="30">
        <f>IF(BT53="Above 2",0,IF(BT53="Between 1.5 to 2",5,IF(BT53="Less than 1.5",10,0)))</f>
        <v/>
      </c>
      <c r="BV53" s="30" t="inlineStr">
        <is>
          <t>Above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Less than 0.7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</row>
    <row r="54">
      <c r="A54" s="30">
        <f>IF(B54=0,"",RANK(B54,$B$2:$B$331,0))</f>
        <v/>
      </c>
      <c r="B54" s="31">
        <f>SUM(N54,Y54,AA54,AC54,AE54,AG54,AI54,AK54,AM54,AO54,AQ54,AS54,AU54,AW54,AY54,BA54,BC54,BE54,BG54,BI54,BK54,BM54,BO54,BQ54,BS54,BU54,BW54,BY54,CA54,CC54,CE54)</f>
        <v/>
      </c>
      <c r="C54" s="30" t="inlineStr">
        <is>
          <t>KABRAEXTRU</t>
        </is>
      </c>
      <c r="D54" s="30" t="inlineStr">
        <is>
          <t>Kabra Extrusion Technik Limited</t>
        </is>
      </c>
      <c r="E54" s="30" t="inlineStr">
        <is>
          <t>industrials</t>
        </is>
      </c>
      <c r="F54" s="30" t="inlineStr">
        <is>
          <t>engineering</t>
        </is>
      </c>
      <c r="G54" s="30" t="inlineStr">
        <is>
          <t>smallcap</t>
        </is>
      </c>
      <c r="H54" s="31" t="n">
        <v>2318.52</v>
      </c>
      <c r="I54" s="31" t="n">
        <v>707.55</v>
      </c>
      <c r="J54" s="31" t="n">
        <v>6.73</v>
      </c>
      <c r="K54" s="31" t="n">
        <v>773333</v>
      </c>
      <c r="L54" s="30" t="n">
        <v>98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88.23999999999999</v>
      </c>
      <c r="P54" s="31" t="n">
        <v>55.69</v>
      </c>
      <c r="Q54" s="31" t="n">
        <v>551.71</v>
      </c>
      <c r="R54" s="30" t="inlineStr">
        <is>
          <t>Near 52W High Breakout</t>
        </is>
      </c>
      <c r="S54" s="30" t="inlineStr">
        <is>
          <t>Nifty 50</t>
        </is>
      </c>
      <c r="T54" s="31" t="n">
        <v>-6.52</v>
      </c>
      <c r="U54" s="31" t="n">
        <v>150.64</v>
      </c>
      <c r="V54" s="31" t="n">
        <v>168.1</v>
      </c>
      <c r="W54" s="31" t="n">
        <v>76.40000000000001</v>
      </c>
      <c r="X54" s="30" t="inlineStr">
        <is>
          <t>Cyclical in an Upturn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No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Higher One Time, Lower Annuity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Above 40</t>
        </is>
      </c>
      <c r="AY54" s="30">
        <f>IF(AX54="Above 40",20,IF(AX54="20 to 40",10,IF(AX54="0 to 20",-5,0)))</f>
        <v/>
      </c>
      <c r="AZ54" s="30" t="inlineStr">
        <is>
          <t>Above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Positive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Blue sky scenario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Yes</t>
        </is>
      </c>
      <c r="BS54" s="30">
        <f>IF(BR54="NO",5,0)</f>
        <v/>
      </c>
      <c r="BT54" s="30" t="inlineStr">
        <is>
          <t>Above 2</t>
        </is>
      </c>
      <c r="BU54" s="30">
        <f>IF(BT54="Above 2",0,IF(BT54="Between 1.5 to 2",5,IF(BT54="Less than 1.5",10,0)))</f>
        <v/>
      </c>
      <c r="BV54" s="30" t="inlineStr">
        <is>
          <t>Above 70%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</row>
    <row r="55">
      <c r="A55" s="30">
        <f>IF(B55=0,"",RANK(B55,$B$2:$B$331,0))</f>
        <v/>
      </c>
      <c r="B55" s="31">
        <f>SUM(N55,Y55,AA55,AC55,AE55,AG55,AI55,AK55,AM55,AO55,AQ55,AS55,AU55,AW55,AY55,BA55,BC55,BE55,BG55,BI55,BK55,BM55,BO55,BQ55,BS55,BU55,BW55,BY55,CA55,CC55,CE55)</f>
        <v/>
      </c>
      <c r="C55" s="30" t="inlineStr">
        <is>
          <t>IKIO</t>
        </is>
      </c>
      <c r="D55" s="30" t="inlineStr">
        <is>
          <t>IKIO Lighting Ltd</t>
        </is>
      </c>
      <c r="E55" s="30" t="inlineStr">
        <is>
          <t>consumer discretionary</t>
        </is>
      </c>
      <c r="F55" s="30" t="inlineStr">
        <is>
          <t>electric equipment</t>
        </is>
      </c>
      <c r="G55" s="30" t="inlineStr">
        <is>
          <t>smallcap</t>
        </is>
      </c>
      <c r="H55" s="31" t="n">
        <v>1699.71</v>
      </c>
      <c r="I55" s="31" t="n">
        <v>231.73</v>
      </c>
      <c r="J55" s="31" t="n">
        <v>5.36</v>
      </c>
      <c r="K55" s="31" t="n">
        <v>2436372</v>
      </c>
      <c r="L55" s="30" t="n">
        <v>47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66.89</v>
      </c>
      <c r="P55" s="31" t="n">
        <v>43.1</v>
      </c>
      <c r="Q55" s="31" t="n">
        <v>166.18</v>
      </c>
      <c r="R55" s="30" t="inlineStr">
        <is>
          <t>Near 52W High Breakout</t>
        </is>
      </c>
      <c r="S55" s="30" t="inlineStr">
        <is>
          <t>Nifty 50</t>
        </is>
      </c>
      <c r="T55" s="31" t="n">
        <v>-6.52</v>
      </c>
      <c r="U55" s="31" t="n">
        <v>3.17</v>
      </c>
      <c r="V55" s="31" t="n">
        <v>10.36</v>
      </c>
      <c r="W55" s="31" t="n">
        <v>14.21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No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Higher One Time, Lower Annuity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Above 40</t>
        </is>
      </c>
      <c r="AY55" s="30">
        <f>IF(AX55="Above 40",20,IF(AX55="20 to 40",10,IF(AX55="0 to 20",-5,0)))</f>
        <v/>
      </c>
      <c r="AZ55" s="30" t="inlineStr">
        <is>
          <t>Between 50 to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Close to 52 week high or retracement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No</t>
        </is>
      </c>
      <c r="BS55" s="30">
        <f>IF(BR55="NO",5,0)</f>
        <v/>
      </c>
      <c r="BT55" s="30" t="inlineStr">
        <is>
          <t>Above 2</t>
        </is>
      </c>
      <c r="BU55" s="30">
        <f>IF(BT55="Above 2",0,IF(BT55="Between 1.5 to 2",5,IF(BT55="Less than 1.5",10,0)))</f>
        <v/>
      </c>
      <c r="BV55" s="30" t="inlineStr">
        <is>
          <t>Above 70%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</row>
    <row r="56">
      <c r="A56" s="30">
        <f>IF(B56=0,"",RANK(B56,$B$2:$B$331,0))</f>
        <v/>
      </c>
      <c r="B56" s="31">
        <f>SUM(N56,Y56,AA56,AC56,AE56,AG56,AI56,AK56,AM56,AO56,AQ56,AS56,AU56,AW56,AY56,BA56,BC56,BE56,BG56,BI56,BK56,BM56,BO56,BQ56,BS56,BU56,BW56,BY56,CA56,CC56,CE56)</f>
        <v/>
      </c>
      <c r="C56" s="30" t="inlineStr">
        <is>
          <t>KANORICHEM</t>
        </is>
      </c>
      <c r="D56" s="30" t="inlineStr">
        <is>
          <t>Kanoria Chemicals &amp; Industries Limited</t>
        </is>
      </c>
      <c r="E56" s="30" t="inlineStr">
        <is>
          <t>chemicals</t>
        </is>
      </c>
      <c r="F56" s="30" t="inlineStr">
        <is>
          <t>chemicals</t>
        </is>
      </c>
      <c r="G56" s="30" t="inlineStr">
        <is>
          <t>smallcap</t>
        </is>
      </c>
      <c r="H56" s="31" t="n">
        <v>728.8</v>
      </c>
      <c r="I56" s="31" t="n">
        <v>175.14</v>
      </c>
      <c r="J56" s="31" t="n">
        <v>5</v>
      </c>
      <c r="K56" s="31" t="n">
        <v>100439</v>
      </c>
      <c r="L56" s="30" t="n">
        <v>89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75.63</v>
      </c>
      <c r="P56" s="31" t="n">
        <v>66.03</v>
      </c>
      <c r="Q56" s="31" t="n">
        <v>131.59</v>
      </c>
      <c r="R56" s="30" t="inlineStr">
        <is>
          <t>Near 52W High Breakout</t>
        </is>
      </c>
      <c r="S56" s="30" t="inlineStr">
        <is>
          <t>Nifty 50</t>
        </is>
      </c>
      <c r="T56" s="31" t="n">
        <v>-6.52</v>
      </c>
      <c r="U56" s="31" t="n">
        <v>107.17</v>
      </c>
      <c r="V56" s="31" t="n">
        <v>121.61</v>
      </c>
      <c r="W56" s="31" t="n">
        <v>38.29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No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Yes</t>
        </is>
      </c>
      <c r="AQ56" s="30">
        <f>IF(AP56="Yes",10,0)</f>
        <v/>
      </c>
      <c r="AR56" s="30" t="inlineStr">
        <is>
          <t>Higher One Time, Lower Annuity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Above 40</t>
        </is>
      </c>
      <c r="AY56" s="30">
        <f>IF(AX56="Above 40",20,IF(AX56="20 to 40",10,IF(AX56="0 to 20",-5,0)))</f>
        <v/>
      </c>
      <c r="AZ56" s="30" t="inlineStr">
        <is>
          <t>Above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Blue sky scenario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No</t>
        </is>
      </c>
      <c r="BS56" s="30">
        <f>IF(BR56="NO",5,0)</f>
        <v/>
      </c>
      <c r="BT56" s="30" t="inlineStr">
        <is>
          <t>Above 2</t>
        </is>
      </c>
      <c r="BU56" s="30">
        <f>IF(BT56="Above 2",0,IF(BT56="Between 1.5 to 2",5,IF(BT56="Less than 1.5",10,0)))</f>
        <v/>
      </c>
      <c r="BV56" s="30" t="inlineStr">
        <is>
          <t>Above 70%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</row>
    <row r="57">
      <c r="A57" s="30">
        <f>IF(B57=0,"",RANK(B57,$B$2:$B$331,0))</f>
        <v/>
      </c>
      <c r="B57" s="31">
        <f>SUM(N57,Y57,AA57,AC57,AE57,AG57,AI57,AK57,AM57,AO57,AQ57,AS57,AU57,AW57,AY57,BA57,BC57,BE57,BG57,BI57,BK57,BM57,BO57,BQ57,BS57,BU57,BW57,BY57,CA57,CC57,CE57)</f>
        <v/>
      </c>
      <c r="C57" s="30" t="inlineStr">
        <is>
          <t>SETL</t>
        </is>
      </c>
      <c r="D57" s="30" t="inlineStr">
        <is>
          <t>Standard Enginnering Technology Ltd</t>
        </is>
      </c>
      <c r="E57" s="30" t="inlineStr">
        <is>
          <t>industrials</t>
        </is>
      </c>
      <c r="F57" s="30" t="inlineStr">
        <is>
          <t>engineering</t>
        </is>
      </c>
      <c r="G57" s="30" t="inlineStr">
        <is>
          <t>midcap</t>
        </is>
      </c>
      <c r="H57" s="31" t="n">
        <v>8472.41</v>
      </c>
      <c r="I57" s="31" t="n">
        <v>445.9</v>
      </c>
      <c r="J57" s="31" t="n">
        <v>4.99</v>
      </c>
      <c r="K57" s="31" t="n">
        <v>344586</v>
      </c>
      <c r="L57" s="30" t="n">
        <v>98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91.03</v>
      </c>
      <c r="P57" s="31" t="n">
        <v>67.69</v>
      </c>
      <c r="Q57" s="31" t="n">
        <v>350.16</v>
      </c>
      <c r="R57" s="30" t="inlineStr">
        <is>
          <t>Near 52W High Breakout</t>
        </is>
      </c>
      <c r="S57" s="30" t="inlineStr">
        <is>
          <t>Nifty 50</t>
        </is>
      </c>
      <c r="T57" s="31" t="n">
        <v>-6.52</v>
      </c>
      <c r="U57" s="31" t="n">
        <v>143.46</v>
      </c>
      <c r="V57" s="31" t="n">
        <v>160.43</v>
      </c>
      <c r="W57" s="31" t="n">
        <v>71.55</v>
      </c>
      <c r="X57" s="30" t="inlineStr">
        <is>
          <t>Cyclical in an Upturn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No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Yes</t>
        </is>
      </c>
      <c r="AQ57" s="30">
        <f>IF(AP57="Yes",10,0)</f>
        <v/>
      </c>
      <c r="AR57" s="30" t="inlineStr">
        <is>
          <t>Higher One Time, Lower Annuity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Above 40</t>
        </is>
      </c>
      <c r="AY57" s="30">
        <f>IF(AX57="Above 40",20,IF(AX57="20 to 40",10,IF(AX57="0 to 20",-5,0)))</f>
        <v/>
      </c>
      <c r="AZ57" s="30" t="inlineStr">
        <is>
          <t>Above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Blue sky scenario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Yes</t>
        </is>
      </c>
      <c r="BS57" s="30">
        <f>IF(BR57="NO",5,0)</f>
        <v/>
      </c>
      <c r="BT57" s="30" t="inlineStr">
        <is>
          <t>Above 2</t>
        </is>
      </c>
      <c r="BU57" s="30">
        <f>IF(BT57="Above 2",0,IF(BT57="Between 1.5 to 2",5,IF(BT57="Less than 1.5",10,0)))</f>
        <v/>
      </c>
      <c r="BV57" s="30" t="inlineStr">
        <is>
          <t>Above 70%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</row>
    <row r="58">
      <c r="A58" s="30">
        <f>IF(B58=0,"",RANK(B58,$B$2:$B$331,0))</f>
        <v/>
      </c>
      <c r="B58" s="31">
        <f>SUM(N58,Y58,AA58,AC58,AE58,AG58,AI58,AK58,AM58,AO58,AQ58,AS58,AU58,AW58,AY58,BA58,BC58,BE58,BG58,BI58,BK58,BM58,BO58,BQ58,BS58,BU58,BW58,BY58,CA58,CC58,CE58)</f>
        <v/>
      </c>
      <c r="C58" s="30" t="inlineStr">
        <is>
          <t>FINCABLES</t>
        </is>
      </c>
      <c r="D58" s="30" t="inlineStr">
        <is>
          <t>Finolex Cables Limited</t>
        </is>
      </c>
      <c r="E58" s="30" t="inlineStr">
        <is>
          <t>industrials</t>
        </is>
      </c>
      <c r="F58" s="30" t="inlineStr">
        <is>
          <t>cables - power</t>
        </is>
      </c>
      <c r="G58" s="30" t="inlineStr">
        <is>
          <t>largecap</t>
        </is>
      </c>
      <c r="H58" s="31" t="n">
        <v>20698.81</v>
      </c>
      <c r="I58" s="31" t="n">
        <v>1418.4</v>
      </c>
      <c r="J58" s="31" t="n">
        <v>4.8</v>
      </c>
      <c r="K58" s="31" t="n">
        <v>2351771</v>
      </c>
      <c r="L58" s="30" t="n">
        <v>68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70.33</v>
      </c>
      <c r="P58" s="31" t="n">
        <v>35.87</v>
      </c>
      <c r="Q58" s="31" t="n">
        <v>1081.49</v>
      </c>
      <c r="R58" s="30" t="inlineStr">
        <is>
          <t>Near 52W High Breakout</t>
        </is>
      </c>
      <c r="S58" s="30" t="inlineStr">
        <is>
          <t>Nifty Energy</t>
        </is>
      </c>
      <c r="T58" s="31" t="n">
        <v>8.43</v>
      </c>
      <c r="U58" s="31" t="n">
        <v>60.49</v>
      </c>
      <c r="V58" s="31" t="n">
        <v>48.01</v>
      </c>
      <c r="W58" s="31" t="n">
        <v>21.73</v>
      </c>
      <c r="X58" s="30" t="inlineStr">
        <is>
          <t>Cyclical in an Upturn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No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One Time, Lower Annuity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20 to 40</t>
        </is>
      </c>
      <c r="AY58" s="30">
        <f>IF(AX58="Above 40",20,IF(AX58="20 to 40",10,IF(AX58="0 to 20",-5,0)))</f>
        <v/>
      </c>
      <c r="AZ58" s="30" t="inlineStr">
        <is>
          <t>Between 50 to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Blue sky scenario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No</t>
        </is>
      </c>
      <c r="BS58" s="30">
        <f>IF(BR58="NO",5,0)</f>
        <v/>
      </c>
      <c r="BT58" s="30" t="inlineStr">
        <is>
          <t>Less than 1.5</t>
        </is>
      </c>
      <c r="BU58" s="30">
        <f>IF(BT58="Above 2",0,IF(BT58="Between 1.5 to 2",5,IF(BT58="Less than 1.5",10,0)))</f>
        <v/>
      </c>
      <c r="BV58" s="30" t="inlineStr">
        <is>
          <t>Above 70%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</row>
    <row r="59">
      <c r="A59" s="30">
        <f>IF(B59=0,"",RANK(B59,$B$2:$B$331,0))</f>
        <v/>
      </c>
      <c r="B59" s="31">
        <f>SUM(N59,Y59,AA59,AC59,AE59,AG59,AI59,AK59,AM59,AO59,AQ59,AS59,AU59,AW59,AY59,BA59,BC59,BE59,BG59,BI59,BK59,BM59,BO59,BQ59,BS59,BU59,BW59,BY59,CA59,CC59,CE59)</f>
        <v/>
      </c>
      <c r="C59" s="30" t="inlineStr">
        <is>
          <t>THELEELA</t>
        </is>
      </c>
      <c r="D59" s="30" t="inlineStr">
        <is>
          <t>Leela Palaces Hotels &amp; Resorts Ltd</t>
        </is>
      </c>
      <c r="E59" s="30" t="inlineStr">
        <is>
          <t>services</t>
        </is>
      </c>
      <c r="F59" s="30" t="inlineStr">
        <is>
          <t>hotels</t>
        </is>
      </c>
      <c r="G59" s="30" t="inlineStr">
        <is>
          <t>midcap</t>
        </is>
      </c>
      <c r="H59" s="31" t="n">
        <v>17748.19</v>
      </c>
      <c r="I59" s="31" t="n">
        <v>554.15</v>
      </c>
      <c r="J59" s="31" t="n">
        <v>4.27</v>
      </c>
      <c r="K59" s="31" t="n">
        <v>343941</v>
      </c>
      <c r="L59" s="30" t="n">
        <v>39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68.48</v>
      </c>
      <c r="P59" s="31" t="n">
        <v>40.06</v>
      </c>
      <c r="Q59" s="31" t="n">
        <v>458.72</v>
      </c>
      <c r="R59" s="30" t="inlineStr">
        <is>
          <t>Near 52W High Breakout</t>
        </is>
      </c>
      <c r="S59" s="30" t="inlineStr">
        <is>
          <t>Nifty 50</t>
        </is>
      </c>
      <c r="T59" s="31" t="n">
        <v>-6.52</v>
      </c>
      <c r="U59" s="31" t="n">
        <v>32.07</v>
      </c>
      <c r="V59" s="31" t="n">
        <v>41.27</v>
      </c>
      <c r="W59" s="31" t="n">
        <v>12.15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No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Yes</t>
        </is>
      </c>
      <c r="AQ59" s="30">
        <f>IF(AP59="Yes",10,0)</f>
        <v/>
      </c>
      <c r="AR59" s="30" t="inlineStr">
        <is>
          <t>Higher One Time, Lower Annuity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Above 40</t>
        </is>
      </c>
      <c r="AY59" s="30">
        <f>IF(AX59="Above 40",20,IF(AX59="20 to 40",10,IF(AX59="0 to 20",-5,0)))</f>
        <v/>
      </c>
      <c r="AZ59" s="30" t="inlineStr">
        <is>
          <t>Between 50 to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Blue sky scenario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Yes</t>
        </is>
      </c>
      <c r="BS59" s="30">
        <f>IF(BR59="NO",5,0)</f>
        <v/>
      </c>
      <c r="BT59" s="30" t="inlineStr">
        <is>
          <t>Above 2</t>
        </is>
      </c>
      <c r="BU59" s="30">
        <f>IF(BT59="Above 2",0,IF(BT59="Between 1.5 to 2",5,IF(BT59="Less than 1.5",10,0)))</f>
        <v/>
      </c>
      <c r="BV59" s="30" t="inlineStr">
        <is>
          <t>Above 70%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</row>
    <row r="60">
      <c r="A60" s="30">
        <f>IF(B60=0,"",RANK(B60,$B$2:$B$331,0))</f>
        <v/>
      </c>
      <c r="B60" s="31">
        <f>SUM(N60,Y60,AA60,AC60,AE60,AG60,AI60,AK60,AM60,AO60,AQ60,AS60,AU60,AW60,AY60,BA60,BC60,BE60,BG60,BI60,BK60,BM60,BO60,BQ60,BS60,BU60,BW60,BY60,CA60,CC60,CE60)</f>
        <v/>
      </c>
      <c r="C60" s="30" t="inlineStr">
        <is>
          <t>CPPLUS</t>
        </is>
      </c>
      <c r="D60" s="30" t="inlineStr">
        <is>
          <t>Aditya Infotech Ltd</t>
        </is>
      </c>
      <c r="E60" s="30" t="inlineStr">
        <is>
          <t>consumer discretionary</t>
        </is>
      </c>
      <c r="F60" s="30" t="inlineStr">
        <is>
          <t>trading</t>
        </is>
      </c>
      <c r="G60" s="30" t="inlineStr">
        <is>
          <t>largecap</t>
        </is>
      </c>
      <c r="H60" s="31" t="n">
        <v>44147.97</v>
      </c>
      <c r="I60" s="31" t="n">
        <v>3829.1</v>
      </c>
      <c r="J60" s="31" t="n">
        <v>2.22</v>
      </c>
      <c r="K60" s="31" t="n">
        <v>215710</v>
      </c>
      <c r="L60" s="30" t="n">
        <v>78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72.47</v>
      </c>
      <c r="P60" s="31" t="n">
        <v>60.08</v>
      </c>
      <c r="Q60" s="31" t="n">
        <v>2906.28</v>
      </c>
      <c r="R60" s="30" t="inlineStr">
        <is>
          <t>Near 52W High Breakout</t>
        </is>
      </c>
      <c r="S60" s="30" t="inlineStr">
        <is>
          <t>Nifty 50</t>
        </is>
      </c>
      <c r="T60" s="31" t="n">
        <v>-6.52</v>
      </c>
      <c r="U60" s="31" t="n">
        <v>166.96</v>
      </c>
      <c r="V60" s="31" t="n">
        <v>185.56</v>
      </c>
      <c r="W60" s="31" t="n">
        <v>29.58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No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Yes</t>
        </is>
      </c>
      <c r="AQ60" s="30">
        <f>IF(AP60="Yes",10,0)</f>
        <v/>
      </c>
      <c r="AR60" s="30" t="inlineStr">
        <is>
          <t>Higher One Time, Lower Annuity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Above 40</t>
        </is>
      </c>
      <c r="AY60" s="30">
        <f>IF(AX60="Above 40",20,IF(AX60="20 to 40",10,IF(AX60="0 to 20",-5,0)))</f>
        <v/>
      </c>
      <c r="AZ60" s="30" t="inlineStr">
        <is>
          <t>Between 50 to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Blue sky scenario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Yes</t>
        </is>
      </c>
      <c r="BS60" s="30">
        <f>IF(BR60="NO",5,0)</f>
        <v/>
      </c>
      <c r="BT60" s="30" t="inlineStr">
        <is>
          <t>Above 2</t>
        </is>
      </c>
      <c r="BU60" s="30">
        <f>IF(BT60="Above 2",0,IF(BT60="Between 1.5 to 2",5,IF(BT60="Less than 1.5",10,0)))</f>
        <v/>
      </c>
      <c r="BV60" s="30" t="inlineStr">
        <is>
          <t>Above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</row>
    <row r="61">
      <c r="A61" s="30">
        <f>IF(B61=0,"",RANK(B61,$B$2:$B$331,0))</f>
        <v/>
      </c>
      <c r="B61" s="31">
        <f>SUM(N61,Y61,AA61,AC61,AE61,AG61,AI61,AK61,AM61,AO61,AQ61,AS61,AU61,AW61,AY61,BA61,BC61,BE61,BG61,BI61,BK61,BM61,BO61,BQ61,BS61,BU61,BW61,BY61,CA61,CC61,CE61)</f>
        <v/>
      </c>
      <c r="C61" s="30" t="inlineStr">
        <is>
          <t>IRISDOREME</t>
        </is>
      </c>
      <c r="D61" s="30" t="inlineStr">
        <is>
          <t>Iris Clothings Ltd</t>
        </is>
      </c>
      <c r="E61" s="30" t="inlineStr">
        <is>
          <t>consumer discretionary</t>
        </is>
      </c>
      <c r="F61" s="30" t="inlineStr">
        <is>
          <t>textiles - products</t>
        </is>
      </c>
      <c r="G61" s="30" t="inlineStr">
        <is>
          <t>smallcap</t>
        </is>
      </c>
      <c r="H61" s="31" t="n">
        <v>1166.73</v>
      </c>
      <c r="I61" s="31" t="n">
        <v>62.29</v>
      </c>
      <c r="J61" s="31" t="n">
        <v>1.62</v>
      </c>
      <c r="K61" s="31" t="n">
        <v>1407913</v>
      </c>
      <c r="L61" s="30" t="n">
        <v>82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81.68000000000001</v>
      </c>
      <c r="P61" s="31" t="n">
        <v>52.96</v>
      </c>
      <c r="Q61" s="31" t="n">
        <v>50.57</v>
      </c>
      <c r="R61" s="30" t="inlineStr">
        <is>
          <t>Near 52W High Breakout</t>
        </is>
      </c>
      <c r="S61" s="30" t="inlineStr">
        <is>
          <t>Nifty 50</t>
        </is>
      </c>
      <c r="T61" s="31" t="n">
        <v>-6.52</v>
      </c>
      <c r="U61" s="31" t="n">
        <v>99.2</v>
      </c>
      <c r="V61" s="31" t="n">
        <v>113.08</v>
      </c>
      <c r="W61" s="31" t="n">
        <v>32.25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Higher One Time, Lower Annuity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Above 40</t>
        </is>
      </c>
      <c r="AY61" s="30">
        <f>IF(AX61="Above 40",20,IF(AX61="20 to 40",10,IF(AX61="0 to 20",-5,0)))</f>
        <v/>
      </c>
      <c r="AZ61" s="30" t="inlineStr">
        <is>
          <t>Above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Positive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Close to 52 week high or retracement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Yes</t>
        </is>
      </c>
      <c r="BS61" s="30">
        <f>IF(BR61="NO",5,0)</f>
        <v/>
      </c>
      <c r="BT61" s="30" t="inlineStr">
        <is>
          <t>Less than 1.5</t>
        </is>
      </c>
      <c r="BU61" s="30">
        <f>IF(BT61="Above 2",0,IF(BT61="Between 1.5 to 2",5,IF(BT61="Less than 1.5",10,0)))</f>
        <v/>
      </c>
      <c r="BV61" s="30" t="inlineStr">
        <is>
          <t>Above 70%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Less than 0.7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</row>
    <row r="62">
      <c r="A62" s="30">
        <f>IF(B62=0,"",RANK(B62,$B$2:$B$331,0))</f>
        <v/>
      </c>
      <c r="B62" s="31">
        <f>SUM(N62,Y62,AA62,AC62,AE62,AG62,AI62,AK62,AM62,AO62,AQ62,AS62,AU62,AW62,AY62,BA62,BC62,BE62,BG62,BI62,BK62,BM62,BO62,BQ62,BS62,BU62,BW62,BY62,CA62,CC62,CE62)</f>
        <v/>
      </c>
      <c r="C62" s="30" t="inlineStr">
        <is>
          <t>JKPAPER</t>
        </is>
      </c>
      <c r="D62" s="30" t="inlineStr">
        <is>
          <t>Jk Paper Limited</t>
        </is>
      </c>
      <c r="E62" s="30" t="inlineStr">
        <is>
          <t>building materials</t>
        </is>
      </c>
      <c r="F62" s="30" t="inlineStr">
        <is>
          <t>paper</t>
        </is>
      </c>
      <c r="G62" s="30" t="inlineStr">
        <is>
          <t>midcap</t>
        </is>
      </c>
      <c r="H62" s="31" t="n">
        <v>7413.22</v>
      </c>
      <c r="I62" s="31" t="n">
        <v>415.15</v>
      </c>
      <c r="J62" s="31" t="n">
        <v>1.54</v>
      </c>
      <c r="K62" s="31" t="n">
        <v>748718</v>
      </c>
      <c r="L62" s="30" t="n">
        <v>19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66.34999999999999</v>
      </c>
      <c r="P62" s="31" t="n">
        <v>32.19</v>
      </c>
      <c r="Q62" s="31" t="n">
        <v>337.64</v>
      </c>
      <c r="R62" s="30" t="inlineStr">
        <is>
          <t>Near 52W High Breakout</t>
        </is>
      </c>
      <c r="S62" s="30" t="inlineStr">
        <is>
          <t>Nifty Infra</t>
        </is>
      </c>
      <c r="T62" s="31" t="n">
        <v>0.74</v>
      </c>
      <c r="U62" s="31" t="n">
        <v>13.72</v>
      </c>
      <c r="V62" s="31" t="n">
        <v>12.88</v>
      </c>
      <c r="W62" s="31" t="n">
        <v>6.12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Yes</t>
        </is>
      </c>
      <c r="AQ62" s="30">
        <f>IF(AP62="Yes",10,0)</f>
        <v/>
      </c>
      <c r="AR62" s="30" t="inlineStr">
        <is>
          <t>Higher One Time, Lower Annuity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20 to 40</t>
        </is>
      </c>
      <c r="AY62" s="30">
        <f>IF(AX62="Above 40",20,IF(AX62="20 to 40",10,IF(AX62="0 to 20",-5,0)))</f>
        <v/>
      </c>
      <c r="AZ62" s="30" t="inlineStr">
        <is>
          <t>Between 50 to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Close to 52 week high or retracement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No</t>
        </is>
      </c>
      <c r="BS62" s="30">
        <f>IF(BR62="NO",5,0)</f>
        <v/>
      </c>
      <c r="BT62" s="30" t="inlineStr">
        <is>
          <t>Less than 1.5</t>
        </is>
      </c>
      <c r="BU62" s="30">
        <f>IF(BT62="Above 2",0,IF(BT62="Between 1.5 to 2",5,IF(BT62="Less than 1.5",10,0)))</f>
        <v/>
      </c>
      <c r="BV62" s="30" t="inlineStr">
        <is>
          <t>Above 70%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</row>
    <row r="63">
      <c r="A63" s="30">
        <f>IF(B63=0,"",RANK(B63,$B$2:$B$331,0))</f>
        <v/>
      </c>
      <c r="B63" s="31">
        <f>SUM(N63,Y63,AA63,AC63,AE63,AG63,AI63,AK63,AM63,AO63,AQ63,AS63,AU63,AW63,AY63,BA63,BC63,BE63,BG63,BI63,BK63,BM63,BO63,BQ63,BS63,BU63,BW63,BY63,CA63,CC63,CE63)</f>
        <v/>
      </c>
      <c r="C63" s="30" t="inlineStr">
        <is>
          <t>OMAXE</t>
        </is>
      </c>
      <c r="D63" s="30" t="inlineStr">
        <is>
          <t>Omaxe Limited</t>
        </is>
      </c>
      <c r="E63" s="30" t="inlineStr">
        <is>
          <t>realty</t>
        </is>
      </c>
      <c r="F63" s="30" t="inlineStr">
        <is>
          <t>construction</t>
        </is>
      </c>
      <c r="G63" s="30" t="inlineStr">
        <is>
          <t>smallcap</t>
        </is>
      </c>
      <c r="H63" s="31" t="n">
        <v>2219.68</v>
      </c>
      <c r="I63" s="31" t="n">
        <v>122.42</v>
      </c>
      <c r="J63" s="31" t="n">
        <v>0.87</v>
      </c>
      <c r="K63" s="31" t="n">
        <v>742271</v>
      </c>
      <c r="L63" s="30" t="n">
        <v>54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68.17</v>
      </c>
      <c r="P63" s="31" t="n">
        <v>40.16</v>
      </c>
      <c r="Q63" s="31" t="n">
        <v>96.73999999999999</v>
      </c>
      <c r="R63" s="30" t="inlineStr">
        <is>
          <t>Earnings / Momentum Support</t>
        </is>
      </c>
      <c r="S63" s="30" t="inlineStr">
        <is>
          <t>Nifty Realty</t>
        </is>
      </c>
      <c r="T63" s="31" t="n">
        <v>-8.26</v>
      </c>
      <c r="U63" s="31" t="n">
        <v>30</v>
      </c>
      <c r="V63" s="31" t="n">
        <v>41.71</v>
      </c>
      <c r="W63" s="31" t="n">
        <v>16.79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No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No</t>
        </is>
      </c>
      <c r="AQ63" s="30">
        <f>IF(AP63="Yes",10,0)</f>
        <v/>
      </c>
      <c r="AR63" s="30" t="inlineStr">
        <is>
          <t>Higher One Time, Lower Annuity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Above 40</t>
        </is>
      </c>
      <c r="AY63" s="30">
        <f>IF(AX63="Above 40",20,IF(AX63="20 to 40",10,IF(AX63="0 to 20",-5,0)))</f>
        <v/>
      </c>
      <c r="AZ63" s="30" t="inlineStr">
        <is>
          <t>Between 50 to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Close to 52 week high or retracement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No</t>
        </is>
      </c>
      <c r="BS63" s="30">
        <f>IF(BR63="NO",5,0)</f>
        <v/>
      </c>
      <c r="BT63" s="30" t="inlineStr">
        <is>
          <t>Less than 1.5</t>
        </is>
      </c>
      <c r="BU63" s="30">
        <f>IF(BT63="Above 2",0,IF(BT63="Between 1.5 to 2",5,IF(BT63="Less than 1.5",10,0)))</f>
        <v/>
      </c>
      <c r="BV63" s="30" t="inlineStr">
        <is>
          <t>Above 70%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</row>
    <row r="64">
      <c r="A64" s="30">
        <f>IF(B64=0,"",RANK(B64,$B$2:$B$331,0))</f>
        <v/>
      </c>
      <c r="B64" s="31">
        <f>SUM(N64,Y64,AA64,AC64,AE64,AG64,AI64,AK64,AM64,AO64,AQ64,AS64,AU64,AW64,AY64,BA64,BC64,BE64,BG64,BI64,BK64,BM64,BO64,BQ64,BS64,BU64,BW64,BY64,CA64,CC64,CE64)</f>
        <v/>
      </c>
      <c r="C64" s="30" t="inlineStr">
        <is>
          <t>JAYAGROGN</t>
        </is>
      </c>
      <c r="D64" s="30" t="inlineStr">
        <is>
          <t>Jayant Agro Organics Limited</t>
        </is>
      </c>
      <c r="E64" s="30" t="inlineStr">
        <is>
          <t>chemicals</t>
        </is>
      </c>
      <c r="F64" s="30" t="inlineStr">
        <is>
          <t>chemicals</t>
        </is>
      </c>
      <c r="G64" s="30" t="inlineStr">
        <is>
          <t>smallcap</t>
        </is>
      </c>
      <c r="H64" s="31" t="n">
        <v>770.7</v>
      </c>
      <c r="I64" s="31" t="n">
        <v>258.18</v>
      </c>
      <c r="J64" s="31" t="n">
        <v>0.5</v>
      </c>
      <c r="K64" s="31" t="n">
        <v>75360</v>
      </c>
      <c r="L64" s="30" t="n">
        <v>21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71.78</v>
      </c>
      <c r="P64" s="31" t="n">
        <v>38.9</v>
      </c>
      <c r="Q64" s="31" t="n">
        <v>200.12</v>
      </c>
      <c r="R64" s="30" t="inlineStr">
        <is>
          <t>Volume Spike &amp; Near 52W High Breakout</t>
        </is>
      </c>
      <c r="S64" s="30" t="inlineStr">
        <is>
          <t>Nifty 50</t>
        </is>
      </c>
      <c r="T64" s="31" t="n">
        <v>-6.52</v>
      </c>
      <c r="U64" s="31" t="n">
        <v>9.369999999999999</v>
      </c>
      <c r="V64" s="31" t="n">
        <v>16.99</v>
      </c>
      <c r="W64" s="31" t="n">
        <v>6.61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No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Yes</t>
        </is>
      </c>
      <c r="AQ64" s="30">
        <f>IF(AP64="Yes",10,0)</f>
        <v/>
      </c>
      <c r="AR64" s="30" t="inlineStr">
        <is>
          <t>Higher One Time, Lower Annuity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20 to 40</t>
        </is>
      </c>
      <c r="AY64" s="30">
        <f>IF(AX64="Above 40",20,IF(AX64="20 to 40",10,IF(AX64="0 to 20",-5,0)))</f>
        <v/>
      </c>
      <c r="AZ64" s="30" t="inlineStr">
        <is>
          <t>Between 50 to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Close to 52 week high or retracement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No</t>
        </is>
      </c>
      <c r="BS64" s="30">
        <f>IF(BR64="NO",5,0)</f>
        <v/>
      </c>
      <c r="BT64" s="30" t="inlineStr">
        <is>
          <t>Less than 1.5</t>
        </is>
      </c>
      <c r="BU64" s="30">
        <f>IF(BT64="Above 2",0,IF(BT64="Between 1.5 to 2",5,IF(BT64="Less than 1.5",10,0)))</f>
        <v/>
      </c>
      <c r="BV64" s="30" t="inlineStr">
        <is>
          <t>Above 70%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</row>
    <row r="65">
      <c r="A65" s="30">
        <f>IF(B65=0,"",RANK(B65,$B$2:$B$331,0))</f>
        <v/>
      </c>
      <c r="B65" s="31">
        <f>SUM(N65,Y65,AA65,AC65,AE65,AG65,AI65,AK65,AM65,AO65,AQ65,AS65,AU65,AW65,AY65,BA65,BC65,BE65,BG65,BI65,BK65,BM65,BO65,BQ65,BS65,BU65,BW65,BY65,CA65,CC65,CE65)</f>
        <v/>
      </c>
      <c r="C65" s="30" t="inlineStr">
        <is>
          <t>JINDWORLD</t>
        </is>
      </c>
      <c r="D65" s="30" t="inlineStr">
        <is>
          <t>Jindal Worldwide Limited</t>
        </is>
      </c>
      <c r="E65" s="30" t="inlineStr">
        <is>
          <t>textiles</t>
        </is>
      </c>
      <c r="F65" s="30" t="inlineStr">
        <is>
          <t>textiles - products</t>
        </is>
      </c>
      <c r="G65" s="30" t="inlineStr">
        <is>
          <t>midcap</t>
        </is>
      </c>
      <c r="H65" s="31" t="n">
        <v>5558.43</v>
      </c>
      <c r="I65" s="31" t="n">
        <v>55.64</v>
      </c>
      <c r="J65" s="31" t="n">
        <v>0.36</v>
      </c>
      <c r="K65" s="31" t="n">
        <v>21274518</v>
      </c>
      <c r="L65" s="30" t="n">
        <v>85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76.5</v>
      </c>
      <c r="P65" s="31" t="n">
        <v>41.51</v>
      </c>
      <c r="Q65" s="31" t="n">
        <v>41.31</v>
      </c>
      <c r="R65" s="30" t="inlineStr">
        <is>
          <t>Volume Spike &amp; Near 52W High Breakout</t>
        </is>
      </c>
      <c r="S65" s="30" t="inlineStr">
        <is>
          <t>Nifty 50</t>
        </is>
      </c>
      <c r="T65" s="31" t="n">
        <v>-6.52</v>
      </c>
      <c r="U65" s="31" t="n">
        <v>53.91</v>
      </c>
      <c r="V65" s="31" t="n">
        <v>64.64</v>
      </c>
      <c r="W65" s="31" t="n">
        <v>33.53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Yes</t>
        </is>
      </c>
      <c r="AQ65" s="30">
        <f>IF(AP65="Yes",10,0)</f>
        <v/>
      </c>
      <c r="AR65" s="30" t="inlineStr">
        <is>
          <t>Higher One Time, Lower Annuity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Above 40</t>
        </is>
      </c>
      <c r="AY65" s="30">
        <f>IF(AX65="Above 40",20,IF(AX65="20 to 40",10,IF(AX65="0 to 20",-5,0)))</f>
        <v/>
      </c>
      <c r="AZ65" s="30" t="inlineStr">
        <is>
          <t>Above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Positive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Close to 52 week high or retracement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Yes</t>
        </is>
      </c>
      <c r="BS65" s="30">
        <f>IF(BR65="NO",5,0)</f>
        <v/>
      </c>
      <c r="BT65" s="30" t="inlineStr">
        <is>
          <t>Less than 1.5</t>
        </is>
      </c>
      <c r="BU65" s="30">
        <f>IF(BT65="Above 2",0,IF(BT65="Between 1.5 to 2",5,IF(BT65="Less than 1.5",10,0)))</f>
        <v/>
      </c>
      <c r="BV65" s="30" t="inlineStr">
        <is>
          <t>Above 70%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</row>
    <row r="66">
      <c r="A66" s="30">
        <f>IF(B66=0,"",RANK(B66,$B$2:$B$331,0))</f>
        <v/>
      </c>
      <c r="B66" s="31">
        <f>SUM(N66,Y66,AA66,AC66,AE66,AG66,AI66,AK66,AM66,AO66,AQ66,AS66,AU66,AW66,AY66,BA66,BC66,BE66,BG66,BI66,BK66,BM66,BO66,BQ66,BS66,BU66,BW66,BY66,CA66,CC66,CE66)</f>
        <v/>
      </c>
      <c r="C66" s="30" t="inlineStr">
        <is>
          <t>CARTRADE</t>
        </is>
      </c>
      <c r="D66" s="30" t="inlineStr">
        <is>
          <t>Cartrade Tech Ltd</t>
        </is>
      </c>
      <c r="E66" s="30" t="inlineStr">
        <is>
          <t>consumer discretionary</t>
        </is>
      </c>
      <c r="F66" s="30" t="inlineStr">
        <is>
          <t>miscellaneous</t>
        </is>
      </c>
      <c r="G66" s="30" t="inlineStr">
        <is>
          <t>midcap</t>
        </is>
      </c>
      <c r="H66" s="31" t="n">
        <v>14537.05</v>
      </c>
      <c r="I66" s="31" t="n">
        <v>3034.7</v>
      </c>
      <c r="J66" s="31" t="n">
        <v>0.25</v>
      </c>
      <c r="K66" s="31" t="n">
        <v>155066</v>
      </c>
      <c r="L66" s="30" t="n">
        <v>50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67.95999999999999</v>
      </c>
      <c r="P66" s="31" t="n">
        <v>48.9</v>
      </c>
      <c r="Q66" s="31" t="n">
        <v>2298.72</v>
      </c>
      <c r="R66" s="30" t="inlineStr">
        <is>
          <t>Near 52W High Breakout</t>
        </is>
      </c>
      <c r="S66" s="30" t="inlineStr">
        <is>
          <t>Nifty 50</t>
        </is>
      </c>
      <c r="T66" s="31" t="n">
        <v>-6.52</v>
      </c>
      <c r="U66" s="31" t="n">
        <v>29.79</v>
      </c>
      <c r="V66" s="31" t="n">
        <v>38.83</v>
      </c>
      <c r="W66" s="31" t="n">
        <v>15.46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Yes</t>
        </is>
      </c>
      <c r="AQ66" s="30">
        <f>IF(AP66="Yes",10,0)</f>
        <v/>
      </c>
      <c r="AR66" s="30" t="inlineStr">
        <is>
          <t>Higher One Time, Lower Annuity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Above 40</t>
        </is>
      </c>
      <c r="AY66" s="30">
        <f>IF(AX66="Above 40",20,IF(AX66="20 to 40",10,IF(AX66="0 to 20",-5,0)))</f>
        <v/>
      </c>
      <c r="AZ66" s="30" t="inlineStr">
        <is>
          <t>Between 50 to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Positive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Blue sky scenario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Yes</t>
        </is>
      </c>
      <c r="BS66" s="30">
        <f>IF(BR66="NO",5,0)</f>
        <v/>
      </c>
      <c r="BT66" s="30" t="inlineStr">
        <is>
          <t>Above 2</t>
        </is>
      </c>
      <c r="BU66" s="30">
        <f>IF(BT66="Above 2",0,IF(BT66="Between 1.5 to 2",5,IF(BT66="Less than 1.5",10,0)))</f>
        <v/>
      </c>
      <c r="BV66" s="30" t="inlineStr">
        <is>
          <t>Above 70%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Less than 0.7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</row>
    <row r="67">
      <c r="A67" s="30">
        <f>IF(B67=0,"",RANK(B67,$B$2:$B$331,0))</f>
        <v/>
      </c>
      <c r="B67" s="31">
        <f>SUM(N67,Y67,AA67,AC67,AE67,AG67,AI67,AK67,AM67,AO67,AQ67,AS67,AU67,AW67,AY67,BA67,BC67,BE67,BG67,BI67,BK67,BM67,BO67,BQ67,BS67,BU67,BW67,BY67,CA67,CC67,CE67)</f>
        <v/>
      </c>
      <c r="C67" s="30" t="inlineStr">
        <is>
          <t>WELSPUNLIV</t>
        </is>
      </c>
      <c r="D67" s="30" t="inlineStr">
        <is>
          <t>Welspun Living Ltd</t>
        </is>
      </c>
      <c r="E67" s="30" t="inlineStr">
        <is>
          <t>textiles</t>
        </is>
      </c>
      <c r="F67" s="30" t="inlineStr">
        <is>
          <t>textiles - products</t>
        </is>
      </c>
      <c r="G67" s="30" t="inlineStr">
        <is>
          <t>midcap</t>
        </is>
      </c>
      <c r="H67" s="31" t="n">
        <v>19866.26</v>
      </c>
      <c r="I67" s="31" t="n">
        <v>210.5</v>
      </c>
      <c r="J67" s="31" t="n">
        <v>0.1</v>
      </c>
      <c r="K67" s="31" t="n">
        <v>1879096</v>
      </c>
      <c r="L67" s="30" t="n">
        <v>73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79.23999999999999</v>
      </c>
      <c r="P67" s="31" t="n">
        <v>40.45</v>
      </c>
      <c r="Q67" s="31" t="n">
        <v>168.89</v>
      </c>
      <c r="R67" s="30" t="inlineStr">
        <is>
          <t>Near 52W High Breakout</t>
        </is>
      </c>
      <c r="S67" s="30" t="inlineStr">
        <is>
          <t>Nifty 50</t>
        </is>
      </c>
      <c r="T67" s="31" t="n">
        <v>-6.52</v>
      </c>
      <c r="U67" s="31" t="n">
        <v>73.97</v>
      </c>
      <c r="V67" s="31" t="n">
        <v>86.09999999999999</v>
      </c>
      <c r="W67" s="31" t="n">
        <v>24.54</v>
      </c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No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Yes</t>
        </is>
      </c>
      <c r="AQ67" s="30">
        <f>IF(AP67="Yes",10,0)</f>
        <v/>
      </c>
      <c r="AR67" s="30" t="inlineStr">
        <is>
          <t>Higher One Time, Lower Annuity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Above 40</t>
        </is>
      </c>
      <c r="AY67" s="30">
        <f>IF(AX67="Above 40",20,IF(AX67="20 to 40",10,IF(AX67="0 to 20",-5,0)))</f>
        <v/>
      </c>
      <c r="AZ67" s="30" t="inlineStr">
        <is>
          <t>Above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Positive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Blue sky scenario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Yes</t>
        </is>
      </c>
      <c r="BS67" s="30">
        <f>IF(BR67="NO",5,0)</f>
        <v/>
      </c>
      <c r="BT67" s="30" t="inlineStr">
        <is>
          <t>Less than 1.5</t>
        </is>
      </c>
      <c r="BU67" s="30">
        <f>IF(BT67="Above 2",0,IF(BT67="Between 1.5 to 2",5,IF(BT67="Less than 1.5",10,0)))</f>
        <v/>
      </c>
      <c r="BV67" s="30" t="inlineStr">
        <is>
          <t>Above 70%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</row>
    <row r="68">
      <c r="A68" s="30">
        <f>IF(B68=0,"",RANK(B68,$B$2:$B$331,0))</f>
        <v/>
      </c>
      <c r="B68" s="31">
        <f>SUM(N68,Y68,AA68,AC68,AE68,AG68,AI68,AK68,AM68,AO68,AQ68,AS68,AU68,AW68,AY68,BA68,BC68,BE68,BG68,BI68,BK68,BM68,BO68,BQ68,BS68,BU68,BW68,BY68,CA68,CC68,CE68)</f>
        <v/>
      </c>
      <c r="C68" s="30" t="inlineStr">
        <is>
          <t>SOLARINDS</t>
        </is>
      </c>
      <c r="D68" s="30" t="inlineStr">
        <is>
          <t>Solar Industries India Limited</t>
        </is>
      </c>
      <c r="E68" s="30" t="inlineStr">
        <is>
          <t>aerospace &amp; defence</t>
        </is>
      </c>
      <c r="F68" s="30" t="inlineStr">
        <is>
          <t>chemicals</t>
        </is>
      </c>
      <c r="G68" s="30" t="inlineStr">
        <is>
          <t>largecap</t>
        </is>
      </c>
      <c r="H68" s="31" t="n">
        <v>202290.52</v>
      </c>
      <c r="I68" s="31" t="n">
        <v>22370</v>
      </c>
      <c r="J68" s="31" t="n">
        <v>0.07000000000000001</v>
      </c>
      <c r="K68" s="31" t="n">
        <v>58690</v>
      </c>
      <c r="L68" s="30" t="n">
        <v>53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78.93000000000001</v>
      </c>
      <c r="P68" s="31" t="n">
        <v>40.15</v>
      </c>
      <c r="Q68" s="31" t="n">
        <v>18627.94</v>
      </c>
      <c r="R68" s="30" t="inlineStr">
        <is>
          <t>Near 52W High Breakout</t>
        </is>
      </c>
      <c r="S68" s="30" t="inlineStr">
        <is>
          <t>Nifty 500</t>
        </is>
      </c>
      <c r="T68" s="31" t="n">
        <v>-1.03</v>
      </c>
      <c r="U68" s="31" t="n">
        <v>55.41</v>
      </c>
      <c r="V68" s="31" t="n">
        <v>57.02</v>
      </c>
      <c r="W68" s="31" t="n">
        <v>16.54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No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Yes</t>
        </is>
      </c>
      <c r="AQ68" s="30">
        <f>IF(AP68="Yes",10,0)</f>
        <v/>
      </c>
      <c r="AR68" s="30" t="inlineStr">
        <is>
          <t>Higher One Time, Lower Annuity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Above 40</t>
        </is>
      </c>
      <c r="AY68" s="30">
        <f>IF(AX68="Above 40",20,IF(AX68="20 to 40",10,IF(AX68="0 to 20",-5,0)))</f>
        <v/>
      </c>
      <c r="AZ68" s="30" t="inlineStr">
        <is>
          <t>Above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Positive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Blue sky scenario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Yes</t>
        </is>
      </c>
      <c r="BS68" s="30">
        <f>IF(BR68="NO",5,0)</f>
        <v/>
      </c>
      <c r="BT68" s="30" t="inlineStr">
        <is>
          <t>Less than 1.5</t>
        </is>
      </c>
      <c r="BU68" s="30">
        <f>IF(BT68="Above 2",0,IF(BT68="Between 1.5 to 2",5,IF(BT68="Less than 1.5",10,0)))</f>
        <v/>
      </c>
      <c r="BV68" s="30" t="inlineStr">
        <is>
          <t>Above 70%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Less than 0.7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</row>
    <row r="69">
      <c r="A69" s="30">
        <f>IF(B69=0,"",RANK(B69,$B$2:$B$331,0))</f>
        <v/>
      </c>
      <c r="B69" s="31">
        <f>SUM(N69,Y69,AA69,AC69,AE69,AG69,AI69,AK69,AM69,AO69,AQ69,AS69,AU69,AW69,AY69,BA69,BC69,BE69,BG69,BI69,BK69,BM69,BO69,BQ69,BS69,BU69,BW69,BY69,CA69,CC69,CE69)</f>
        <v/>
      </c>
      <c r="C69" s="30" t="inlineStr">
        <is>
          <t>UNIPARTS</t>
        </is>
      </c>
      <c r="D69" s="30" t="inlineStr">
        <is>
          <t>Uniparts India Ltd</t>
        </is>
      </c>
      <c r="E69" s="30" t="inlineStr">
        <is>
          <t>industrials</t>
        </is>
      </c>
      <c r="F69" s="30" t="inlineStr">
        <is>
          <t>engineering</t>
        </is>
      </c>
      <c r="G69" s="30" t="inlineStr">
        <is>
          <t>smallcap</t>
        </is>
      </c>
      <c r="H69" s="31" t="n">
        <v>4036.02</v>
      </c>
      <c r="I69" s="31" t="n">
        <v>893.85</v>
      </c>
      <c r="J69" s="31" t="n">
        <v>-0.02</v>
      </c>
      <c r="K69" s="31" t="n">
        <v>208073</v>
      </c>
      <c r="L69" s="30" t="n">
        <v>77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83.44</v>
      </c>
      <c r="P69" s="31" t="n">
        <v>69.7</v>
      </c>
      <c r="Q69" s="31" t="n">
        <v>730.23</v>
      </c>
      <c r="R69" s="30" t="inlineStr">
        <is>
          <t>Near 52W High Breakout</t>
        </is>
      </c>
      <c r="S69" s="30" t="inlineStr">
        <is>
          <t>Nifty 50</t>
        </is>
      </c>
      <c r="T69" s="31" t="n">
        <v>-6.52</v>
      </c>
      <c r="U69" s="31" t="n">
        <v>132.35</v>
      </c>
      <c r="V69" s="31" t="n">
        <v>148.55</v>
      </c>
      <c r="W69" s="31" t="n">
        <v>27.83</v>
      </c>
      <c r="X69" s="30" t="inlineStr">
        <is>
          <t>Cyclical in an Upturn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Yes</t>
        </is>
      </c>
      <c r="AQ69" s="30">
        <f>IF(AP69="Yes",10,0)</f>
        <v/>
      </c>
      <c r="AR69" s="30" t="inlineStr">
        <is>
          <t>Higher One Time, Lower Annuity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Above 40</t>
        </is>
      </c>
      <c r="AY69" s="30">
        <f>IF(AX69="Above 40",20,IF(AX69="20 to 40",10,IF(AX69="0 to 20",-5,0)))</f>
        <v/>
      </c>
      <c r="AZ69" s="30" t="inlineStr">
        <is>
          <t>Above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Positive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Blue sky scenario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No</t>
        </is>
      </c>
      <c r="BS69" s="30">
        <f>IF(BR69="NO",5,0)</f>
        <v/>
      </c>
      <c r="BT69" s="30" t="inlineStr">
        <is>
          <t>Less than 1.5</t>
        </is>
      </c>
      <c r="BU69" s="30">
        <f>IF(BT69="Above 2",0,IF(BT69="Between 1.5 to 2",5,IF(BT69="Less than 1.5",10,0)))</f>
        <v/>
      </c>
      <c r="BV69" s="30" t="inlineStr">
        <is>
          <t>Above 70%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</row>
    <row r="70">
      <c r="A70" s="30">
        <f>IF(B70=0,"",RANK(B70,$B$2:$B$331,0))</f>
        <v/>
      </c>
      <c r="B70" s="31">
        <f>SUM(N70,Y70,AA70,AC70,AE70,AG70,AI70,AK70,AM70,AO70,AQ70,AS70,AU70,AW70,AY70,BA70,BC70,BE70,BG70,BI70,BK70,BM70,BO70,BQ70,BS70,BU70,BW70,BY70,CA70,CC70,CE70)</f>
        <v/>
      </c>
      <c r="C70" s="30" t="inlineStr">
        <is>
          <t>PASUPTAC</t>
        </is>
      </c>
      <c r="D70" s="30" t="inlineStr">
        <is>
          <t>Pasupati Acrylon Ltd</t>
        </is>
      </c>
      <c r="E70" s="30" t="inlineStr">
        <is>
          <t>textiles</t>
        </is>
      </c>
      <c r="F70" s="30" t="inlineStr">
        <is>
          <t>textiles - manmade</t>
        </is>
      </c>
      <c r="G70" s="30" t="inlineStr">
        <is>
          <t>smallcap</t>
        </is>
      </c>
      <c r="H70" s="31" t="n">
        <v>605.3</v>
      </c>
      <c r="I70" s="31" t="n">
        <v>67.76000000000001</v>
      </c>
      <c r="J70" s="31" t="n">
        <v>-0.22</v>
      </c>
      <c r="K70" s="31" t="n">
        <v>41488</v>
      </c>
      <c r="L70" s="30" t="n">
        <v>33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62.15</v>
      </c>
      <c r="P70" s="31" t="n">
        <v>47.47</v>
      </c>
      <c r="Q70" s="31" t="n">
        <v>49.33</v>
      </c>
      <c r="R70" s="30" t="inlineStr">
        <is>
          <t>Earnings / Momentum Support</t>
        </is>
      </c>
      <c r="S70" s="30" t="inlineStr">
        <is>
          <t>Nifty 50</t>
        </is>
      </c>
      <c r="T70" s="31" t="n">
        <v>-6.52</v>
      </c>
      <c r="U70" s="31" t="n">
        <v>46.19</v>
      </c>
      <c r="V70" s="31" t="n">
        <v>56.38</v>
      </c>
      <c r="W70" s="31" t="n">
        <v>10.16</v>
      </c>
      <c r="X70" s="30" t="inlineStr">
        <is>
          <t>Growing Industry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No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No</t>
        </is>
      </c>
      <c r="AQ70" s="30">
        <f>IF(AP70="Yes",10,0)</f>
        <v/>
      </c>
      <c r="AR70" s="30" t="inlineStr">
        <is>
          <t>Higher One Time, Lower Annuity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Above 40</t>
        </is>
      </c>
      <c r="AY70" s="30">
        <f>IF(AX70="Above 40",20,IF(AX70="20 to 40",10,IF(AX70="0 to 20",-5,0)))</f>
        <v/>
      </c>
      <c r="AZ70" s="30" t="inlineStr">
        <is>
          <t>Between 50 to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Close to 52 week high or retracement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No</t>
        </is>
      </c>
      <c r="BS70" s="30">
        <f>IF(BR70="NO",5,0)</f>
        <v/>
      </c>
      <c r="BT70" s="30" t="inlineStr">
        <is>
          <t>Less than 1.5</t>
        </is>
      </c>
      <c r="BU70" s="30">
        <f>IF(BT70="Above 2",0,IF(BT70="Between 1.5 to 2",5,IF(BT70="Less than 1.5",10,0)))</f>
        <v/>
      </c>
      <c r="BV70" s="30" t="inlineStr">
        <is>
          <t>Above 70%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Less than 0.7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</row>
    <row r="71">
      <c r="A71" s="30">
        <f>IF(B71=0,"",RANK(B71,$B$2:$B$331,0))</f>
        <v/>
      </c>
      <c r="B71" s="31">
        <f>SUM(N71,Y71,AA71,AC71,AE71,AG71,AI71,AK71,AM71,AO71,AQ71,AS71,AU71,AW71,AY71,BA71,BC71,BE71,BG71,BI71,BK71,BM71,BO71,BQ71,BS71,BU71,BW71,BY71,CA71,CC71,CE71)</f>
        <v/>
      </c>
      <c r="C71" s="30" t="inlineStr">
        <is>
          <t>PCJEWELLER</t>
        </is>
      </c>
      <c r="D71" s="30" t="inlineStr">
        <is>
          <t>Pc Jeweller Limited</t>
        </is>
      </c>
      <c r="E71" s="30" t="inlineStr">
        <is>
          <t>consumer discretionary</t>
        </is>
      </c>
      <c r="F71" s="30" t="inlineStr">
        <is>
          <t>diamond cutting / jewellery</t>
        </is>
      </c>
      <c r="G71" s="30" t="inlineStr">
        <is>
          <t>midcap</t>
        </is>
      </c>
      <c r="H71" s="31" t="n">
        <v>13468.51</v>
      </c>
      <c r="I71" s="31" t="n">
        <v>13.83</v>
      </c>
      <c r="J71" s="31" t="n">
        <v>-0.29</v>
      </c>
      <c r="K71" s="31" t="n">
        <v>530933799</v>
      </c>
      <c r="L71" s="30" t="n">
        <v>48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73.20999999999999</v>
      </c>
      <c r="P71" s="31" t="n">
        <v>22.76</v>
      </c>
      <c r="Q71" s="31" t="n">
        <v>10.13</v>
      </c>
      <c r="R71" s="30" t="inlineStr">
        <is>
          <t>Near 52W High Breakout</t>
        </is>
      </c>
      <c r="S71" s="30" t="inlineStr">
        <is>
          <t>Nifty 50</t>
        </is>
      </c>
      <c r="T71" s="31" t="n">
        <v>-6.52</v>
      </c>
      <c r="U71" s="31" t="n">
        <v>5.33</v>
      </c>
      <c r="V71" s="31" t="n">
        <v>12.67</v>
      </c>
      <c r="W71" s="31" t="n">
        <v>15.18</v>
      </c>
      <c r="X71" s="30" t="inlineStr">
        <is>
          <t>Growing Industry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No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Yes</t>
        </is>
      </c>
      <c r="AQ71" s="30">
        <f>IF(AP71="Yes",10,0)</f>
        <v/>
      </c>
      <c r="AR71" s="30" t="inlineStr">
        <is>
          <t>Higher One Time, Lower Annuity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20 to 40</t>
        </is>
      </c>
      <c r="AY71" s="30">
        <f>IF(AX71="Above 40",20,IF(AX71="20 to 40",10,IF(AX71="0 to 20",-5,0)))</f>
        <v/>
      </c>
      <c r="AZ71" s="30" t="inlineStr">
        <is>
          <t>Between 50 to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Close to 52 week high or retracement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No</t>
        </is>
      </c>
      <c r="BS71" s="30">
        <f>IF(BR71="NO",5,0)</f>
        <v/>
      </c>
      <c r="BT71" s="30" t="inlineStr">
        <is>
          <t>Less than 1.5</t>
        </is>
      </c>
      <c r="BU71" s="30">
        <f>IF(BT71="Above 2",0,IF(BT71="Between 1.5 to 2",5,IF(BT71="Less than 1.5",10,0)))</f>
        <v/>
      </c>
      <c r="BV71" s="30" t="inlineStr">
        <is>
          <t>Above 70%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Less than 0.7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</row>
    <row r="72">
      <c r="A72" s="30">
        <f>IF(B72=0,"",RANK(B72,$B$2:$B$331,0))</f>
        <v/>
      </c>
      <c r="B72" s="31">
        <f>SUM(N72,Y72,AA72,AC72,AE72,AG72,AI72,AK72,AM72,AO72,AQ72,AS72,AU72,AW72,AY72,BA72,BC72,BE72,BG72,BI72,BK72,BM72,BO72,BQ72,BS72,BU72,BW72,BY72,CA72,CC72,CE72)</f>
        <v/>
      </c>
      <c r="C72" s="30" t="inlineStr">
        <is>
          <t>IGPL</t>
        </is>
      </c>
      <c r="D72" s="30" t="inlineStr">
        <is>
          <t>Ig Petrochemicals Limited</t>
        </is>
      </c>
      <c r="E72" s="30" t="inlineStr">
        <is>
          <t>chemicals</t>
        </is>
      </c>
      <c r="F72" s="30" t="inlineStr">
        <is>
          <t>chemicals</t>
        </is>
      </c>
      <c r="G72" s="30" t="inlineStr">
        <is>
          <t>smallcap</t>
        </is>
      </c>
      <c r="H72" s="31" t="n">
        <v>1715.89</v>
      </c>
      <c r="I72" s="31" t="n">
        <v>553.5</v>
      </c>
      <c r="J72" s="31" t="n">
        <v>-0.66</v>
      </c>
      <c r="K72" s="31" t="n">
        <v>44341</v>
      </c>
      <c r="L72" s="30" t="n">
        <v>41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68.01000000000001</v>
      </c>
      <c r="P72" s="31" t="n">
        <v>29.73</v>
      </c>
      <c r="Q72" s="31" t="n">
        <v>448.19</v>
      </c>
      <c r="R72" s="30" t="inlineStr">
        <is>
          <t>Near 52W High Breakout</t>
        </is>
      </c>
      <c r="S72" s="30" t="inlineStr">
        <is>
          <t>Nifty 50</t>
        </is>
      </c>
      <c r="T72" s="31" t="n">
        <v>-6.52</v>
      </c>
      <c r="U72" s="31" t="n">
        <v>28.82</v>
      </c>
      <c r="V72" s="31" t="n">
        <v>37.8</v>
      </c>
      <c r="W72" s="31" t="n">
        <v>12.47</v>
      </c>
      <c r="X72" s="30" t="inlineStr">
        <is>
          <t>Growing Industry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No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Yes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20 to 40</t>
        </is>
      </c>
      <c r="AY72" s="30">
        <f>IF(AX72="Above 40",20,IF(AX72="20 to 40",10,IF(AX72="0 to 20",-5,0)))</f>
        <v/>
      </c>
      <c r="AZ72" s="30" t="inlineStr">
        <is>
          <t>Between 50 to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Close to 52 week high or retracement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No</t>
        </is>
      </c>
      <c r="BS72" s="30">
        <f>IF(BR72="NO",5,0)</f>
        <v/>
      </c>
      <c r="BT72" s="30" t="inlineStr">
        <is>
          <t>Less than 1.5</t>
        </is>
      </c>
      <c r="BU72" s="30">
        <f>IF(BT72="Above 2",0,IF(BT72="Between 1.5 to 2",5,IF(BT72="Less than 1.5",10,0)))</f>
        <v/>
      </c>
      <c r="BV72" s="30" t="inlineStr">
        <is>
          <t>Above 70%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Less than 0.7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</row>
    <row r="73">
      <c r="A73" s="30">
        <f>IF(B73=0,"",RANK(B73,$B$2:$B$331,0))</f>
        <v/>
      </c>
      <c r="B73" s="31">
        <f>SUM(N73,Y73,AA73,AC73,AE73,AG73,AI73,AK73,AM73,AO73,AQ73,AS73,AU73,AW73,AY73,BA73,BC73,BE73,BG73,BI73,BK73,BM73,BO73,BQ73,BS73,BU73,BW73,BY73,CA73,CC73,CE73)</f>
        <v/>
      </c>
      <c r="C73" s="30" t="inlineStr">
        <is>
          <t>SANSERA</t>
        </is>
      </c>
      <c r="D73" s="30" t="inlineStr">
        <is>
          <t>Sansera Engineering Ltd</t>
        </is>
      </c>
      <c r="E73" s="30" t="inlineStr">
        <is>
          <t>auto</t>
        </is>
      </c>
      <c r="F73" s="30" t="inlineStr">
        <is>
          <t>auto ancillaries</t>
        </is>
      </c>
      <c r="G73" s="30" t="inlineStr">
        <is>
          <t>largecap</t>
        </is>
      </c>
      <c r="H73" s="31" t="n">
        <v>25809.49</v>
      </c>
      <c r="I73" s="31" t="n">
        <v>4107.9</v>
      </c>
      <c r="J73" s="31" t="n">
        <v>-0.68</v>
      </c>
      <c r="K73" s="31" t="n">
        <v>157289</v>
      </c>
      <c r="L73" s="30" t="n">
        <v>90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80.58</v>
      </c>
      <c r="P73" s="31" t="n">
        <v>63.37</v>
      </c>
      <c r="Q73" s="31" t="n">
        <v>3303.52</v>
      </c>
      <c r="R73" s="30" t="inlineStr">
        <is>
          <t>Near 52W High Breakout</t>
        </is>
      </c>
      <c r="S73" s="30" t="inlineStr">
        <is>
          <t>Nifty Auto</t>
        </is>
      </c>
      <c r="T73" s="31" t="n">
        <v>15.81</v>
      </c>
      <c r="U73" s="31" t="n">
        <v>203.59</v>
      </c>
      <c r="V73" s="31" t="n">
        <v>162.15</v>
      </c>
      <c r="W73" s="31" t="n">
        <v>39.74</v>
      </c>
      <c r="X73" s="30" t="inlineStr">
        <is>
          <t>Growing Industry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Yes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Above 40</t>
        </is>
      </c>
      <c r="AY73" s="30">
        <f>IF(AX73="Above 40",20,IF(AX73="20 to 40",10,IF(AX73="0 to 20",-5,0)))</f>
        <v/>
      </c>
      <c r="AZ73" s="30" t="inlineStr">
        <is>
          <t>Above 75</t>
        </is>
      </c>
      <c r="BA73" s="30">
        <f>IF(AZ73="Between 50 to 75",10,IF(AZ73="Above 75",0,0))</f>
        <v/>
      </c>
      <c r="BB73" s="30" t="inlineStr">
        <is>
          <t>Stage 2</t>
        </is>
      </c>
      <c r="BC73" s="30">
        <f>IF(BB73="Stage 2",20,IF(BB73="Stage 1",0,IF(BB73="Stage 3",5,IF(BB73="Stage 4",-5,0))))</f>
        <v/>
      </c>
      <c r="BD73" s="30" t="inlineStr">
        <is>
          <t>Positive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Blue sky scenario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Yes</t>
        </is>
      </c>
      <c r="BS73" s="30">
        <f>IF(BR73="NO",5,0)</f>
        <v/>
      </c>
      <c r="BT73" s="30" t="inlineStr">
        <is>
          <t>Above 2</t>
        </is>
      </c>
      <c r="BU73" s="30">
        <f>IF(BT73="Above 2",0,IF(BT73="Between 1.5 to 2",5,IF(BT73="Less than 1.5",10,0)))</f>
        <v/>
      </c>
      <c r="BV73" s="30" t="inlineStr">
        <is>
          <t>Above 70%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Less than 0.7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</row>
    <row r="74">
      <c r="A74" s="30">
        <f>IF(B74=0,"",RANK(B74,$B$2:$B$331,0))</f>
        <v/>
      </c>
      <c r="B74" s="31">
        <f>SUM(N74,Y74,AA74,AC74,AE74,AG74,AI74,AK74,AM74,AO74,AQ74,AS74,AU74,AW74,AY74,BA74,BC74,BE74,BG74,BI74,BK74,BM74,BO74,BQ74,BS74,BU74,BW74,BY74,CA74,CC74,CE74)</f>
        <v/>
      </c>
      <c r="C74" s="30" t="inlineStr">
        <is>
          <t>CENTUM</t>
        </is>
      </c>
      <c r="D74" s="30" t="inlineStr">
        <is>
          <t>Centum Electronics Limited</t>
        </is>
      </c>
      <c r="E74" s="30" t="inlineStr">
        <is>
          <t>aerospace &amp; defence</t>
        </is>
      </c>
      <c r="F74" s="30" t="inlineStr">
        <is>
          <t>electronics - components</t>
        </is>
      </c>
      <c r="G74" s="30" t="inlineStr">
        <is>
          <t>midcap</t>
        </is>
      </c>
      <c r="H74" s="31" t="n">
        <v>6273.32</v>
      </c>
      <c r="I74" s="31" t="n">
        <v>4210.4</v>
      </c>
      <c r="J74" s="31" t="n">
        <v>-0.9399999999999999</v>
      </c>
      <c r="K74" s="31" t="n">
        <v>21690</v>
      </c>
      <c r="L74" s="30" t="n">
        <v>46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70.04000000000001</v>
      </c>
      <c r="P74" s="31" t="n">
        <v>51.63</v>
      </c>
      <c r="Q74" s="31" t="n">
        <v>3183.78</v>
      </c>
      <c r="R74" s="30" t="inlineStr">
        <is>
          <t>Volume Spike &amp; Near 52W High Breakout</t>
        </is>
      </c>
      <c r="S74" s="30" t="inlineStr">
        <is>
          <t>Nifty 50</t>
        </is>
      </c>
      <c r="T74" s="31" t="n">
        <v>-6.52</v>
      </c>
      <c r="U74" s="31" t="n">
        <v>55.84</v>
      </c>
      <c r="V74" s="31" t="n">
        <v>66.70999999999999</v>
      </c>
      <c r="W74" s="31" t="n">
        <v>14.12</v>
      </c>
      <c r="X74" s="30" t="inlineStr">
        <is>
          <t>Growing Industry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Yes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Above 40</t>
        </is>
      </c>
      <c r="AY74" s="30">
        <f>IF(AX74="Above 40",20,IF(AX74="20 to 40",10,IF(AX74="0 to 20",-5,0)))</f>
        <v/>
      </c>
      <c r="AZ74" s="30" t="inlineStr">
        <is>
          <t>Between 50 to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Positive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Blue sky scenario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Yes</t>
        </is>
      </c>
      <c r="BS74" s="30">
        <f>IF(BR74="NO",5,0)</f>
        <v/>
      </c>
      <c r="BT74" s="30" t="inlineStr">
        <is>
          <t>Above 2</t>
        </is>
      </c>
      <c r="BU74" s="30">
        <f>IF(BT74="Above 2",0,IF(BT74="Between 1.5 to 2",5,IF(BT74="Less than 1.5",10,0)))</f>
        <v/>
      </c>
      <c r="BV74" s="30" t="inlineStr">
        <is>
          <t>Above 70%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Less than 0.7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</row>
    <row r="75">
      <c r="A75" s="30">
        <f>IF(B75=0,"",RANK(B75,$B$2:$B$331,0))</f>
        <v/>
      </c>
      <c r="B75" s="31">
        <f>SUM(N75,Y75,AA75,AC75,AE75,AG75,AI75,AK75,AM75,AO75,AQ75,AS75,AU75,AW75,AY75,BA75,BC75,BE75,BG75,BI75,BK75,BM75,BO75,BQ75,BS75,BU75,BW75,BY75,CA75,CC75,CE75)</f>
        <v/>
      </c>
      <c r="C75" s="30" t="inlineStr">
        <is>
          <t>AZAD</t>
        </is>
      </c>
      <c r="D75" s="30" t="inlineStr">
        <is>
          <t>Azad Engineering Ltd</t>
        </is>
      </c>
      <c r="E75" s="30" t="inlineStr">
        <is>
          <t>aerospace &amp; defence</t>
        </is>
      </c>
      <c r="F75" s="30" t="inlineStr">
        <is>
          <t>engineering</t>
        </is>
      </c>
      <c r="G75" s="30" t="inlineStr">
        <is>
          <t>midcap</t>
        </is>
      </c>
      <c r="H75" s="31" t="n">
        <v>18115.18</v>
      </c>
      <c r="I75" s="31" t="n">
        <v>2773.5</v>
      </c>
      <c r="J75" s="31" t="n">
        <v>-1.12</v>
      </c>
      <c r="K75" s="31" t="n">
        <v>171925</v>
      </c>
      <c r="L75" s="30" t="n">
        <v>62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67.51000000000001</v>
      </c>
      <c r="P75" s="31" t="n">
        <v>40.97</v>
      </c>
      <c r="Q75" s="31" t="n">
        <v>2220.26</v>
      </c>
      <c r="R75" s="30" t="inlineStr">
        <is>
          <t>Near 52W High Breakout</t>
        </is>
      </c>
      <c r="S75" s="30" t="inlineStr">
        <is>
          <t>Nifty 50</t>
        </is>
      </c>
      <c r="T75" s="31" t="n">
        <v>-6.52</v>
      </c>
      <c r="U75" s="31" t="n">
        <v>73.2</v>
      </c>
      <c r="V75" s="31" t="n">
        <v>85.27</v>
      </c>
      <c r="W75" s="31" t="n">
        <v>19.06</v>
      </c>
      <c r="X75" s="30" t="inlineStr">
        <is>
          <t>Growing Industry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Yes</t>
        </is>
      </c>
      <c r="AQ75" s="30">
        <f>IF(AP75="Yes",10,0)</f>
        <v/>
      </c>
      <c r="AR75" s="30" t="inlineStr">
        <is>
          <t>Higher One Time, Lower Annuity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Above 40</t>
        </is>
      </c>
      <c r="AY75" s="30">
        <f>IF(AX75="Above 40",20,IF(AX75="20 to 40",10,IF(AX75="0 to 20",-5,0)))</f>
        <v/>
      </c>
      <c r="AZ75" s="30" t="inlineStr">
        <is>
          <t>Between 50 to 75</t>
        </is>
      </c>
      <c r="BA75" s="30">
        <f>IF(AZ75="Between 50 to 75",10,IF(AZ75="Above 75",0,0))</f>
        <v/>
      </c>
      <c r="BB75" s="30" t="inlineStr">
        <is>
          <t>Stage 2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Blue sky scenario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More than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Yes</t>
        </is>
      </c>
      <c r="BS75" s="30">
        <f>IF(BR75="NO",5,0)</f>
        <v/>
      </c>
      <c r="BT75" s="30" t="inlineStr">
        <is>
          <t>Above 2</t>
        </is>
      </c>
      <c r="BU75" s="30">
        <f>IF(BT75="Above 2",0,IF(BT75="Between 1.5 to 2",5,IF(BT75="Less than 1.5",10,0)))</f>
        <v/>
      </c>
      <c r="BV75" s="30" t="inlineStr">
        <is>
          <t>Above 70%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</row>
    <row r="76">
      <c r="A76" s="30">
        <f>IF(B76=0,"",RANK(B76,$B$2:$B$331,0))</f>
        <v/>
      </c>
      <c r="B76" s="31">
        <f>SUM(N76,Y76,AA76,AC76,AE76,AG76,AI76,AK76,AM76,AO76,AQ76,AS76,AU76,AW76,AY76,BA76,BC76,BE76,BG76,BI76,BK76,BM76,BO76,BQ76,BS76,BU76,BW76,BY76,CA76,CC76,CE76)</f>
        <v/>
      </c>
      <c r="C76" s="30" t="inlineStr">
        <is>
          <t>PARAS</t>
        </is>
      </c>
      <c r="D76" s="30" t="inlineStr">
        <is>
          <t>Paras Defence and Space Technologies Ltd</t>
        </is>
      </c>
      <c r="E76" s="30" t="inlineStr">
        <is>
          <t>aerospace &amp; defence</t>
        </is>
      </c>
      <c r="F76" s="30" t="inlineStr">
        <is>
          <t>engineering</t>
        </is>
      </c>
      <c r="G76" s="30" t="inlineStr">
        <is>
          <t>midcap</t>
        </is>
      </c>
      <c r="H76" s="31" t="n">
        <v>11846.34</v>
      </c>
      <c r="I76" s="31" t="n">
        <v>1453.3</v>
      </c>
      <c r="J76" s="31" t="n">
        <v>-1.14</v>
      </c>
      <c r="K76" s="31" t="n">
        <v>745689</v>
      </c>
      <c r="L76" s="30" t="n">
        <v>75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68.73</v>
      </c>
      <c r="P76" s="31" t="n">
        <v>67.62</v>
      </c>
      <c r="Q76" s="31" t="n">
        <v>1102.22</v>
      </c>
      <c r="R76" s="30" t="inlineStr">
        <is>
          <t>Near 52W High Breakout</t>
        </is>
      </c>
      <c r="S76" s="30" t="inlineStr">
        <is>
          <t>Nifty 50</t>
        </is>
      </c>
      <c r="T76" s="31" t="n">
        <v>-6.52</v>
      </c>
      <c r="U76" s="31" t="n">
        <v>110.08</v>
      </c>
      <c r="V76" s="31" t="n">
        <v>124.72</v>
      </c>
      <c r="W76" s="31" t="n">
        <v>25.79</v>
      </c>
      <c r="X76" s="30" t="inlineStr">
        <is>
          <t>Growing Industry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No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Stable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Yes</t>
        </is>
      </c>
      <c r="AQ76" s="30">
        <f>IF(AP76="Yes",10,0)</f>
        <v/>
      </c>
      <c r="AR76" s="30" t="inlineStr">
        <is>
          <t>Higher One Time, Lower Annuity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Above 40</t>
        </is>
      </c>
      <c r="AY76" s="30">
        <f>IF(AX76="Above 40",20,IF(AX76="20 to 40",10,IF(AX76="0 to 20",-5,0)))</f>
        <v/>
      </c>
      <c r="AZ76" s="30" t="inlineStr">
        <is>
          <t>Between 50 to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Positive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Blue sky scenario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Yes</t>
        </is>
      </c>
      <c r="BS76" s="30">
        <f>IF(BR76="NO",5,0)</f>
        <v/>
      </c>
      <c r="BT76" s="30" t="inlineStr">
        <is>
          <t>Above 2</t>
        </is>
      </c>
      <c r="BU76" s="30">
        <f>IF(BT76="Above 2",0,IF(BT76="Between 1.5 to 2",5,IF(BT76="Less than 1.5",10,0)))</f>
        <v/>
      </c>
      <c r="BV76" s="30" t="inlineStr">
        <is>
          <t>Above 70%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</row>
    <row r="77">
      <c r="A77" s="30">
        <f>IF(B77=0,"",RANK(B77,$B$2:$B$331,0))</f>
        <v/>
      </c>
      <c r="B77" s="31">
        <f>SUM(N77,Y77,AA77,AC77,AE77,AG77,AI77,AK77,AM77,AO77,AQ77,AS77,AU77,AW77,AY77,BA77,BC77,BE77,BG77,BI77,BK77,BM77,BO77,BQ77,BS77,BU77,BW77,BY77,CA77,CC77,CE77)</f>
        <v/>
      </c>
      <c r="C77" s="30" t="inlineStr">
        <is>
          <t>CYIENTDLM</t>
        </is>
      </c>
      <c r="D77" s="30" t="inlineStr">
        <is>
          <t>Cyient DLM Ltd</t>
        </is>
      </c>
      <c r="E77" s="30" t="inlineStr">
        <is>
          <t>aerospace &amp; defence</t>
        </is>
      </c>
      <c r="F77" s="30" t="inlineStr">
        <is>
          <t>electronics - components</t>
        </is>
      </c>
      <c r="G77" s="30" t="inlineStr">
        <is>
          <t>midcap</t>
        </is>
      </c>
      <c r="H77" s="31" t="n">
        <v>7506.89</v>
      </c>
      <c r="I77" s="31" t="n">
        <v>923.3</v>
      </c>
      <c r="J77" s="31" t="n">
        <v>-2.36</v>
      </c>
      <c r="K77" s="31" t="n">
        <v>452175</v>
      </c>
      <c r="L77" s="30" t="n">
        <v>92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91.59</v>
      </c>
      <c r="P77" s="31" t="n">
        <v>73.65000000000001</v>
      </c>
      <c r="Q77" s="31" t="n">
        <v>718.0599999999999</v>
      </c>
      <c r="R77" s="30" t="inlineStr">
        <is>
          <t>Near 52W High Breakout</t>
        </is>
      </c>
      <c r="S77" s="30" t="inlineStr">
        <is>
          <t>Nifty 50</t>
        </is>
      </c>
      <c r="T77" s="31" t="n">
        <v>-6.52</v>
      </c>
      <c r="U77" s="31" t="n">
        <v>102.37</v>
      </c>
      <c r="V77" s="31" t="n">
        <v>116.47</v>
      </c>
      <c r="W77" s="31" t="n">
        <v>44.62</v>
      </c>
      <c r="X77" s="30" t="inlineStr">
        <is>
          <t>Growing Industry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No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Structural (10 Years Consistency)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Stable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Yes</t>
        </is>
      </c>
      <c r="AQ77" s="30">
        <f>IF(AP77="Yes",10,0)</f>
        <v/>
      </c>
      <c r="AR77" s="30" t="inlineStr">
        <is>
          <t>Higher One Time, Lower Annuity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Above 40</t>
        </is>
      </c>
      <c r="AY77" s="30">
        <f>IF(AX77="Above 40",20,IF(AX77="20 to 40",10,IF(AX77="0 to 20",-5,0)))</f>
        <v/>
      </c>
      <c r="AZ77" s="30" t="inlineStr">
        <is>
          <t>Above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Positive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Blue sky scenario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More than 20%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Yes</t>
        </is>
      </c>
      <c r="BS77" s="30">
        <f>IF(BR77="NO",5,0)</f>
        <v/>
      </c>
      <c r="BT77" s="30" t="inlineStr">
        <is>
          <t>Above 2</t>
        </is>
      </c>
      <c r="BU77" s="30">
        <f>IF(BT77="Above 2",0,IF(BT77="Between 1.5 to 2",5,IF(BT77="Less than 1.5",10,0)))</f>
        <v/>
      </c>
      <c r="BV77" s="30" t="inlineStr">
        <is>
          <t>Above 70%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Less than 0.7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</row>
    <row r="78">
      <c r="A78" s="30">
        <f>IF(B78=0,"",RANK(B78,$B$2:$B$331,0))</f>
        <v/>
      </c>
      <c r="B78" s="31">
        <f>SUM(N78,Y78,AA78,AC78,AE78,AG78,AI78,AK78,AM78,AO78,AQ78,AS78,AU78,AW78,AY78,BA78,BC78,BE78,BG78,BI78,BK78,BM78,BO78,BQ78,BS78,BU78,BW78,BY78,CA78,CC78,CE78)</f>
        <v/>
      </c>
      <c r="C78" s="30" t="inlineStr">
        <is>
          <t>WHEELS</t>
        </is>
      </c>
      <c r="D78" s="30" t="inlineStr">
        <is>
          <t>Wheels India Limited</t>
        </is>
      </c>
      <c r="E78" s="30" t="inlineStr">
        <is>
          <t>auto</t>
        </is>
      </c>
      <c r="F78" s="30" t="inlineStr">
        <is>
          <t>auto ancillaries</t>
        </is>
      </c>
      <c r="G78" s="30" t="inlineStr">
        <is>
          <t>midcap</t>
        </is>
      </c>
      <c r="H78" s="31" t="n">
        <v>5865.39</v>
      </c>
      <c r="I78" s="31" t="n">
        <v>2313</v>
      </c>
      <c r="J78" s="31" t="n">
        <v>-3.65</v>
      </c>
      <c r="K78" s="31" t="n">
        <v>2648322</v>
      </c>
      <c r="L78" s="30" t="n">
        <v>96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80.26000000000001</v>
      </c>
      <c r="P78" s="31" t="n">
        <v>55.99</v>
      </c>
      <c r="Q78" s="31" t="n">
        <v>1744.37</v>
      </c>
      <c r="R78" s="30" t="inlineStr">
        <is>
          <t>Volume Spike &amp; Near 52W High Breakout</t>
        </is>
      </c>
      <c r="S78" s="30" t="inlineStr">
        <is>
          <t>Nifty Auto</t>
        </is>
      </c>
      <c r="T78" s="31" t="n">
        <v>15.81</v>
      </c>
      <c r="U78" s="31" t="n">
        <v>193.56</v>
      </c>
      <c r="V78" s="31" t="n">
        <v>153.49</v>
      </c>
      <c r="W78" s="31" t="n">
        <v>56.83</v>
      </c>
      <c r="X78" s="30" t="inlineStr">
        <is>
          <t>Growing Industry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Yes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Above 40</t>
        </is>
      </c>
      <c r="AY78" s="30">
        <f>IF(AX78="Above 40",20,IF(AX78="20 to 40",10,IF(AX78="0 to 20",-5,0)))</f>
        <v/>
      </c>
      <c r="AZ78" s="30" t="inlineStr">
        <is>
          <t>Above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Blue sky scenario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Less than 12%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No</t>
        </is>
      </c>
      <c r="BS78" s="30">
        <f>IF(BR78="NO",5,0)</f>
        <v/>
      </c>
      <c r="BT78" s="30" t="inlineStr">
        <is>
          <t>Above 2</t>
        </is>
      </c>
      <c r="BU78" s="30">
        <f>IF(BT78="Above 2",0,IF(BT78="Between 1.5 to 2",5,IF(BT78="Less than 1.5",10,0)))</f>
        <v/>
      </c>
      <c r="BV78" s="30" t="inlineStr">
        <is>
          <t>Above 70%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Less than 0.7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</row>
    <row r="79">
      <c r="A79" s="30">
        <f>IF(B79=0,"",RANK(B79,$B$2:$B$331,0))</f>
        <v/>
      </c>
      <c r="B79" s="31">
        <f>SUM(N79,Y79,AA79,AC79,AE79,AG79,AI79,AK79,AM79,AO79,AQ79,AS79,AU79,AW79,AY79,BA79,BC79,BE79,BG79,BI79,BK79,BM79,BO79,BQ79,BS79,BU79,BW79,BY79,CA79,CC79,CE79)</f>
        <v/>
      </c>
      <c r="C79" s="30" t="inlineStr">
        <is>
          <t>IDEA</t>
        </is>
      </c>
      <c r="D79" s="30" t="inlineStr">
        <is>
          <t>Vodafone Idea Ltd</t>
        </is>
      </c>
      <c r="E79" s="30" t="inlineStr">
        <is>
          <t>telecom-service</t>
        </is>
      </c>
      <c r="F79" s="30" t="inlineStr">
        <is>
          <t>telecommunications - service provider</t>
        </is>
      </c>
      <c r="G79" s="30" t="inlineStr">
        <is>
          <t>largecap</t>
        </is>
      </c>
      <c r="H79" s="31" t="n">
        <v>168148.39</v>
      </c>
      <c r="I79" s="31" t="n">
        <v>14.9</v>
      </c>
      <c r="J79" s="31" t="n">
        <v>-3.99</v>
      </c>
      <c r="K79" s="31" t="n">
        <v>888431120</v>
      </c>
      <c r="L79" s="30" t="n">
        <v>60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65.11</v>
      </c>
      <c r="P79" s="31" t="n">
        <v>34.12</v>
      </c>
      <c r="Q79" s="31" t="n">
        <v>11.96</v>
      </c>
      <c r="R79" s="30" t="inlineStr">
        <is>
          <t>Near 52W High Breakout</t>
        </is>
      </c>
      <c r="S79" s="30" t="inlineStr">
        <is>
          <t>Nifty 500</t>
        </is>
      </c>
      <c r="T79" s="31" t="n">
        <v>-1.03</v>
      </c>
      <c r="U79" s="31" t="n">
        <v>94.52</v>
      </c>
      <c r="V79" s="31" t="n">
        <v>96.53</v>
      </c>
      <c r="W79" s="31" t="n">
        <v>18.47</v>
      </c>
      <c r="X79" s="30" t="inlineStr">
        <is>
          <t>Growing Industry</t>
        </is>
      </c>
      <c r="Y79" s="30">
        <f>IF(X79="Growing Industry",10,IF(X79="Cyclical in an Upturn",5,0))</f>
        <v/>
      </c>
      <c r="Z79" s="30" t="inlineStr">
        <is>
          <t>Oligopoly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Yes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Yes</t>
        </is>
      </c>
      <c r="AQ79" s="30">
        <f>IF(AP79="Yes",10,0)</f>
        <v/>
      </c>
      <c r="AR79" s="30" t="inlineStr">
        <is>
          <t>Higher One Time, Lower Annuity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20 to 40</t>
        </is>
      </c>
      <c r="AY79" s="30">
        <f>IF(AX79="Above 40",20,IF(AX79="20 to 40",10,IF(AX79="0 to 20",-5,0)))</f>
        <v/>
      </c>
      <c r="AZ79" s="30" t="inlineStr">
        <is>
          <t>Between 50 to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Positive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Blue sky scenario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More than 20%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No</t>
        </is>
      </c>
      <c r="BS79" s="30">
        <f>IF(BR79="NO",5,0)</f>
        <v/>
      </c>
      <c r="BT79" s="30" t="inlineStr">
        <is>
          <t>Less than 1.5</t>
        </is>
      </c>
      <c r="BU79" s="30">
        <f>IF(BT79="Above 2",0,IF(BT79="Between 1.5 to 2",5,IF(BT79="Less than 1.5",10,0)))</f>
        <v/>
      </c>
      <c r="BV79" s="30" t="inlineStr">
        <is>
          <t>Above 70%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Less than 0.7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</row>
    <row r="80">
      <c r="A80" s="30">
        <f>IF(B80=0,"",RANK(B80,$B$2:$B$331,0))</f>
        <v/>
      </c>
      <c r="B80" s="31">
        <f>SUM(N80,Y80,AA80,AC80,AE80,AG80,AI80,AK80,AM80,AO80,AQ80,AS80,AU80,AW80,AY80,BA80,BC80,BE80,BG80,BI80,BK80,BM80,BO80,BQ80,BS80,BU80,BW80,BY80,CA80,CC80,CE80)</f>
        <v/>
      </c>
      <c r="C80" s="30" t="inlineStr">
        <is>
          <t>CAPLIPOINT</t>
        </is>
      </c>
      <c r="D80" s="30" t="inlineStr">
        <is>
          <t>Caplin Point Laboratories Limited</t>
        </is>
      </c>
      <c r="E80" s="30" t="inlineStr">
        <is>
          <t>healthcare</t>
        </is>
      </c>
      <c r="F80" s="30" t="inlineStr">
        <is>
          <t>pharmaceuticals - indian - formulations</t>
        </is>
      </c>
      <c r="G80" s="30" t="inlineStr">
        <is>
          <t>largecap</t>
        </is>
      </c>
      <c r="H80" s="31" t="n">
        <v>20698.74</v>
      </c>
      <c r="I80" s="31" t="n">
        <v>2795.4</v>
      </c>
      <c r="J80" s="31" t="n">
        <v>2.66</v>
      </c>
      <c r="K80" s="31" t="n">
        <v>245863</v>
      </c>
      <c r="L80" s="30" t="n">
        <v>32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72.78</v>
      </c>
      <c r="P80" s="31" t="n">
        <v>42.75</v>
      </c>
      <c r="Q80" s="31" t="n">
        <v>2273.38</v>
      </c>
      <c r="R80" s="30" t="inlineStr">
        <is>
          <t>Near 52W High Breakout</t>
        </is>
      </c>
      <c r="S80" s="30" t="inlineStr">
        <is>
          <t>Nifty Pharma</t>
        </is>
      </c>
      <c r="T80" s="31" t="n">
        <v>18.86</v>
      </c>
      <c r="U80" s="31" t="n">
        <v>24.73</v>
      </c>
      <c r="V80" s="31" t="n">
        <v>4.93</v>
      </c>
      <c r="W80" s="31" t="n">
        <v>9.890000000000001</v>
      </c>
      <c r="X80" s="30" t="inlineStr">
        <is>
          <t>Growing Industry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Yes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Structural (10 Years Consistency)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Stable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Yes</t>
        </is>
      </c>
      <c r="AQ80" s="30">
        <f>IF(AP80="Yes",10,0)</f>
        <v/>
      </c>
      <c r="AR80" s="30" t="inlineStr">
        <is>
          <t>Higher Annuity, Lower One Time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Above 40</t>
        </is>
      </c>
      <c r="AY80" s="30">
        <f>IF(AX80="Above 40",20,IF(AX80="20 to 40",10,IF(AX80="0 to 20",-5,0)))</f>
        <v/>
      </c>
      <c r="AZ80" s="30" t="inlineStr">
        <is>
          <t>Between 50 to 75</t>
        </is>
      </c>
      <c r="BA80" s="30">
        <f>IF(AZ80="Between 50 to 75",10,IF(AZ80="Above 75",0,0))</f>
        <v/>
      </c>
      <c r="BB80" s="30" t="inlineStr">
        <is>
          <t>Stage 2</t>
        </is>
      </c>
      <c r="BC80" s="30">
        <f>IF(BB80="Stage 2",20,IF(BB80="Stage 1",0,IF(BB80="Stage 3",5,IF(BB80="Stage 4",-5,0))))</f>
        <v/>
      </c>
      <c r="BD80" s="30" t="inlineStr">
        <is>
          <t>Positive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Blue sky scenario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Between 12 to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No</t>
        </is>
      </c>
      <c r="BS80" s="30">
        <f>IF(BR80="NO",5,0)</f>
        <v/>
      </c>
      <c r="BT80" s="30" t="inlineStr">
        <is>
          <t>Above 2</t>
        </is>
      </c>
      <c r="BU80" s="30">
        <f>IF(BT80="Above 2",0,IF(BT80="Between 1.5 to 2",5,IF(BT80="Less than 1.5",10,0)))</f>
        <v/>
      </c>
      <c r="BV80" s="30" t="inlineStr">
        <is>
          <t>Above 70%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Less than 0.7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</row>
    <row r="81">
      <c r="A81" s="30">
        <f>IF(B81=0,"",RANK(B81,$B$2:$B$331,0))</f>
        <v/>
      </c>
      <c r="B81" s="31">
        <f>SUM(N81,Y81,AA81,AC81,AE81,AG81,AI81,AK81,AM81,AO81,AQ81,AS81,AU81,AW81,AY81,BA81,BC81,BE81,BG81,BI81,BK81,BM81,BO81,BQ81,BS81,BU81,BW81,BY81,CA81,CC81,CE81)</f>
        <v/>
      </c>
      <c r="C81" s="30" t="inlineStr">
        <is>
          <t>ZIMLAB</t>
        </is>
      </c>
      <c r="D81" s="30" t="inlineStr">
        <is>
          <t>Zim Laboratories Ltd</t>
        </is>
      </c>
      <c r="E81" s="30" t="inlineStr">
        <is>
          <t>healthcare</t>
        </is>
      </c>
      <c r="F81" s="30" t="inlineStr">
        <is>
          <t>pharmaceuticals - indian - bulk drugs &amp; formln</t>
        </is>
      </c>
      <c r="G81" s="30" t="inlineStr">
        <is>
          <t>smallcap</t>
        </is>
      </c>
      <c r="H81" s="31" t="n">
        <v>714.08</v>
      </c>
      <c r="I81" s="31" t="n">
        <v>136.43</v>
      </c>
      <c r="J81" s="31" t="n">
        <v>2.31</v>
      </c>
      <c r="K81" s="31" t="n">
        <v>458670</v>
      </c>
      <c r="L81" s="30" t="n">
        <v>63</v>
      </c>
      <c r="M81" s="30" t="inlineStr">
        <is>
          <t>Outperforming</t>
        </is>
      </c>
      <c r="N81" s="31">
        <f>IF(M81="Underperforming",-5,IF(L81&gt;=95,15,IF(L81&gt;=90,10,IF(L81&gt;=80,5,0))))</f>
        <v/>
      </c>
      <c r="O81" s="31" t="n">
        <v>71.70999999999999</v>
      </c>
      <c r="P81" s="31" t="n">
        <v>60.59</v>
      </c>
      <c r="Q81" s="31" t="n">
        <v>98.70999999999999</v>
      </c>
      <c r="R81" s="30" t="inlineStr">
        <is>
          <t>Volume Spike &amp; Near 52W High Breakout</t>
        </is>
      </c>
      <c r="S81" s="30" t="inlineStr">
        <is>
          <t>Nifty Pharma</t>
        </is>
      </c>
      <c r="T81" s="31" t="n">
        <v>18.86</v>
      </c>
      <c r="U81" s="31" t="n">
        <v>79.58</v>
      </c>
      <c r="V81" s="31" t="n">
        <v>51.08</v>
      </c>
      <c r="W81" s="31" t="n">
        <v>19.55</v>
      </c>
      <c r="X81" s="30" t="inlineStr">
        <is>
          <t>Growing Industry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Yes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Yes</t>
        </is>
      </c>
      <c r="AQ81" s="30">
        <f>IF(AP81="Yes",10,0)</f>
        <v/>
      </c>
      <c r="AR81" s="30" t="inlineStr">
        <is>
          <t>Higher Annuity, Lower One Time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Above 40</t>
        </is>
      </c>
      <c r="AY81" s="30">
        <f>IF(AX81="Above 40",20,IF(AX81="20 to 40",10,IF(AX81="0 to 20",-5,0)))</f>
        <v/>
      </c>
      <c r="AZ81" s="30" t="inlineStr">
        <is>
          <t>Between 50 to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Positive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Blue sky scenario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More than 20%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Yes</t>
        </is>
      </c>
      <c r="BS81" s="30">
        <f>IF(BR81="NO",5,0)</f>
        <v/>
      </c>
      <c r="BT81" s="30" t="inlineStr">
        <is>
          <t>Above 2</t>
        </is>
      </c>
      <c r="BU81" s="30">
        <f>IF(BT81="Above 2",0,IF(BT81="Between 1.5 to 2",5,IF(BT81="Less than 1.5",10,0)))</f>
        <v/>
      </c>
      <c r="BV81" s="30" t="inlineStr">
        <is>
          <t>Above 70%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Less than 0.7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</row>
    <row r="82">
      <c r="A82" s="30">
        <f>IF(B82=0,"",RANK(B82,$B$2:$B$331,0))</f>
        <v/>
      </c>
      <c r="B82" s="31">
        <f>SUM(N82,Y82,AA82,AC82,AE82,AG82,AI82,AK82,AM82,AO82,AQ82,AS82,AU82,AW82,AY82,BA82,BC82,BE82,BG82,BI82,BK82,BM82,BO82,BQ82,BS82,BU82,BW82,BY82,CA82,CC82,CE82)</f>
        <v/>
      </c>
      <c r="C82" s="30" t="inlineStr">
        <is>
          <t>BAFNAPH</t>
        </is>
      </c>
      <c r="D82" s="30" t="inlineStr">
        <is>
          <t>Bafna Pharmaceuticals Ltd</t>
        </is>
      </c>
      <c r="E82" s="30" t="inlineStr">
        <is>
          <t>healthcare</t>
        </is>
      </c>
      <c r="F82" s="30" t="inlineStr">
        <is>
          <t>pharmaceuticals - indian - formulations</t>
        </is>
      </c>
      <c r="G82" s="30" t="inlineStr">
        <is>
          <t>smallcap</t>
        </is>
      </c>
      <c r="H82" s="31" t="n">
        <v>713.48</v>
      </c>
      <c r="I82" s="31" t="n">
        <v>307.6</v>
      </c>
      <c r="J82" s="31" t="n">
        <v>1.99</v>
      </c>
      <c r="K82" s="31" t="n">
        <v>9236</v>
      </c>
      <c r="L82" s="30" t="n">
        <v>93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73.05</v>
      </c>
      <c r="P82" s="31" t="n">
        <v>59.08</v>
      </c>
      <c r="Q82" s="31" t="n">
        <v>235.04</v>
      </c>
      <c r="R82" s="30" t="inlineStr">
        <is>
          <t>Near 52W High Breakout</t>
        </is>
      </c>
      <c r="S82" s="30" t="inlineStr">
        <is>
          <t>Nifty Pharma</t>
        </is>
      </c>
      <c r="T82" s="31" t="n">
        <v>18.86</v>
      </c>
      <c r="U82" s="31" t="n">
        <v>162.66</v>
      </c>
      <c r="V82" s="31" t="n">
        <v>120.97</v>
      </c>
      <c r="W82" s="31" t="n">
        <v>46.22</v>
      </c>
      <c r="X82" s="30" t="inlineStr">
        <is>
          <t>Growing Industry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Yes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Structural (10 Years Consistency)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Stable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Yes</t>
        </is>
      </c>
      <c r="AQ82" s="30">
        <f>IF(AP82="Yes",10,0)</f>
        <v/>
      </c>
      <c r="AR82" s="30" t="inlineStr">
        <is>
          <t>Higher Annuity, Lower One Time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Above 40</t>
        </is>
      </c>
      <c r="AY82" s="30">
        <f>IF(AX82="Above 40",20,IF(AX82="20 to 40",10,IF(AX82="0 to 20",-5,0)))</f>
        <v/>
      </c>
      <c r="AZ82" s="30" t="inlineStr">
        <is>
          <t>Between 50 to 75</t>
        </is>
      </c>
      <c r="BA82" s="30">
        <f>IF(AZ82="Between 50 to 75",10,IF(AZ82="Above 75",0,0))</f>
        <v/>
      </c>
      <c r="BB82" s="30" t="inlineStr">
        <is>
          <t>Stage 2</t>
        </is>
      </c>
      <c r="BC82" s="30">
        <f>IF(BB82="Stage 2",20,IF(BB82="Stage 1",0,IF(BB82="Stage 3",5,IF(BB82="Stage 4",-5,0))))</f>
        <v/>
      </c>
      <c r="BD82" s="30" t="inlineStr">
        <is>
          <t>Positive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Blue sky scenario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Less than 12%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Yes</t>
        </is>
      </c>
      <c r="BS82" s="30">
        <f>IF(BR82="NO",5,0)</f>
        <v/>
      </c>
      <c r="BT82" s="30" t="inlineStr">
        <is>
          <t>Above 2</t>
        </is>
      </c>
      <c r="BU82" s="30">
        <f>IF(BT82="Above 2",0,IF(BT82="Between 1.5 to 2",5,IF(BT82="Less than 1.5",10,0)))</f>
        <v/>
      </c>
      <c r="BV82" s="30" t="inlineStr">
        <is>
          <t>Above 70%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</row>
    <row r="83">
      <c r="A83" s="30">
        <f>IF(B83=0,"",RANK(B83,$B$2:$B$331,0))</f>
        <v/>
      </c>
      <c r="B83" s="31">
        <f>SUM(N83,Y83,AA83,AC83,AE83,AG83,AI83,AK83,AM83,AO83,AQ83,AS83,AU83,AW83,AY83,BA83,BC83,BE83,BG83,BI83,BK83,BM83,BO83,BQ83,BS83,BU83,BW83,BY83,CA83,CC83,CE83)</f>
        <v/>
      </c>
      <c r="C83" s="30" t="inlineStr">
        <is>
          <t>BLISSGVS</t>
        </is>
      </c>
      <c r="D83" s="30" t="inlineStr">
        <is>
          <t>Bliss Gvs Pharma Limited</t>
        </is>
      </c>
      <c r="E83" s="30" t="inlineStr">
        <is>
          <t>healthcare</t>
        </is>
      </c>
      <c r="F83" s="30" t="inlineStr">
        <is>
          <t>pharmaceuticals - indian - formulations</t>
        </is>
      </c>
      <c r="G83" s="30" t="inlineStr">
        <is>
          <t>midcap</t>
        </is>
      </c>
      <c r="H83" s="31" t="n">
        <v>7348.11</v>
      </c>
      <c r="I83" s="31" t="n">
        <v>700.45</v>
      </c>
      <c r="J83" s="31" t="n">
        <v>1.1</v>
      </c>
      <c r="K83" s="31" t="n">
        <v>213265</v>
      </c>
      <c r="L83" s="30" t="n">
        <v>95</v>
      </c>
      <c r="M83" s="30" t="inlineStr">
        <is>
          <t>Outperforming</t>
        </is>
      </c>
      <c r="N83" s="31">
        <f>IF(M83="Underperforming",-5,IF(L83&gt;=95,15,IF(L83&gt;=90,10,IF(L83&gt;=80,5,0))))</f>
        <v/>
      </c>
      <c r="O83" s="31" t="n">
        <v>87.81999999999999</v>
      </c>
      <c r="P83" s="31" t="n">
        <v>74.48</v>
      </c>
      <c r="Q83" s="31" t="n">
        <v>546.9299999999999</v>
      </c>
      <c r="R83" s="30" t="inlineStr">
        <is>
          <t>Near 52W High Breakout</t>
        </is>
      </c>
      <c r="S83" s="30" t="inlineStr">
        <is>
          <t>Nifty Pharma</t>
        </is>
      </c>
      <c r="T83" s="31" t="n">
        <v>18.86</v>
      </c>
      <c r="U83" s="31" t="n">
        <v>361.27</v>
      </c>
      <c r="V83" s="31" t="n">
        <v>288.06</v>
      </c>
      <c r="W83" s="31" t="n">
        <v>54.35</v>
      </c>
      <c r="X83" s="30" t="inlineStr">
        <is>
          <t>Growing Industry</t>
        </is>
      </c>
      <c r="Y83" s="30">
        <f>IF(X83="Growing Industry",10,IF(X83="Cyclical in an Upturn",5,0))</f>
        <v/>
      </c>
      <c r="Z83" s="30" t="inlineStr">
        <is>
          <t>Too Many Players with High ROCE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Yes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Structural (10 Years Consistency)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Yes</t>
        </is>
      </c>
      <c r="AQ83" s="30">
        <f>IF(AP83="Yes",10,0)</f>
        <v/>
      </c>
      <c r="AR83" s="30" t="inlineStr">
        <is>
          <t>Higher Annuity, Lower One Time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Above 40</t>
        </is>
      </c>
      <c r="AY83" s="30">
        <f>IF(AX83="Above 40",20,IF(AX83="20 to 40",10,IF(AX83="0 to 20",-5,0)))</f>
        <v/>
      </c>
      <c r="AZ83" s="30" t="inlineStr">
        <is>
          <t>Above 75</t>
        </is>
      </c>
      <c r="BA83" s="30">
        <f>IF(AZ83="Between 50 to 75",10,IF(AZ83="Above 75",0,0))</f>
        <v/>
      </c>
      <c r="BB83" s="30" t="inlineStr">
        <is>
          <t>Stage 2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Blue sky scenario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Between 12 to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Yes</t>
        </is>
      </c>
      <c r="BS83" s="30">
        <f>IF(BR83="NO",5,0)</f>
        <v/>
      </c>
      <c r="BT83" s="30" t="inlineStr">
        <is>
          <t>Above 2</t>
        </is>
      </c>
      <c r="BU83" s="30">
        <f>IF(BT83="Above 2",0,IF(BT83="Between 1.5 to 2",5,IF(BT83="Less than 1.5",10,0)))</f>
        <v/>
      </c>
      <c r="BV83" s="30" t="inlineStr">
        <is>
          <t>Above 70%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Less than 0.7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</row>
    <row r="84">
      <c r="A84" s="30">
        <f>IF(B84=0,"",RANK(B84,$B$2:$B$331,0))</f>
        <v/>
      </c>
      <c r="B84" s="31">
        <f>SUM(N84,Y84,AA84,AC84,AE84,AG84,AI84,AK84,AM84,AO84,AQ84,AS84,AU84,AW84,AY84,BA84,BC84,BE84,BG84,BI84,BK84,BM84,BO84,BQ84,BS84,BU84,BW84,BY84,CA84,CC84,CE84)</f>
        <v/>
      </c>
      <c r="C84" s="30" t="inlineStr">
        <is>
          <t>VIJAYA</t>
        </is>
      </c>
      <c r="D84" s="30" t="inlineStr">
        <is>
          <t>Vijaya Diagnostic Centre Ltd</t>
        </is>
      </c>
      <c r="E84" s="30" t="inlineStr">
        <is>
          <t>healthcare</t>
        </is>
      </c>
      <c r="F84" s="30" t="inlineStr">
        <is>
          <t>healthcare</t>
        </is>
      </c>
      <c r="G84" s="30" t="inlineStr">
        <is>
          <t>midcap</t>
        </is>
      </c>
      <c r="H84" s="31" t="n">
        <v>15423.19</v>
      </c>
      <c r="I84" s="31" t="n">
        <v>1498.8</v>
      </c>
      <c r="J84" s="31" t="n">
        <v>-0.01</v>
      </c>
      <c r="K84" s="31" t="n">
        <v>87796</v>
      </c>
      <c r="L84" s="30" t="n">
        <v>39</v>
      </c>
      <c r="M84" s="30" t="inlineStr">
        <is>
          <t>Outperforming</t>
        </is>
      </c>
      <c r="N84" s="31">
        <f>IF(M84="Underperforming",-5,IF(L84&gt;=95,15,IF(L84&gt;=90,10,IF(L84&gt;=80,5,0))))</f>
        <v/>
      </c>
      <c r="O84" s="31" t="n">
        <v>67.81999999999999</v>
      </c>
      <c r="P84" s="31" t="n">
        <v>60.66</v>
      </c>
      <c r="Q84" s="31" t="n">
        <v>1204.43</v>
      </c>
      <c r="R84" s="30" t="inlineStr">
        <is>
          <t>Near 52W High Breakout</t>
        </is>
      </c>
      <c r="S84" s="30" t="inlineStr">
        <is>
          <t>Nifty Pharma</t>
        </is>
      </c>
      <c r="T84" s="31" t="n">
        <v>18.86</v>
      </c>
      <c r="U84" s="31" t="n">
        <v>43.88</v>
      </c>
      <c r="V84" s="31" t="n">
        <v>21.05</v>
      </c>
      <c r="W84" s="31" t="n">
        <v>12.04</v>
      </c>
      <c r="X84" s="30" t="inlineStr">
        <is>
          <t>Growing Industry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Yes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Structural (10 Years Consistency)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Stable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Yes</t>
        </is>
      </c>
      <c r="AQ84" s="30">
        <f>IF(AP84="Yes",10,0)</f>
        <v/>
      </c>
      <c r="AR84" s="30" t="inlineStr">
        <is>
          <t>Higher Annuity, Lower One Time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Above 40</t>
        </is>
      </c>
      <c r="AY84" s="30">
        <f>IF(AX84="Above 40",20,IF(AX84="20 to 40",10,IF(AX84="0 to 20",-5,0)))</f>
        <v/>
      </c>
      <c r="AZ84" s="30" t="inlineStr">
        <is>
          <t>Between 50 to 75</t>
        </is>
      </c>
      <c r="BA84" s="30">
        <f>IF(AZ84="Between 50 to 75",10,IF(AZ84="Above 75",0,0))</f>
        <v/>
      </c>
      <c r="BB84" s="30" t="inlineStr">
        <is>
          <t>Stage 2</t>
        </is>
      </c>
      <c r="BC84" s="30">
        <f>IF(BB84="Stage 2",20,IF(BB84="Stage 1",0,IF(BB84="Stage 3",5,IF(BB84="Stage 4",-5,0))))</f>
        <v/>
      </c>
      <c r="BD84" s="30" t="inlineStr">
        <is>
          <t>Positive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Blue sky scenario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Yes</t>
        </is>
      </c>
      <c r="BS84" s="30">
        <f>IF(BR84="NO",5,0)</f>
        <v/>
      </c>
      <c r="BT84" s="30" t="inlineStr">
        <is>
          <t>Above 2</t>
        </is>
      </c>
      <c r="BU84" s="30">
        <f>IF(BT84="Above 2",0,IF(BT84="Between 1.5 to 2",5,IF(BT84="Less than 1.5",10,0)))</f>
        <v/>
      </c>
      <c r="BV84" s="30" t="inlineStr">
        <is>
          <t>Above 70%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Less than 0.7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</row>
    <row r="85">
      <c r="A85" s="30">
        <f>IF(B85=0,"",RANK(B85,$B$2:$B$331,0))</f>
        <v/>
      </c>
      <c r="B85" s="31">
        <f>SUM(N85,Y85,AA85,AC85,AE85,AG85,AI85,AK85,AM85,AO85,AQ85,AS85,AU85,AW85,AY85,BA85,BC85,BE85,BG85,BI85,BK85,BM85,BO85,BQ85,BS85,BU85,BW85,BY85,CA85,CC85,CE85)</f>
        <v/>
      </c>
      <c r="C85" s="30" t="inlineStr">
        <is>
          <t>MANORAMA</t>
        </is>
      </c>
      <c r="D85" s="30" t="inlineStr">
        <is>
          <t>Manorama Industries Ltd</t>
        </is>
      </c>
      <c r="E85" s="30" t="inlineStr">
        <is>
          <t>fmcg</t>
        </is>
      </c>
      <c r="F85" s="30" t="inlineStr">
        <is>
          <t>food - processing - indian</t>
        </is>
      </c>
      <c r="G85" s="30" t="inlineStr">
        <is>
          <t>midcap</t>
        </is>
      </c>
      <c r="H85" s="31" t="n">
        <v>12498.79</v>
      </c>
      <c r="I85" s="31" t="n">
        <v>2085</v>
      </c>
      <c r="J85" s="31" t="n">
        <v>-0.4</v>
      </c>
      <c r="K85" s="31" t="n">
        <v>216714</v>
      </c>
      <c r="L85" s="30" t="n">
        <v>59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77.42</v>
      </c>
      <c r="P85" s="31" t="n">
        <v>27.65</v>
      </c>
      <c r="Q85" s="31" t="n">
        <v>1651.41</v>
      </c>
      <c r="R85" s="30" t="inlineStr">
        <is>
          <t>Near 52W High Breakout</t>
        </is>
      </c>
      <c r="S85" s="30" t="inlineStr">
        <is>
          <t>Nifty FMCG</t>
        </is>
      </c>
      <c r="T85" s="31" t="n">
        <v>-17.21</v>
      </c>
      <c r="U85" s="31" t="n">
        <v>32.29</v>
      </c>
      <c r="V85" s="31" t="n">
        <v>59.79</v>
      </c>
      <c r="W85" s="31" t="n">
        <v>18.38</v>
      </c>
      <c r="X85" s="30" t="inlineStr">
        <is>
          <t>Growing Industry</t>
        </is>
      </c>
      <c r="Y85" s="30">
        <f>IF(X85="Growing Industry",10,IF(X85="Cyclical in an Upturn",5,0))</f>
        <v/>
      </c>
      <c r="Z85" s="30" t="inlineStr">
        <is>
          <t>Too Many Players with High ROCE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No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Structural (10 Years Consistency)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Stable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B2C</t>
        </is>
      </c>
      <c r="AO85" s="30">
        <f>IF(AN85="B2C",10,IF(AN85="B2B",5,0))</f>
        <v/>
      </c>
      <c r="AP85" s="30" t="inlineStr">
        <is>
          <t>Yes</t>
        </is>
      </c>
      <c r="AQ85" s="30">
        <f>IF(AP85="Yes",10,0)</f>
        <v/>
      </c>
      <c r="AR85" s="30" t="inlineStr">
        <is>
          <t>Higher Annuity, Lower One Time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20 to 40</t>
        </is>
      </c>
      <c r="AY85" s="30">
        <f>IF(AX85="Above 40",20,IF(AX85="20 to 40",10,IF(AX85="0 to 20",-5,0)))</f>
        <v/>
      </c>
      <c r="AZ85" s="30" t="inlineStr">
        <is>
          <t>Above 75</t>
        </is>
      </c>
      <c r="BA85" s="30">
        <f>IF(AZ85="Between 50 to 75",10,IF(AZ85="Above 75",0,0))</f>
        <v/>
      </c>
      <c r="BB85" s="30" t="inlineStr">
        <is>
          <t>Stage 2</t>
        </is>
      </c>
      <c r="BC85" s="30">
        <f>IF(BB85="Stage 2",20,IF(BB85="Stage 1",0,IF(BB85="Stage 3",5,IF(BB85="Stage 4",-5,0))))</f>
        <v/>
      </c>
      <c r="BD85" s="30" t="inlineStr">
        <is>
          <t>Positive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Blue sky scenario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More than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Yes</t>
        </is>
      </c>
      <c r="BS85" s="30">
        <f>IF(BR85="NO",5,0)</f>
        <v/>
      </c>
      <c r="BT85" s="30" t="inlineStr">
        <is>
          <t>Less than 1.5</t>
        </is>
      </c>
      <c r="BU85" s="30">
        <f>IF(BT85="Above 2",0,IF(BT85="Between 1.5 to 2",5,IF(BT85="Less than 1.5",10,0)))</f>
        <v/>
      </c>
      <c r="BV85" s="30" t="inlineStr">
        <is>
          <t>Above 70%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Less than 0.7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</row>
    <row r="86">
      <c r="A86" s="30">
        <f>IF(B86=0,"",RANK(B86,$B$2:$B$331,0))</f>
        <v/>
      </c>
      <c r="B86" s="31">
        <f>SUM(N86,Y86,AA86,AC86,AE86,AG86,AI86,AK86,AM86,AO86,AQ86,AS86,AU86,AW86,AY86,BA86,BC86,BE86,BG86,BI86,BK86,BM86,BO86,BQ86,BS86,BU86,BW86,BY86,CA86,CC86,CE86)</f>
        <v/>
      </c>
      <c r="C86" s="30" t="inlineStr">
        <is>
          <t>DIVISLAB</t>
        </is>
      </c>
      <c r="D86" s="30" t="inlineStr">
        <is>
          <t>Divi's Laboratories Limited</t>
        </is>
      </c>
      <c r="E86" s="30" t="inlineStr">
        <is>
          <t>healthcare</t>
        </is>
      </c>
      <c r="F86" s="30" t="inlineStr">
        <is>
          <t>pharmaceuticals - indian - bulk drugs</t>
        </is>
      </c>
      <c r="G86" s="30" t="inlineStr">
        <is>
          <t>largecap</t>
        </is>
      </c>
      <c r="H86" s="31" t="n">
        <v>251876.59</v>
      </c>
      <c r="I86" s="31" t="n">
        <v>9438.5</v>
      </c>
      <c r="J86" s="31" t="n">
        <v>-0.52</v>
      </c>
      <c r="K86" s="31" t="n">
        <v>338181</v>
      </c>
      <c r="L86" s="30" t="n">
        <v>62</v>
      </c>
      <c r="M86" s="30" t="inlineStr">
        <is>
          <t>Outperforming</t>
        </is>
      </c>
      <c r="N86" s="31">
        <f>IF(M86="Underperforming",-5,IF(L86&gt;=95,15,IF(L86&gt;=90,10,IF(L86&gt;=80,5,0))))</f>
        <v/>
      </c>
      <c r="O86" s="31" t="n">
        <v>85.43000000000001</v>
      </c>
      <c r="P86" s="31" t="n">
        <v>45.44</v>
      </c>
      <c r="Q86" s="31" t="n">
        <v>8244.700000000001</v>
      </c>
      <c r="R86" s="30" t="inlineStr">
        <is>
          <t>Near 52W High Breakout</t>
        </is>
      </c>
      <c r="S86" s="30" t="inlineStr">
        <is>
          <t>Nifty Pharma</t>
        </is>
      </c>
      <c r="T86" s="31" t="n">
        <v>18.86</v>
      </c>
      <c r="U86" s="31" t="n">
        <v>57.26</v>
      </c>
      <c r="V86" s="31" t="n">
        <v>32.3</v>
      </c>
      <c r="W86" s="31" t="n">
        <v>19.2</v>
      </c>
      <c r="X86" s="30" t="inlineStr">
        <is>
          <t>Growing Industry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Yes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Structural (10 Years Consistency)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Stable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Yes</t>
        </is>
      </c>
      <c r="AQ86" s="30">
        <f>IF(AP86="Yes",10,0)</f>
        <v/>
      </c>
      <c r="AR86" s="30" t="inlineStr">
        <is>
          <t>Higher Annuity, Lower One Time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Above 40</t>
        </is>
      </c>
      <c r="AY86" s="30">
        <f>IF(AX86="Above 40",20,IF(AX86="20 to 40",10,IF(AX86="0 to 20",-5,0)))</f>
        <v/>
      </c>
      <c r="AZ86" s="30" t="inlineStr">
        <is>
          <t>Above 75</t>
        </is>
      </c>
      <c r="BA86" s="30">
        <f>IF(AZ86="Between 50 to 75",10,IF(AZ86="Above 75",0,0))</f>
        <v/>
      </c>
      <c r="BB86" s="30" t="inlineStr">
        <is>
          <t>Stage 2</t>
        </is>
      </c>
      <c r="BC86" s="30">
        <f>IF(BB86="Stage 2",20,IF(BB86="Stage 1",0,IF(BB86="Stage 3",5,IF(BB86="Stage 4",-5,0))))</f>
        <v/>
      </c>
      <c r="BD86" s="30" t="inlineStr">
        <is>
          <t>Positive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Blue sky scenario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More than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Yes</t>
        </is>
      </c>
      <c r="BS86" s="30">
        <f>IF(BR86="NO",5,0)</f>
        <v/>
      </c>
      <c r="BT86" s="30" t="inlineStr">
        <is>
          <t>Less than 1.5</t>
        </is>
      </c>
      <c r="BU86" s="30">
        <f>IF(BT86="Above 2",0,IF(BT86="Between 1.5 to 2",5,IF(BT86="Less than 1.5",10,0)))</f>
        <v/>
      </c>
      <c r="BV86" s="30" t="inlineStr">
        <is>
          <t>Above 70%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Less than 0.7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</row>
    <row r="87">
      <c r="A87" s="30">
        <f>IF(B87=0,"",RANK(B87,$B$2:$B$331,0))</f>
        <v/>
      </c>
      <c r="B87" s="31">
        <f>SUM(N87,Y87,AA87,AC87,AE87,AG87,AI87,AK87,AM87,AO87,AQ87,AS87,AU87,AW87,AY87,BA87,BC87,BE87,BG87,BI87,BK87,BM87,BO87,BQ87,BS87,BU87,BW87,BY87,CA87,CC87,CE87)</f>
        <v/>
      </c>
      <c r="C87" s="30" t="inlineStr">
        <is>
          <t>MOREPENLAB</t>
        </is>
      </c>
      <c r="D87" s="30" t="inlineStr">
        <is>
          <t>Morepen Laboratories Limited</t>
        </is>
      </c>
      <c r="E87" s="30" t="inlineStr">
        <is>
          <t>healthcare</t>
        </is>
      </c>
      <c r="F87" s="30" t="inlineStr">
        <is>
          <t>pharmaceuticals - indian - bulk drugs &amp; formln</t>
        </is>
      </c>
      <c r="G87" s="30" t="inlineStr">
        <is>
          <t>midcap</t>
        </is>
      </c>
      <c r="H87" s="31" t="n">
        <v>6385.85</v>
      </c>
      <c r="I87" s="31" t="n">
        <v>115.28</v>
      </c>
      <c r="J87" s="31" t="n">
        <v>-1.08</v>
      </c>
      <c r="K87" s="31" t="n">
        <v>9814569</v>
      </c>
      <c r="L87" s="30" t="n">
        <v>94</v>
      </c>
      <c r="M87" s="30" t="inlineStr">
        <is>
          <t>Outperforming</t>
        </is>
      </c>
      <c r="N87" s="31">
        <f>IF(M87="Underperforming",-5,IF(L87&gt;=95,15,IF(L87&gt;=90,10,IF(L87&gt;=80,5,0))))</f>
        <v/>
      </c>
      <c r="O87" s="31" t="n">
        <v>87.56</v>
      </c>
      <c r="P87" s="31" t="n">
        <v>52.57</v>
      </c>
      <c r="Q87" s="31" t="n">
        <v>88.29000000000001</v>
      </c>
      <c r="R87" s="30" t="inlineStr">
        <is>
          <t>Near 52W High Breakout</t>
        </is>
      </c>
      <c r="S87" s="30" t="inlineStr">
        <is>
          <t>Nifty Pharma</t>
        </is>
      </c>
      <c r="T87" s="31" t="n">
        <v>18.86</v>
      </c>
      <c r="U87" s="31" t="n">
        <v>113.88</v>
      </c>
      <c r="V87" s="31" t="n">
        <v>79.93000000000001</v>
      </c>
      <c r="W87" s="31" t="n">
        <v>52.07</v>
      </c>
      <c r="X87" s="30" t="inlineStr">
        <is>
          <t>Growing Industry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Yes</t>
        </is>
      </c>
      <c r="AC87" s="30">
        <f>IF(AB87="No",5,0)</f>
        <v/>
      </c>
      <c r="AD87" s="30" t="inlineStr">
        <is>
          <t>Tailwind</t>
        </is>
      </c>
      <c r="AE87" s="30">
        <f>IF(AD87="Tailwind",10,0)</f>
        <v/>
      </c>
      <c r="AF87" s="30" t="inlineStr">
        <is>
          <t>Structural (10 Years Consistency)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Yes</t>
        </is>
      </c>
      <c r="AQ87" s="30">
        <f>IF(AP87="Yes",10,0)</f>
        <v/>
      </c>
      <c r="AR87" s="30" t="inlineStr">
        <is>
          <t>Higher Annuity, Lower One Time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Above 40</t>
        </is>
      </c>
      <c r="AY87" s="30">
        <f>IF(AX87="Above 40",20,IF(AX87="20 to 40",10,IF(AX87="0 to 20",-5,0)))</f>
        <v/>
      </c>
      <c r="AZ87" s="30" t="inlineStr">
        <is>
          <t>Above 75</t>
        </is>
      </c>
      <c r="BA87" s="30">
        <f>IF(AZ87="Between 50 to 75",10,IF(AZ87="Above 75",0,0))</f>
        <v/>
      </c>
      <c r="BB87" s="30" t="inlineStr">
        <is>
          <t>Stage 2</t>
        </is>
      </c>
      <c r="BC87" s="30">
        <f>IF(BB87="Stage 2",20,IF(BB87="Stage 1",0,IF(BB87="Stage 3",5,IF(BB87="Stage 4",-5,0))))</f>
        <v/>
      </c>
      <c r="BD87" s="30" t="inlineStr">
        <is>
          <t>Positive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Blue sky scenario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More than 20%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Yes</t>
        </is>
      </c>
      <c r="BS87" s="30">
        <f>IF(BR87="NO",5,0)</f>
        <v/>
      </c>
      <c r="BT87" s="30" t="inlineStr">
        <is>
          <t>Above 2</t>
        </is>
      </c>
      <c r="BU87" s="30">
        <f>IF(BT87="Above 2",0,IF(BT87="Between 1.5 to 2",5,IF(BT87="Less than 1.5",10,0)))</f>
        <v/>
      </c>
      <c r="BV87" s="30" t="inlineStr">
        <is>
          <t>Above 70%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Less than 0.7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</row>
    <row r="88">
      <c r="A88" s="30">
        <f>IF(B88=0,"",RANK(B88,$B$2:$B$331,0))</f>
        <v/>
      </c>
      <c r="B88" s="31">
        <f>SUM(N88,Y88,AA88,AC88,AE88,AG88,AI88,AK88,AM88,AO88,AQ88,AS88,AU88,AW88,AY88,BA88,BC88,BE88,BG88,BI88,BK88,BM88,BO88,BQ88,BS88,BU88,BW88,BY88,CA88,CC88,CE88)</f>
        <v/>
      </c>
      <c r="C88" s="30" t="inlineStr">
        <is>
          <t>WOCKPHARMA</t>
        </is>
      </c>
      <c r="D88" s="30" t="inlineStr">
        <is>
          <t>Wockhardt Limited</t>
        </is>
      </c>
      <c r="E88" s="30" t="inlineStr">
        <is>
          <t>healthcare</t>
        </is>
      </c>
      <c r="F88" s="30" t="inlineStr">
        <is>
          <t>pharmaceuticals - indian - bulk drugs &amp; formln</t>
        </is>
      </c>
      <c r="G88" s="30" t="inlineStr">
        <is>
          <t>largecap</t>
        </is>
      </c>
      <c r="H88" s="31" t="n">
        <v>36541.24</v>
      </c>
      <c r="I88" s="31" t="n">
        <v>2220.6</v>
      </c>
      <c r="J88" s="31" t="n">
        <v>-1.25</v>
      </c>
      <c r="K88" s="31" t="n">
        <v>693525</v>
      </c>
      <c r="L88" s="30" t="n">
        <v>45</v>
      </c>
      <c r="M88" s="30" t="inlineStr">
        <is>
          <t>Outperforming</t>
        </is>
      </c>
      <c r="N88" s="31">
        <f>IF(M88="Underperforming",-5,IF(L88&gt;=95,15,IF(L88&gt;=90,10,IF(L88&gt;=80,5,0))))</f>
        <v/>
      </c>
      <c r="O88" s="31" t="n">
        <v>69.31999999999999</v>
      </c>
      <c r="P88" s="31" t="n">
        <v>49.46</v>
      </c>
      <c r="Q88" s="31" t="n">
        <v>1693.32</v>
      </c>
      <c r="R88" s="30" t="inlineStr">
        <is>
          <t>Volume Spike &amp; Near 52W High Breakout</t>
        </is>
      </c>
      <c r="S88" s="30" t="inlineStr">
        <is>
          <t>Nifty Pharma</t>
        </is>
      </c>
      <c r="T88" s="31" t="n">
        <v>18.86</v>
      </c>
      <c r="U88" s="31" t="n">
        <v>46.28</v>
      </c>
      <c r="V88" s="31" t="n">
        <v>23.07</v>
      </c>
      <c r="W88" s="31" t="n">
        <v>13.57</v>
      </c>
      <c r="X88" s="30" t="inlineStr">
        <is>
          <t>Growing Industry</t>
        </is>
      </c>
      <c r="Y88" s="30">
        <f>IF(X88="Growing Industry",10,IF(X88="Cyclical in an Upturn",5,0))</f>
        <v/>
      </c>
      <c r="Z88" s="30" t="inlineStr">
        <is>
          <t>Too Many Players with High ROCE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Yes</t>
        </is>
      </c>
      <c r="AC88" s="30">
        <f>IF(AB88="No",5,0)</f>
        <v/>
      </c>
      <c r="AD88" s="30" t="inlineStr">
        <is>
          <t>Tailwind</t>
        </is>
      </c>
      <c r="AE88" s="30">
        <f>IF(AD88="Tailwind",10,0)</f>
        <v/>
      </c>
      <c r="AF88" s="30" t="inlineStr">
        <is>
          <t>Structural (10 Years Consistency)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Stable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B2B</t>
        </is>
      </c>
      <c r="AO88" s="30">
        <f>IF(AN88="B2C",10,IF(AN88="B2B",5,0))</f>
        <v/>
      </c>
      <c r="AP88" s="30" t="inlineStr">
        <is>
          <t>Yes</t>
        </is>
      </c>
      <c r="AQ88" s="30">
        <f>IF(AP88="Yes",10,0)</f>
        <v/>
      </c>
      <c r="AR88" s="30" t="inlineStr">
        <is>
          <t>Higher Annuity, Lower One Time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Above 40</t>
        </is>
      </c>
      <c r="AY88" s="30">
        <f>IF(AX88="Above 40",20,IF(AX88="20 to 40",10,IF(AX88="0 to 20",-5,0)))</f>
        <v/>
      </c>
      <c r="AZ88" s="30" t="inlineStr">
        <is>
          <t>Between 50 to 75</t>
        </is>
      </c>
      <c r="BA88" s="30">
        <f>IF(AZ88="Between 50 to 75",10,IF(AZ88="Above 75",0,0))</f>
        <v/>
      </c>
      <c r="BB88" s="30" t="inlineStr">
        <is>
          <t>Stage 2</t>
        </is>
      </c>
      <c r="BC88" s="30">
        <f>IF(BB88="Stage 2",20,IF(BB88="Stage 1",0,IF(BB88="Stage 3",5,IF(BB88="Stage 4",-5,0))))</f>
        <v/>
      </c>
      <c r="BD88" s="30" t="inlineStr">
        <is>
          <t>Positive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Blue sky scenario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More than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Yes</t>
        </is>
      </c>
      <c r="BS88" s="30">
        <f>IF(BR88="NO",5,0)</f>
        <v/>
      </c>
      <c r="BT88" s="30" t="inlineStr">
        <is>
          <t>Above 2</t>
        </is>
      </c>
      <c r="BU88" s="30">
        <f>IF(BT88="Above 2",0,IF(BT88="Between 1.5 to 2",5,IF(BT88="Less than 1.5",10,0)))</f>
        <v/>
      </c>
      <c r="BV88" s="30" t="inlineStr">
        <is>
          <t>Above 70%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Less than 0.7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</row>
    <row r="89">
      <c r="A89" s="30">
        <f>IF(B89=0,"",RANK(B89,$B$2:$B$331,0))</f>
        <v/>
      </c>
      <c r="B89" s="31">
        <f>SUM(N89,Y89,AA89,AC89,AE89,AG89,AI89,AK89,AM89,AO89,AQ89,AS89,AU89,AW89,AY89,BA89,BC89,BE89,BG89,BI89,BK89,BM89,BO89,BQ89,BS89,BU89,BW89,BY89,CA89,CC89,CE89)</f>
        <v/>
      </c>
      <c r="C89" s="30" t="inlineStr">
        <is>
          <t>NRBBEARING</t>
        </is>
      </c>
      <c r="D89" s="30" t="inlineStr">
        <is>
          <t>Nrb Bearing Limited</t>
        </is>
      </c>
      <c r="E89" s="30" t="inlineStr">
        <is>
          <t>industrials</t>
        </is>
      </c>
      <c r="F89" s="30" t="inlineStr">
        <is>
          <t>bearings</t>
        </is>
      </c>
      <c r="G89" s="30" t="inlineStr">
        <is>
          <t>smallcap</t>
        </is>
      </c>
      <c r="H89" s="31" t="n">
        <v>4696.38</v>
      </c>
      <c r="I89" s="31" t="n">
        <v>515.95</v>
      </c>
      <c r="J89" s="31" t="n">
        <v>6.48</v>
      </c>
      <c r="K89" s="31" t="n">
        <v>1397242</v>
      </c>
      <c r="L89" s="30" t="n">
        <v>66</v>
      </c>
      <c r="M89" s="30" t="inlineStr">
        <is>
          <t>Outperforming</t>
        </is>
      </c>
      <c r="N89" s="31">
        <f>IF(M89="Underperforming",-5,IF(L89&gt;=95,15,IF(L89&gt;=90,10,IF(L89&gt;=80,5,0))))</f>
        <v/>
      </c>
      <c r="O89" s="31" t="n">
        <v>73.08</v>
      </c>
      <c r="P89" s="31" t="n">
        <v>50.75</v>
      </c>
      <c r="Q89" s="31" t="n">
        <v>401.44</v>
      </c>
      <c r="R89" s="30" t="inlineStr">
        <is>
          <t>Near 52W High Breakout</t>
        </is>
      </c>
      <c r="S89" s="30" t="inlineStr">
        <is>
          <t>Nifty 50</t>
        </is>
      </c>
      <c r="T89" s="31" t="n">
        <v>-6.52</v>
      </c>
      <c r="U89" s="31" t="n">
        <v>88.59999999999999</v>
      </c>
      <c r="V89" s="31" t="n">
        <v>101.74</v>
      </c>
      <c r="W89" s="31" t="n">
        <v>20.72</v>
      </c>
      <c r="X89" s="30" t="inlineStr">
        <is>
          <t>Cyclical in an Upturn</t>
        </is>
      </c>
      <c r="Y89" s="30">
        <f>IF(X89="Growing Industry",10,IF(X89="Cyclical in an Upturn",5,0))</f>
        <v/>
      </c>
      <c r="Z89" s="30" t="inlineStr">
        <is>
          <t>Too Many Players with High ROCE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No</t>
        </is>
      </c>
      <c r="AC89" s="30">
        <f>IF(AB89="No",5,0)</f>
        <v/>
      </c>
      <c r="AD89" s="30" t="inlineStr">
        <is>
          <t>Tailwind</t>
        </is>
      </c>
      <c r="AE89" s="30">
        <f>IF(AD89="Tailwind",10,0)</f>
        <v/>
      </c>
      <c r="AF89" s="30" t="inlineStr">
        <is>
          <t>Structural (10 Years Consistency)</t>
        </is>
      </c>
      <c r="AG89" s="30">
        <f>IF(AF89="Structural (10 Years Consistency)",10,IF(AF89="Shallow Cyclical (2 to 3 years growth)",5,0))</f>
        <v/>
      </c>
      <c r="AH89" s="30" t="inlineStr">
        <is>
          <t>No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Stable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B2B</t>
        </is>
      </c>
      <c r="AO89" s="30">
        <f>IF(AN89="B2C",10,IF(AN89="B2B",5,0))</f>
        <v/>
      </c>
      <c r="AP89" s="30" t="inlineStr">
        <is>
          <t>Yes</t>
        </is>
      </c>
      <c r="AQ89" s="30">
        <f>IF(AP89="Yes",10,0)</f>
        <v/>
      </c>
      <c r="AR89" s="30" t="inlineStr">
        <is>
          <t>Higher One Time, Lower Annuity</t>
        </is>
      </c>
      <c r="AS89" s="30">
        <f>IF(AR89="Fully Annuity",10,IF(AR89="Higher Annuity, Lower One Time",5,IF(AR89="Higher One Time, Lower Annuity",3,0)))</f>
        <v/>
      </c>
      <c r="AT89" s="30" t="inlineStr">
        <is>
          <t>Good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Above 40</t>
        </is>
      </c>
      <c r="AY89" s="30">
        <f>IF(AX89="Above 40",20,IF(AX89="20 to 40",10,IF(AX89="0 to 20",-5,0)))</f>
        <v/>
      </c>
      <c r="AZ89" s="30" t="inlineStr">
        <is>
          <t>Between 50 to 75</t>
        </is>
      </c>
      <c r="BA89" s="30">
        <f>IF(AZ89="Between 50 to 75",10,IF(AZ89="Above 75",0,0))</f>
        <v/>
      </c>
      <c r="BB89" s="30" t="inlineStr">
        <is>
          <t>Stage 2</t>
        </is>
      </c>
      <c r="BC89" s="30">
        <f>IF(BB89="Stage 2",20,IF(BB89="Stage 1",0,IF(BB89="Stage 3",5,IF(BB89="Stage 4",-5,0))))</f>
        <v/>
      </c>
      <c r="BD89" s="30" t="inlineStr">
        <is>
          <t>Positive Trend</t>
        </is>
      </c>
      <c r="BE89" s="30">
        <f>IF(BD89="Positive Trend",20,IF(BD89="Negative Trend",-10,0))</f>
        <v/>
      </c>
      <c r="BF89" s="30" t="inlineStr">
        <is>
          <t>Uptrend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Blue sky scenario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Yes</t>
        </is>
      </c>
      <c r="BM89" s="30">
        <f>IF(BL89="Yes",10,0)</f>
        <v/>
      </c>
      <c r="BN89" s="30" t="inlineStr">
        <is>
          <t>Between 12 to 20%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No</t>
        </is>
      </c>
      <c r="BS89" s="30">
        <f>IF(BR89="NO",5,0)</f>
        <v/>
      </c>
      <c r="BT89" s="30" t="inlineStr">
        <is>
          <t>Above 2</t>
        </is>
      </c>
      <c r="BU89" s="30">
        <f>IF(BT89="Above 2",0,IF(BT89="Between 1.5 to 2",5,IF(BT89="Less than 1.5",10,0)))</f>
        <v/>
      </c>
      <c r="BV89" s="30" t="inlineStr">
        <is>
          <t>Above 70%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Less than 0.7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Less than 15%</t>
        </is>
      </c>
      <c r="CC89" s="30">
        <f>IF(CB89="More than 15%",-10,IF(CB89="Less than 15%",10,0))</f>
        <v/>
      </c>
      <c r="CD89" s="30" t="inlineStr">
        <is>
          <t>No</t>
        </is>
      </c>
      <c r="CE89" s="30">
        <f>IF(CD89="Yes, more than 10%",-10,IF(CD89="No",10,0))</f>
        <v/>
      </c>
    </row>
    <row r="90">
      <c r="A90" s="30">
        <f>IF(B90=0,"",RANK(B90,$B$2:$B$331,0))</f>
        <v/>
      </c>
      <c r="B90" s="31">
        <f>SUM(N90,Y90,AA90,AC90,AE90,AG90,AI90,AK90,AM90,AO90,AQ90,AS90,AU90,AW90,AY90,BA90,BC90,BE90,BG90,BI90,BK90,BM90,BO90,BQ90,BS90,BU90,BW90,BY90,CA90,CC90,CE90)</f>
        <v/>
      </c>
      <c r="C90" s="30" t="inlineStr">
        <is>
          <t>WSTCSTPAPR</t>
        </is>
      </c>
      <c r="D90" s="30" t="inlineStr">
        <is>
          <t>West Coast Paper Mills Limited</t>
        </is>
      </c>
      <c r="E90" s="30" t="inlineStr">
        <is>
          <t>building materials</t>
        </is>
      </c>
      <c r="F90" s="30" t="inlineStr">
        <is>
          <t>paper</t>
        </is>
      </c>
      <c r="G90" s="30" t="inlineStr">
        <is>
          <t>smallcap</t>
        </is>
      </c>
      <c r="H90" s="31" t="n">
        <v>4409.09</v>
      </c>
      <c r="I90" s="31" t="n">
        <v>710.1</v>
      </c>
      <c r="J90" s="31" t="n">
        <v>6.37</v>
      </c>
      <c r="K90" s="31" t="n">
        <v>528781</v>
      </c>
      <c r="L90" s="30" t="n">
        <v>57</v>
      </c>
      <c r="M90" s="30" t="inlineStr">
        <is>
          <t>Outperforming</t>
        </is>
      </c>
      <c r="N90" s="31">
        <f>IF(M90="Underperforming",-5,IF(L90&gt;=95,15,IF(L90&gt;=90,10,IF(L90&gt;=80,5,0))))</f>
        <v/>
      </c>
      <c r="O90" s="31" t="n">
        <v>75.87</v>
      </c>
      <c r="P90" s="31" t="n">
        <v>51.28</v>
      </c>
      <c r="Q90" s="31" t="n">
        <v>569.02</v>
      </c>
      <c r="R90" s="30" t="inlineStr">
        <is>
          <t>Near 52W High Breakout</t>
        </is>
      </c>
      <c r="S90" s="30" t="inlineStr">
        <is>
          <t>Nifty Infra</t>
        </is>
      </c>
      <c r="T90" s="31" t="n">
        <v>0.74</v>
      </c>
      <c r="U90" s="31" t="n">
        <v>32.89</v>
      </c>
      <c r="V90" s="31" t="n">
        <v>31.92</v>
      </c>
      <c r="W90" s="31" t="n">
        <v>17.94</v>
      </c>
      <c r="X90" s="30" t="inlineStr">
        <is>
          <t>Growing Industry</t>
        </is>
      </c>
      <c r="Y90" s="30">
        <f>IF(X90="Growing Industry",10,IF(X90="Cyclical in an Upturn",5,0))</f>
        <v/>
      </c>
      <c r="Z90" s="30" t="inlineStr">
        <is>
          <t>Too Many Players with High ROCE</t>
        </is>
      </c>
      <c r="AA90" s="30">
        <f>IF(Z90="Monopoly",10,IF(Z90="Oligopoly",5,IF(Z90="Duopoly that cooperate",10,IF(Z90="Duopoly that compete",5,IF(Z90="Too many players with High ROCE",5,0)))))</f>
        <v/>
      </c>
      <c r="AB90" s="30" t="inlineStr">
        <is>
          <t>No</t>
        </is>
      </c>
      <c r="AC90" s="30">
        <f>IF(AB90="No",5,0)</f>
        <v/>
      </c>
      <c r="AD90" s="30" t="inlineStr">
        <is>
          <t>Tailwind</t>
        </is>
      </c>
      <c r="AE90" s="30">
        <f>IF(AD90="Tailwind",10,0)</f>
        <v/>
      </c>
      <c r="AF90" s="30" t="inlineStr">
        <is>
          <t>Structural (10 Years Consistency)</t>
        </is>
      </c>
      <c r="AG90" s="30">
        <f>IF(AF90="Structural (10 Years Consistency)",10,IF(AF90="Shallow Cyclical (2 to 3 years growth)",5,0))</f>
        <v/>
      </c>
      <c r="AH90" s="30" t="inlineStr">
        <is>
          <t>No</t>
        </is>
      </c>
      <c r="AI90" s="30">
        <f>IF(AH90="Yes due to Product Mix change or Operating Leverage",10,IF(AH90="Yes, these are peak margins",-5,IF(AH90="No",5,0)))</f>
        <v/>
      </c>
      <c r="AJ90" s="30" t="inlineStr">
        <is>
          <t>Stable</t>
        </is>
      </c>
      <c r="AK90" s="30">
        <f>IF(AJ90="Stable",10,0)</f>
        <v/>
      </c>
      <c r="AL90" s="30" t="inlineStr">
        <is>
          <t>Yes</t>
        </is>
      </c>
      <c r="AM90" s="30">
        <f>IF(AL90="Yes",10,0)</f>
        <v/>
      </c>
      <c r="AN90" s="30" t="inlineStr">
        <is>
          <t>B2B</t>
        </is>
      </c>
      <c r="AO90" s="30">
        <f>IF(AN90="B2C",10,IF(AN90="B2B",5,0))</f>
        <v/>
      </c>
      <c r="AP90" s="30" t="inlineStr">
        <is>
          <t>Yes</t>
        </is>
      </c>
      <c r="AQ90" s="30">
        <f>IF(AP90="Yes",10,0)</f>
        <v/>
      </c>
      <c r="AR90" s="30" t="inlineStr">
        <is>
          <t>Higher One Time, Lower Annuity</t>
        </is>
      </c>
      <c r="AS90" s="30">
        <f>IF(AR90="Fully Annuity",10,IF(AR90="Higher Annuity, Lower One Time",5,IF(AR90="Higher One Time, Lower Annuity",3,0)))</f>
        <v/>
      </c>
      <c r="AT90" s="30" t="inlineStr">
        <is>
          <t>Good</t>
        </is>
      </c>
      <c r="AU90" s="30">
        <f>IF(AT90="Good",10,0)</f>
        <v/>
      </c>
      <c r="AV90" s="30" t="inlineStr">
        <is>
          <t>Yes for more than 2 years</t>
        </is>
      </c>
      <c r="AW90" s="30">
        <f>IF(AV90="Yes for more than 2 years",10,IF(AV90="Yes only for next 1 to 2 years",5,0))</f>
        <v/>
      </c>
      <c r="AX90" s="30" t="inlineStr">
        <is>
          <t>Above 40</t>
        </is>
      </c>
      <c r="AY90" s="30">
        <f>IF(AX90="Above 40",20,IF(AX90="20 to 40",10,IF(AX90="0 to 20",-5,0)))</f>
        <v/>
      </c>
      <c r="AZ90" s="30" t="inlineStr">
        <is>
          <t>Above 75</t>
        </is>
      </c>
      <c r="BA90" s="30">
        <f>IF(AZ90="Between 50 to 75",10,IF(AZ90="Above 75",0,0))</f>
        <v/>
      </c>
      <c r="BB90" s="30" t="inlineStr">
        <is>
          <t>Stage 2</t>
        </is>
      </c>
      <c r="BC90" s="30">
        <f>IF(BB90="Stage 2",20,IF(BB90="Stage 1",0,IF(BB90="Stage 3",5,IF(BB90="Stage 4",-5,0))))</f>
        <v/>
      </c>
      <c r="BD90" s="30" t="inlineStr">
        <is>
          <t>Positive Trend</t>
        </is>
      </c>
      <c r="BE90" s="30">
        <f>IF(BD90="Positive Trend",20,IF(BD90="Negative Trend",-10,0))</f>
        <v/>
      </c>
      <c r="BF90" s="30" t="inlineStr">
        <is>
          <t>Uptrend</t>
        </is>
      </c>
      <c r="BG90" s="30">
        <f>IF(BF90="Uptrend",10,IF(BF90="Sideways",5,0))</f>
        <v/>
      </c>
      <c r="BH90" s="30" t="inlineStr">
        <is>
          <t>Uptrend</t>
        </is>
      </c>
      <c r="BI90" s="30">
        <f>IF(BH90="Uptrend",10,IF(BH90="Sideways",5,0))</f>
        <v/>
      </c>
      <c r="BJ90" s="30" t="inlineStr">
        <is>
          <t>Blue sky scenario</t>
        </is>
      </c>
      <c r="BK90" s="30">
        <f>IF(BJ90="Overhead supply in last 2 years in last 2 years",-5,IF(BJ90="Close to 52 week high or retracement",5,IF(BJ90="Blue sky scenario",10,IF(BJ90="Long term Downtrend",-10,0))))</f>
        <v/>
      </c>
      <c r="BL90" s="30" t="inlineStr">
        <is>
          <t>Yes</t>
        </is>
      </c>
      <c r="BM90" s="30">
        <f>IF(BL90="Yes",10,0)</f>
        <v/>
      </c>
      <c r="BN90" s="30" t="inlineStr">
        <is>
          <t>More than 20%</t>
        </is>
      </c>
      <c r="BO90" s="30">
        <f>IF(BN90="More than 20%",10,IF(BN90="Between 12 to 20%",5,IF(BN90="Less than 12%",0,0)))</f>
        <v/>
      </c>
      <c r="BP90" s="30" t="inlineStr">
        <is>
          <t>No</t>
        </is>
      </c>
      <c r="BQ90" s="30">
        <f>IF(BP90="No",10,0)</f>
        <v/>
      </c>
      <c r="BR90" s="30" t="inlineStr">
        <is>
          <t>No</t>
        </is>
      </c>
      <c r="BS90" s="30">
        <f>IF(BR90="NO",5,0)</f>
        <v/>
      </c>
      <c r="BT90" s="30" t="inlineStr">
        <is>
          <t>Above 2</t>
        </is>
      </c>
      <c r="BU90" s="30">
        <f>IF(BT90="Above 2",0,IF(BT90="Between 1.5 to 2",5,IF(BT90="Less than 1.5",10,0)))</f>
        <v/>
      </c>
      <c r="BV90" s="30" t="inlineStr">
        <is>
          <t>Above 70%</t>
        </is>
      </c>
      <c r="BW90" s="30">
        <f>IF(BV90="Above 70%",10,IF(BV90="Between 50% to 70%",5,IF(BV90="Less than 50%",0,IF(BV90="Negative",-10,IF(BV90="Less than 50% and Borrowings are increasing",-5,0)))))</f>
        <v/>
      </c>
      <c r="BX90" s="30" t="inlineStr">
        <is>
          <t>Less than 0.7</t>
        </is>
      </c>
      <c r="BY90" s="30">
        <f>IF(BX90="More than 1.2",-10,IF(BX90="Between 0.7 to 1.2",0,IF(BX90="Less than 0.7",10,0)))</f>
        <v/>
      </c>
      <c r="BZ90" s="30" t="inlineStr">
        <is>
          <t>No</t>
        </is>
      </c>
      <c r="CA90" s="30">
        <f>IF(BZ90="Yes",-10,0)</f>
        <v/>
      </c>
      <c r="CB90" s="30" t="inlineStr">
        <is>
          <t>Less than 15%</t>
        </is>
      </c>
      <c r="CC90" s="30">
        <f>IF(CB90="More than 15%",-10,IF(CB90="Less than 15%",10,0))</f>
        <v/>
      </c>
      <c r="CD90" s="30" t="inlineStr">
        <is>
          <t>No</t>
        </is>
      </c>
      <c r="CE90" s="30">
        <f>IF(CD90="Yes, more than 10%",-10,IF(CD90="No",10,0))</f>
        <v/>
      </c>
    </row>
    <row r="91">
      <c r="A91" s="30">
        <f>IF(B91=0,"",RANK(B91,$B$2:$B$331,0))</f>
        <v/>
      </c>
      <c r="B91" s="31">
        <f>SUM(N91,Y91,AA91,AC91,AE91,AG91,AI91,AK91,AM91,AO91,AQ91,AS91,AU91,AW91,AY91,BA91,BC91,BE91,BG91,BI91,BK91,BM91,BO91,BQ91,BS91,BU91,BW91,BY91,CA91,CC91,CE91)</f>
        <v/>
      </c>
      <c r="C91" s="32" t="inlineStr">
        <is>
          <t>LOTUSDEV</t>
        </is>
      </c>
      <c r="D91" s="32" t="inlineStr">
        <is>
          <t>Sri Lotus Developers &amp; Realty Ltd</t>
        </is>
      </c>
      <c r="E91" s="30" t="inlineStr">
        <is>
          <t>realty</t>
        </is>
      </c>
      <c r="F91" s="30" t="inlineStr">
        <is>
          <t>construction</t>
        </is>
      </c>
      <c r="G91" s="30" t="inlineStr">
        <is>
          <t>midcap</t>
        </is>
      </c>
      <c r="H91" s="31" t="n">
        <v>9676.24</v>
      </c>
      <c r="I91" s="31" t="n">
        <v>207.88</v>
      </c>
      <c r="J91" s="31" t="n">
        <v>5</v>
      </c>
      <c r="K91" s="31" t="n">
        <v>14078555</v>
      </c>
      <c r="L91" s="30" t="n">
        <v>38</v>
      </c>
      <c r="M91" s="30" t="inlineStr">
        <is>
          <t>Underperforming</t>
        </is>
      </c>
      <c r="N91" s="31">
        <f>IF(M91="Underperforming",-5,IF(L91&gt;=95,15,IF(L91&gt;=90,10,IF(L91&gt;=80,5,0))))</f>
        <v/>
      </c>
      <c r="O91" s="31" t="n">
        <v>65.01000000000001</v>
      </c>
      <c r="P91" s="31" t="n">
        <v>21.53</v>
      </c>
      <c r="Q91" s="31" t="n">
        <v>157.27</v>
      </c>
      <c r="R91" s="30" t="inlineStr">
        <is>
          <t>Near 52W High Breakout</t>
        </is>
      </c>
      <c r="S91" s="30" t="inlineStr">
        <is>
          <t>Nifty Realty</t>
        </is>
      </c>
      <c r="T91" s="31" t="n">
        <v>-0.24</v>
      </c>
      <c r="U91" s="31" t="n">
        <v>-0.9</v>
      </c>
      <c r="V91" s="31" t="n">
        <v>-0.66</v>
      </c>
      <c r="W91" s="31" t="n">
        <v>11.89</v>
      </c>
      <c r="X91" s="30" t="inlineStr">
        <is>
          <t>Growing Industry</t>
        </is>
      </c>
      <c r="Y91" s="30">
        <f>IF(X91="Growing Industry",10,IF(X91="Cyclical in an Upturn",5,0))</f>
        <v/>
      </c>
      <c r="Z91" s="30" t="inlineStr">
        <is>
          <t>Too Many Players with High ROCE</t>
        </is>
      </c>
      <c r="AA91" s="30">
        <f>IF(Z91="Monopoly",10,IF(Z91="Oligopoly",5,IF(Z91="Duopoly that cooperate",10,IF(Z91="Duopoly that compete",5,IF(Z91="Too many players with High ROCE",5,0)))))</f>
        <v/>
      </c>
      <c r="AB91" s="30" t="inlineStr">
        <is>
          <t>No</t>
        </is>
      </c>
      <c r="AC91" s="30">
        <f>IF(AB91="No",5,0)</f>
        <v/>
      </c>
      <c r="AD91" s="30" t="inlineStr">
        <is>
          <t>Tailwind</t>
        </is>
      </c>
      <c r="AE91" s="30">
        <f>IF(AD91="Tailwind",10,0)</f>
        <v/>
      </c>
      <c r="AF91" s="30" t="inlineStr">
        <is>
          <t>Structural (10 Years Consistency)</t>
        </is>
      </c>
      <c r="AG91" s="30">
        <f>IF(AF91="Structural (10 Years Consistency)",10,IF(AF91="Shallow Cyclical (2 to 3 years growth)",5,0))</f>
        <v/>
      </c>
      <c r="AH91" s="30" t="inlineStr">
        <is>
          <t>No</t>
        </is>
      </c>
      <c r="AI91" s="30">
        <f>IF(AH91="Yes due to Product Mix change or Operating Leverage",10,IF(AH91="Yes, these are peak margins",-5,IF(AH91="No",5,0)))</f>
        <v/>
      </c>
      <c r="AJ91" s="30" t="inlineStr">
        <is>
          <t>Stable</t>
        </is>
      </c>
      <c r="AK91" s="30">
        <f>IF(AJ91="Stable",10,0)</f>
        <v/>
      </c>
      <c r="AL91" s="30" t="inlineStr">
        <is>
          <t>Yes</t>
        </is>
      </c>
      <c r="AM91" s="30">
        <f>IF(AL91="Yes",10,0)</f>
        <v/>
      </c>
      <c r="AN91" s="30" t="inlineStr">
        <is>
          <t>B2B</t>
        </is>
      </c>
      <c r="AO91" s="30">
        <f>IF(AN91="B2C",10,IF(AN91="B2B",5,0))</f>
        <v/>
      </c>
      <c r="AP91" s="30" t="inlineStr">
        <is>
          <t>Yes</t>
        </is>
      </c>
      <c r="AQ91" s="30">
        <f>IF(AP91="Yes",10,0)</f>
        <v/>
      </c>
      <c r="AR91" s="30" t="inlineStr">
        <is>
          <t>Higher One Time, Lower Annuity</t>
        </is>
      </c>
      <c r="AS91" s="30">
        <f>IF(AR91="Fully Annuity",10,IF(AR91="Higher Annuity, Lower One Time",5,IF(AR91="Higher One Time, Lower Annuity",3,0)))</f>
        <v/>
      </c>
      <c r="AT91" s="30" t="inlineStr">
        <is>
          <t>Good</t>
        </is>
      </c>
      <c r="AU91" s="30">
        <f>IF(AT91="Good",10,0)</f>
        <v/>
      </c>
      <c r="AV91" s="30" t="inlineStr">
        <is>
          <t>Yes for more than 2 years</t>
        </is>
      </c>
      <c r="AW91" s="30">
        <f>IF(AV91="Yes for more than 2 years",10,IF(AV91="Yes only for next 1 to 2 years",5,0))</f>
        <v/>
      </c>
      <c r="AX91" s="30" t="inlineStr">
        <is>
          <t>20 to 40</t>
        </is>
      </c>
      <c r="AY91" s="30">
        <f>IF(AX91="Above 40",20,IF(AX91="20 to 40",10,IF(AX91="0 to 20",-5,0)))</f>
        <v/>
      </c>
      <c r="AZ91" s="30" t="inlineStr">
        <is>
          <t>Between 50 to 75</t>
        </is>
      </c>
      <c r="BA91" s="30">
        <f>IF(AZ91="Between 50 to 75",10,IF(AZ91="Above 75",0,0))</f>
        <v/>
      </c>
      <c r="BB91" s="30" t="inlineStr">
        <is>
          <t>Stage 2</t>
        </is>
      </c>
      <c r="BC91" s="30">
        <f>IF(BB91="Stage 2",20,IF(BB91="Stage 1",0,IF(BB91="Stage 3",5,IF(BB91="Stage 4",-5,0))))</f>
        <v/>
      </c>
      <c r="BD91" s="30" t="inlineStr">
        <is>
          <t>Positive Trend</t>
        </is>
      </c>
      <c r="BE91" s="30">
        <f>IF(BD91="Positive Trend",20,IF(BD91="Negative Trend",-10,0))</f>
        <v/>
      </c>
      <c r="BF91" s="30" t="inlineStr">
        <is>
          <t>Uptrend</t>
        </is>
      </c>
      <c r="BG91" s="30">
        <f>IF(BF91="Uptrend",10,IF(BF91="Sideways",5,0))</f>
        <v/>
      </c>
      <c r="BH91" s="30" t="inlineStr">
        <is>
          <t>Uptrend</t>
        </is>
      </c>
      <c r="BI91" s="30">
        <f>IF(BH91="Uptrend",10,IF(BH91="Sideways",5,0))</f>
        <v/>
      </c>
      <c r="BJ91" s="30" t="inlineStr">
        <is>
          <t>Blue sky scenario</t>
        </is>
      </c>
      <c r="BK91" s="30">
        <f>IF(BJ91="Overhead supply in last 2 years in last 2 years",-5,IF(BJ91="Close to 52 week high or retracement",5,IF(BJ91="Blue sky scenario",10,IF(BJ91="Long term Downtrend",-10,0))))</f>
        <v/>
      </c>
      <c r="BL91" s="30" t="inlineStr">
        <is>
          <t>Yes</t>
        </is>
      </c>
      <c r="BM91" s="30">
        <f>IF(BL91="Yes",10,0)</f>
        <v/>
      </c>
      <c r="BN91" s="30" t="inlineStr">
        <is>
          <t>More than 20%</t>
        </is>
      </c>
      <c r="BO91" s="30">
        <f>IF(BN91="More than 20%",10,IF(BN91="Between 12 to 20%",5,IF(BN91="Less than 12%",0,0)))</f>
        <v/>
      </c>
      <c r="BP91" s="30" t="inlineStr">
        <is>
          <t>No</t>
        </is>
      </c>
      <c r="BQ91" s="30">
        <f>IF(BP91="No",10,0)</f>
        <v/>
      </c>
      <c r="BR91" s="30" t="inlineStr">
        <is>
          <t>Yes</t>
        </is>
      </c>
      <c r="BS91" s="30">
        <f>IF(BR91="NO",5,0)</f>
        <v/>
      </c>
      <c r="BT91" s="30" t="inlineStr">
        <is>
          <t>Less than 1.5</t>
        </is>
      </c>
      <c r="BU91" s="30">
        <f>IF(BT91="Above 2",0,IF(BT91="Between 1.5 to 2",5,IF(BT91="Less than 1.5",10,0)))</f>
        <v/>
      </c>
      <c r="BV91" s="30" t="inlineStr">
        <is>
          <t>Above 70%</t>
        </is>
      </c>
      <c r="BW91" s="30">
        <f>IF(BV91="Above 70%",10,IF(BV91="Between 50% to 70%",5,IF(BV91="Less than 50%",0,IF(BV91="Negative",-10,IF(BV91="Less than 50% and Borrowings are increasing",-5,0)))))</f>
        <v/>
      </c>
      <c r="BX91" s="30" t="inlineStr">
        <is>
          <t>Less than 0.7</t>
        </is>
      </c>
      <c r="BY91" s="30">
        <f>IF(BX91="More than 1.2",-10,IF(BX91="Between 0.7 to 1.2",0,IF(BX91="Less than 0.7",10,0)))</f>
        <v/>
      </c>
      <c r="BZ91" s="30" t="inlineStr">
        <is>
          <t>No</t>
        </is>
      </c>
      <c r="CA91" s="30">
        <f>IF(BZ91="Yes",-10,0)</f>
        <v/>
      </c>
      <c r="CB91" s="30" t="inlineStr">
        <is>
          <t>Less than 15%</t>
        </is>
      </c>
      <c r="CC91" s="30">
        <f>IF(CB91="More than 15%",-10,IF(CB91="Less than 15%",10,0))</f>
        <v/>
      </c>
      <c r="CD91" s="30" t="inlineStr">
        <is>
          <t>No</t>
        </is>
      </c>
      <c r="CE91" s="30">
        <f>IF(CD91="Yes, more than 10%",-10,IF(CD91="No",10,0))</f>
        <v/>
      </c>
    </row>
    <row r="92">
      <c r="A92" s="30">
        <f>IF(B92=0,"",RANK(B92,$B$2:$B$331,0))</f>
        <v/>
      </c>
      <c r="B92" s="31">
        <f>SUM(N92,Y92,AA92,AC92,AE92,AG92,AI92,AK92,AM92,AO92,AQ92,AS92,AU92,AW92,AY92,BA92,BC92,BE92,BG92,BI92,BK92,BM92,BO92,BQ92,BS92,BU92,BW92,BY92,CA92,CC92,CE92)</f>
        <v/>
      </c>
      <c r="C92" s="30" t="inlineStr">
        <is>
          <t>NOCIL</t>
        </is>
      </c>
      <c r="D92" s="30" t="inlineStr">
        <is>
          <t>Nocil Limited</t>
        </is>
      </c>
      <c r="E92" s="30" t="inlineStr">
        <is>
          <t>chemicals</t>
        </is>
      </c>
      <c r="F92" s="30" t="inlineStr">
        <is>
          <t>chemicals</t>
        </is>
      </c>
      <c r="G92" s="30" t="inlineStr">
        <is>
          <t>smallcap</t>
        </is>
      </c>
      <c r="H92" s="31" t="n">
        <v>3144.75</v>
      </c>
      <c r="I92" s="31" t="n">
        <v>195.31</v>
      </c>
      <c r="J92" s="31" t="n">
        <v>3.73</v>
      </c>
      <c r="K92" s="31" t="n">
        <v>7274037</v>
      </c>
      <c r="L92" s="30" t="n">
        <v>24</v>
      </c>
      <c r="M92" s="30" t="inlineStr">
        <is>
          <t>Outperforming</t>
        </is>
      </c>
      <c r="N92" s="31">
        <f>IF(M92="Underperforming",-5,IF(L92&gt;=95,15,IF(L92&gt;=90,10,IF(L92&gt;=80,5,0))))</f>
        <v/>
      </c>
      <c r="O92" s="31" t="n">
        <v>64.48999999999999</v>
      </c>
      <c r="P92" s="31" t="n">
        <v>21.49</v>
      </c>
      <c r="Q92" s="31" t="n">
        <v>151.5</v>
      </c>
      <c r="R92" s="30" t="inlineStr">
        <is>
          <t>Volume Spike &amp; Near 52W High Breakout</t>
        </is>
      </c>
      <c r="S92" s="30" t="inlineStr">
        <is>
          <t>Nifty 50</t>
        </is>
      </c>
      <c r="T92" s="31" t="n">
        <v>-6.52</v>
      </c>
      <c r="U92" s="31" t="n">
        <v>7.45</v>
      </c>
      <c r="V92" s="31" t="n">
        <v>14.94</v>
      </c>
      <c r="W92" s="31" t="n">
        <v>7.05</v>
      </c>
      <c r="X92" s="30" t="inlineStr">
        <is>
          <t>Growing Industry</t>
        </is>
      </c>
      <c r="Y92" s="30">
        <f>IF(X92="Growing Industry",10,IF(X92="Cyclical in an Upturn",5,0))</f>
        <v/>
      </c>
      <c r="Z92" s="30" t="inlineStr">
        <is>
          <t>Too Many Players with High ROCE</t>
        </is>
      </c>
      <c r="AA92" s="30">
        <f>IF(Z92="Monopoly",10,IF(Z92="Oligopoly",5,IF(Z92="Duopoly that cooperate",10,IF(Z92="Duopoly that compete",5,IF(Z92="Too many players with High ROCE",5,0)))))</f>
        <v/>
      </c>
      <c r="AB92" s="30" t="inlineStr">
        <is>
          <t>No</t>
        </is>
      </c>
      <c r="AC92" s="30">
        <f>IF(AB92="No",5,0)</f>
        <v/>
      </c>
      <c r="AD92" s="30" t="inlineStr">
        <is>
          <t>Tailwind</t>
        </is>
      </c>
      <c r="AE92" s="30">
        <f>IF(AD92="Tailwind",10,0)</f>
        <v/>
      </c>
      <c r="AF92" s="30" t="inlineStr">
        <is>
          <t>Structural (10 Years Consistency)</t>
        </is>
      </c>
      <c r="AG92" s="30">
        <f>IF(AF92="Structural (10 Years Consistency)",10,IF(AF92="Shallow Cyclical (2 to 3 years growth)",5,0))</f>
        <v/>
      </c>
      <c r="AH92" s="30" t="inlineStr">
        <is>
          <t>No</t>
        </is>
      </c>
      <c r="AI92" s="30">
        <f>IF(AH92="Yes due to Product Mix change or Operating Leverage",10,IF(AH92="Yes, these are peak margins",-5,IF(AH92="No",5,0)))</f>
        <v/>
      </c>
      <c r="AJ92" s="30" t="inlineStr">
        <is>
          <t>Stable</t>
        </is>
      </c>
      <c r="AK92" s="30">
        <f>IF(AJ92="Stable",10,0)</f>
        <v/>
      </c>
      <c r="AL92" s="30" t="inlineStr">
        <is>
          <t>Yes</t>
        </is>
      </c>
      <c r="AM92" s="30">
        <f>IF(AL92="Yes",10,0)</f>
        <v/>
      </c>
      <c r="AN92" s="30" t="inlineStr">
        <is>
          <t>B2B</t>
        </is>
      </c>
      <c r="AO92" s="30">
        <f>IF(AN92="B2C",10,IF(AN92="B2B",5,0))</f>
        <v/>
      </c>
      <c r="AP92" s="30" t="inlineStr">
        <is>
          <t>Yes</t>
        </is>
      </c>
      <c r="AQ92" s="30">
        <f>IF(AP92="Yes",10,0)</f>
        <v/>
      </c>
      <c r="AR92" s="30" t="inlineStr">
        <is>
          <t>Higher One Time, Lower Annuity</t>
        </is>
      </c>
      <c r="AS92" s="30">
        <f>IF(AR92="Fully Annuity",10,IF(AR92="Higher Annuity, Lower One Time",5,IF(AR92="Higher One Time, Lower Annuity",3,0)))</f>
        <v/>
      </c>
      <c r="AT92" s="30" t="inlineStr">
        <is>
          <t>Good</t>
        </is>
      </c>
      <c r="AU92" s="30">
        <f>IF(AT92="Good",10,0)</f>
        <v/>
      </c>
      <c r="AV92" s="30" t="inlineStr">
        <is>
          <t>Yes for more than 2 years</t>
        </is>
      </c>
      <c r="AW92" s="30">
        <f>IF(AV92="Yes for more than 2 years",10,IF(AV92="Yes only for next 1 to 2 years",5,0))</f>
        <v/>
      </c>
      <c r="AX92" s="30" t="inlineStr">
        <is>
          <t>20 to 40</t>
        </is>
      </c>
      <c r="AY92" s="30">
        <f>IF(AX92="Above 40",20,IF(AX92="20 to 40",10,IF(AX92="0 to 20",-5,0)))</f>
        <v/>
      </c>
      <c r="AZ92" s="30" t="inlineStr">
        <is>
          <t>Between 50 to 75</t>
        </is>
      </c>
      <c r="BA92" s="30">
        <f>IF(AZ92="Between 50 to 75",10,IF(AZ92="Above 75",0,0))</f>
        <v/>
      </c>
      <c r="BB92" s="30" t="inlineStr">
        <is>
          <t>Stage 2</t>
        </is>
      </c>
      <c r="BC92" s="30">
        <f>IF(BB92="Stage 2",20,IF(BB92="Stage 1",0,IF(BB92="Stage 3",5,IF(BB92="Stage 4",-5,0))))</f>
        <v/>
      </c>
      <c r="BD92" s="30" t="inlineStr">
        <is>
          <t>Positive Trend</t>
        </is>
      </c>
      <c r="BE92" s="30">
        <f>IF(BD92="Positive Trend",20,IF(BD92="Negative Trend",-10,0))</f>
        <v/>
      </c>
      <c r="BF92" s="30" t="inlineStr">
        <is>
          <t>Uptrend</t>
        </is>
      </c>
      <c r="BG92" s="30">
        <f>IF(BF92="Uptrend",10,IF(BF92="Sideways",5,0))</f>
        <v/>
      </c>
      <c r="BH92" s="30" t="inlineStr">
        <is>
          <t>Uptrend</t>
        </is>
      </c>
      <c r="BI92" s="30">
        <f>IF(BH92="Uptrend",10,IF(BH92="Sideways",5,0))</f>
        <v/>
      </c>
      <c r="BJ92" s="30" t="inlineStr">
        <is>
          <t>Close to 52 week high or retracement</t>
        </is>
      </c>
      <c r="BK92" s="30">
        <f>IF(BJ92="Overhead supply in last 2 years in last 2 years",-5,IF(BJ92="Close to 52 week high or retracement",5,IF(BJ92="Blue sky scenario",10,IF(BJ92="Long term Downtrend",-10,0))))</f>
        <v/>
      </c>
      <c r="BL92" s="30" t="inlineStr">
        <is>
          <t>Yes</t>
        </is>
      </c>
      <c r="BM92" s="30">
        <f>IF(BL92="Yes",10,0)</f>
        <v/>
      </c>
      <c r="BN92" s="30" t="inlineStr">
        <is>
          <t>More than 20%</t>
        </is>
      </c>
      <c r="BO92" s="30">
        <f>IF(BN92="More than 20%",10,IF(BN92="Between 12 to 20%",5,IF(BN92="Less than 12%",0,0)))</f>
        <v/>
      </c>
      <c r="BP92" s="30" t="inlineStr">
        <is>
          <t>No</t>
        </is>
      </c>
      <c r="BQ92" s="30">
        <f>IF(BP92="No",10,0)</f>
        <v/>
      </c>
      <c r="BR92" s="30" t="inlineStr">
        <is>
          <t>Yes</t>
        </is>
      </c>
      <c r="BS92" s="30">
        <f>IF(BR92="NO",5,0)</f>
        <v/>
      </c>
      <c r="BT92" s="30" t="inlineStr">
        <is>
          <t>Less than 1.5</t>
        </is>
      </c>
      <c r="BU92" s="30">
        <f>IF(BT92="Above 2",0,IF(BT92="Between 1.5 to 2",5,IF(BT92="Less than 1.5",10,0)))</f>
        <v/>
      </c>
      <c r="BV92" s="30" t="inlineStr">
        <is>
          <t>Above 70%</t>
        </is>
      </c>
      <c r="BW92" s="30">
        <f>IF(BV92="Above 70%",10,IF(BV92="Between 50% to 70%",5,IF(BV92="Less than 50%",0,IF(BV92="Negative",-10,IF(BV92="Less than 50% and Borrowings are increasing",-5,0)))))</f>
        <v/>
      </c>
      <c r="BX92" s="30" t="inlineStr">
        <is>
          <t>Less than 0.7</t>
        </is>
      </c>
      <c r="BY92" s="30">
        <f>IF(BX92="More than 1.2",-10,IF(BX92="Between 0.7 to 1.2",0,IF(BX92="Less than 0.7",10,0)))</f>
        <v/>
      </c>
      <c r="BZ92" s="30" t="inlineStr">
        <is>
          <t>No</t>
        </is>
      </c>
      <c r="CA92" s="30">
        <f>IF(BZ92="Yes",-10,0)</f>
        <v/>
      </c>
      <c r="CB92" s="30" t="inlineStr">
        <is>
          <t>Less than 15%</t>
        </is>
      </c>
      <c r="CC92" s="30">
        <f>IF(CB92="More than 15%",-10,IF(CB92="Less than 15%",10,0))</f>
        <v/>
      </c>
      <c r="CD92" s="30" t="inlineStr">
        <is>
          <t>No</t>
        </is>
      </c>
      <c r="CE92" s="30">
        <f>IF(CD92="Yes, more than 10%",-10,IF(CD92="No",10,0))</f>
        <v/>
      </c>
    </row>
    <row r="93">
      <c r="A93" s="30">
        <f>IF(B93=0,"",RANK(B93,$B$2:$B$331,0))</f>
        <v/>
      </c>
      <c r="B93" s="31">
        <f>SUM(N93,Y93,AA93,AC93,AE93,AG93,AI93,AK93,AM93,AO93,AQ93,AS93,AU93,AW93,AY93,BA93,BC93,BE93,BG93,BI93,BK93,BM93,BO93,BQ93,BS93,BU93,BW93,BY93,CA93,CC93,CE93)</f>
        <v/>
      </c>
      <c r="C93" s="30" t="inlineStr">
        <is>
          <t>DIFFNKG</t>
        </is>
      </c>
      <c r="D93" s="30" t="inlineStr">
        <is>
          <t>Diffusion Engineers Ltd</t>
        </is>
      </c>
      <c r="E93" s="30" t="inlineStr">
        <is>
          <t>industrials</t>
        </is>
      </c>
      <c r="F93" s="30" t="inlineStr">
        <is>
          <t>electrodes - welding equipment</t>
        </is>
      </c>
      <c r="G93" s="30" t="inlineStr">
        <is>
          <t>smallcap</t>
        </is>
      </c>
      <c r="H93" s="31" t="n">
        <v>1648.81</v>
      </c>
      <c r="I93" s="31" t="n">
        <v>449.55</v>
      </c>
      <c r="J93" s="31" t="n">
        <v>2.04</v>
      </c>
      <c r="K93" s="31" t="n">
        <v>213290</v>
      </c>
      <c r="L93" s="30" t="n">
        <v>37</v>
      </c>
      <c r="M93" s="30" t="inlineStr">
        <is>
          <t>Outperforming</t>
        </is>
      </c>
      <c r="N93" s="31">
        <f>IF(M93="Underperforming",-5,IF(L93&gt;=95,15,IF(L93&gt;=90,10,IF(L93&gt;=80,5,0))))</f>
        <v/>
      </c>
      <c r="O93" s="31" t="n">
        <v>63.37</v>
      </c>
      <c r="P93" s="31" t="n">
        <v>46.33</v>
      </c>
      <c r="Q93" s="31" t="n">
        <v>341.98</v>
      </c>
      <c r="R93" s="30" t="inlineStr">
        <is>
          <t>Earnings / Momentum Support</t>
        </is>
      </c>
      <c r="S93" s="30" t="inlineStr">
        <is>
          <t>Nifty 50</t>
        </is>
      </c>
      <c r="T93" s="31" t="n">
        <v>-6.52</v>
      </c>
      <c r="U93" s="31" t="n">
        <v>15.21</v>
      </c>
      <c r="V93" s="31" t="n">
        <v>23.24</v>
      </c>
      <c r="W93" s="31" t="n">
        <v>11.49</v>
      </c>
      <c r="X93" s="30" t="inlineStr">
        <is>
          <t>Cyclical in an Upturn</t>
        </is>
      </c>
      <c r="Y93" s="30">
        <f>IF(X93="Growing Industry",10,IF(X93="Cyclical in an Upturn",5,0))</f>
        <v/>
      </c>
      <c r="Z93" s="30" t="inlineStr">
        <is>
          <t>Too Many Players with High ROCE</t>
        </is>
      </c>
      <c r="AA93" s="30">
        <f>IF(Z93="Monopoly",10,IF(Z93="Oligopoly",5,IF(Z93="Duopoly that cooperate",10,IF(Z93="Duopoly that compete",5,IF(Z93="Too many players with High ROCE",5,0)))))</f>
        <v/>
      </c>
      <c r="AB93" s="30" t="inlineStr">
        <is>
          <t>No</t>
        </is>
      </c>
      <c r="AC93" s="30">
        <f>IF(AB93="No",5,0)</f>
        <v/>
      </c>
      <c r="AD93" s="30" t="inlineStr">
        <is>
          <t>Tailwind</t>
        </is>
      </c>
      <c r="AE93" s="30">
        <f>IF(AD93="Tailwind",10,0)</f>
        <v/>
      </c>
      <c r="AF93" s="30" t="inlineStr">
        <is>
          <t>Structural (10 Years Consistency)</t>
        </is>
      </c>
      <c r="AG93" s="30">
        <f>IF(AF93="Structural (10 Years Consistency)",10,IF(AF93="Shallow Cyclical (2 to 3 years growth)",5,0))</f>
        <v/>
      </c>
      <c r="AH93" s="30" t="inlineStr">
        <is>
          <t>No</t>
        </is>
      </c>
      <c r="AI93" s="30">
        <f>IF(AH93="Yes due to Product Mix change or Operating Leverage",10,IF(AH93="Yes, these are peak margins",-5,IF(AH93="No",5,0)))</f>
        <v/>
      </c>
      <c r="AJ93" s="30" t="inlineStr">
        <is>
          <t>Stable</t>
        </is>
      </c>
      <c r="AK93" s="30">
        <f>IF(AJ93="Stable",10,0)</f>
        <v/>
      </c>
      <c r="AL93" s="30" t="inlineStr">
        <is>
          <t>Yes</t>
        </is>
      </c>
      <c r="AM93" s="30">
        <f>IF(AL93="Yes",10,0)</f>
        <v/>
      </c>
      <c r="AN93" s="30" t="inlineStr">
        <is>
          <t>B2B</t>
        </is>
      </c>
      <c r="AO93" s="30">
        <f>IF(AN93="B2C",10,IF(AN93="B2B",5,0))</f>
        <v/>
      </c>
      <c r="AP93" s="30" t="inlineStr">
        <is>
          <t>No</t>
        </is>
      </c>
      <c r="AQ93" s="30">
        <f>IF(AP93="Yes",10,0)</f>
        <v/>
      </c>
      <c r="AR93" s="30" t="inlineStr">
        <is>
          <t>Higher One Time, Lower Annuity</t>
        </is>
      </c>
      <c r="AS93" s="30">
        <f>IF(AR93="Fully Annuity",10,IF(AR93="Higher Annuity, Lower One Time",5,IF(AR93="Higher One Time, Lower Annuity",3,0)))</f>
        <v/>
      </c>
      <c r="AT93" s="30" t="inlineStr">
        <is>
          <t>Good</t>
        </is>
      </c>
      <c r="AU93" s="30">
        <f>IF(AT93="Good",10,0)</f>
        <v/>
      </c>
      <c r="AV93" s="30" t="inlineStr">
        <is>
          <t>Yes for more than 2 years</t>
        </is>
      </c>
      <c r="AW93" s="30">
        <f>IF(AV93="Yes for more than 2 years",10,IF(AV93="Yes only for next 1 to 2 years",5,0))</f>
        <v/>
      </c>
      <c r="AX93" s="30" t="inlineStr">
        <is>
          <t>Above 40</t>
        </is>
      </c>
      <c r="AY93" s="30">
        <f>IF(AX93="Above 40",20,IF(AX93="20 to 40",10,IF(AX93="0 to 20",-5,0)))</f>
        <v/>
      </c>
      <c r="AZ93" s="30" t="inlineStr">
        <is>
          <t>Between 50 to 75</t>
        </is>
      </c>
      <c r="BA93" s="30">
        <f>IF(AZ93="Between 50 to 75",10,IF(AZ93="Above 75",0,0))</f>
        <v/>
      </c>
      <c r="BB93" s="30" t="inlineStr">
        <is>
          <t>Stage 2</t>
        </is>
      </c>
      <c r="BC93" s="30">
        <f>IF(BB93="Stage 2",20,IF(BB93="Stage 1",0,IF(BB93="Stage 3",5,IF(BB93="Stage 4",-5,0))))</f>
        <v/>
      </c>
      <c r="BD93" s="30" t="inlineStr">
        <is>
          <t>Positive Trend</t>
        </is>
      </c>
      <c r="BE93" s="30">
        <f>IF(BD93="Positive Trend",20,IF(BD93="Negative Trend",-10,0))</f>
        <v/>
      </c>
      <c r="BF93" s="30" t="inlineStr">
        <is>
          <t>Uptrend</t>
        </is>
      </c>
      <c r="BG93" s="30">
        <f>IF(BF93="Uptrend",10,IF(BF93="Sideways",5,0))</f>
        <v/>
      </c>
      <c r="BH93" s="30" t="inlineStr">
        <is>
          <t>Uptrend</t>
        </is>
      </c>
      <c r="BI93" s="30">
        <f>IF(BH93="Uptrend",10,IF(BH93="Sideways",5,0))</f>
        <v/>
      </c>
      <c r="BJ93" s="30" t="inlineStr">
        <is>
          <t>Close to 52 week high or retracement</t>
        </is>
      </c>
      <c r="BK93" s="30">
        <f>IF(BJ93="Overhead supply in last 2 years in last 2 years",-5,IF(BJ93="Close to 52 week high or retracement",5,IF(BJ93="Blue sky scenario",10,IF(BJ93="Long term Downtrend",-10,0))))</f>
        <v/>
      </c>
      <c r="BL93" s="30" t="inlineStr">
        <is>
          <t>Yes</t>
        </is>
      </c>
      <c r="BM93" s="30">
        <f>IF(BL93="Yes",10,0)</f>
        <v/>
      </c>
      <c r="BN93" s="30" t="inlineStr">
        <is>
          <t>More than 20%</t>
        </is>
      </c>
      <c r="BO93" s="30">
        <f>IF(BN93="More than 20%",10,IF(BN93="Between 12 to 20%",5,IF(BN93="Less than 12%",0,0)))</f>
        <v/>
      </c>
      <c r="BP93" s="30" t="inlineStr">
        <is>
          <t>No</t>
        </is>
      </c>
      <c r="BQ93" s="30">
        <f>IF(BP93="No",10,0)</f>
        <v/>
      </c>
      <c r="BR93" s="30" t="inlineStr">
        <is>
          <t>No</t>
        </is>
      </c>
      <c r="BS93" s="30">
        <f>IF(BR93="NO",5,0)</f>
        <v/>
      </c>
      <c r="BT93" s="30" t="inlineStr">
        <is>
          <t>Less than 1.5</t>
        </is>
      </c>
      <c r="BU93" s="30">
        <f>IF(BT93="Above 2",0,IF(BT93="Between 1.5 to 2",5,IF(BT93="Less than 1.5",10,0)))</f>
        <v/>
      </c>
      <c r="BV93" s="30" t="inlineStr">
        <is>
          <t>Above 70%</t>
        </is>
      </c>
      <c r="BW93" s="30">
        <f>IF(BV93="Above 70%",10,IF(BV93="Between 50% to 70%",5,IF(BV93="Less than 50%",0,IF(BV93="Negative",-10,IF(BV93="Less than 50% and Borrowings are increasing",-5,0)))))</f>
        <v/>
      </c>
      <c r="BX93" s="30" t="inlineStr">
        <is>
          <t>Less than 0.7</t>
        </is>
      </c>
      <c r="BY93" s="30">
        <f>IF(BX93="More than 1.2",-10,IF(BX93="Between 0.7 to 1.2",0,IF(BX93="Less than 0.7",10,0)))</f>
        <v/>
      </c>
      <c r="BZ93" s="30" t="inlineStr">
        <is>
          <t>No</t>
        </is>
      </c>
      <c r="CA93" s="30">
        <f>IF(BZ93="Yes",-10,0)</f>
        <v/>
      </c>
      <c r="CB93" s="30" t="inlineStr">
        <is>
          <t>Less than 15%</t>
        </is>
      </c>
      <c r="CC93" s="30">
        <f>IF(CB93="More than 15%",-10,IF(CB93="Less than 15%",10,0))</f>
        <v/>
      </c>
      <c r="CD93" s="30" t="inlineStr">
        <is>
          <t>No</t>
        </is>
      </c>
      <c r="CE93" s="30">
        <f>IF(CD93="Yes, more than 10%",-10,IF(CD93="No",10,0))</f>
        <v/>
      </c>
    </row>
    <row r="94">
      <c r="A94" s="30">
        <f>IF(B94=0,"",RANK(B94,$B$2:$B$331,0))</f>
        <v/>
      </c>
      <c r="B94" s="31">
        <f>SUM(N94,Y94,AA94,AC94,AE94,AG94,AI94,AK94,AM94,AO94,AQ94,AS94,AU94,AW94,AY94,BA94,BC94,BE94,BG94,BI94,BK94,BM94,BO94,BQ94,BS94,BU94,BW94,BY94,CA94,CC94,CE94)</f>
        <v/>
      </c>
      <c r="C94" s="30" t="inlineStr">
        <is>
          <t>GRASIM</t>
        </is>
      </c>
      <c r="D94" s="30" t="inlineStr">
        <is>
          <t>Grasim Industries Limited</t>
        </is>
      </c>
      <c r="E94" s="30" t="inlineStr">
        <is>
          <t>textiles</t>
        </is>
      </c>
      <c r="F94" s="30" t="inlineStr">
        <is>
          <t>textiles - manmade</t>
        </is>
      </c>
      <c r="G94" s="30" t="inlineStr">
        <is>
          <t>largecap</t>
        </is>
      </c>
      <c r="H94" s="31" t="n">
        <v>224591.59</v>
      </c>
      <c r="I94" s="31" t="n">
        <v>3319</v>
      </c>
      <c r="J94" s="31" t="n">
        <v>0.58</v>
      </c>
      <c r="K94" s="31" t="n">
        <v>1056285</v>
      </c>
      <c r="L94" s="30" t="n">
        <v>16</v>
      </c>
      <c r="M94" s="30" t="inlineStr">
        <is>
          <t>Outperforming</t>
        </is>
      </c>
      <c r="N94" s="31">
        <f>IF(M94="Underperforming",-5,IF(L94&gt;=95,15,IF(L94&gt;=90,10,IF(L94&gt;=80,5,0))))</f>
        <v/>
      </c>
      <c r="O94" s="31" t="n">
        <v>65.62</v>
      </c>
      <c r="P94" s="31" t="n">
        <v>40.97</v>
      </c>
      <c r="Q94" s="31" t="n">
        <v>2930.07</v>
      </c>
      <c r="R94" s="30" t="inlineStr">
        <is>
          <t>Near 52W High Breakout</t>
        </is>
      </c>
      <c r="S94" s="30" t="inlineStr">
        <is>
          <t>Nifty 50</t>
        </is>
      </c>
      <c r="T94" s="31" t="n">
        <v>-6.52</v>
      </c>
      <c r="U94" s="31" t="n">
        <v>18.82</v>
      </c>
      <c r="V94" s="31" t="n">
        <v>27.1</v>
      </c>
      <c r="W94" s="31" t="n">
        <v>5.42</v>
      </c>
      <c r="X94" s="30" t="inlineStr">
        <is>
          <t>Growing Industry</t>
        </is>
      </c>
      <c r="Y94" s="30">
        <f>IF(X94="Growing Industry",10,IF(X94="Cyclical in an Upturn",5,0))</f>
        <v/>
      </c>
      <c r="Z94" s="30" t="inlineStr">
        <is>
          <t>Too Many Players with High ROCE</t>
        </is>
      </c>
      <c r="AA94" s="30">
        <f>IF(Z94="Monopoly",10,IF(Z94="Oligopoly",5,IF(Z94="Duopoly that cooperate",10,IF(Z94="Duopoly that compete",5,IF(Z94="Too many players with High ROCE",5,0)))))</f>
        <v/>
      </c>
      <c r="AB94" s="30" t="inlineStr">
        <is>
          <t>No</t>
        </is>
      </c>
      <c r="AC94" s="30">
        <f>IF(AB94="No",5,0)</f>
        <v/>
      </c>
      <c r="AD94" s="30" t="inlineStr">
        <is>
          <t>Tailwind</t>
        </is>
      </c>
      <c r="AE94" s="30">
        <f>IF(AD94="Tailwind",10,0)</f>
        <v/>
      </c>
      <c r="AF94" s="30" t="inlineStr">
        <is>
          <t>Structural (10 Years Consistency)</t>
        </is>
      </c>
      <c r="AG94" s="30">
        <f>IF(AF94="Structural (10 Years Consistency)",10,IF(AF94="Shallow Cyclical (2 to 3 years growth)",5,0))</f>
        <v/>
      </c>
      <c r="AH94" s="30" t="inlineStr">
        <is>
          <t>No</t>
        </is>
      </c>
      <c r="AI94" s="30">
        <f>IF(AH94="Yes due to Product Mix change or Operating Leverage",10,IF(AH94="Yes, these are peak margins",-5,IF(AH94="No",5,0)))</f>
        <v/>
      </c>
      <c r="AJ94" s="30" t="inlineStr">
        <is>
          <t>Stable</t>
        </is>
      </c>
      <c r="AK94" s="30">
        <f>IF(AJ94="Stable",10,0)</f>
        <v/>
      </c>
      <c r="AL94" s="30" t="inlineStr">
        <is>
          <t>Yes</t>
        </is>
      </c>
      <c r="AM94" s="30">
        <f>IF(AL94="Yes",10,0)</f>
        <v/>
      </c>
      <c r="AN94" s="30" t="inlineStr">
        <is>
          <t>B2B</t>
        </is>
      </c>
      <c r="AO94" s="30">
        <f>IF(AN94="B2C",10,IF(AN94="B2B",5,0))</f>
        <v/>
      </c>
      <c r="AP94" s="30" t="inlineStr">
        <is>
          <t>Yes</t>
        </is>
      </c>
      <c r="AQ94" s="30">
        <f>IF(AP94="Yes",10,0)</f>
        <v/>
      </c>
      <c r="AR94" s="30" t="inlineStr">
        <is>
          <t>Higher One Time, Lower Annuity</t>
        </is>
      </c>
      <c r="AS94" s="30">
        <f>IF(AR94="Fully Annuity",10,IF(AR94="Higher Annuity, Lower One Time",5,IF(AR94="Higher One Time, Lower Annuity",3,0)))</f>
        <v/>
      </c>
      <c r="AT94" s="30" t="inlineStr">
        <is>
          <t>Good</t>
        </is>
      </c>
      <c r="AU94" s="30">
        <f>IF(AT94="Good",10,0)</f>
        <v/>
      </c>
      <c r="AV94" s="30" t="inlineStr">
        <is>
          <t>Yes for more than 2 years</t>
        </is>
      </c>
      <c r="AW94" s="30">
        <f>IF(AV94="Yes for more than 2 years",10,IF(AV94="Yes only for next 1 to 2 years",5,0))</f>
        <v/>
      </c>
      <c r="AX94" s="30" t="inlineStr">
        <is>
          <t>Above 40</t>
        </is>
      </c>
      <c r="AY94" s="30">
        <f>IF(AX94="Above 40",20,IF(AX94="20 to 40",10,IF(AX94="0 to 20",-5,0)))</f>
        <v/>
      </c>
      <c r="AZ94" s="30" t="inlineStr">
        <is>
          <t>Between 50 to 75</t>
        </is>
      </c>
      <c r="BA94" s="30">
        <f>IF(AZ94="Between 50 to 75",10,IF(AZ94="Above 75",0,0))</f>
        <v/>
      </c>
      <c r="BB94" s="30" t="inlineStr">
        <is>
          <t>Stage 2</t>
        </is>
      </c>
      <c r="BC94" s="30">
        <f>IF(BB94="Stage 2",20,IF(BB94="Stage 1",0,IF(BB94="Stage 3",5,IF(BB94="Stage 4",-5,0))))</f>
        <v/>
      </c>
      <c r="BD94" s="30" t="inlineStr">
        <is>
          <t>Positive Trend</t>
        </is>
      </c>
      <c r="BE94" s="30">
        <f>IF(BD94="Positive Trend",20,IF(BD94="Negative Trend",-10,0))</f>
        <v/>
      </c>
      <c r="BF94" s="30" t="inlineStr">
        <is>
          <t>Uptrend</t>
        </is>
      </c>
      <c r="BG94" s="30">
        <f>IF(BF94="Uptrend",10,IF(BF94="Sideways",5,0))</f>
        <v/>
      </c>
      <c r="BH94" s="30" t="inlineStr">
        <is>
          <t>Uptrend</t>
        </is>
      </c>
      <c r="BI94" s="30">
        <f>IF(BH94="Uptrend",10,IF(BH94="Sideways",5,0))</f>
        <v/>
      </c>
      <c r="BJ94" s="30" t="inlineStr">
        <is>
          <t>Blue sky scenario</t>
        </is>
      </c>
      <c r="BK94" s="30">
        <f>IF(BJ94="Overhead supply in last 2 years in last 2 years",-5,IF(BJ94="Close to 52 week high or retracement",5,IF(BJ94="Blue sky scenario",10,IF(BJ94="Long term Downtrend",-10,0))))</f>
        <v/>
      </c>
      <c r="BL94" s="30" t="inlineStr">
        <is>
          <t>Yes</t>
        </is>
      </c>
      <c r="BM94" s="30">
        <f>IF(BL94="Yes",10,0)</f>
        <v/>
      </c>
      <c r="BN94" s="30" t="inlineStr">
        <is>
          <t>More than 20%</t>
        </is>
      </c>
      <c r="BO94" s="30">
        <f>IF(BN94="More than 20%",10,IF(BN94="Between 12 to 20%",5,IF(BN94="Less than 12%",0,0)))</f>
        <v/>
      </c>
      <c r="BP94" s="30" t="inlineStr">
        <is>
          <t>No</t>
        </is>
      </c>
      <c r="BQ94" s="30">
        <f>IF(BP94="No",10,0)</f>
        <v/>
      </c>
      <c r="BR94" s="30" t="inlineStr">
        <is>
          <t>No</t>
        </is>
      </c>
      <c r="BS94" s="30">
        <f>IF(BR94="NO",5,0)</f>
        <v/>
      </c>
      <c r="BT94" s="30" t="inlineStr">
        <is>
          <t>Less than 1.5</t>
        </is>
      </c>
      <c r="BU94" s="30">
        <f>IF(BT94="Above 2",0,IF(BT94="Between 1.5 to 2",5,IF(BT94="Less than 1.5",10,0)))</f>
        <v/>
      </c>
      <c r="BV94" s="30" t="inlineStr">
        <is>
          <t>Above 70%</t>
        </is>
      </c>
      <c r="BW94" s="30">
        <f>IF(BV94="Above 70%",10,IF(BV94="Between 50% to 70%",5,IF(BV94="Less than 50%",0,IF(BV94="Negative",-10,IF(BV94="Less than 50% and Borrowings are increasing",-5,0)))))</f>
        <v/>
      </c>
      <c r="BX94" s="30" t="inlineStr">
        <is>
          <t>More than 1.2</t>
        </is>
      </c>
      <c r="BY94" s="30">
        <f>IF(BX94="More than 1.2",-10,IF(BX94="Between 0.7 to 1.2",0,IF(BX94="Less than 0.7",10,0)))</f>
        <v/>
      </c>
      <c r="BZ94" s="30" t="inlineStr">
        <is>
          <t>No</t>
        </is>
      </c>
      <c r="CA94" s="30">
        <f>IF(BZ94="Yes",-10,0)</f>
        <v/>
      </c>
      <c r="CB94" s="30" t="inlineStr">
        <is>
          <t>Less than 15%</t>
        </is>
      </c>
      <c r="CC94" s="30">
        <f>IF(CB94="More than 15%",-10,IF(CB94="Less than 15%",10,0))</f>
        <v/>
      </c>
      <c r="CD94" s="30" t="inlineStr">
        <is>
          <t>No</t>
        </is>
      </c>
      <c r="CE94" s="30">
        <f>IF(CD94="Yes, more than 10%",-10,IF(CD94="No",10,0))</f>
        <v/>
      </c>
    </row>
    <row r="95">
      <c r="A95" s="30">
        <f>IF(B95=0,"",RANK(B95,$B$2:$B$331,0))</f>
        <v/>
      </c>
      <c r="B95" s="31">
        <f>SUM(N95,Y95,AA95,AC95,AE95,AG95,AI95,AK95,AM95,AO95,AQ95,AS95,AU95,AW95,AY95,BA95,BC95,BE95,BG95,BI95,BK95,BM95,BO95,BQ95,BS95,BU95,BW95,BY95,CA95,CC95,CE95)</f>
        <v/>
      </c>
      <c r="C95" s="30" t="inlineStr">
        <is>
          <t>FCL</t>
        </is>
      </c>
      <c r="D95" s="30" t="inlineStr">
        <is>
          <t>Fineotex Chemical Limited</t>
        </is>
      </c>
      <c r="E95" s="30" t="inlineStr">
        <is>
          <t>chemicals</t>
        </is>
      </c>
      <c r="F95" s="30" t="inlineStr">
        <is>
          <t>chemicals</t>
        </is>
      </c>
      <c r="G95" s="30" t="inlineStr">
        <is>
          <t>midcap</t>
        </is>
      </c>
      <c r="H95" s="31" t="n">
        <v>6804.18</v>
      </c>
      <c r="I95" s="31" t="n">
        <v>58.71</v>
      </c>
      <c r="J95" s="31" t="n">
        <v>0.48</v>
      </c>
      <c r="K95" s="31" t="n">
        <v>30215858</v>
      </c>
      <c r="L95" s="30" t="n">
        <v>85</v>
      </c>
      <c r="M95" s="30" t="inlineStr">
        <is>
          <t>Outperforming</t>
        </is>
      </c>
      <c r="N95" s="31">
        <f>IF(M95="Underperforming",-5,IF(L95&gt;=95,15,IF(L95&gt;=90,10,IF(L95&gt;=80,5,0))))</f>
        <v/>
      </c>
      <c r="O95" s="31" t="n">
        <v>81.81</v>
      </c>
      <c r="P95" s="31" t="n">
        <v>48.77</v>
      </c>
      <c r="Q95" s="31" t="n">
        <v>44.35</v>
      </c>
      <c r="R95" s="30" t="inlineStr">
        <is>
          <t>Volume Spike &amp; Near 52W High Breakout</t>
        </is>
      </c>
      <c r="S95" s="30" t="inlineStr">
        <is>
          <t>Nifty IT</t>
        </is>
      </c>
      <c r="T95" s="31" t="n">
        <v>-19.99</v>
      </c>
      <c r="U95" s="31" t="n">
        <v>148.85</v>
      </c>
      <c r="V95" s="31" t="n">
        <v>211.03</v>
      </c>
      <c r="W95" s="31" t="n">
        <v>34.33</v>
      </c>
      <c r="X95" s="30" t="inlineStr">
        <is>
          <t>Growing Industry</t>
        </is>
      </c>
      <c r="Y95" s="30">
        <f>IF(X95="Growing Industry",10,IF(X95="Cyclical in an Upturn",5,0))</f>
        <v/>
      </c>
      <c r="Z95" s="30" t="inlineStr">
        <is>
          <t>Too Many Players with High ROCE</t>
        </is>
      </c>
      <c r="AA95" s="30">
        <f>IF(Z95="Monopoly",10,IF(Z95="Oligopoly",5,IF(Z95="Duopoly that cooperate",10,IF(Z95="Duopoly that compete",5,IF(Z95="Too many players with High ROCE",5,0)))))</f>
        <v/>
      </c>
      <c r="AB95" s="30" t="inlineStr">
        <is>
          <t>No</t>
        </is>
      </c>
      <c r="AC95" s="30">
        <f>IF(AB95="No",5,0)</f>
        <v/>
      </c>
      <c r="AD95" s="30" t="inlineStr">
        <is>
          <t>Tailwind</t>
        </is>
      </c>
      <c r="AE95" s="30">
        <f>IF(AD95="Tailwind",10,0)</f>
        <v/>
      </c>
      <c r="AF95" s="30" t="inlineStr">
        <is>
          <t>Structural (10 Years Consistency)</t>
        </is>
      </c>
      <c r="AG95" s="30">
        <f>IF(AF95="Structural (10 Years Consistency)",10,IF(AF95="Shallow Cyclical (2 to 3 years growth)",5,0))</f>
        <v/>
      </c>
      <c r="AH95" s="30" t="inlineStr">
        <is>
          <t>No</t>
        </is>
      </c>
      <c r="AI95" s="30">
        <f>IF(AH95="Yes due to Product Mix change or Operating Leverage",10,IF(AH95="Yes, these are peak margins",-5,IF(AH95="No",5,0)))</f>
        <v/>
      </c>
      <c r="AJ95" s="30" t="inlineStr">
        <is>
          <t>Stable</t>
        </is>
      </c>
      <c r="AK95" s="30">
        <f>IF(AJ95="Stable",10,0)</f>
        <v/>
      </c>
      <c r="AL95" s="30" t="inlineStr">
        <is>
          <t>Yes</t>
        </is>
      </c>
      <c r="AM95" s="30">
        <f>IF(AL95="Yes",10,0)</f>
        <v/>
      </c>
      <c r="AN95" s="30" t="inlineStr">
        <is>
          <t>B2B</t>
        </is>
      </c>
      <c r="AO95" s="30">
        <f>IF(AN95="B2C",10,IF(AN95="B2B",5,0))</f>
        <v/>
      </c>
      <c r="AP95" s="30" t="inlineStr">
        <is>
          <t>Yes</t>
        </is>
      </c>
      <c r="AQ95" s="30">
        <f>IF(AP95="Yes",10,0)</f>
        <v/>
      </c>
      <c r="AR95" s="30" t="inlineStr">
        <is>
          <t>Higher One Time, Lower Annuity</t>
        </is>
      </c>
      <c r="AS95" s="30">
        <f>IF(AR95="Fully Annuity",10,IF(AR95="Higher Annuity, Lower One Time",5,IF(AR95="Higher One Time, Lower Annuity",3,0)))</f>
        <v/>
      </c>
      <c r="AT95" s="30" t="inlineStr">
        <is>
          <t>Good</t>
        </is>
      </c>
      <c r="AU95" s="30">
        <f>IF(AT95="Good",10,0)</f>
        <v/>
      </c>
      <c r="AV95" s="30" t="inlineStr">
        <is>
          <t>Yes for more than 2 years</t>
        </is>
      </c>
      <c r="AW95" s="30">
        <f>IF(AV95="Yes for more than 2 years",10,IF(AV95="Yes only for next 1 to 2 years",5,0))</f>
        <v/>
      </c>
      <c r="AX95" s="30" t="inlineStr">
        <is>
          <t>Above 40</t>
        </is>
      </c>
      <c r="AY95" s="30">
        <f>IF(AX95="Above 40",20,IF(AX95="20 to 40",10,IF(AX95="0 to 20",-5,0)))</f>
        <v/>
      </c>
      <c r="AZ95" s="30" t="inlineStr">
        <is>
          <t>Above 75</t>
        </is>
      </c>
      <c r="BA95" s="30">
        <f>IF(AZ95="Between 50 to 75",10,IF(AZ95="Above 75",0,0))</f>
        <v/>
      </c>
      <c r="BB95" s="30" t="inlineStr">
        <is>
          <t>Stage 2</t>
        </is>
      </c>
      <c r="BC95" s="30">
        <f>IF(BB95="Stage 2",20,IF(BB95="Stage 1",0,IF(BB95="Stage 3",5,IF(BB95="Stage 4",-5,0))))</f>
        <v/>
      </c>
      <c r="BD95" s="30" t="inlineStr">
        <is>
          <t>Positive Trend</t>
        </is>
      </c>
      <c r="BE95" s="30">
        <f>IF(BD95="Positive Trend",20,IF(BD95="Negative Trend",-10,0))</f>
        <v/>
      </c>
      <c r="BF95" s="30" t="inlineStr">
        <is>
          <t>Uptrend</t>
        </is>
      </c>
      <c r="BG95" s="30">
        <f>IF(BF95="Uptrend",10,IF(BF95="Sideways",5,0))</f>
        <v/>
      </c>
      <c r="BH95" s="30" t="inlineStr">
        <is>
          <t>Uptrend</t>
        </is>
      </c>
      <c r="BI95" s="30">
        <f>IF(BH95="Uptrend",10,IF(BH95="Sideways",5,0))</f>
        <v/>
      </c>
      <c r="BJ95" s="30" t="inlineStr">
        <is>
          <t>Blue sky scenario</t>
        </is>
      </c>
      <c r="BK95" s="30">
        <f>IF(BJ95="Overhead supply in last 2 years in last 2 years",-5,IF(BJ95="Close to 52 week high or retracement",5,IF(BJ95="Blue sky scenario",10,IF(BJ95="Long term Downtrend",-10,0))))</f>
        <v/>
      </c>
      <c r="BL95" s="30" t="inlineStr">
        <is>
          <t>Yes</t>
        </is>
      </c>
      <c r="BM95" s="30">
        <f>IF(BL95="Yes",10,0)</f>
        <v/>
      </c>
      <c r="BN95" s="30" t="inlineStr">
        <is>
          <t>More than 20%</t>
        </is>
      </c>
      <c r="BO95" s="30">
        <f>IF(BN95="More than 20%",10,IF(BN95="Between 12 to 20%",5,IF(BN95="Less than 12%",0,0)))</f>
        <v/>
      </c>
      <c r="BP95" s="30" t="inlineStr">
        <is>
          <t>No</t>
        </is>
      </c>
      <c r="BQ95" s="30">
        <f>IF(BP95="No",10,0)</f>
        <v/>
      </c>
      <c r="BR95" s="30" t="inlineStr">
        <is>
          <t>Yes</t>
        </is>
      </c>
      <c r="BS95" s="30">
        <f>IF(BR95="NO",5,0)</f>
        <v/>
      </c>
      <c r="BT95" s="30" t="inlineStr">
        <is>
          <t>Above 2</t>
        </is>
      </c>
      <c r="BU95" s="30">
        <f>IF(BT95="Above 2",0,IF(BT95="Between 1.5 to 2",5,IF(BT95="Less than 1.5",10,0)))</f>
        <v/>
      </c>
      <c r="BV95" s="30" t="inlineStr">
        <is>
          <t>Above 70%</t>
        </is>
      </c>
      <c r="BW95" s="30">
        <f>IF(BV95="Above 70%",10,IF(BV95="Between 50% to 70%",5,IF(BV95="Less than 50%",0,IF(BV95="Negative",-10,IF(BV95="Less than 50% and Borrowings are increasing",-5,0)))))</f>
        <v/>
      </c>
      <c r="BX95" s="30" t="inlineStr">
        <is>
          <t>Less than 0.7</t>
        </is>
      </c>
      <c r="BY95" s="30">
        <f>IF(BX95="More than 1.2",-10,IF(BX95="Between 0.7 to 1.2",0,IF(BX95="Less than 0.7",10,0)))</f>
        <v/>
      </c>
      <c r="BZ95" s="30" t="inlineStr">
        <is>
          <t>No</t>
        </is>
      </c>
      <c r="CA95" s="30">
        <f>IF(BZ95="Yes",-10,0)</f>
        <v/>
      </c>
      <c r="CB95" s="30" t="inlineStr">
        <is>
          <t>Less than 15%</t>
        </is>
      </c>
      <c r="CC95" s="30">
        <f>IF(CB95="More than 15%",-10,IF(CB95="Less than 15%",10,0))</f>
        <v/>
      </c>
      <c r="CD95" s="30" t="inlineStr">
        <is>
          <t>No</t>
        </is>
      </c>
      <c r="CE95" s="30">
        <f>IF(CD95="Yes, more than 10%",-10,IF(CD95="No",10,0))</f>
        <v/>
      </c>
    </row>
    <row r="96">
      <c r="A96" s="30">
        <f>IF(B96=0,"",RANK(B96,$B$2:$B$331,0))</f>
        <v/>
      </c>
      <c r="B96" s="31">
        <f>SUM(N96,Y96,AA96,AC96,AE96,AG96,AI96,AK96,AM96,AO96,AQ96,AS96,AU96,AW96,AY96,BA96,BC96,BE96,BG96,BI96,BK96,BM96,BO96,BQ96,BS96,BU96,BW96,BY96,CA96,CC96,CE96)</f>
        <v/>
      </c>
      <c r="C96" s="30" t="inlineStr">
        <is>
          <t>GOCLCORP</t>
        </is>
      </c>
      <c r="D96" s="30" t="inlineStr">
        <is>
          <t>Gocl Corporation Limited</t>
        </is>
      </c>
      <c r="E96" s="30" t="inlineStr">
        <is>
          <t>miscellaneous</t>
        </is>
      </c>
      <c r="F96" s="30" t="inlineStr">
        <is>
          <t>diversified - medium / small</t>
        </is>
      </c>
      <c r="G96" s="30" t="inlineStr">
        <is>
          <t>smallcap</t>
        </is>
      </c>
      <c r="H96" s="31" t="n">
        <v>2140.04</v>
      </c>
      <c r="I96" s="31" t="n">
        <v>432.2</v>
      </c>
      <c r="J96" s="31" t="n">
        <v>0.12</v>
      </c>
      <c r="K96" s="31" t="n">
        <v>82309</v>
      </c>
      <c r="L96" s="30" t="n">
        <v>31</v>
      </c>
      <c r="M96" s="30" t="inlineStr">
        <is>
          <t>Outperforming</t>
        </is>
      </c>
      <c r="N96" s="31">
        <f>IF(M96="Underperforming",-5,IF(L96&gt;=95,15,IF(L96&gt;=90,10,IF(L96&gt;=80,5,0))))</f>
        <v/>
      </c>
      <c r="O96" s="31" t="n">
        <v>62.6</v>
      </c>
      <c r="P96" s="31" t="n">
        <v>47.35</v>
      </c>
      <c r="Q96" s="31" t="n">
        <v>334.51</v>
      </c>
      <c r="R96" s="30" t="inlineStr">
        <is>
          <t>Near 52W High Breakout</t>
        </is>
      </c>
      <c r="S96" s="30" t="inlineStr">
        <is>
          <t>Nifty IT</t>
        </is>
      </c>
      <c r="T96" s="31" t="n">
        <v>-19.99</v>
      </c>
      <c r="U96" s="31" t="n">
        <v>22.73</v>
      </c>
      <c r="V96" s="31" t="n">
        <v>53.4</v>
      </c>
      <c r="W96" s="31" t="n">
        <v>9.880000000000001</v>
      </c>
      <c r="X96" s="30" t="inlineStr">
        <is>
          <t>Growing Industry</t>
        </is>
      </c>
      <c r="Y96" s="30">
        <f>IF(X96="Growing Industry",10,IF(X96="Cyclical in an Upturn",5,0))</f>
        <v/>
      </c>
      <c r="Z96" s="30" t="inlineStr">
        <is>
          <t>Too Many Players with High ROCE</t>
        </is>
      </c>
      <c r="AA96" s="30">
        <f>IF(Z96="Monopoly",10,IF(Z96="Oligopoly",5,IF(Z96="Duopoly that cooperate",10,IF(Z96="Duopoly that compete",5,IF(Z96="Too many players with High ROCE",5,0)))))</f>
        <v/>
      </c>
      <c r="AB96" s="30" t="inlineStr">
        <is>
          <t>No</t>
        </is>
      </c>
      <c r="AC96" s="30">
        <f>IF(AB96="No",5,0)</f>
        <v/>
      </c>
      <c r="AD96" s="30" t="inlineStr">
        <is>
          <t>Tailwind</t>
        </is>
      </c>
      <c r="AE96" s="30">
        <f>IF(AD96="Tailwind",10,0)</f>
        <v/>
      </c>
      <c r="AF96" s="30" t="inlineStr">
        <is>
          <t>Structural (10 Years Consistency)</t>
        </is>
      </c>
      <c r="AG96" s="30">
        <f>IF(AF96="Structural (10 Years Consistency)",10,IF(AF96="Shallow Cyclical (2 to 3 years growth)",5,0))</f>
        <v/>
      </c>
      <c r="AH96" s="30" t="inlineStr">
        <is>
          <t>No</t>
        </is>
      </c>
      <c r="AI96" s="30">
        <f>IF(AH96="Yes due to Product Mix change or Operating Leverage",10,IF(AH96="Yes, these are peak margins",-5,IF(AH96="No",5,0)))</f>
        <v/>
      </c>
      <c r="AJ96" s="30" t="inlineStr">
        <is>
          <t>Stable</t>
        </is>
      </c>
      <c r="AK96" s="30">
        <f>IF(AJ96="Stable",10,0)</f>
        <v/>
      </c>
      <c r="AL96" s="30" t="inlineStr">
        <is>
          <t>Yes</t>
        </is>
      </c>
      <c r="AM96" s="30">
        <f>IF(AL96="Yes",10,0)</f>
        <v/>
      </c>
      <c r="AN96" s="30" t="inlineStr">
        <is>
          <t>B2B</t>
        </is>
      </c>
      <c r="AO96" s="30">
        <f>IF(AN96="B2C",10,IF(AN96="B2B",5,0))</f>
        <v/>
      </c>
      <c r="AP96" s="30" t="inlineStr">
        <is>
          <t>Yes</t>
        </is>
      </c>
      <c r="AQ96" s="30">
        <f>IF(AP96="Yes",10,0)</f>
        <v/>
      </c>
      <c r="AR96" s="30" t="inlineStr">
        <is>
          <t>Higher One Time, Lower Annuity</t>
        </is>
      </c>
      <c r="AS96" s="30">
        <f>IF(AR96="Fully Annuity",10,IF(AR96="Higher Annuity, Lower One Time",5,IF(AR96="Higher One Time, Lower Annuity",3,0)))</f>
        <v/>
      </c>
      <c r="AT96" s="30" t="inlineStr">
        <is>
          <t>Good</t>
        </is>
      </c>
      <c r="AU96" s="30">
        <f>IF(AT96="Good",10,0)</f>
        <v/>
      </c>
      <c r="AV96" s="30" t="inlineStr">
        <is>
          <t>Yes for more than 2 years</t>
        </is>
      </c>
      <c r="AW96" s="30">
        <f>IF(AV96="Yes for more than 2 years",10,IF(AV96="Yes only for next 1 to 2 years",5,0))</f>
        <v/>
      </c>
      <c r="AX96" s="30" t="inlineStr">
        <is>
          <t>Above 40</t>
        </is>
      </c>
      <c r="AY96" s="30">
        <f>IF(AX96="Above 40",20,IF(AX96="20 to 40",10,IF(AX96="0 to 20",-5,0)))</f>
        <v/>
      </c>
      <c r="AZ96" s="30" t="inlineStr">
        <is>
          <t>Between 50 to 75</t>
        </is>
      </c>
      <c r="BA96" s="30">
        <f>IF(AZ96="Between 50 to 75",10,IF(AZ96="Above 75",0,0))</f>
        <v/>
      </c>
      <c r="BB96" s="30" t="inlineStr">
        <is>
          <t>Stage 2</t>
        </is>
      </c>
      <c r="BC96" s="30">
        <f>IF(BB96="Stage 2",20,IF(BB96="Stage 1",0,IF(BB96="Stage 3",5,IF(BB96="Stage 4",-5,0))))</f>
        <v/>
      </c>
      <c r="BD96" s="30" t="inlineStr">
        <is>
          <t>Positive Trend</t>
        </is>
      </c>
      <c r="BE96" s="30">
        <f>IF(BD96="Positive Trend",20,IF(BD96="Negative Trend",-10,0))</f>
        <v/>
      </c>
      <c r="BF96" s="30" t="inlineStr">
        <is>
          <t>Uptrend</t>
        </is>
      </c>
      <c r="BG96" s="30">
        <f>IF(BF96="Uptrend",10,IF(BF96="Sideways",5,0))</f>
        <v/>
      </c>
      <c r="BH96" s="30" t="inlineStr">
        <is>
          <t>Uptrend</t>
        </is>
      </c>
      <c r="BI96" s="30">
        <f>IF(BH96="Uptrend",10,IF(BH96="Sideways",5,0))</f>
        <v/>
      </c>
      <c r="BJ96" s="30" t="inlineStr">
        <is>
          <t>Blue sky scenario</t>
        </is>
      </c>
      <c r="BK96" s="30">
        <f>IF(BJ96="Overhead supply in last 2 years in last 2 years",-5,IF(BJ96="Close to 52 week high or retracement",5,IF(BJ96="Blue sky scenario",10,IF(BJ96="Long term Downtrend",-10,0))))</f>
        <v/>
      </c>
      <c r="BL96" s="30" t="inlineStr">
        <is>
          <t>Yes</t>
        </is>
      </c>
      <c r="BM96" s="30">
        <f>IF(BL96="Yes",10,0)</f>
        <v/>
      </c>
      <c r="BN96" s="30" t="inlineStr">
        <is>
          <t>Less than 12%</t>
        </is>
      </c>
      <c r="BO96" s="30">
        <f>IF(BN96="More than 20%",10,IF(BN96="Between 12 to 20%",5,IF(BN96="Less than 12%",0,0)))</f>
        <v/>
      </c>
      <c r="BP96" s="30" t="inlineStr">
        <is>
          <t>No</t>
        </is>
      </c>
      <c r="BQ96" s="30">
        <f>IF(BP96="No",10,0)</f>
        <v/>
      </c>
      <c r="BR96" s="30" t="inlineStr">
        <is>
          <t>No</t>
        </is>
      </c>
      <c r="BS96" s="30">
        <f>IF(BR96="NO",5,0)</f>
        <v/>
      </c>
      <c r="BT96" s="30" t="inlineStr">
        <is>
          <t>Above 2</t>
        </is>
      </c>
      <c r="BU96" s="30">
        <f>IF(BT96="Above 2",0,IF(BT96="Between 1.5 to 2",5,IF(BT96="Less than 1.5",10,0)))</f>
        <v/>
      </c>
      <c r="BV96" s="30" t="inlineStr">
        <is>
          <t>Above 70%</t>
        </is>
      </c>
      <c r="BW96" s="30">
        <f>IF(BV96="Above 70%",10,IF(BV96="Between 50% to 70%",5,IF(BV96="Less than 50%",0,IF(BV96="Negative",-10,IF(BV96="Less than 50% and Borrowings are increasing",-5,0)))))</f>
        <v/>
      </c>
      <c r="BX96" s="30" t="inlineStr">
        <is>
          <t>Less than 0.7</t>
        </is>
      </c>
      <c r="BY96" s="30">
        <f>IF(BX96="More than 1.2",-10,IF(BX96="Between 0.7 to 1.2",0,IF(BX96="Less than 0.7",10,0)))</f>
        <v/>
      </c>
      <c r="BZ96" s="30" t="inlineStr">
        <is>
          <t>No</t>
        </is>
      </c>
      <c r="CA96" s="30">
        <f>IF(BZ96="Yes",-10,0)</f>
        <v/>
      </c>
      <c r="CB96" s="30" t="inlineStr">
        <is>
          <t>Less than 15%</t>
        </is>
      </c>
      <c r="CC96" s="30">
        <f>IF(CB96="More than 15%",-10,IF(CB96="Less than 15%",10,0))</f>
        <v/>
      </c>
      <c r="CD96" s="30" t="inlineStr">
        <is>
          <t>No</t>
        </is>
      </c>
      <c r="CE96" s="30">
        <f>IF(CD96="Yes, more than 10%",-10,IF(CD96="No",10,0))</f>
        <v/>
      </c>
    </row>
    <row r="97">
      <c r="A97" s="30">
        <f>IF(B97=0,"",RANK(B97,$B$2:$B$331,0))</f>
        <v/>
      </c>
      <c r="B97" s="31">
        <f>SUM(N97,Y97,AA97,AC97,AE97,AG97,AI97,AK97,AM97,AO97,AQ97,AS97,AU97,AW97,AY97,BA97,BC97,BE97,BG97,BI97,BK97,BM97,BO97,BQ97,BS97,BU97,BW97,BY97,CA97,CC97,CE97)</f>
        <v/>
      </c>
      <c r="C97" s="30" t="inlineStr">
        <is>
          <t>ARVIND</t>
        </is>
      </c>
      <c r="D97" s="30" t="inlineStr">
        <is>
          <t>Arvind Limited</t>
        </is>
      </c>
      <c r="E97" s="30" t="inlineStr">
        <is>
          <t>textiles</t>
        </is>
      </c>
      <c r="F97" s="30" t="inlineStr">
        <is>
          <t>textiles - cotton/blended</t>
        </is>
      </c>
      <c r="G97" s="30" t="inlineStr">
        <is>
          <t>midcap</t>
        </is>
      </c>
      <c r="H97" s="31" t="n">
        <v>15528.08</v>
      </c>
      <c r="I97" s="31" t="n">
        <v>569.8</v>
      </c>
      <c r="J97" s="31" t="n">
        <v>-0.18</v>
      </c>
      <c r="K97" s="31" t="n">
        <v>423712</v>
      </c>
      <c r="L97" s="30" t="n">
        <v>52</v>
      </c>
      <c r="M97" s="30" t="inlineStr">
        <is>
          <t>Outperforming</t>
        </is>
      </c>
      <c r="N97" s="31">
        <f>IF(M97="Underperforming",-5,IF(L97&gt;=95,15,IF(L97&gt;=90,10,IF(L97&gt;=80,5,0))))</f>
        <v/>
      </c>
      <c r="O97" s="31" t="n">
        <v>67.91</v>
      </c>
      <c r="P97" s="31" t="n">
        <v>59.79</v>
      </c>
      <c r="Q97" s="31" t="n">
        <v>447.55</v>
      </c>
      <c r="R97" s="30" t="inlineStr">
        <is>
          <t>Near 52W High Breakout</t>
        </is>
      </c>
      <c r="S97" s="30" t="inlineStr">
        <is>
          <t>Nifty 50</t>
        </is>
      </c>
      <c r="T97" s="31" t="n">
        <v>-6.52</v>
      </c>
      <c r="U97" s="31" t="n">
        <v>75.75</v>
      </c>
      <c r="V97" s="31" t="n">
        <v>88</v>
      </c>
      <c r="W97" s="31" t="n">
        <v>16.28</v>
      </c>
      <c r="X97" s="30" t="inlineStr">
        <is>
          <t>Growing Industry</t>
        </is>
      </c>
      <c r="Y97" s="30">
        <f>IF(X97="Growing Industry",10,IF(X97="Cyclical in an Upturn",5,0))</f>
        <v/>
      </c>
      <c r="Z97" s="30" t="inlineStr">
        <is>
          <t>Too Many Players with High ROCE</t>
        </is>
      </c>
      <c r="AA97" s="30">
        <f>IF(Z97="Monopoly",10,IF(Z97="Oligopoly",5,IF(Z97="Duopoly that cooperate",10,IF(Z97="Duopoly that compete",5,IF(Z97="Too many players with High ROCE",5,0)))))</f>
        <v/>
      </c>
      <c r="AB97" s="30" t="inlineStr">
        <is>
          <t>No</t>
        </is>
      </c>
      <c r="AC97" s="30">
        <f>IF(AB97="No",5,0)</f>
        <v/>
      </c>
      <c r="AD97" s="30" t="inlineStr">
        <is>
          <t>Tailwind</t>
        </is>
      </c>
      <c r="AE97" s="30">
        <f>IF(AD97="Tailwind",10,0)</f>
        <v/>
      </c>
      <c r="AF97" s="30" t="inlineStr">
        <is>
          <t>Structural (10 Years Consistency)</t>
        </is>
      </c>
      <c r="AG97" s="30">
        <f>IF(AF97="Structural (10 Years Consistency)",10,IF(AF97="Shallow Cyclical (2 to 3 years growth)",5,0))</f>
        <v/>
      </c>
      <c r="AH97" s="30" t="inlineStr">
        <is>
          <t>No</t>
        </is>
      </c>
      <c r="AI97" s="30">
        <f>IF(AH97="Yes due to Product Mix change or Operating Leverage",10,IF(AH97="Yes, these are peak margins",-5,IF(AH97="No",5,0)))</f>
        <v/>
      </c>
      <c r="AJ97" s="30" t="inlineStr">
        <is>
          <t>Stable</t>
        </is>
      </c>
      <c r="AK97" s="30">
        <f>IF(AJ97="Stable",10,0)</f>
        <v/>
      </c>
      <c r="AL97" s="30" t="inlineStr">
        <is>
          <t>Yes</t>
        </is>
      </c>
      <c r="AM97" s="30">
        <f>IF(AL97="Yes",10,0)</f>
        <v/>
      </c>
      <c r="AN97" s="30" t="inlineStr">
        <is>
          <t>B2B</t>
        </is>
      </c>
      <c r="AO97" s="30">
        <f>IF(AN97="B2C",10,IF(AN97="B2B",5,0))</f>
        <v/>
      </c>
      <c r="AP97" s="30" t="inlineStr">
        <is>
          <t>Yes</t>
        </is>
      </c>
      <c r="AQ97" s="30">
        <f>IF(AP97="Yes",10,0)</f>
        <v/>
      </c>
      <c r="AR97" s="30" t="inlineStr">
        <is>
          <t>Higher One Time, Lower Annuity</t>
        </is>
      </c>
      <c r="AS97" s="30">
        <f>IF(AR97="Fully Annuity",10,IF(AR97="Higher Annuity, Lower One Time",5,IF(AR97="Higher One Time, Lower Annuity",3,0)))</f>
        <v/>
      </c>
      <c r="AT97" s="30" t="inlineStr">
        <is>
          <t>Good</t>
        </is>
      </c>
      <c r="AU97" s="30">
        <f>IF(AT97="Good",10,0)</f>
        <v/>
      </c>
      <c r="AV97" s="30" t="inlineStr">
        <is>
          <t>Yes for more than 2 years</t>
        </is>
      </c>
      <c r="AW97" s="30">
        <f>IF(AV97="Yes for more than 2 years",10,IF(AV97="Yes only for next 1 to 2 years",5,0))</f>
        <v/>
      </c>
      <c r="AX97" s="30" t="inlineStr">
        <is>
          <t>Above 40</t>
        </is>
      </c>
      <c r="AY97" s="30">
        <f>IF(AX97="Above 40",20,IF(AX97="20 to 40",10,IF(AX97="0 to 20",-5,0)))</f>
        <v/>
      </c>
      <c r="AZ97" s="30" t="inlineStr">
        <is>
          <t>Between 50 to 75</t>
        </is>
      </c>
      <c r="BA97" s="30">
        <f>IF(AZ97="Between 50 to 75",10,IF(AZ97="Above 75",0,0))</f>
        <v/>
      </c>
      <c r="BB97" s="30" t="inlineStr">
        <is>
          <t>Stage 2</t>
        </is>
      </c>
      <c r="BC97" s="30">
        <f>IF(BB97="Stage 2",20,IF(BB97="Stage 1",0,IF(BB97="Stage 3",5,IF(BB97="Stage 4",-5,0))))</f>
        <v/>
      </c>
      <c r="BD97" s="30" t="inlineStr">
        <is>
          <t>Positive Trend</t>
        </is>
      </c>
      <c r="BE97" s="30">
        <f>IF(BD97="Positive Trend",20,IF(BD97="Negative Trend",-10,0))</f>
        <v/>
      </c>
      <c r="BF97" s="30" t="inlineStr">
        <is>
          <t>Uptrend</t>
        </is>
      </c>
      <c r="BG97" s="30">
        <f>IF(BF97="Uptrend",10,IF(BF97="Sideways",5,0))</f>
        <v/>
      </c>
      <c r="BH97" s="30" t="inlineStr">
        <is>
          <t>Uptrend</t>
        </is>
      </c>
      <c r="BI97" s="30">
        <f>IF(BH97="Uptrend",10,IF(BH97="Sideways",5,0))</f>
        <v/>
      </c>
      <c r="BJ97" s="30" t="inlineStr">
        <is>
          <t>Blue sky scenario</t>
        </is>
      </c>
      <c r="BK97" s="30">
        <f>IF(BJ97="Overhead supply in last 2 years in last 2 years",-5,IF(BJ97="Close to 52 week high or retracement",5,IF(BJ97="Blue sky scenario",10,IF(BJ97="Long term Downtrend",-10,0))))</f>
        <v/>
      </c>
      <c r="BL97" s="30" t="inlineStr">
        <is>
          <t>Yes</t>
        </is>
      </c>
      <c r="BM97" s="30">
        <f>IF(BL97="Yes",10,0)</f>
        <v/>
      </c>
      <c r="BN97" s="30" t="inlineStr">
        <is>
          <t>Less than 12%</t>
        </is>
      </c>
      <c r="BO97" s="30">
        <f>IF(BN97="More than 20%",10,IF(BN97="Between 12 to 20%",5,IF(BN97="Less than 12%",0,0)))</f>
        <v/>
      </c>
      <c r="BP97" s="30" t="inlineStr">
        <is>
          <t>No</t>
        </is>
      </c>
      <c r="BQ97" s="30">
        <f>IF(BP97="No",10,0)</f>
        <v/>
      </c>
      <c r="BR97" s="30" t="inlineStr">
        <is>
          <t>No</t>
        </is>
      </c>
      <c r="BS97" s="30">
        <f>IF(BR97="NO",5,0)</f>
        <v/>
      </c>
      <c r="BT97" s="30" t="inlineStr">
        <is>
          <t>Above 2</t>
        </is>
      </c>
      <c r="BU97" s="30">
        <f>IF(BT97="Above 2",0,IF(BT97="Between 1.5 to 2",5,IF(BT97="Less than 1.5",10,0)))</f>
        <v/>
      </c>
      <c r="BV97" s="30" t="inlineStr">
        <is>
          <t>Above 70%</t>
        </is>
      </c>
      <c r="BW97" s="30">
        <f>IF(BV97="Above 70%",10,IF(BV97="Between 50% to 70%",5,IF(BV97="Less than 50%",0,IF(BV97="Negative",-10,IF(BV97="Less than 50% and Borrowings are increasing",-5,0)))))</f>
        <v/>
      </c>
      <c r="BX97" s="30" t="inlineStr">
        <is>
          <t>Less than 0.7</t>
        </is>
      </c>
      <c r="BY97" s="30">
        <f>IF(BX97="More than 1.2",-10,IF(BX97="Between 0.7 to 1.2",0,IF(BX97="Less than 0.7",10,0)))</f>
        <v/>
      </c>
      <c r="BZ97" s="30" t="inlineStr">
        <is>
          <t>No</t>
        </is>
      </c>
      <c r="CA97" s="30">
        <f>IF(BZ97="Yes",-10,0)</f>
        <v/>
      </c>
      <c r="CB97" s="30" t="inlineStr">
        <is>
          <t>Less than 15%</t>
        </is>
      </c>
      <c r="CC97" s="30">
        <f>IF(CB97="More than 15%",-10,IF(CB97="Less than 15%",10,0))</f>
        <v/>
      </c>
      <c r="CD97" s="30" t="inlineStr">
        <is>
          <t>No</t>
        </is>
      </c>
      <c r="CE97" s="30">
        <f>IF(CD97="Yes, more than 10%",-10,IF(CD97="No",10,0))</f>
        <v/>
      </c>
    </row>
    <row r="98">
      <c r="A98" s="30">
        <f>IF(B98=0,"",RANK(B98,$B$2:$B$331,0))</f>
        <v/>
      </c>
      <c r="B98" s="31">
        <f>SUM(N98,Y98,AA98,AC98,AE98,AG98,AI98,AK98,AM98,AO98,AQ98,AS98,AU98,AW98,AY98,BA98,BC98,BE98,BG98,BI98,BK98,BM98,BO98,BQ98,BS98,BU98,BW98,BY98,CA98,CC98,CE98)</f>
        <v/>
      </c>
      <c r="C98" s="30" t="inlineStr">
        <is>
          <t>SKYGOLD</t>
        </is>
      </c>
      <c r="D98" s="30" t="inlineStr">
        <is>
          <t>Sky Gold Ltd</t>
        </is>
      </c>
      <c r="E98" s="30" t="inlineStr">
        <is>
          <t>consumer discretionary</t>
        </is>
      </c>
      <c r="F98" s="30" t="inlineStr">
        <is>
          <t>diamond cutting / jewellery</t>
        </is>
      </c>
      <c r="G98" s="30" t="inlineStr">
        <is>
          <t>midcap</t>
        </is>
      </c>
      <c r="H98" s="31" t="n">
        <v>12888.6</v>
      </c>
      <c r="I98" s="31" t="n">
        <v>830.3</v>
      </c>
      <c r="J98" s="31" t="n">
        <v>-0.23</v>
      </c>
      <c r="K98" s="31" t="n">
        <v>750031</v>
      </c>
      <c r="L98" s="30" t="n">
        <v>90</v>
      </c>
      <c r="M98" s="30" t="inlineStr">
        <is>
          <t>Outperforming</t>
        </is>
      </c>
      <c r="N98" s="31">
        <f>IF(M98="Underperforming",-5,IF(L98&gt;=95,15,IF(L98&gt;=90,10,IF(L98&gt;=80,5,0))))</f>
        <v/>
      </c>
      <c r="O98" s="31" t="n">
        <v>78.65000000000001</v>
      </c>
      <c r="P98" s="31" t="n">
        <v>66.13</v>
      </c>
      <c r="Q98" s="31" t="n">
        <v>630.59</v>
      </c>
      <c r="R98" s="30" t="inlineStr">
        <is>
          <t>Near 52W High Breakout</t>
        </is>
      </c>
      <c r="S98" s="30" t="inlineStr">
        <is>
          <t>Nifty 50</t>
        </is>
      </c>
      <c r="T98" s="31" t="n">
        <v>-6.52</v>
      </c>
      <c r="U98" s="31" t="n">
        <v>194.17</v>
      </c>
      <c r="V98" s="31" t="n">
        <v>214.67</v>
      </c>
      <c r="W98" s="31" t="n">
        <v>39.29</v>
      </c>
      <c r="X98" s="30" t="inlineStr">
        <is>
          <t>Growing Industry</t>
        </is>
      </c>
      <c r="Y98" s="30">
        <f>IF(X98="Growing Industry",10,IF(X98="Cyclical in an Upturn",5,0))</f>
        <v/>
      </c>
      <c r="Z98" s="30" t="inlineStr">
        <is>
          <t>Too Many Players with High ROCE</t>
        </is>
      </c>
      <c r="AA98" s="30">
        <f>IF(Z98="Monopoly",10,IF(Z98="Oligopoly",5,IF(Z98="Duopoly that cooperate",10,IF(Z98="Duopoly that compete",5,IF(Z98="Too many players with High ROCE",5,0)))))</f>
        <v/>
      </c>
      <c r="AB98" s="30" t="inlineStr">
        <is>
          <t>No</t>
        </is>
      </c>
      <c r="AC98" s="30">
        <f>IF(AB98="No",5,0)</f>
        <v/>
      </c>
      <c r="AD98" s="30" t="inlineStr">
        <is>
          <t>Tailwind</t>
        </is>
      </c>
      <c r="AE98" s="30">
        <f>IF(AD98="Tailwind",10,0)</f>
        <v/>
      </c>
      <c r="AF98" s="30" t="inlineStr">
        <is>
          <t>Structural (10 Years Consistency)</t>
        </is>
      </c>
      <c r="AG98" s="30">
        <f>IF(AF98="Structural (10 Years Consistency)",10,IF(AF98="Shallow Cyclical (2 to 3 years growth)",5,0))</f>
        <v/>
      </c>
      <c r="AH98" s="30" t="inlineStr">
        <is>
          <t>No</t>
        </is>
      </c>
      <c r="AI98" s="30">
        <f>IF(AH98="Yes due to Product Mix change or Operating Leverage",10,IF(AH98="Yes, these are peak margins",-5,IF(AH98="No",5,0)))</f>
        <v/>
      </c>
      <c r="AJ98" s="30" t="inlineStr">
        <is>
          <t>Stable</t>
        </is>
      </c>
      <c r="AK98" s="30">
        <f>IF(AJ98="Stable",10,0)</f>
        <v/>
      </c>
      <c r="AL98" s="30" t="inlineStr">
        <is>
          <t>Yes</t>
        </is>
      </c>
      <c r="AM98" s="30">
        <f>IF(AL98="Yes",10,0)</f>
        <v/>
      </c>
      <c r="AN98" s="30" t="inlineStr">
        <is>
          <t>B2B</t>
        </is>
      </c>
      <c r="AO98" s="30">
        <f>IF(AN98="B2C",10,IF(AN98="B2B",5,0))</f>
        <v/>
      </c>
      <c r="AP98" s="30" t="inlineStr">
        <is>
          <t>Yes</t>
        </is>
      </c>
      <c r="AQ98" s="30">
        <f>IF(AP98="Yes",10,0)</f>
        <v/>
      </c>
      <c r="AR98" s="30" t="inlineStr">
        <is>
          <t>Higher One Time, Lower Annuity</t>
        </is>
      </c>
      <c r="AS98" s="30">
        <f>IF(AR98="Fully Annuity",10,IF(AR98="Higher Annuity, Lower One Time",5,IF(AR98="Higher One Time, Lower Annuity",3,0)))</f>
        <v/>
      </c>
      <c r="AT98" s="30" t="inlineStr">
        <is>
          <t>Good</t>
        </is>
      </c>
      <c r="AU98" s="30">
        <f>IF(AT98="Good",10,0)</f>
        <v/>
      </c>
      <c r="AV98" s="30" t="inlineStr">
        <is>
          <t>Yes for more than 2 years</t>
        </is>
      </c>
      <c r="AW98" s="30">
        <f>IF(AV98="Yes for more than 2 years",10,IF(AV98="Yes only for next 1 to 2 years",5,0))</f>
        <v/>
      </c>
      <c r="AX98" s="30" t="inlineStr">
        <is>
          <t>Above 40</t>
        </is>
      </c>
      <c r="AY98" s="30">
        <f>IF(AX98="Above 40",20,IF(AX98="20 to 40",10,IF(AX98="0 to 20",-5,0)))</f>
        <v/>
      </c>
      <c r="AZ98" s="30" t="inlineStr">
        <is>
          <t>Above 75</t>
        </is>
      </c>
      <c r="BA98" s="30">
        <f>IF(AZ98="Between 50 to 75",10,IF(AZ98="Above 75",0,0))</f>
        <v/>
      </c>
      <c r="BB98" s="30" t="inlineStr">
        <is>
          <t>Stage 2</t>
        </is>
      </c>
      <c r="BC98" s="30">
        <f>IF(BB98="Stage 2",20,IF(BB98="Stage 1",0,IF(BB98="Stage 3",5,IF(BB98="Stage 4",-5,0))))</f>
        <v/>
      </c>
      <c r="BD98" s="30" t="inlineStr">
        <is>
          <t>Positive Trend</t>
        </is>
      </c>
      <c r="BE98" s="30">
        <f>IF(BD98="Positive Trend",20,IF(BD98="Negative Trend",-10,0))</f>
        <v/>
      </c>
      <c r="BF98" s="30" t="inlineStr">
        <is>
          <t>Uptrend</t>
        </is>
      </c>
      <c r="BG98" s="30">
        <f>IF(BF98="Uptrend",10,IF(BF98="Sideways",5,0))</f>
        <v/>
      </c>
      <c r="BH98" s="30" t="inlineStr">
        <is>
          <t>Uptrend</t>
        </is>
      </c>
      <c r="BI98" s="30">
        <f>IF(BH98="Uptrend",10,IF(BH98="Sideways",5,0))</f>
        <v/>
      </c>
      <c r="BJ98" s="30" t="inlineStr">
        <is>
          <t>Blue sky scenario</t>
        </is>
      </c>
      <c r="BK98" s="30">
        <f>IF(BJ98="Overhead supply in last 2 years in last 2 years",-5,IF(BJ98="Close to 52 week high or retracement",5,IF(BJ98="Blue sky scenario",10,IF(BJ98="Long term Downtrend",-10,0))))</f>
        <v/>
      </c>
      <c r="BL98" s="30" t="inlineStr">
        <is>
          <t>Yes</t>
        </is>
      </c>
      <c r="BM98" s="30">
        <f>IF(BL98="Yes",10,0)</f>
        <v/>
      </c>
      <c r="BN98" s="30" t="inlineStr">
        <is>
          <t>More than 20%</t>
        </is>
      </c>
      <c r="BO98" s="30">
        <f>IF(BN98="More than 20%",10,IF(BN98="Between 12 to 20%",5,IF(BN98="Less than 12%",0,0)))</f>
        <v/>
      </c>
      <c r="BP98" s="30" t="inlineStr">
        <is>
          <t>No</t>
        </is>
      </c>
      <c r="BQ98" s="30">
        <f>IF(BP98="No",10,0)</f>
        <v/>
      </c>
      <c r="BR98" s="30" t="inlineStr">
        <is>
          <t>No</t>
        </is>
      </c>
      <c r="BS98" s="30">
        <f>IF(BR98="NO",5,0)</f>
        <v/>
      </c>
      <c r="BT98" s="30" t="inlineStr">
        <is>
          <t>Above 2</t>
        </is>
      </c>
      <c r="BU98" s="30">
        <f>IF(BT98="Above 2",0,IF(BT98="Between 1.5 to 2",5,IF(BT98="Less than 1.5",10,0)))</f>
        <v/>
      </c>
      <c r="BV98" s="30" t="inlineStr">
        <is>
          <t>Above 70%</t>
        </is>
      </c>
      <c r="BW98" s="30">
        <f>IF(BV98="Above 70%",10,IF(BV98="Between 50% to 70%",5,IF(BV98="Less than 50%",0,IF(BV98="Negative",-10,IF(BV98="Less than 50% and Borrowings are increasing",-5,0)))))</f>
        <v/>
      </c>
      <c r="BX98" s="30" t="inlineStr">
        <is>
          <t>Between 0.7 to 1.2</t>
        </is>
      </c>
      <c r="BY98" s="30">
        <f>IF(BX98="More than 1.2",-10,IF(BX98="Between 0.7 to 1.2",0,IF(BX98="Less than 0.7",10,0)))</f>
        <v/>
      </c>
      <c r="BZ98" s="30" t="inlineStr">
        <is>
          <t>No</t>
        </is>
      </c>
      <c r="CA98" s="30">
        <f>IF(BZ98="Yes",-10,0)</f>
        <v/>
      </c>
      <c r="CB98" s="30" t="inlineStr">
        <is>
          <t>Less than 15%</t>
        </is>
      </c>
      <c r="CC98" s="30">
        <f>IF(CB98="More than 15%",-10,IF(CB98="Less than 15%",10,0))</f>
        <v/>
      </c>
      <c r="CD98" s="30" t="inlineStr">
        <is>
          <t>No</t>
        </is>
      </c>
      <c r="CE98" s="30">
        <f>IF(CD98="Yes, more than 10%",-10,IF(CD98="No",10,0))</f>
        <v/>
      </c>
    </row>
    <row r="99">
      <c r="A99" s="30">
        <f>IF(B99=0,"",RANK(B99,$B$2:$B$331,0))</f>
        <v/>
      </c>
      <c r="B99" s="31">
        <f>SUM(N99,Y99,AA99,AC99,AE99,AG99,AI99,AK99,AM99,AO99,AQ99,AS99,AU99,AW99,AY99,BA99,BC99,BE99,BG99,BI99,BK99,BM99,BO99,BQ99,BS99,BU99,BW99,BY99,CA99,CC99,CE99)</f>
        <v/>
      </c>
      <c r="C99" s="30" t="inlineStr">
        <is>
          <t>NITINSPIN</t>
        </is>
      </c>
      <c r="D99" s="30" t="inlineStr">
        <is>
          <t>Nitin Spinners Limited</t>
        </is>
      </c>
      <c r="E99" s="30" t="inlineStr">
        <is>
          <t>textiles</t>
        </is>
      </c>
      <c r="F99" s="30" t="inlineStr">
        <is>
          <t>textiles - cotton/blended</t>
        </is>
      </c>
      <c r="G99" s="30" t="inlineStr">
        <is>
          <t>smallcap</t>
        </is>
      </c>
      <c r="H99" s="31" t="n">
        <v>3661.33</v>
      </c>
      <c r="I99" s="31" t="n">
        <v>649.5</v>
      </c>
      <c r="J99" s="31" t="n">
        <v>-0.27</v>
      </c>
      <c r="K99" s="31" t="n">
        <v>188865</v>
      </c>
      <c r="L99" s="30" t="n">
        <v>63</v>
      </c>
      <c r="M99" s="30" t="inlineStr">
        <is>
          <t>Outperforming</t>
        </is>
      </c>
      <c r="N99" s="31">
        <f>IF(M99="Underperforming",-5,IF(L99&gt;=95,15,IF(L99&gt;=90,10,IF(L99&gt;=80,5,0))))</f>
        <v/>
      </c>
      <c r="O99" s="31" t="n">
        <v>76.04000000000001</v>
      </c>
      <c r="P99" s="31" t="n">
        <v>64.42</v>
      </c>
      <c r="Q99" s="31" t="n">
        <v>513.64</v>
      </c>
      <c r="R99" s="30" t="inlineStr">
        <is>
          <t>Near 52W High Breakout</t>
        </is>
      </c>
      <c r="S99" s="30" t="inlineStr">
        <is>
          <t>Nifty 50</t>
        </is>
      </c>
      <c r="T99" s="31" t="n">
        <v>-6.52</v>
      </c>
      <c r="U99" s="31" t="n">
        <v>95.98999999999999</v>
      </c>
      <c r="V99" s="31" t="n">
        <v>109.65</v>
      </c>
      <c r="W99" s="31" t="n">
        <v>19.36</v>
      </c>
      <c r="X99" s="30" t="inlineStr">
        <is>
          <t>Growing Industry</t>
        </is>
      </c>
      <c r="Y99" s="30">
        <f>IF(X99="Growing Industry",10,IF(X99="Cyclical in an Upturn",5,0))</f>
        <v/>
      </c>
      <c r="Z99" s="30" t="inlineStr">
        <is>
          <t>Too Many Players with High ROCE</t>
        </is>
      </c>
      <c r="AA99" s="30">
        <f>IF(Z99="Monopoly",10,IF(Z99="Oligopoly",5,IF(Z99="Duopoly that cooperate",10,IF(Z99="Duopoly that compete",5,IF(Z99="Too many players with High ROCE",5,0)))))</f>
        <v/>
      </c>
      <c r="AB99" s="30" t="inlineStr">
        <is>
          <t>No</t>
        </is>
      </c>
      <c r="AC99" s="30">
        <f>IF(AB99="No",5,0)</f>
        <v/>
      </c>
      <c r="AD99" s="30" t="inlineStr">
        <is>
          <t>Tailwind</t>
        </is>
      </c>
      <c r="AE99" s="30">
        <f>IF(AD99="Tailwind",10,0)</f>
        <v/>
      </c>
      <c r="AF99" s="30" t="inlineStr">
        <is>
          <t>Structural (10 Years Consistency)</t>
        </is>
      </c>
      <c r="AG99" s="30">
        <f>IF(AF99="Structural (10 Years Consistency)",10,IF(AF99="Shallow Cyclical (2 to 3 years growth)",5,0))</f>
        <v/>
      </c>
      <c r="AH99" s="30" t="inlineStr">
        <is>
          <t>No</t>
        </is>
      </c>
      <c r="AI99" s="30">
        <f>IF(AH99="Yes due to Product Mix change or Operating Leverage",10,IF(AH99="Yes, these are peak margins",-5,IF(AH99="No",5,0)))</f>
        <v/>
      </c>
      <c r="AJ99" s="30" t="inlineStr">
        <is>
          <t>Stable</t>
        </is>
      </c>
      <c r="AK99" s="30">
        <f>IF(AJ99="Stable",10,0)</f>
        <v/>
      </c>
      <c r="AL99" s="30" t="inlineStr">
        <is>
          <t>Yes</t>
        </is>
      </c>
      <c r="AM99" s="30">
        <f>IF(AL99="Yes",10,0)</f>
        <v/>
      </c>
      <c r="AN99" s="30" t="inlineStr">
        <is>
          <t>B2B</t>
        </is>
      </c>
      <c r="AO99" s="30">
        <f>IF(AN99="B2C",10,IF(AN99="B2B",5,0))</f>
        <v/>
      </c>
      <c r="AP99" s="30" t="inlineStr">
        <is>
          <t>Yes</t>
        </is>
      </c>
      <c r="AQ99" s="30">
        <f>IF(AP99="Yes",10,0)</f>
        <v/>
      </c>
      <c r="AR99" s="30" t="inlineStr">
        <is>
          <t>Higher One Time, Lower Annuity</t>
        </is>
      </c>
      <c r="AS99" s="30">
        <f>IF(AR99="Fully Annuity",10,IF(AR99="Higher Annuity, Lower One Time",5,IF(AR99="Higher One Time, Lower Annuity",3,0)))</f>
        <v/>
      </c>
      <c r="AT99" s="30" t="inlineStr">
        <is>
          <t>Good</t>
        </is>
      </c>
      <c r="AU99" s="30">
        <f>IF(AT99="Good",10,0)</f>
        <v/>
      </c>
      <c r="AV99" s="30" t="inlineStr">
        <is>
          <t>Yes for more than 2 years</t>
        </is>
      </c>
      <c r="AW99" s="30">
        <f>IF(AV99="Yes for more than 2 years",10,IF(AV99="Yes only for next 1 to 2 years",5,0))</f>
        <v/>
      </c>
      <c r="AX99" s="30" t="inlineStr">
        <is>
          <t>Above 40</t>
        </is>
      </c>
      <c r="AY99" s="30">
        <f>IF(AX99="Above 40",20,IF(AX99="20 to 40",10,IF(AX99="0 to 20",-5,0)))</f>
        <v/>
      </c>
      <c r="AZ99" s="30" t="inlineStr">
        <is>
          <t>Above 75</t>
        </is>
      </c>
      <c r="BA99" s="30">
        <f>IF(AZ99="Between 50 to 75",10,IF(AZ99="Above 75",0,0))</f>
        <v/>
      </c>
      <c r="BB99" s="30" t="inlineStr">
        <is>
          <t>Stage 2</t>
        </is>
      </c>
      <c r="BC99" s="30">
        <f>IF(BB99="Stage 2",20,IF(BB99="Stage 1",0,IF(BB99="Stage 3",5,IF(BB99="Stage 4",-5,0))))</f>
        <v/>
      </c>
      <c r="BD99" s="30" t="inlineStr">
        <is>
          <t>Positive Trend</t>
        </is>
      </c>
      <c r="BE99" s="30">
        <f>IF(BD99="Positive Trend",20,IF(BD99="Negative Trend",-10,0))</f>
        <v/>
      </c>
      <c r="BF99" s="30" t="inlineStr">
        <is>
          <t>Uptrend</t>
        </is>
      </c>
      <c r="BG99" s="30">
        <f>IF(BF99="Uptrend",10,IF(BF99="Sideways",5,0))</f>
        <v/>
      </c>
      <c r="BH99" s="30" t="inlineStr">
        <is>
          <t>Uptrend</t>
        </is>
      </c>
      <c r="BI99" s="30">
        <f>IF(BH99="Uptrend",10,IF(BH99="Sideways",5,0))</f>
        <v/>
      </c>
      <c r="BJ99" s="30" t="inlineStr">
        <is>
          <t>Blue sky scenario</t>
        </is>
      </c>
      <c r="BK99" s="30">
        <f>IF(BJ99="Overhead supply in last 2 years in last 2 years",-5,IF(BJ99="Close to 52 week high or retracement",5,IF(BJ99="Blue sky scenario",10,IF(BJ99="Long term Downtrend",-10,0))))</f>
        <v/>
      </c>
      <c r="BL99" s="30" t="inlineStr">
        <is>
          <t>Yes</t>
        </is>
      </c>
      <c r="BM99" s="30">
        <f>IF(BL99="Yes",10,0)</f>
        <v/>
      </c>
      <c r="BN99" s="30" t="inlineStr">
        <is>
          <t>More than 20%</t>
        </is>
      </c>
      <c r="BO99" s="30">
        <f>IF(BN99="More than 20%",10,IF(BN99="Between 12 to 20%",5,IF(BN99="Less than 12%",0,0)))</f>
        <v/>
      </c>
      <c r="BP99" s="30" t="inlineStr">
        <is>
          <t>No</t>
        </is>
      </c>
      <c r="BQ99" s="30">
        <f>IF(BP99="No",10,0)</f>
        <v/>
      </c>
      <c r="BR99" s="30" t="inlineStr">
        <is>
          <t>No</t>
        </is>
      </c>
      <c r="BS99" s="30">
        <f>IF(BR99="NO",5,0)</f>
        <v/>
      </c>
      <c r="BT99" s="30" t="inlineStr">
        <is>
          <t>Less than 1.5</t>
        </is>
      </c>
      <c r="BU99" s="30">
        <f>IF(BT99="Above 2",0,IF(BT99="Between 1.5 to 2",5,IF(BT99="Less than 1.5",10,0)))</f>
        <v/>
      </c>
      <c r="BV99" s="30" t="inlineStr">
        <is>
          <t>Above 70%</t>
        </is>
      </c>
      <c r="BW99" s="30">
        <f>IF(BV99="Above 70%",10,IF(BV99="Between 50% to 70%",5,IF(BV99="Less than 50%",0,IF(BV99="Negative",-10,IF(BV99="Less than 50% and Borrowings are increasing",-5,0)))))</f>
        <v/>
      </c>
      <c r="BX99" s="30" t="inlineStr">
        <is>
          <t>Between 0.7 to 1.2</t>
        </is>
      </c>
      <c r="BY99" s="30">
        <f>IF(BX99="More than 1.2",-10,IF(BX99="Between 0.7 to 1.2",0,IF(BX99="Less than 0.7",10,0)))</f>
        <v/>
      </c>
      <c r="BZ99" s="30" t="inlineStr">
        <is>
          <t>No</t>
        </is>
      </c>
      <c r="CA99" s="30">
        <f>IF(BZ99="Yes",-10,0)</f>
        <v/>
      </c>
      <c r="CB99" s="30" t="inlineStr">
        <is>
          <t>Less than 15%</t>
        </is>
      </c>
      <c r="CC99" s="30">
        <f>IF(CB99="More than 15%",-10,IF(CB99="Less than 15%",10,0))</f>
        <v/>
      </c>
      <c r="CD99" s="30" t="inlineStr">
        <is>
          <t>No</t>
        </is>
      </c>
      <c r="CE99" s="30">
        <f>IF(CD99="Yes, more than 10%",-10,IF(CD99="No",10,0))</f>
        <v/>
      </c>
    </row>
    <row r="100">
      <c r="A100" s="30">
        <f>IF(B100=0,"",RANK(B100,$B$2:$B$331,0))</f>
        <v/>
      </c>
      <c r="B100" s="31">
        <f>SUM(N100,Y100,AA100,AC100,AE100,AG100,AI100,AK100,AM100,AO100,AQ100,AS100,AU100,AW100,AY100,BA100,BC100,BE100,BG100,BI100,BK100,BM100,BO100,BQ100,BS100,BU100,BW100,BY100,CA100,CC100,CE100)</f>
        <v/>
      </c>
      <c r="C100" s="30" t="inlineStr">
        <is>
          <t>HAPPYFORGE</t>
        </is>
      </c>
      <c r="D100" s="30" t="inlineStr">
        <is>
          <t>Happy Forgings Ltd</t>
        </is>
      </c>
      <c r="E100" s="30" t="inlineStr">
        <is>
          <t>industrials</t>
        </is>
      </c>
      <c r="F100" s="30" t="inlineStr">
        <is>
          <t>castings &amp; forgings</t>
        </is>
      </c>
      <c r="G100" s="30" t="inlineStr">
        <is>
          <t>largecap</t>
        </is>
      </c>
      <c r="H100" s="31" t="n">
        <v>21298.45</v>
      </c>
      <c r="I100" s="31" t="n">
        <v>2233.4</v>
      </c>
      <c r="J100" s="31" t="n">
        <v>-1.03</v>
      </c>
      <c r="K100" s="31" t="n">
        <v>58774</v>
      </c>
      <c r="L100" s="30" t="n">
        <v>86</v>
      </c>
      <c r="M100" s="30" t="inlineStr">
        <is>
          <t>Outperforming</t>
        </is>
      </c>
      <c r="N100" s="31">
        <f>IF(M100="Underperforming",-5,IF(L100&gt;=95,15,IF(L100&gt;=90,10,IF(L100&gt;=80,5,0))))</f>
        <v/>
      </c>
      <c r="O100" s="31" t="n">
        <v>82.28</v>
      </c>
      <c r="P100" s="31" t="n">
        <v>64.27</v>
      </c>
      <c r="Q100" s="31" t="n">
        <v>1858.2</v>
      </c>
      <c r="R100" s="30" t="inlineStr">
        <is>
          <t>Near 52W High Breakout</t>
        </is>
      </c>
      <c r="S100" s="30" t="inlineStr">
        <is>
          <t>Nifty Infra</t>
        </is>
      </c>
      <c r="T100" s="31" t="n">
        <v>0.74</v>
      </c>
      <c r="U100" s="31" t="n">
        <v>132.99</v>
      </c>
      <c r="V100" s="31" t="n">
        <v>131.28</v>
      </c>
      <c r="W100" s="31" t="n">
        <v>34.87</v>
      </c>
      <c r="X100" s="30" t="inlineStr">
        <is>
          <t>Cyclical in an Upturn</t>
        </is>
      </c>
      <c r="Y100" s="30">
        <f>IF(X100="Growing Industry",10,IF(X100="Cyclical in an Upturn",5,0))</f>
        <v/>
      </c>
      <c r="Z100" s="30" t="inlineStr">
        <is>
          <t>Too Many Players with High ROCE</t>
        </is>
      </c>
      <c r="AA100" s="30">
        <f>IF(Z100="Monopoly",10,IF(Z100="Oligopoly",5,IF(Z100="Duopoly that cooperate",10,IF(Z100="Duopoly that compete",5,IF(Z100="Too many players with High ROCE",5,0)))))</f>
        <v/>
      </c>
      <c r="AB100" s="30" t="inlineStr">
        <is>
          <t>No</t>
        </is>
      </c>
      <c r="AC100" s="30">
        <f>IF(AB100="No",5,0)</f>
        <v/>
      </c>
      <c r="AD100" s="30" t="inlineStr">
        <is>
          <t>Tailwind</t>
        </is>
      </c>
      <c r="AE100" s="30">
        <f>IF(AD100="Tailwind",10,0)</f>
        <v/>
      </c>
      <c r="AF100" s="30" t="inlineStr">
        <is>
          <t>Structural (10 Years Consistency)</t>
        </is>
      </c>
      <c r="AG100" s="30">
        <f>IF(AF100="Structural (10 Years Consistency)",10,IF(AF100="Shallow Cyclical (2 to 3 years growth)",5,0))</f>
        <v/>
      </c>
      <c r="AH100" s="30" t="inlineStr">
        <is>
          <t>No</t>
        </is>
      </c>
      <c r="AI100" s="30">
        <f>IF(AH100="Yes due to Product Mix change or Operating Leverage",10,IF(AH100="Yes, these are peak margins",-5,IF(AH100="No",5,0)))</f>
        <v/>
      </c>
      <c r="AJ100" s="30" t="inlineStr">
        <is>
          <t>Stable</t>
        </is>
      </c>
      <c r="AK100" s="30">
        <f>IF(AJ100="Stable",10,0)</f>
        <v/>
      </c>
      <c r="AL100" s="30" t="inlineStr">
        <is>
          <t>Yes</t>
        </is>
      </c>
      <c r="AM100" s="30">
        <f>IF(AL100="Yes",10,0)</f>
        <v/>
      </c>
      <c r="AN100" s="30" t="inlineStr">
        <is>
          <t>B2B</t>
        </is>
      </c>
      <c r="AO100" s="30">
        <f>IF(AN100="B2C",10,IF(AN100="B2B",5,0))</f>
        <v/>
      </c>
      <c r="AP100" s="30" t="inlineStr">
        <is>
          <t>Yes</t>
        </is>
      </c>
      <c r="AQ100" s="30">
        <f>IF(AP100="Yes",10,0)</f>
        <v/>
      </c>
      <c r="AR100" s="30" t="inlineStr">
        <is>
          <t>Higher One Time, Lower Annuity</t>
        </is>
      </c>
      <c r="AS100" s="30">
        <f>IF(AR100="Fully Annuity",10,IF(AR100="Higher Annuity, Lower One Time",5,IF(AR100="Higher One Time, Lower Annuity",3,0)))</f>
        <v/>
      </c>
      <c r="AT100" s="30" t="inlineStr">
        <is>
          <t>Good</t>
        </is>
      </c>
      <c r="AU100" s="30">
        <f>IF(AT100="Good",10,0)</f>
        <v/>
      </c>
      <c r="AV100" s="30" t="inlineStr">
        <is>
          <t>Yes for more than 2 years</t>
        </is>
      </c>
      <c r="AW100" s="30">
        <f>IF(AV100="Yes for more than 2 years",10,IF(AV100="Yes only for next 1 to 2 years",5,0))</f>
        <v/>
      </c>
      <c r="AX100" s="30" t="inlineStr">
        <is>
          <t>Above 40</t>
        </is>
      </c>
      <c r="AY100" s="30">
        <f>IF(AX100="Above 40",20,IF(AX100="20 to 40",10,IF(AX100="0 to 20",-5,0)))</f>
        <v/>
      </c>
      <c r="AZ100" s="30" t="inlineStr">
        <is>
          <t>Above 75</t>
        </is>
      </c>
      <c r="BA100" s="30">
        <f>IF(AZ100="Between 50 to 75",10,IF(AZ100="Above 75",0,0))</f>
        <v/>
      </c>
      <c r="BB100" s="30" t="inlineStr">
        <is>
          <t>Stage 2</t>
        </is>
      </c>
      <c r="BC100" s="30">
        <f>IF(BB100="Stage 2",20,IF(BB100="Stage 1",0,IF(BB100="Stage 3",5,IF(BB100="Stage 4",-5,0))))</f>
        <v/>
      </c>
      <c r="BD100" s="30" t="inlineStr">
        <is>
          <t>Positive Trend</t>
        </is>
      </c>
      <c r="BE100" s="30">
        <f>IF(BD100="Positive Trend",20,IF(BD100="Negative Trend",-10,0))</f>
        <v/>
      </c>
      <c r="BF100" s="30" t="inlineStr">
        <is>
          <t>Uptrend</t>
        </is>
      </c>
      <c r="BG100" s="30">
        <f>IF(BF100="Uptrend",10,IF(BF100="Sideways",5,0))</f>
        <v/>
      </c>
      <c r="BH100" s="30" t="inlineStr">
        <is>
          <t>Uptrend</t>
        </is>
      </c>
      <c r="BI100" s="30">
        <f>IF(BH100="Uptrend",10,IF(BH100="Sideways",5,0))</f>
        <v/>
      </c>
      <c r="BJ100" s="30" t="inlineStr">
        <is>
          <t>Blue sky scenario</t>
        </is>
      </c>
      <c r="BK100" s="30">
        <f>IF(BJ100="Overhead supply in last 2 years in last 2 years",-5,IF(BJ100="Close to 52 week high or retracement",5,IF(BJ100="Blue sky scenario",10,IF(BJ100="Long term Downtrend",-10,0))))</f>
        <v/>
      </c>
      <c r="BL100" s="30" t="inlineStr">
        <is>
          <t>Yes</t>
        </is>
      </c>
      <c r="BM100" s="30">
        <f>IF(BL100="Yes",10,0)</f>
        <v/>
      </c>
      <c r="BN100" s="30" t="inlineStr">
        <is>
          <t>More than 20%</t>
        </is>
      </c>
      <c r="BO100" s="30">
        <f>IF(BN100="More than 20%",10,IF(BN100="Between 12 to 20%",5,IF(BN100="Less than 12%",0,0)))</f>
        <v/>
      </c>
      <c r="BP100" s="30" t="inlineStr">
        <is>
          <t>No</t>
        </is>
      </c>
      <c r="BQ100" s="30">
        <f>IF(BP100="No",10,0)</f>
        <v/>
      </c>
      <c r="BR100" s="30" t="inlineStr">
        <is>
          <t>Yes</t>
        </is>
      </c>
      <c r="BS100" s="30">
        <f>IF(BR100="NO",5,0)</f>
        <v/>
      </c>
      <c r="BT100" s="30" t="inlineStr">
        <is>
          <t>Between 1.5 to 2</t>
        </is>
      </c>
      <c r="BU100" s="30">
        <f>IF(BT100="Above 2",0,IF(BT100="Between 1.5 to 2",5,IF(BT100="Less than 1.5",10,0)))</f>
        <v/>
      </c>
      <c r="BV100" s="30" t="inlineStr">
        <is>
          <t>Above 70%</t>
        </is>
      </c>
      <c r="BW100" s="30">
        <f>IF(BV100="Above 70%",10,IF(BV100="Between 50% to 70%",5,IF(BV100="Less than 50%",0,IF(BV100="Negative",-10,IF(BV100="Less than 50% and Borrowings are increasing",-5,0)))))</f>
        <v/>
      </c>
      <c r="BX100" s="30" t="inlineStr">
        <is>
          <t>Less than 0.7</t>
        </is>
      </c>
      <c r="BY100" s="30">
        <f>IF(BX100="More than 1.2",-10,IF(BX100="Between 0.7 to 1.2",0,IF(BX100="Less than 0.7",10,0)))</f>
        <v/>
      </c>
      <c r="BZ100" s="30" t="inlineStr">
        <is>
          <t>No</t>
        </is>
      </c>
      <c r="CA100" s="30">
        <f>IF(BZ100="Yes",-10,0)</f>
        <v/>
      </c>
      <c r="CB100" s="30" t="inlineStr">
        <is>
          <t>Less than 15%</t>
        </is>
      </c>
      <c r="CC100" s="30">
        <f>IF(CB100="More than 15%",-10,IF(CB100="Less than 15%",10,0))</f>
        <v/>
      </c>
      <c r="CD100" s="30" t="inlineStr">
        <is>
          <t>No</t>
        </is>
      </c>
      <c r="CE100" s="30">
        <f>IF(CD100="Yes, more than 10%",-10,IF(CD100="No",10,0))</f>
        <v/>
      </c>
    </row>
    <row r="101">
      <c r="A101" s="30">
        <f>IF(B101=0,"",RANK(B101,$B$2:$B$331,0))</f>
        <v/>
      </c>
      <c r="B101" s="31">
        <f>SUM(N101,Y101,AA101,AC101,AE101,AG101,AI101,AK101,AM101,AO101,AQ101,AS101,AU101,AW101,AY101,BA101,BC101,BE101,BG101,BI101,BK101,BM101,BO101,BQ101,BS101,BU101,BW101,BY101,CA101,CC101,CE101)</f>
        <v/>
      </c>
      <c r="C101" s="30" t="inlineStr">
        <is>
          <t>SKIPPER</t>
        </is>
      </c>
      <c r="D101" s="30" t="inlineStr">
        <is>
          <t>Skipper Limited</t>
        </is>
      </c>
      <c r="E101" s="30" t="inlineStr">
        <is>
          <t>industrials</t>
        </is>
      </c>
      <c r="F101" s="30" t="inlineStr">
        <is>
          <t>engineering</t>
        </is>
      </c>
      <c r="G101" s="30" t="inlineStr">
        <is>
          <t>midcap</t>
        </is>
      </c>
      <c r="H101" s="31" t="n">
        <v>7253.76</v>
      </c>
      <c r="I101" s="31" t="n">
        <v>583</v>
      </c>
      <c r="J101" s="31" t="n">
        <v>-1.84</v>
      </c>
      <c r="K101" s="31" t="n">
        <v>1056778</v>
      </c>
      <c r="L101" s="30" t="n">
        <v>21</v>
      </c>
      <c r="M101" s="30" t="inlineStr">
        <is>
          <t>Outperforming</t>
        </is>
      </c>
      <c r="N101" s="31">
        <f>IF(M101="Underperforming",-5,IF(L101&gt;=95,15,IF(L101&gt;=90,10,IF(L101&gt;=80,5,0))))</f>
        <v/>
      </c>
      <c r="O101" s="31" t="n">
        <v>65.34999999999999</v>
      </c>
      <c r="P101" s="31" t="n">
        <v>36.59</v>
      </c>
      <c r="Q101" s="31" t="n">
        <v>445.18</v>
      </c>
      <c r="R101" s="30" t="inlineStr">
        <is>
          <t>Volume Spike &amp; Near 52W High Breakout</t>
        </is>
      </c>
      <c r="S101" s="30" t="inlineStr">
        <is>
          <t>Nifty 50</t>
        </is>
      </c>
      <c r="T101" s="31" t="n">
        <v>-6.52</v>
      </c>
      <c r="U101" s="31" t="n">
        <v>9.34</v>
      </c>
      <c r="V101" s="31" t="n">
        <v>16.96</v>
      </c>
      <c r="W101" s="31" t="n">
        <v>6.5</v>
      </c>
      <c r="X101" s="30" t="inlineStr">
        <is>
          <t>Cyclical in an Upturn</t>
        </is>
      </c>
      <c r="Y101" s="30">
        <f>IF(X101="Growing Industry",10,IF(X101="Cyclical in an Upturn",5,0))</f>
        <v/>
      </c>
      <c r="Z101" s="30" t="inlineStr">
        <is>
          <t>Too Many Players with High ROCE</t>
        </is>
      </c>
      <c r="AA101" s="30">
        <f>IF(Z101="Monopoly",10,IF(Z101="Oligopoly",5,IF(Z101="Duopoly that cooperate",10,IF(Z101="Duopoly that compete",5,IF(Z101="Too many players with High ROCE",5,0)))))</f>
        <v/>
      </c>
      <c r="AB101" s="30" t="inlineStr">
        <is>
          <t>No</t>
        </is>
      </c>
      <c r="AC101" s="30">
        <f>IF(AB101="No",5,0)</f>
        <v/>
      </c>
      <c r="AD101" s="30" t="inlineStr">
        <is>
          <t>Tailwind</t>
        </is>
      </c>
      <c r="AE101" s="30">
        <f>IF(AD101="Tailwind",10,0)</f>
        <v/>
      </c>
      <c r="AF101" s="30" t="inlineStr">
        <is>
          <t>Structural (10 Years Consistency)</t>
        </is>
      </c>
      <c r="AG101" s="30">
        <f>IF(AF101="Structural (10 Years Consistency)",10,IF(AF101="Shallow Cyclical (2 to 3 years growth)",5,0))</f>
        <v/>
      </c>
      <c r="AH101" s="30" t="inlineStr">
        <is>
          <t>No</t>
        </is>
      </c>
      <c r="AI101" s="30">
        <f>IF(AH101="Yes due to Product Mix change or Operating Leverage",10,IF(AH101="Yes, these are peak margins",-5,IF(AH101="No",5,0)))</f>
        <v/>
      </c>
      <c r="AJ101" s="30" t="inlineStr">
        <is>
          <t>Stable</t>
        </is>
      </c>
      <c r="AK101" s="30">
        <f>IF(AJ101="Stable",10,0)</f>
        <v/>
      </c>
      <c r="AL101" s="30" t="inlineStr">
        <is>
          <t>Yes</t>
        </is>
      </c>
      <c r="AM101" s="30">
        <f>IF(AL101="Yes",10,0)</f>
        <v/>
      </c>
      <c r="AN101" s="30" t="inlineStr">
        <is>
          <t>B2B</t>
        </is>
      </c>
      <c r="AO101" s="30">
        <f>IF(AN101="B2C",10,IF(AN101="B2B",5,0))</f>
        <v/>
      </c>
      <c r="AP101" s="30" t="inlineStr">
        <is>
          <t>Yes</t>
        </is>
      </c>
      <c r="AQ101" s="30">
        <f>IF(AP101="Yes",10,0)</f>
        <v/>
      </c>
      <c r="AR101" s="30" t="inlineStr">
        <is>
          <t>Higher One Time, Lower Annuity</t>
        </is>
      </c>
      <c r="AS101" s="30">
        <f>IF(AR101="Fully Annuity",10,IF(AR101="Higher Annuity, Lower One Time",5,IF(AR101="Higher One Time, Lower Annuity",3,0)))</f>
        <v/>
      </c>
      <c r="AT101" s="30" t="inlineStr">
        <is>
          <t>Good</t>
        </is>
      </c>
      <c r="AU101" s="30">
        <f>IF(AT101="Good",10,0)</f>
        <v/>
      </c>
      <c r="AV101" s="30" t="inlineStr">
        <is>
          <t>Yes for more than 2 years</t>
        </is>
      </c>
      <c r="AW101" s="30">
        <f>IF(AV101="Yes for more than 2 years",10,IF(AV101="Yes only for next 1 to 2 years",5,0))</f>
        <v/>
      </c>
      <c r="AX101" s="30" t="inlineStr">
        <is>
          <t>20 to 40</t>
        </is>
      </c>
      <c r="AY101" s="30">
        <f>IF(AX101="Above 40",20,IF(AX101="20 to 40",10,IF(AX101="0 to 20",-5,0)))</f>
        <v/>
      </c>
      <c r="AZ101" s="30" t="inlineStr">
        <is>
          <t>Between 50 to 75</t>
        </is>
      </c>
      <c r="BA101" s="30">
        <f>IF(AZ101="Between 50 to 75",10,IF(AZ101="Above 75",0,0))</f>
        <v/>
      </c>
      <c r="BB101" s="30" t="inlineStr">
        <is>
          <t>Stage 2</t>
        </is>
      </c>
      <c r="BC101" s="30">
        <f>IF(BB101="Stage 2",20,IF(BB101="Stage 1",0,IF(BB101="Stage 3",5,IF(BB101="Stage 4",-5,0))))</f>
        <v/>
      </c>
      <c r="BD101" s="30" t="inlineStr">
        <is>
          <t>Positive Trend</t>
        </is>
      </c>
      <c r="BE101" s="30">
        <f>IF(BD101="Positive Trend",20,IF(BD101="Negative Trend",-10,0))</f>
        <v/>
      </c>
      <c r="BF101" s="30" t="inlineStr">
        <is>
          <t>Uptrend</t>
        </is>
      </c>
      <c r="BG101" s="30">
        <f>IF(BF101="Uptrend",10,IF(BF101="Sideways",5,0))</f>
        <v/>
      </c>
      <c r="BH101" s="30" t="inlineStr">
        <is>
          <t>Uptrend</t>
        </is>
      </c>
      <c r="BI101" s="30">
        <f>IF(BH101="Uptrend",10,IF(BH101="Sideways",5,0))</f>
        <v/>
      </c>
      <c r="BJ101" s="30" t="inlineStr">
        <is>
          <t>Close to 52 week high or retracement</t>
        </is>
      </c>
      <c r="BK101" s="30">
        <f>IF(BJ101="Overhead supply in last 2 years in last 2 years",-5,IF(BJ101="Close to 52 week high or retracement",5,IF(BJ101="Blue sky scenario",10,IF(BJ101="Long term Downtrend",-10,0))))</f>
        <v/>
      </c>
      <c r="BL101" s="30" t="inlineStr">
        <is>
          <t>Yes</t>
        </is>
      </c>
      <c r="BM101" s="30">
        <f>IF(BL101="Yes",10,0)</f>
        <v/>
      </c>
      <c r="BN101" s="30" t="inlineStr">
        <is>
          <t>More than 20%</t>
        </is>
      </c>
      <c r="BO101" s="30">
        <f>IF(BN101="More than 20%",10,IF(BN101="Between 12 to 20%",5,IF(BN101="Less than 12%",0,0)))</f>
        <v/>
      </c>
      <c r="BP101" s="30" t="inlineStr">
        <is>
          <t>No</t>
        </is>
      </c>
      <c r="BQ101" s="30">
        <f>IF(BP101="No",10,0)</f>
        <v/>
      </c>
      <c r="BR101" s="30" t="inlineStr">
        <is>
          <t>No</t>
        </is>
      </c>
      <c r="BS101" s="30">
        <f>IF(BR101="NO",5,0)</f>
        <v/>
      </c>
      <c r="BT101" s="30" t="inlineStr">
        <is>
          <t>Less than 1.5</t>
        </is>
      </c>
      <c r="BU101" s="30">
        <f>IF(BT101="Above 2",0,IF(BT101="Between 1.5 to 2",5,IF(BT101="Less than 1.5",10,0)))</f>
        <v/>
      </c>
      <c r="BV101" s="30" t="inlineStr">
        <is>
          <t>Above 70%</t>
        </is>
      </c>
      <c r="BW101" s="30">
        <f>IF(BV101="Above 70%",10,IF(BV101="Between 50% to 70%",5,IF(BV101="Less than 50%",0,IF(BV101="Negative",-10,IF(BV101="Less than 50% and Borrowings are increasing",-5,0)))))</f>
        <v/>
      </c>
      <c r="BX101" s="30" t="inlineStr">
        <is>
          <t>Less than 0.7</t>
        </is>
      </c>
      <c r="BY101" s="30">
        <f>IF(BX101="More than 1.2",-10,IF(BX101="Between 0.7 to 1.2",0,IF(BX101="Less than 0.7",10,0)))</f>
        <v/>
      </c>
      <c r="BZ101" s="30" t="inlineStr">
        <is>
          <t>No</t>
        </is>
      </c>
      <c r="CA101" s="30">
        <f>IF(BZ101="Yes",-10,0)</f>
        <v/>
      </c>
      <c r="CB101" s="30" t="inlineStr">
        <is>
          <t>Less than 15%</t>
        </is>
      </c>
      <c r="CC101" s="30">
        <f>IF(CB101="More than 15%",-10,IF(CB101="Less than 15%",10,0))</f>
        <v/>
      </c>
      <c r="CD101" s="30" t="inlineStr">
        <is>
          <t>No</t>
        </is>
      </c>
      <c r="CE101" s="30">
        <f>IF(CD101="Yes, more than 10%",-10,IF(CD101="No",10,0))</f>
        <v/>
      </c>
    </row>
    <row r="102">
      <c r="A102" s="30">
        <f>IF(B102=0,"",RANK(B102,$B$2:$B$331,0))</f>
        <v/>
      </c>
      <c r="B102" s="31">
        <f>SUM(N102,Y102,AA102,AC102,AE102,AG102,AI102,AK102,AM102,AO102,AQ102,AS102,AU102,AW102,AY102,BA102,BC102,BE102,BG102,BI102,BK102,BM102,BO102,BQ102,BS102,BU102,BW102,BY102,CA102,CC102,CE102)</f>
        <v/>
      </c>
      <c r="C102" s="30" t="inlineStr">
        <is>
          <t>RACLGEAR</t>
        </is>
      </c>
      <c r="D102" s="30" t="inlineStr">
        <is>
          <t>RACL Geartech Ltd</t>
        </is>
      </c>
      <c r="E102" s="30" t="inlineStr">
        <is>
          <t>auto</t>
        </is>
      </c>
      <c r="F102" s="30" t="inlineStr">
        <is>
          <t>auto ancillaries</t>
        </is>
      </c>
      <c r="G102" s="30" t="inlineStr">
        <is>
          <t>smallcap</t>
        </is>
      </c>
      <c r="H102" s="31" t="n">
        <v>1926.05</v>
      </c>
      <c r="I102" s="31" t="n">
        <v>1588.2</v>
      </c>
      <c r="J102" s="31" t="n">
        <v>-2.8</v>
      </c>
      <c r="K102" s="31" t="n">
        <v>35327</v>
      </c>
      <c r="L102" s="30" t="n">
        <v>54</v>
      </c>
      <c r="M102" s="30" t="inlineStr">
        <is>
          <t>Outperforming</t>
        </is>
      </c>
      <c r="N102" s="31">
        <f>IF(M102="Underperforming",-5,IF(L102&gt;=95,15,IF(L102&gt;=90,10,IF(L102&gt;=80,5,0))))</f>
        <v/>
      </c>
      <c r="O102" s="31" t="n">
        <v>62.95</v>
      </c>
      <c r="P102" s="31" t="n">
        <v>50.57</v>
      </c>
      <c r="Q102" s="31" t="n">
        <v>1127.96</v>
      </c>
      <c r="R102" s="30" t="inlineStr">
        <is>
          <t>Near 52W High Breakout</t>
        </is>
      </c>
      <c r="S102" s="30" t="inlineStr">
        <is>
          <t>Nifty Auto</t>
        </is>
      </c>
      <c r="T102" s="31" t="n">
        <v>15.81</v>
      </c>
      <c r="U102" s="31" t="n">
        <v>58.83</v>
      </c>
      <c r="V102" s="31" t="n">
        <v>37.15</v>
      </c>
      <c r="W102" s="31" t="n">
        <v>16.91</v>
      </c>
      <c r="X102" s="30" t="inlineStr">
        <is>
          <t>Growing Industry</t>
        </is>
      </c>
      <c r="Y102" s="30">
        <f>IF(X102="Growing Industry",10,IF(X102="Cyclical in an Upturn",5,0))</f>
        <v/>
      </c>
      <c r="Z102" s="30" t="inlineStr">
        <is>
          <t>Too Many Players with High ROCE</t>
        </is>
      </c>
      <c r="AA102" s="30">
        <f>IF(Z102="Monopoly",10,IF(Z102="Oligopoly",5,IF(Z102="Duopoly that cooperate",10,IF(Z102="Duopoly that compete",5,IF(Z102="Too many players with High ROCE",5,0)))))</f>
        <v/>
      </c>
      <c r="AB102" s="30" t="inlineStr">
        <is>
          <t>No</t>
        </is>
      </c>
      <c r="AC102" s="30">
        <f>IF(AB102="No",5,0)</f>
        <v/>
      </c>
      <c r="AD102" s="30" t="inlineStr">
        <is>
          <t>Tailwind</t>
        </is>
      </c>
      <c r="AE102" s="30">
        <f>IF(AD102="Tailwind",10,0)</f>
        <v/>
      </c>
      <c r="AF102" s="30" t="inlineStr">
        <is>
          <t>Structural (10 Years Consistency)</t>
        </is>
      </c>
      <c r="AG102" s="30">
        <f>IF(AF102="Structural (10 Years Consistency)",10,IF(AF102="Shallow Cyclical (2 to 3 years growth)",5,0))</f>
        <v/>
      </c>
      <c r="AH102" s="30" t="inlineStr">
        <is>
          <t>No</t>
        </is>
      </c>
      <c r="AI102" s="30">
        <f>IF(AH102="Yes due to Product Mix change or Operating Leverage",10,IF(AH102="Yes, these are peak margins",-5,IF(AH102="No",5,0)))</f>
        <v/>
      </c>
      <c r="AJ102" s="30" t="inlineStr">
        <is>
          <t>Stable</t>
        </is>
      </c>
      <c r="AK102" s="30">
        <f>IF(AJ102="Stable",10,0)</f>
        <v/>
      </c>
      <c r="AL102" s="30" t="inlineStr">
        <is>
          <t>Yes</t>
        </is>
      </c>
      <c r="AM102" s="30">
        <f>IF(AL102="Yes",10,0)</f>
        <v/>
      </c>
      <c r="AN102" s="30" t="inlineStr">
        <is>
          <t>B2B</t>
        </is>
      </c>
      <c r="AO102" s="30">
        <f>IF(AN102="B2C",10,IF(AN102="B2B",5,0))</f>
        <v/>
      </c>
      <c r="AP102" s="30" t="inlineStr">
        <is>
          <t>Yes</t>
        </is>
      </c>
      <c r="AQ102" s="30">
        <f>IF(AP102="Yes",10,0)</f>
        <v/>
      </c>
      <c r="AR102" s="30" t="inlineStr">
        <is>
          <t>Higher One Time, Lower Annuity</t>
        </is>
      </c>
      <c r="AS102" s="30">
        <f>IF(AR102="Fully Annuity",10,IF(AR102="Higher Annuity, Lower One Time",5,IF(AR102="Higher One Time, Lower Annuity",3,0)))</f>
        <v/>
      </c>
      <c r="AT102" s="30" t="inlineStr">
        <is>
          <t>Good</t>
        </is>
      </c>
      <c r="AU102" s="30">
        <f>IF(AT102="Good",10,0)</f>
        <v/>
      </c>
      <c r="AV102" s="30" t="inlineStr">
        <is>
          <t>Yes for more than 2 years</t>
        </is>
      </c>
      <c r="AW102" s="30">
        <f>IF(AV102="Yes for more than 2 years",10,IF(AV102="Yes only for next 1 to 2 years",5,0))</f>
        <v/>
      </c>
      <c r="AX102" s="30" t="inlineStr">
        <is>
          <t>Above 40</t>
        </is>
      </c>
      <c r="AY102" s="30">
        <f>IF(AX102="Above 40",20,IF(AX102="20 to 40",10,IF(AX102="0 to 20",-5,0)))</f>
        <v/>
      </c>
      <c r="AZ102" s="30" t="inlineStr">
        <is>
          <t>Between 50 to 75</t>
        </is>
      </c>
      <c r="BA102" s="30">
        <f>IF(AZ102="Between 50 to 75",10,IF(AZ102="Above 75",0,0))</f>
        <v/>
      </c>
      <c r="BB102" s="30" t="inlineStr">
        <is>
          <t>Stage 2</t>
        </is>
      </c>
      <c r="BC102" s="30">
        <f>IF(BB102="Stage 2",20,IF(BB102="Stage 1",0,IF(BB102="Stage 3",5,IF(BB102="Stage 4",-5,0))))</f>
        <v/>
      </c>
      <c r="BD102" s="30" t="inlineStr">
        <is>
          <t>Positive Trend</t>
        </is>
      </c>
      <c r="BE102" s="30">
        <f>IF(BD102="Positive Trend",20,IF(BD102="Negative Trend",-10,0))</f>
        <v/>
      </c>
      <c r="BF102" s="30" t="inlineStr">
        <is>
          <t>Uptrend</t>
        </is>
      </c>
      <c r="BG102" s="30">
        <f>IF(BF102="Uptrend",10,IF(BF102="Sideways",5,0))</f>
        <v/>
      </c>
      <c r="BH102" s="30" t="inlineStr">
        <is>
          <t>Uptrend</t>
        </is>
      </c>
      <c r="BI102" s="30">
        <f>IF(BH102="Uptrend",10,IF(BH102="Sideways",5,0))</f>
        <v/>
      </c>
      <c r="BJ102" s="30" t="inlineStr">
        <is>
          <t>Blue sky scenario</t>
        </is>
      </c>
      <c r="BK102" s="30">
        <f>IF(BJ102="Overhead supply in last 2 years in last 2 years",-5,IF(BJ102="Close to 52 week high or retracement",5,IF(BJ102="Blue sky scenario",10,IF(BJ102="Long term Downtrend",-10,0))))</f>
        <v/>
      </c>
      <c r="BL102" s="30" t="inlineStr">
        <is>
          <t>Yes</t>
        </is>
      </c>
      <c r="BM102" s="30">
        <f>IF(BL102="Yes",10,0)</f>
        <v/>
      </c>
      <c r="BN102" s="30" t="inlineStr">
        <is>
          <t>Less than 12%</t>
        </is>
      </c>
      <c r="BO102" s="30">
        <f>IF(BN102="More than 20%",10,IF(BN102="Between 12 to 20%",5,IF(BN102="Less than 12%",0,0)))</f>
        <v/>
      </c>
      <c r="BP102" s="30" t="inlineStr">
        <is>
          <t>No</t>
        </is>
      </c>
      <c r="BQ102" s="30">
        <f>IF(BP102="No",10,0)</f>
        <v/>
      </c>
      <c r="BR102" s="30" t="inlineStr">
        <is>
          <t>No</t>
        </is>
      </c>
      <c r="BS102" s="30">
        <f>IF(BR102="NO",5,0)</f>
        <v/>
      </c>
      <c r="BT102" s="30" t="inlineStr">
        <is>
          <t>Above 2</t>
        </is>
      </c>
      <c r="BU102" s="30">
        <f>IF(BT102="Above 2",0,IF(BT102="Between 1.5 to 2",5,IF(BT102="Less than 1.5",10,0)))</f>
        <v/>
      </c>
      <c r="BV102" s="30" t="inlineStr">
        <is>
          <t>Above 70%</t>
        </is>
      </c>
      <c r="BW102" s="30">
        <f>IF(BV102="Above 70%",10,IF(BV102="Between 50% to 70%",5,IF(BV102="Less than 50%",0,IF(BV102="Negative",-10,IF(BV102="Less than 50% and Borrowings are increasing",-5,0)))))</f>
        <v/>
      </c>
      <c r="BX102" s="30" t="inlineStr">
        <is>
          <t>Less than 0.7</t>
        </is>
      </c>
      <c r="BY102" s="30">
        <f>IF(BX102="More than 1.2",-10,IF(BX102="Between 0.7 to 1.2",0,IF(BX102="Less than 0.7",10,0)))</f>
        <v/>
      </c>
      <c r="BZ102" s="30" t="inlineStr">
        <is>
          <t>No</t>
        </is>
      </c>
      <c r="CA102" s="30">
        <f>IF(BZ102="Yes",-10,0)</f>
        <v/>
      </c>
      <c r="CB102" s="30" t="inlineStr">
        <is>
          <t>Less than 15%</t>
        </is>
      </c>
      <c r="CC102" s="30">
        <f>IF(CB102="More than 15%",-10,IF(CB102="Less than 15%",10,0))</f>
        <v/>
      </c>
      <c r="CD102" s="30" t="inlineStr">
        <is>
          <t>No</t>
        </is>
      </c>
      <c r="CE102" s="30">
        <f>IF(CD102="Yes, more than 10%",-10,IF(CD102="No",10,0))</f>
        <v/>
      </c>
    </row>
    <row r="103">
      <c r="A103" s="30">
        <f>IF(B103=0,"",RANK(B103,$B$2:$B$331,0))</f>
        <v/>
      </c>
      <c r="B103" s="31">
        <f>SUM(N103,Y103,AA103,AC103,AE103,AG103,AI103,AK103,AM103,AO103,AQ103,AS103,AU103,AW103,AY103,BA103,BC103,BE103,BG103,BI103,BK103,BM103,BO103,BQ103,BS103,BU103,BW103,BY103,CA103,CC103,CE103)</f>
        <v/>
      </c>
      <c r="C103" s="32" t="inlineStr">
        <is>
          <t>RADHIKAJWE</t>
        </is>
      </c>
      <c r="D103" s="32" t="inlineStr">
        <is>
          <t>Radhika Jeweltech Ltd</t>
        </is>
      </c>
      <c r="E103" s="30" t="inlineStr">
        <is>
          <t>consumer discretionary</t>
        </is>
      </c>
      <c r="F103" s="30" t="inlineStr">
        <is>
          <t>diamond cutting / jewellery</t>
        </is>
      </c>
      <c r="G103" s="30" t="inlineStr">
        <is>
          <t>smallcap</t>
        </is>
      </c>
      <c r="H103" s="31" t="n">
        <v>1028.25</v>
      </c>
      <c r="I103" s="31" t="n">
        <v>84.15000000000001</v>
      </c>
      <c r="J103" s="31" t="n">
        <v>-3.43</v>
      </c>
      <c r="K103" s="31" t="n">
        <v>2401430</v>
      </c>
      <c r="L103" s="30" t="n">
        <v>35</v>
      </c>
      <c r="M103" s="30" t="inlineStr">
        <is>
          <t>Underperforming</t>
        </is>
      </c>
      <c r="N103" s="31">
        <f>IF(M103="Underperforming",-5,IF(L103&gt;=95,15,IF(L103&gt;=90,10,IF(L103&gt;=80,5,0))))</f>
        <v/>
      </c>
      <c r="O103" s="31" t="n">
        <v>68.22</v>
      </c>
      <c r="P103" s="31" t="n">
        <v>24.72</v>
      </c>
      <c r="Q103" s="31" t="n">
        <v>60.41</v>
      </c>
      <c r="R103" s="30" t="inlineStr">
        <is>
          <t>Volume Spike / Accumulation</t>
        </is>
      </c>
      <c r="S103" s="30" t="inlineStr">
        <is>
          <t>Nifty 50</t>
        </is>
      </c>
      <c r="T103" s="31" t="n">
        <v>-6.52</v>
      </c>
      <c r="U103" s="31" t="n">
        <v>-8.789999999999999</v>
      </c>
      <c r="V103" s="31" t="n">
        <v>-2.43</v>
      </c>
      <c r="W103" s="31" t="n">
        <v>10.74</v>
      </c>
      <c r="X103" s="30" t="inlineStr">
        <is>
          <t>Growing Industry</t>
        </is>
      </c>
      <c r="Y103" s="30">
        <f>IF(X103="Growing Industry",10,IF(X103="Cyclical in an Upturn",5,0))</f>
        <v/>
      </c>
      <c r="Z103" s="30" t="inlineStr">
        <is>
          <t>Too Many Players with High ROCE</t>
        </is>
      </c>
      <c r="AA103" s="30">
        <f>IF(Z103="Monopoly",10,IF(Z103="Oligopoly",5,IF(Z103="Duopoly that cooperate",10,IF(Z103="Duopoly that compete",5,IF(Z103="Too many players with High ROCE",5,0)))))</f>
        <v/>
      </c>
      <c r="AB103" s="30" t="inlineStr">
        <is>
          <t>No</t>
        </is>
      </c>
      <c r="AC103" s="30">
        <f>IF(AB103="No",5,0)</f>
        <v/>
      </c>
      <c r="AD103" s="30" t="inlineStr">
        <is>
          <t>Tailwind</t>
        </is>
      </c>
      <c r="AE103" s="30">
        <f>IF(AD103="Tailwind",10,0)</f>
        <v/>
      </c>
      <c r="AF103" s="30" t="inlineStr">
        <is>
          <t>Structural (10 Years Consistency)</t>
        </is>
      </c>
      <c r="AG103" s="30">
        <f>IF(AF103="Structural (10 Years Consistency)",10,IF(AF103="Shallow Cyclical (2 to 3 years growth)",5,0))</f>
        <v/>
      </c>
      <c r="AH103" s="30" t="inlineStr">
        <is>
          <t>No</t>
        </is>
      </c>
      <c r="AI103" s="30">
        <f>IF(AH103="Yes due to Product Mix change or Operating Leverage",10,IF(AH103="Yes, these are peak margins",-5,IF(AH103="No",5,0)))</f>
        <v/>
      </c>
      <c r="AJ103" s="30" t="inlineStr">
        <is>
          <t>Stable</t>
        </is>
      </c>
      <c r="AK103" s="30">
        <f>IF(AJ103="Stable",10,0)</f>
        <v/>
      </c>
      <c r="AL103" s="30" t="inlineStr">
        <is>
          <t>Yes</t>
        </is>
      </c>
      <c r="AM103" s="30">
        <f>IF(AL103="Yes",10,0)</f>
        <v/>
      </c>
      <c r="AN103" s="30" t="inlineStr">
        <is>
          <t>B2B</t>
        </is>
      </c>
      <c r="AO103" s="30">
        <f>IF(AN103="B2C",10,IF(AN103="B2B",5,0))</f>
        <v/>
      </c>
      <c r="AP103" s="30" t="inlineStr">
        <is>
          <t>Yes</t>
        </is>
      </c>
      <c r="AQ103" s="30">
        <f>IF(AP103="Yes",10,0)</f>
        <v/>
      </c>
      <c r="AR103" s="30" t="inlineStr">
        <is>
          <t>Higher One Time, Lower Annuity</t>
        </is>
      </c>
      <c r="AS103" s="30">
        <f>IF(AR103="Fully Annuity",10,IF(AR103="Higher Annuity, Lower One Time",5,IF(AR103="Higher One Time, Lower Annuity",3,0)))</f>
        <v/>
      </c>
      <c r="AT103" s="30" t="inlineStr">
        <is>
          <t>Good</t>
        </is>
      </c>
      <c r="AU103" s="30">
        <f>IF(AT103="Good",10,0)</f>
        <v/>
      </c>
      <c r="AV103" s="30" t="inlineStr">
        <is>
          <t>Yes for more than 2 years</t>
        </is>
      </c>
      <c r="AW103" s="30">
        <f>IF(AV103="Yes for more than 2 years",10,IF(AV103="Yes only for next 1 to 2 years",5,0))</f>
        <v/>
      </c>
      <c r="AX103" s="30" t="inlineStr">
        <is>
          <t>20 to 40</t>
        </is>
      </c>
      <c r="AY103" s="30">
        <f>IF(AX103="Above 40",20,IF(AX103="20 to 40",10,IF(AX103="0 to 20",-5,0)))</f>
        <v/>
      </c>
      <c r="AZ103" s="30" t="inlineStr">
        <is>
          <t>Between 50 to 75</t>
        </is>
      </c>
      <c r="BA103" s="30">
        <f>IF(AZ103="Between 50 to 75",10,IF(AZ103="Above 75",0,0))</f>
        <v/>
      </c>
      <c r="BB103" s="30" t="inlineStr">
        <is>
          <t>Stage 2</t>
        </is>
      </c>
      <c r="BC103" s="30">
        <f>IF(BB103="Stage 2",20,IF(BB103="Stage 1",0,IF(BB103="Stage 3",5,IF(BB103="Stage 4",-5,0))))</f>
        <v/>
      </c>
      <c r="BD103" s="30" t="inlineStr">
        <is>
          <t>Positive Trend</t>
        </is>
      </c>
      <c r="BE103" s="30">
        <f>IF(BD103="Positive Trend",20,IF(BD103="Negative Trend",-10,0))</f>
        <v/>
      </c>
      <c r="BF103" s="30" t="inlineStr">
        <is>
          <t>Uptrend</t>
        </is>
      </c>
      <c r="BG103" s="30">
        <f>IF(BF103="Uptrend",10,IF(BF103="Sideways",5,0))</f>
        <v/>
      </c>
      <c r="BH103" s="30" t="inlineStr">
        <is>
          <t>Uptrend</t>
        </is>
      </c>
      <c r="BI103" s="30">
        <f>IF(BH103="Uptrend",10,IF(BH103="Sideways",5,0))</f>
        <v/>
      </c>
      <c r="BJ103" s="30" t="inlineStr">
        <is>
          <t>Close to 52 week high or retracement</t>
        </is>
      </c>
      <c r="BK103" s="30">
        <f>IF(BJ103="Overhead supply in last 2 years in last 2 years",-5,IF(BJ103="Close to 52 week high or retracement",5,IF(BJ103="Blue sky scenario",10,IF(BJ103="Long term Downtrend",-10,0))))</f>
        <v/>
      </c>
      <c r="BL103" s="30" t="inlineStr">
        <is>
          <t>Yes</t>
        </is>
      </c>
      <c r="BM103" s="30">
        <f>IF(BL103="Yes",10,0)</f>
        <v/>
      </c>
      <c r="BN103" s="30" t="inlineStr">
        <is>
          <t>More than 20%</t>
        </is>
      </c>
      <c r="BO103" s="30">
        <f>IF(BN103="More than 20%",10,IF(BN103="Between 12 to 20%",5,IF(BN103="Less than 12%",0,0)))</f>
        <v/>
      </c>
      <c r="BP103" s="30" t="inlineStr">
        <is>
          <t>No</t>
        </is>
      </c>
      <c r="BQ103" s="30">
        <f>IF(BP103="No",10,0)</f>
        <v/>
      </c>
      <c r="BR103" s="30" t="inlineStr">
        <is>
          <t>No</t>
        </is>
      </c>
      <c r="BS103" s="30">
        <f>IF(BR103="NO",5,0)</f>
        <v/>
      </c>
      <c r="BT103" s="30" t="inlineStr">
        <is>
          <t>Less than 1.5</t>
        </is>
      </c>
      <c r="BU103" s="30">
        <f>IF(BT103="Above 2",0,IF(BT103="Between 1.5 to 2",5,IF(BT103="Less than 1.5",10,0)))</f>
        <v/>
      </c>
      <c r="BV103" s="30" t="inlineStr">
        <is>
          <t>Above 70%</t>
        </is>
      </c>
      <c r="BW103" s="30">
        <f>IF(BV103="Above 70%",10,IF(BV103="Between 50% to 70%",5,IF(BV103="Less than 50%",0,IF(BV103="Negative",-10,IF(BV103="Less than 50% and Borrowings are increasing",-5,0)))))</f>
        <v/>
      </c>
      <c r="BX103" s="30" t="inlineStr">
        <is>
          <t>Less than 0.7</t>
        </is>
      </c>
      <c r="BY103" s="30">
        <f>IF(BX103="More than 1.2",-10,IF(BX103="Between 0.7 to 1.2",0,IF(BX103="Less than 0.7",10,0)))</f>
        <v/>
      </c>
      <c r="BZ103" s="30" t="inlineStr">
        <is>
          <t>No</t>
        </is>
      </c>
      <c r="CA103" s="30">
        <f>IF(BZ103="Yes",-10,0)</f>
        <v/>
      </c>
      <c r="CB103" s="30" t="inlineStr">
        <is>
          <t>Less than 15%</t>
        </is>
      </c>
      <c r="CC103" s="30">
        <f>IF(CB103="More than 15%",-10,IF(CB103="Less than 15%",10,0))</f>
        <v/>
      </c>
      <c r="CD103" s="30" t="inlineStr">
        <is>
          <t>No</t>
        </is>
      </c>
      <c r="CE103" s="30">
        <f>IF(CD103="Yes, more than 10%",-10,IF(CD103="No",10,0))</f>
        <v/>
      </c>
    </row>
    <row r="104">
      <c r="A104" s="30">
        <f>IF(B104=0,"",RANK(B104,$B$2:$B$331,0))</f>
        <v/>
      </c>
      <c r="B104" s="31">
        <f>SUM(N104,Y104,AA104,AC104,AE104,AG104,AI104,AK104,AM104,AO104,AQ104,AS104,AU104,AW104,AY104,BA104,BC104,BE104,BG104,BI104,BK104,BM104,BO104,BQ104,BS104,BU104,BW104,BY104,CA104,CC104,CE104)</f>
        <v/>
      </c>
      <c r="C104" s="30" t="inlineStr">
        <is>
          <t>UNIVPHOTO</t>
        </is>
      </c>
      <c r="D104" s="30" t="inlineStr">
        <is>
          <t>Universus Photo Imagings Ltd</t>
        </is>
      </c>
      <c r="E104" s="30" t="inlineStr">
        <is>
          <t>consumer discretionary</t>
        </is>
      </c>
      <c r="F104" s="30" t="inlineStr">
        <is>
          <t>photographic and allied products</t>
        </is>
      </c>
      <c r="G104" s="30" t="inlineStr">
        <is>
          <t>smallcap</t>
        </is>
      </c>
      <c r="H104" s="31" t="n">
        <v>619.85</v>
      </c>
      <c r="I104" s="31" t="n">
        <v>540.5</v>
      </c>
      <c r="J104" s="31" t="n">
        <v>-4.55</v>
      </c>
      <c r="K104" s="31" t="n">
        <v>1614</v>
      </c>
      <c r="L104" s="30" t="n">
        <v>86</v>
      </c>
      <c r="M104" s="30" t="inlineStr">
        <is>
          <t>Outperforming</t>
        </is>
      </c>
      <c r="N104" s="31">
        <f>IF(M104="Underperforming",-5,IF(L104&gt;=95,15,IF(L104&gt;=90,10,IF(L104&gt;=80,5,0))))</f>
        <v/>
      </c>
      <c r="O104" s="31" t="n">
        <v>68.73</v>
      </c>
      <c r="P104" s="31" t="n">
        <v>18.65</v>
      </c>
      <c r="Q104" s="31" t="n">
        <v>398.53</v>
      </c>
      <c r="R104" s="30" t="inlineStr">
        <is>
          <t>Volume Spike &amp; Near 52W High Breakout</t>
        </is>
      </c>
      <c r="S104" s="30" t="inlineStr">
        <is>
          <t>Nifty 50</t>
        </is>
      </c>
      <c r="T104" s="31" t="n">
        <v>-6.52</v>
      </c>
      <c r="U104" s="31" t="n">
        <v>106.69</v>
      </c>
      <c r="V104" s="31" t="n">
        <v>121.1</v>
      </c>
      <c r="W104" s="31" t="n">
        <v>34.78</v>
      </c>
      <c r="X104" s="30" t="inlineStr">
        <is>
          <t>Growing Industry</t>
        </is>
      </c>
      <c r="Y104" s="30">
        <f>IF(X104="Growing Industry",10,IF(X104="Cyclical in an Upturn",5,0))</f>
        <v/>
      </c>
      <c r="Z104" s="30" t="inlineStr">
        <is>
          <t>Too Many Players with High ROCE</t>
        </is>
      </c>
      <c r="AA104" s="30">
        <f>IF(Z104="Monopoly",10,IF(Z104="Oligopoly",5,IF(Z104="Duopoly that cooperate",10,IF(Z104="Duopoly that compete",5,IF(Z104="Too many players with High ROCE",5,0)))))</f>
        <v/>
      </c>
      <c r="AB104" s="30" t="inlineStr">
        <is>
          <t>No</t>
        </is>
      </c>
      <c r="AC104" s="30">
        <f>IF(AB104="No",5,0)</f>
        <v/>
      </c>
      <c r="AD104" s="30" t="inlineStr">
        <is>
          <t>Tailwind</t>
        </is>
      </c>
      <c r="AE104" s="30">
        <f>IF(AD104="Tailwind",10,0)</f>
        <v/>
      </c>
      <c r="AF104" s="30" t="inlineStr">
        <is>
          <t>Structural (10 Years Consistency)</t>
        </is>
      </c>
      <c r="AG104" s="30">
        <f>IF(AF104="Structural (10 Years Consistency)",10,IF(AF104="Shallow Cyclical (2 to 3 years growth)",5,0))</f>
        <v/>
      </c>
      <c r="AH104" s="30" t="inlineStr">
        <is>
          <t>No</t>
        </is>
      </c>
      <c r="AI104" s="30">
        <f>IF(AH104="Yes due to Product Mix change or Operating Leverage",10,IF(AH104="Yes, these are peak margins",-5,IF(AH104="No",5,0)))</f>
        <v/>
      </c>
      <c r="AJ104" s="30" t="inlineStr">
        <is>
          <t>Stable</t>
        </is>
      </c>
      <c r="AK104" s="30">
        <f>IF(AJ104="Stable",10,0)</f>
        <v/>
      </c>
      <c r="AL104" s="30" t="inlineStr">
        <is>
          <t>Yes</t>
        </is>
      </c>
      <c r="AM104" s="30">
        <f>IF(AL104="Yes",10,0)</f>
        <v/>
      </c>
      <c r="AN104" s="30" t="inlineStr">
        <is>
          <t>B2B</t>
        </is>
      </c>
      <c r="AO104" s="30">
        <f>IF(AN104="B2C",10,IF(AN104="B2B",5,0))</f>
        <v/>
      </c>
      <c r="AP104" s="30" t="inlineStr">
        <is>
          <t>Yes</t>
        </is>
      </c>
      <c r="AQ104" s="30">
        <f>IF(AP104="Yes",10,0)</f>
        <v/>
      </c>
      <c r="AR104" s="30" t="inlineStr">
        <is>
          <t>Higher One Time, Lower Annuity</t>
        </is>
      </c>
      <c r="AS104" s="30">
        <f>IF(AR104="Fully Annuity",10,IF(AR104="Higher Annuity, Lower One Time",5,IF(AR104="Higher One Time, Lower Annuity",3,0)))</f>
        <v/>
      </c>
      <c r="AT104" s="30" t="inlineStr">
        <is>
          <t>Good</t>
        </is>
      </c>
      <c r="AU104" s="30">
        <f>IF(AT104="Good",10,0)</f>
        <v/>
      </c>
      <c r="AV104" s="30" t="inlineStr">
        <is>
          <t>Yes for more than 2 years</t>
        </is>
      </c>
      <c r="AW104" s="30">
        <f>IF(AV104="Yes for more than 2 years",10,IF(AV104="Yes only for next 1 to 2 years",5,0))</f>
        <v/>
      </c>
      <c r="AX104" s="30" t="inlineStr">
        <is>
          <t>0 to 20</t>
        </is>
      </c>
      <c r="AY104" s="30">
        <f>IF(AX104="Above 40",20,IF(AX104="20 to 40",10,IF(AX104="0 to 20",-5,0)))</f>
        <v/>
      </c>
      <c r="AZ104" s="30" t="inlineStr">
        <is>
          <t>Between 50 to 75</t>
        </is>
      </c>
      <c r="BA104" s="30">
        <f>IF(AZ104="Between 50 to 75",10,IF(AZ104="Above 75",0,0))</f>
        <v/>
      </c>
      <c r="BB104" s="30" t="inlineStr">
        <is>
          <t>Stage 2</t>
        </is>
      </c>
      <c r="BC104" s="30">
        <f>IF(BB104="Stage 2",20,IF(BB104="Stage 1",0,IF(BB104="Stage 3",5,IF(BB104="Stage 4",-5,0))))</f>
        <v/>
      </c>
      <c r="BD104" s="30" t="inlineStr">
        <is>
          <t>Positive Trend</t>
        </is>
      </c>
      <c r="BE104" s="30">
        <f>IF(BD104="Positive Trend",20,IF(BD104="Negative Trend",-10,0))</f>
        <v/>
      </c>
      <c r="BF104" s="30" t="inlineStr">
        <is>
          <t>Uptrend</t>
        </is>
      </c>
      <c r="BG104" s="30">
        <f>IF(BF104="Uptrend",10,IF(BF104="Sideways",5,0))</f>
        <v/>
      </c>
      <c r="BH104" s="30" t="inlineStr">
        <is>
          <t>Uptrend</t>
        </is>
      </c>
      <c r="BI104" s="30">
        <f>IF(BH104="Uptrend",10,IF(BH104="Sideways",5,0))</f>
        <v/>
      </c>
      <c r="BJ104" s="30" t="inlineStr">
        <is>
          <t>Blue sky scenario</t>
        </is>
      </c>
      <c r="BK104" s="30">
        <f>IF(BJ104="Overhead supply in last 2 years in last 2 years",-5,IF(BJ104="Close to 52 week high or retracement",5,IF(BJ104="Blue sky scenario",10,IF(BJ104="Long term Downtrend",-10,0))))</f>
        <v/>
      </c>
      <c r="BL104" s="30" t="inlineStr">
        <is>
          <t>Yes</t>
        </is>
      </c>
      <c r="BM104" s="30">
        <f>IF(BL104="Yes",10,0)</f>
        <v/>
      </c>
      <c r="BN104" s="30" t="inlineStr">
        <is>
          <t>More than 20%</t>
        </is>
      </c>
      <c r="BO104" s="30">
        <f>IF(BN104="More than 20%",10,IF(BN104="Between 12 to 20%",5,IF(BN104="Less than 12%",0,0)))</f>
        <v/>
      </c>
      <c r="BP104" s="30" t="inlineStr">
        <is>
          <t>No</t>
        </is>
      </c>
      <c r="BQ104" s="30">
        <f>IF(BP104="No",10,0)</f>
        <v/>
      </c>
      <c r="BR104" s="30" t="inlineStr">
        <is>
          <t>No</t>
        </is>
      </c>
      <c r="BS104" s="30">
        <f>IF(BR104="NO",5,0)</f>
        <v/>
      </c>
      <c r="BT104" s="30" t="inlineStr">
        <is>
          <t>Less than 1.5</t>
        </is>
      </c>
      <c r="BU104" s="30">
        <f>IF(BT104="Above 2",0,IF(BT104="Between 1.5 to 2",5,IF(BT104="Less than 1.5",10,0)))</f>
        <v/>
      </c>
      <c r="BV104" s="30" t="inlineStr">
        <is>
          <t>Above 70%</t>
        </is>
      </c>
      <c r="BW104" s="30">
        <f>IF(BV104="Above 70%",10,IF(BV104="Between 50% to 70%",5,IF(BV104="Less than 50%",0,IF(BV104="Negative",-10,IF(BV104="Less than 50% and Borrowings are increasing",-5,0)))))</f>
        <v/>
      </c>
      <c r="BX104" s="30" t="inlineStr">
        <is>
          <t>Less than 0.7</t>
        </is>
      </c>
      <c r="BY104" s="30">
        <f>IF(BX104="More than 1.2",-10,IF(BX104="Between 0.7 to 1.2",0,IF(BX104="Less than 0.7",10,0)))</f>
        <v/>
      </c>
      <c r="BZ104" s="30" t="inlineStr">
        <is>
          <t>No</t>
        </is>
      </c>
      <c r="CA104" s="30">
        <f>IF(BZ104="Yes",-10,0)</f>
        <v/>
      </c>
      <c r="CB104" s="30" t="inlineStr">
        <is>
          <t>Less than 15%</t>
        </is>
      </c>
      <c r="CC104" s="30">
        <f>IF(CB104="More than 15%",-10,IF(CB104="Less than 15%",10,0))</f>
        <v/>
      </c>
      <c r="CD104" s="30" t="inlineStr">
        <is>
          <t>No</t>
        </is>
      </c>
      <c r="CE104" s="30">
        <f>IF(CD104="Yes, more than 10%",-10,IF(CD104="No",10,0))</f>
        <v/>
      </c>
    </row>
    <row r="105">
      <c r="A105" s="30">
        <f>IF(B105=0,"",RANK(B105,$B$2:$B$331,0))</f>
        <v/>
      </c>
      <c r="B105" s="31">
        <f>SUM(N105,Y105,AA105,AC105,AE105,AG105,AI105,AK105,AM105,AO105,AQ105,AS105,AU105,AW105,AY105,BA105,BC105,BE105,BG105,BI105,BK105,BM105,BO105,BQ105,BS105,BU105,BW105,BY105,CA105,CC105,CE105)</f>
        <v/>
      </c>
      <c r="C105" s="30" t="inlineStr">
        <is>
          <t>BHAGERIA</t>
        </is>
      </c>
      <c r="D105" s="30" t="inlineStr">
        <is>
          <t>Bhageria Industries Limited</t>
        </is>
      </c>
      <c r="E105" s="30" t="inlineStr">
        <is>
          <t>chemicals</t>
        </is>
      </c>
      <c r="F105" s="30" t="inlineStr">
        <is>
          <t>dyes and pigments</t>
        </is>
      </c>
      <c r="G105" s="30" t="inlineStr">
        <is>
          <t>smallcap</t>
        </is>
      </c>
      <c r="H105" s="31" t="n">
        <v>1392.47</v>
      </c>
      <c r="I105" s="31" t="n">
        <v>303.1</v>
      </c>
      <c r="J105" s="31" t="n">
        <v>-5</v>
      </c>
      <c r="K105" s="31" t="n">
        <v>34751</v>
      </c>
      <c r="L105" s="30" t="n">
        <v>66</v>
      </c>
      <c r="M105" s="30" t="inlineStr">
        <is>
          <t>Outperforming</t>
        </is>
      </c>
      <c r="N105" s="31">
        <f>IF(M105="Underperforming",-5,IF(L105&gt;=95,15,IF(L105&gt;=90,10,IF(L105&gt;=80,5,0))))</f>
        <v/>
      </c>
      <c r="O105" s="31" t="n">
        <v>74.59</v>
      </c>
      <c r="P105" s="31" t="n">
        <v>36.9</v>
      </c>
      <c r="Q105" s="31" t="n">
        <v>228.78</v>
      </c>
      <c r="R105" s="30" t="inlineStr">
        <is>
          <t>Near 52W High Breakout</t>
        </is>
      </c>
      <c r="S105" s="30" t="inlineStr">
        <is>
          <t>Nifty IT</t>
        </is>
      </c>
      <c r="T105" s="31" t="n">
        <v>-19.99</v>
      </c>
      <c r="U105" s="31" t="n">
        <v>50.13</v>
      </c>
      <c r="V105" s="31" t="n">
        <v>87.65000000000001</v>
      </c>
      <c r="W105" s="31" t="n">
        <v>21.01</v>
      </c>
      <c r="X105" s="30" t="inlineStr">
        <is>
          <t>Growing Industry</t>
        </is>
      </c>
      <c r="Y105" s="30">
        <f>IF(X105="Growing Industry",10,IF(X105="Cyclical in an Upturn",5,0))</f>
        <v/>
      </c>
      <c r="Z105" s="30" t="inlineStr">
        <is>
          <t>Too Many Players with High ROCE</t>
        </is>
      </c>
      <c r="AA105" s="30">
        <f>IF(Z105="Monopoly",10,IF(Z105="Oligopoly",5,IF(Z105="Duopoly that cooperate",10,IF(Z105="Duopoly that compete",5,IF(Z105="Too many players with High ROCE",5,0)))))</f>
        <v/>
      </c>
      <c r="AB105" s="30" t="inlineStr">
        <is>
          <t>No</t>
        </is>
      </c>
      <c r="AC105" s="30">
        <f>IF(AB105="No",5,0)</f>
        <v/>
      </c>
      <c r="AD105" s="30" t="inlineStr">
        <is>
          <t>Tailwind</t>
        </is>
      </c>
      <c r="AE105" s="30">
        <f>IF(AD105="Tailwind",10,0)</f>
        <v/>
      </c>
      <c r="AF105" s="30" t="inlineStr">
        <is>
          <t>Structural (10 Years Consistency)</t>
        </is>
      </c>
      <c r="AG105" s="30">
        <f>IF(AF105="Structural (10 Years Consistency)",10,IF(AF105="Shallow Cyclical (2 to 3 years growth)",5,0))</f>
        <v/>
      </c>
      <c r="AH105" s="30" t="inlineStr">
        <is>
          <t>No</t>
        </is>
      </c>
      <c r="AI105" s="30">
        <f>IF(AH105="Yes due to Product Mix change or Operating Leverage",10,IF(AH105="Yes, these are peak margins",-5,IF(AH105="No",5,0)))</f>
        <v/>
      </c>
      <c r="AJ105" s="30" t="inlineStr">
        <is>
          <t>Stable</t>
        </is>
      </c>
      <c r="AK105" s="30">
        <f>IF(AJ105="Stable",10,0)</f>
        <v/>
      </c>
      <c r="AL105" s="30" t="inlineStr">
        <is>
          <t>Yes</t>
        </is>
      </c>
      <c r="AM105" s="30">
        <f>IF(AL105="Yes",10,0)</f>
        <v/>
      </c>
      <c r="AN105" s="30" t="inlineStr">
        <is>
          <t>B2B</t>
        </is>
      </c>
      <c r="AO105" s="30">
        <f>IF(AN105="B2C",10,IF(AN105="B2B",5,0))</f>
        <v/>
      </c>
      <c r="AP105" s="30" t="inlineStr">
        <is>
          <t>Yes</t>
        </is>
      </c>
      <c r="AQ105" s="30">
        <f>IF(AP105="Yes",10,0)</f>
        <v/>
      </c>
      <c r="AR105" s="30" t="inlineStr">
        <is>
          <t>Higher One Time, Lower Annuity</t>
        </is>
      </c>
      <c r="AS105" s="30">
        <f>IF(AR105="Fully Annuity",10,IF(AR105="Higher Annuity, Lower One Time",5,IF(AR105="Higher One Time, Lower Annuity",3,0)))</f>
        <v/>
      </c>
      <c r="AT105" s="30" t="inlineStr">
        <is>
          <t>Good</t>
        </is>
      </c>
      <c r="AU105" s="30">
        <f>IF(AT105="Good",10,0)</f>
        <v/>
      </c>
      <c r="AV105" s="30" t="inlineStr">
        <is>
          <t>Yes for more than 2 years</t>
        </is>
      </c>
      <c r="AW105" s="30">
        <f>IF(AV105="Yes for more than 2 years",10,IF(AV105="Yes only for next 1 to 2 years",5,0))</f>
        <v/>
      </c>
      <c r="AX105" s="30" t="inlineStr">
        <is>
          <t>20 to 40</t>
        </is>
      </c>
      <c r="AY105" s="30">
        <f>IF(AX105="Above 40",20,IF(AX105="20 to 40",10,IF(AX105="0 to 20",-5,0)))</f>
        <v/>
      </c>
      <c r="AZ105" s="30" t="inlineStr">
        <is>
          <t>Between 50 to 75</t>
        </is>
      </c>
      <c r="BA105" s="30">
        <f>IF(AZ105="Between 50 to 75",10,IF(AZ105="Above 75",0,0))</f>
        <v/>
      </c>
      <c r="BB105" s="30" t="inlineStr">
        <is>
          <t>Stage 2</t>
        </is>
      </c>
      <c r="BC105" s="30">
        <f>IF(BB105="Stage 2",20,IF(BB105="Stage 1",0,IF(BB105="Stage 3",5,IF(BB105="Stage 4",-5,0))))</f>
        <v/>
      </c>
      <c r="BD105" s="30" t="inlineStr">
        <is>
          <t>Positive Trend</t>
        </is>
      </c>
      <c r="BE105" s="30">
        <f>IF(BD105="Positive Trend",20,IF(BD105="Negative Trend",-10,0))</f>
        <v/>
      </c>
      <c r="BF105" s="30" t="inlineStr">
        <is>
          <t>Uptrend</t>
        </is>
      </c>
      <c r="BG105" s="30">
        <f>IF(BF105="Uptrend",10,IF(BF105="Sideways",5,0))</f>
        <v/>
      </c>
      <c r="BH105" s="30" t="inlineStr">
        <is>
          <t>Uptrend</t>
        </is>
      </c>
      <c r="BI105" s="30">
        <f>IF(BH105="Uptrend",10,IF(BH105="Sideways",5,0))</f>
        <v/>
      </c>
      <c r="BJ105" s="30" t="inlineStr">
        <is>
          <t>Blue sky scenario</t>
        </is>
      </c>
      <c r="BK105" s="30">
        <f>IF(BJ105="Overhead supply in last 2 years in last 2 years",-5,IF(BJ105="Close to 52 week high or retracement",5,IF(BJ105="Blue sky scenario",10,IF(BJ105="Long term Downtrend",-10,0))))</f>
        <v/>
      </c>
      <c r="BL105" s="30" t="inlineStr">
        <is>
          <t>Yes</t>
        </is>
      </c>
      <c r="BM105" s="30">
        <f>IF(BL105="Yes",10,0)</f>
        <v/>
      </c>
      <c r="BN105" s="30" t="inlineStr">
        <is>
          <t>More than 20%</t>
        </is>
      </c>
      <c r="BO105" s="30">
        <f>IF(BN105="More than 20%",10,IF(BN105="Between 12 to 20%",5,IF(BN105="Less than 12%",0,0)))</f>
        <v/>
      </c>
      <c r="BP105" s="30" t="inlineStr">
        <is>
          <t>No</t>
        </is>
      </c>
      <c r="BQ105" s="30">
        <f>IF(BP105="No",10,0)</f>
        <v/>
      </c>
      <c r="BR105" s="30" t="inlineStr">
        <is>
          <t>No</t>
        </is>
      </c>
      <c r="BS105" s="30">
        <f>IF(BR105="NO",5,0)</f>
        <v/>
      </c>
      <c r="BT105" s="30" t="inlineStr">
        <is>
          <t>Above 2</t>
        </is>
      </c>
      <c r="BU105" s="30">
        <f>IF(BT105="Above 2",0,IF(BT105="Between 1.5 to 2",5,IF(BT105="Less than 1.5",10,0)))</f>
        <v/>
      </c>
      <c r="BV105" s="30" t="inlineStr">
        <is>
          <t>Above 70%</t>
        </is>
      </c>
      <c r="BW105" s="30">
        <f>IF(BV105="Above 70%",10,IF(BV105="Between 50% to 70%",5,IF(BV105="Less than 50%",0,IF(BV105="Negative",-10,IF(BV105="Less than 50% and Borrowings are increasing",-5,0)))))</f>
        <v/>
      </c>
      <c r="BX105" s="30" t="inlineStr">
        <is>
          <t>Less than 0.7</t>
        </is>
      </c>
      <c r="BY105" s="30">
        <f>IF(BX105="More than 1.2",-10,IF(BX105="Between 0.7 to 1.2",0,IF(BX105="Less than 0.7",10,0)))</f>
        <v/>
      </c>
      <c r="BZ105" s="30" t="inlineStr">
        <is>
          <t>No</t>
        </is>
      </c>
      <c r="CA105" s="30">
        <f>IF(BZ105="Yes",-10,0)</f>
        <v/>
      </c>
      <c r="CB105" s="30" t="inlineStr">
        <is>
          <t>Less than 15%</t>
        </is>
      </c>
      <c r="CC105" s="30">
        <f>IF(CB105="More than 15%",-10,IF(CB105="Less than 15%",10,0))</f>
        <v/>
      </c>
      <c r="CD105" s="30" t="inlineStr">
        <is>
          <t>No</t>
        </is>
      </c>
      <c r="CE105" s="30">
        <f>IF(CD105="Yes, more than 10%",-10,IF(CD105="No",10,0))</f>
        <v/>
      </c>
    </row>
    <row r="106">
      <c r="A106" s="30">
        <f>IF(B106=0,"",RANK(B106,$B$2:$B$331,0))</f>
        <v/>
      </c>
      <c r="B106" s="31">
        <f>SUM(N106,Y106,AA106,AC106,AE106,AG106,AI106,AK106,AM106,AO106,AQ106,AS106,AU106,AW106,AY106,BA106,BC106,BE106,BG106,BI106,BK106,BM106,BO106,BQ106,BS106,BU106,BW106,BY106,CA106,CC106,CE106)</f>
        <v/>
      </c>
      <c r="C106" s="30" t="inlineStr">
        <is>
          <t>RUBYMILLS</t>
        </is>
      </c>
      <c r="D106" s="30" t="inlineStr">
        <is>
          <t>The Ruby Mills Limited</t>
        </is>
      </c>
      <c r="E106" s="30" t="inlineStr">
        <is>
          <t>textiles</t>
        </is>
      </c>
      <c r="F106" s="30" t="inlineStr">
        <is>
          <t>textiles - composite</t>
        </is>
      </c>
      <c r="G106" s="30" t="inlineStr">
        <is>
          <t>smallcap</t>
        </is>
      </c>
      <c r="H106" s="31" t="n">
        <v>1587.9</v>
      </c>
      <c r="I106" s="31" t="n">
        <v>445.9</v>
      </c>
      <c r="J106" s="31" t="n">
        <v>-6.1</v>
      </c>
      <c r="K106" s="31" t="n">
        <v>31500</v>
      </c>
      <c r="L106" s="30" t="n">
        <v>73</v>
      </c>
      <c r="M106" s="30" t="inlineStr">
        <is>
          <t>Outperforming</t>
        </is>
      </c>
      <c r="N106" s="31">
        <f>IF(M106="Underperforming",-5,IF(L106&gt;=95,15,IF(L106&gt;=90,10,IF(L106&gt;=80,5,0))))</f>
        <v/>
      </c>
      <c r="O106" s="31" t="n">
        <v>73.25</v>
      </c>
      <c r="P106" s="31" t="n">
        <v>54.8</v>
      </c>
      <c r="Q106" s="31" t="n">
        <v>322.1</v>
      </c>
      <c r="R106" s="30" t="inlineStr">
        <is>
          <t>Near 52W High Breakout</t>
        </is>
      </c>
      <c r="S106" s="30" t="inlineStr">
        <is>
          <t>Nifty 50</t>
        </is>
      </c>
      <c r="T106" s="31" t="n">
        <v>-6.52</v>
      </c>
      <c r="U106" s="31" t="n">
        <v>95.81999999999999</v>
      </c>
      <c r="V106" s="31" t="n">
        <v>109.47</v>
      </c>
      <c r="W106" s="31" t="n">
        <v>24.58</v>
      </c>
      <c r="X106" s="30" t="inlineStr">
        <is>
          <t>Growing Industry</t>
        </is>
      </c>
      <c r="Y106" s="30">
        <f>IF(X106="Growing Industry",10,IF(X106="Cyclical in an Upturn",5,0))</f>
        <v/>
      </c>
      <c r="Z106" s="30" t="inlineStr">
        <is>
          <t>Too Many Players with High ROCE</t>
        </is>
      </c>
      <c r="AA106" s="30">
        <f>IF(Z106="Monopoly",10,IF(Z106="Oligopoly",5,IF(Z106="Duopoly that cooperate",10,IF(Z106="Duopoly that compete",5,IF(Z106="Too many players with High ROCE",5,0)))))</f>
        <v/>
      </c>
      <c r="AB106" s="30" t="inlineStr">
        <is>
          <t>No</t>
        </is>
      </c>
      <c r="AC106" s="30">
        <f>IF(AB106="No",5,0)</f>
        <v/>
      </c>
      <c r="AD106" s="30" t="inlineStr">
        <is>
          <t>Tailwind</t>
        </is>
      </c>
      <c r="AE106" s="30">
        <f>IF(AD106="Tailwind",10,0)</f>
        <v/>
      </c>
      <c r="AF106" s="30" t="inlineStr">
        <is>
          <t>Structural (10 Years Consistency)</t>
        </is>
      </c>
      <c r="AG106" s="30">
        <f>IF(AF106="Structural (10 Years Consistency)",10,IF(AF106="Shallow Cyclical (2 to 3 years growth)",5,0))</f>
        <v/>
      </c>
      <c r="AH106" s="30" t="inlineStr">
        <is>
          <t>No</t>
        </is>
      </c>
      <c r="AI106" s="30">
        <f>IF(AH106="Yes due to Product Mix change or Operating Leverage",10,IF(AH106="Yes, these are peak margins",-5,IF(AH106="No",5,0)))</f>
        <v/>
      </c>
      <c r="AJ106" s="30" t="inlineStr">
        <is>
          <t>Stable</t>
        </is>
      </c>
      <c r="AK106" s="30">
        <f>IF(AJ106="Stable",10,0)</f>
        <v/>
      </c>
      <c r="AL106" s="30" t="inlineStr">
        <is>
          <t>Yes</t>
        </is>
      </c>
      <c r="AM106" s="30">
        <f>IF(AL106="Yes",10,0)</f>
        <v/>
      </c>
      <c r="AN106" s="30" t="inlineStr">
        <is>
          <t>B2B</t>
        </is>
      </c>
      <c r="AO106" s="30">
        <f>IF(AN106="B2C",10,IF(AN106="B2B",5,0))</f>
        <v/>
      </c>
      <c r="AP106" s="30" t="inlineStr">
        <is>
          <t>Yes</t>
        </is>
      </c>
      <c r="AQ106" s="30">
        <f>IF(AP106="Yes",10,0)</f>
        <v/>
      </c>
      <c r="AR106" s="30" t="inlineStr">
        <is>
          <t>Higher One Time, Lower Annuity</t>
        </is>
      </c>
      <c r="AS106" s="30">
        <f>IF(AR106="Fully Annuity",10,IF(AR106="Higher Annuity, Lower One Time",5,IF(AR106="Higher One Time, Lower Annuity",3,0)))</f>
        <v/>
      </c>
      <c r="AT106" s="30" t="inlineStr">
        <is>
          <t>Good</t>
        </is>
      </c>
      <c r="AU106" s="30">
        <f>IF(AT106="Good",10,0)</f>
        <v/>
      </c>
      <c r="AV106" s="30" t="inlineStr">
        <is>
          <t>Yes for more than 2 years</t>
        </is>
      </c>
      <c r="AW106" s="30">
        <f>IF(AV106="Yes for more than 2 years",10,IF(AV106="Yes only for next 1 to 2 years",5,0))</f>
        <v/>
      </c>
      <c r="AX106" s="30" t="inlineStr">
        <is>
          <t>Above 40</t>
        </is>
      </c>
      <c r="AY106" s="30">
        <f>IF(AX106="Above 40",20,IF(AX106="20 to 40",10,IF(AX106="0 to 20",-5,0)))</f>
        <v/>
      </c>
      <c r="AZ106" s="30" t="inlineStr">
        <is>
          <t>Between 50 to 75</t>
        </is>
      </c>
      <c r="BA106" s="30">
        <f>IF(AZ106="Between 50 to 75",10,IF(AZ106="Above 75",0,0))</f>
        <v/>
      </c>
      <c r="BB106" s="30" t="inlineStr">
        <is>
          <t>Stage 2</t>
        </is>
      </c>
      <c r="BC106" s="30">
        <f>IF(BB106="Stage 2",20,IF(BB106="Stage 1",0,IF(BB106="Stage 3",5,IF(BB106="Stage 4",-5,0))))</f>
        <v/>
      </c>
      <c r="BD106" s="30" t="inlineStr">
        <is>
          <t>Positive Trend</t>
        </is>
      </c>
      <c r="BE106" s="30">
        <f>IF(BD106="Positive Trend",20,IF(BD106="Negative Trend",-10,0))</f>
        <v/>
      </c>
      <c r="BF106" s="30" t="inlineStr">
        <is>
          <t>Uptrend</t>
        </is>
      </c>
      <c r="BG106" s="30">
        <f>IF(BF106="Uptrend",10,IF(BF106="Sideways",5,0))</f>
        <v/>
      </c>
      <c r="BH106" s="30" t="inlineStr">
        <is>
          <t>Uptrend</t>
        </is>
      </c>
      <c r="BI106" s="30">
        <f>IF(BH106="Uptrend",10,IF(BH106="Sideways",5,0))</f>
        <v/>
      </c>
      <c r="BJ106" s="30" t="inlineStr">
        <is>
          <t>Blue sky scenario</t>
        </is>
      </c>
      <c r="BK106" s="30">
        <f>IF(BJ106="Overhead supply in last 2 years in last 2 years",-5,IF(BJ106="Close to 52 week high or retracement",5,IF(BJ106="Blue sky scenario",10,IF(BJ106="Long term Downtrend",-10,0))))</f>
        <v/>
      </c>
      <c r="BL106" s="30" t="inlineStr">
        <is>
          <t>Yes</t>
        </is>
      </c>
      <c r="BM106" s="30">
        <f>IF(BL106="Yes",10,0)</f>
        <v/>
      </c>
      <c r="BN106" s="30" t="inlineStr">
        <is>
          <t>Less than 12%</t>
        </is>
      </c>
      <c r="BO106" s="30">
        <f>IF(BN106="More than 20%",10,IF(BN106="Between 12 to 20%",5,IF(BN106="Less than 12%",0,0)))</f>
        <v/>
      </c>
      <c r="BP106" s="30" t="inlineStr">
        <is>
          <t>No</t>
        </is>
      </c>
      <c r="BQ106" s="30">
        <f>IF(BP106="No",10,0)</f>
        <v/>
      </c>
      <c r="BR106" s="30" t="inlineStr">
        <is>
          <t>No</t>
        </is>
      </c>
      <c r="BS106" s="30">
        <f>IF(BR106="NO",5,0)</f>
        <v/>
      </c>
      <c r="BT106" s="30" t="inlineStr">
        <is>
          <t>Above 2</t>
        </is>
      </c>
      <c r="BU106" s="30">
        <f>IF(BT106="Above 2",0,IF(BT106="Between 1.5 to 2",5,IF(BT106="Less than 1.5",10,0)))</f>
        <v/>
      </c>
      <c r="BV106" s="30" t="inlineStr">
        <is>
          <t>Above 70%</t>
        </is>
      </c>
      <c r="BW106" s="30">
        <f>IF(BV106="Above 70%",10,IF(BV106="Between 50% to 70%",5,IF(BV106="Less than 50%",0,IF(BV106="Negative",-10,IF(BV106="Less than 50% and Borrowings are increasing",-5,0)))))</f>
        <v/>
      </c>
      <c r="BX106" s="30" t="inlineStr">
        <is>
          <t>Less than 0.7</t>
        </is>
      </c>
      <c r="BY106" s="30">
        <f>IF(BX106="More than 1.2",-10,IF(BX106="Between 0.7 to 1.2",0,IF(BX106="Less than 0.7",10,0)))</f>
        <v/>
      </c>
      <c r="BZ106" s="30" t="inlineStr">
        <is>
          <t>No</t>
        </is>
      </c>
      <c r="CA106" s="30">
        <f>IF(BZ106="Yes",-10,0)</f>
        <v/>
      </c>
      <c r="CB106" s="30" t="inlineStr">
        <is>
          <t>Less than 15%</t>
        </is>
      </c>
      <c r="CC106" s="30">
        <f>IF(CB106="More than 15%",-10,IF(CB106="Less than 15%",10,0))</f>
        <v/>
      </c>
      <c r="CD106" s="30" t="inlineStr">
        <is>
          <t>No</t>
        </is>
      </c>
      <c r="CE106" s="30">
        <f>IF(CD106="Yes, more than 10%",-10,IF(CD106="No",10,0))</f>
        <v/>
      </c>
    </row>
    <row r="107">
      <c r="A107" s="30">
        <f>IF(B107=0,"",RANK(B107,$B$2:$B$331,0))</f>
        <v/>
      </c>
      <c r="B107" s="31">
        <f>SUM(N107,Y107,AA107,AC107,AE107,AG107,AI107,AK107,AM107,AO107,AQ107,AS107,AU107,AW107,AY107,BA107,BC107,BE107,BG107,BI107,BK107,BM107,BO107,BQ107,BS107,BU107,BW107,BY107,CA107,CC107,CE107)</f>
        <v/>
      </c>
      <c r="C107" s="30" t="inlineStr">
        <is>
          <t>NOVARTIND</t>
        </is>
      </c>
      <c r="D107" s="30" t="inlineStr">
        <is>
          <t>Novartis India Ltd</t>
        </is>
      </c>
      <c r="E107" s="30" t="inlineStr">
        <is>
          <t>healthcare</t>
        </is>
      </c>
      <c r="F107" s="30" t="inlineStr">
        <is>
          <t>pharmaceuticals - multinational</t>
        </is>
      </c>
      <c r="G107" s="30" t="inlineStr">
        <is>
          <t>midcap</t>
        </is>
      </c>
      <c r="H107" s="31" t="n">
        <v>5398.4</v>
      </c>
      <c r="I107" s="31" t="n">
        <v>2428.2</v>
      </c>
      <c r="J107" s="31" t="n">
        <v>11.06</v>
      </c>
      <c r="K107" s="31" t="n">
        <v>2292871</v>
      </c>
      <c r="L107" s="30" t="n">
        <v>92</v>
      </c>
      <c r="M107" s="30" t="inlineStr">
        <is>
          <t>Outperforming</t>
        </is>
      </c>
      <c r="N107" s="31">
        <f>IF(M107="Underperforming",-5,IF(L107&gt;=95,15,IF(L107&gt;=90,10,IF(L107&gt;=80,5,0))))</f>
        <v/>
      </c>
      <c r="O107" s="31" t="n">
        <v>80.83</v>
      </c>
      <c r="P107" s="31" t="n">
        <v>65.81999999999999</v>
      </c>
      <c r="Q107" s="31" t="n">
        <v>1824.35</v>
      </c>
      <c r="R107" s="30" t="inlineStr">
        <is>
          <t>Volume Spike &amp; Near 52W High Breakout</t>
        </is>
      </c>
      <c r="S107" s="30" t="inlineStr">
        <is>
          <t>Nifty Pharma</t>
        </is>
      </c>
      <c r="T107" s="31" t="n">
        <v>18.86</v>
      </c>
      <c r="U107" s="31" t="n">
        <v>164.14</v>
      </c>
      <c r="V107" s="31" t="n">
        <v>122.22</v>
      </c>
      <c r="W107" s="31" t="n">
        <v>43.02</v>
      </c>
      <c r="X107" s="30" t="inlineStr">
        <is>
          <t>Growing Industry</t>
        </is>
      </c>
      <c r="Y107" s="30">
        <f>IF(X107="Growing Industry",10,IF(X107="Cyclical in an Upturn",5,0))</f>
        <v/>
      </c>
      <c r="Z107" s="30" t="inlineStr">
        <is>
          <t>Too Many Players with High ROCE</t>
        </is>
      </c>
      <c r="AA107" s="30">
        <f>IF(Z107="Monopoly",10,IF(Z107="Oligopoly",5,IF(Z107="Duopoly that cooperate",10,IF(Z107="Duopoly that compete",5,IF(Z107="Too many players with High ROCE",5,0)))))</f>
        <v/>
      </c>
      <c r="AB107" s="30" t="inlineStr">
        <is>
          <t>Yes</t>
        </is>
      </c>
      <c r="AC107" s="30">
        <f>IF(AB107="No",5,0)</f>
        <v/>
      </c>
      <c r="AD107" s="30" t="inlineStr">
        <is>
          <t>Tailwind</t>
        </is>
      </c>
      <c r="AE107" s="30">
        <f>IF(AD107="Tailwind",10,0)</f>
        <v/>
      </c>
      <c r="AF107" s="30" t="inlineStr">
        <is>
          <t>Structural (10 Years Consistency)</t>
        </is>
      </c>
      <c r="AG107" s="30">
        <f>IF(AF107="Structural (10 Years Consistency)",10,IF(AF107="Shallow Cyclical (2 to 3 years growth)",5,0))</f>
        <v/>
      </c>
      <c r="AH107" s="30" t="inlineStr">
        <is>
          <t>No</t>
        </is>
      </c>
      <c r="AI107" s="30">
        <f>IF(AH107="Yes due to Product Mix change or Operating Leverage",10,IF(AH107="Yes, these are peak margins",-5,IF(AH107="No",5,0)))</f>
        <v/>
      </c>
      <c r="AJ107" s="30" t="inlineStr">
        <is>
          <t>Stable</t>
        </is>
      </c>
      <c r="AK107" s="30">
        <f>IF(AJ107="Stable",10,0)</f>
        <v/>
      </c>
      <c r="AL107" s="30" t="inlineStr">
        <is>
          <t>Yes</t>
        </is>
      </c>
      <c r="AM107" s="30">
        <f>IF(AL107="Yes",10,0)</f>
        <v/>
      </c>
      <c r="AN107" s="30" t="inlineStr">
        <is>
          <t>B2B</t>
        </is>
      </c>
      <c r="AO107" s="30">
        <f>IF(AN107="B2C",10,IF(AN107="B2B",5,0))</f>
        <v/>
      </c>
      <c r="AP107" s="30" t="inlineStr">
        <is>
          <t>Yes</t>
        </is>
      </c>
      <c r="AQ107" s="30">
        <f>IF(AP107="Yes",10,0)</f>
        <v/>
      </c>
      <c r="AR107" s="30" t="inlineStr">
        <is>
          <t>Higher Annuity, Lower One Time</t>
        </is>
      </c>
      <c r="AS107" s="30">
        <f>IF(AR107="Fully Annuity",10,IF(AR107="Higher Annuity, Lower One Time",5,IF(AR107="Higher One Time, Lower Annuity",3,0)))</f>
        <v/>
      </c>
      <c r="AT107" s="30" t="inlineStr">
        <is>
          <t>Good</t>
        </is>
      </c>
      <c r="AU107" s="30">
        <f>IF(AT107="Good",10,0)</f>
        <v/>
      </c>
      <c r="AV107" s="30" t="inlineStr">
        <is>
          <t>Yes for more than 2 years</t>
        </is>
      </c>
      <c r="AW107" s="30">
        <f>IF(AV107="Yes for more than 2 years",10,IF(AV107="Yes only for next 1 to 2 years",5,0))</f>
        <v/>
      </c>
      <c r="AX107" s="30" t="inlineStr">
        <is>
          <t>Above 40</t>
        </is>
      </c>
      <c r="AY107" s="30">
        <f>IF(AX107="Above 40",20,IF(AX107="20 to 40",10,IF(AX107="0 to 20",-5,0)))</f>
        <v/>
      </c>
      <c r="AZ107" s="30" t="inlineStr">
        <is>
          <t>Above 75</t>
        </is>
      </c>
      <c r="BA107" s="30">
        <f>IF(AZ107="Between 50 to 75",10,IF(AZ107="Above 75",0,0))</f>
        <v/>
      </c>
      <c r="BB107" s="30" t="inlineStr">
        <is>
          <t>Stage 2</t>
        </is>
      </c>
      <c r="BC107" s="30">
        <f>IF(BB107="Stage 2",20,IF(BB107="Stage 1",0,IF(BB107="Stage 3",5,IF(BB107="Stage 4",-5,0))))</f>
        <v/>
      </c>
      <c r="BD107" s="30" t="inlineStr">
        <is>
          <t>Positive Trend</t>
        </is>
      </c>
      <c r="BE107" s="30">
        <f>IF(BD107="Positive Trend",20,IF(BD107="Negative Trend",-10,0))</f>
        <v/>
      </c>
      <c r="BF107" s="30" t="inlineStr">
        <is>
          <t>Uptrend</t>
        </is>
      </c>
      <c r="BG107" s="30">
        <f>IF(BF107="Uptrend",10,IF(BF107="Sideways",5,0))</f>
        <v/>
      </c>
      <c r="BH107" s="30" t="inlineStr">
        <is>
          <t>Uptrend</t>
        </is>
      </c>
      <c r="BI107" s="30">
        <f>IF(BH107="Uptrend",10,IF(BH107="Sideways",5,0))</f>
        <v/>
      </c>
      <c r="BJ107" s="30" t="inlineStr">
        <is>
          <t>Blue sky scenario</t>
        </is>
      </c>
      <c r="BK107" s="30">
        <f>IF(BJ107="Overhead supply in last 2 years in last 2 years",-5,IF(BJ107="Close to 52 week high or retracement",5,IF(BJ107="Blue sky scenario",10,IF(BJ107="Long term Downtrend",-10,0))))</f>
        <v/>
      </c>
      <c r="BL107" s="30" t="inlineStr">
        <is>
          <t>Yes</t>
        </is>
      </c>
      <c r="BM107" s="30">
        <f>IF(BL107="Yes",10,0)</f>
        <v/>
      </c>
      <c r="BN107" s="30" t="inlineStr">
        <is>
          <t>Between 12 to 20%</t>
        </is>
      </c>
      <c r="BO107" s="30">
        <f>IF(BN107="More than 20%",10,IF(BN107="Between 12 to 20%",5,IF(BN107="Less than 12%",0,0)))</f>
        <v/>
      </c>
      <c r="BP107" s="30" t="inlineStr">
        <is>
          <t>No</t>
        </is>
      </c>
      <c r="BQ107" s="30">
        <f>IF(BP107="No",10,0)</f>
        <v/>
      </c>
      <c r="BR107" s="30" t="inlineStr">
        <is>
          <t>Yes</t>
        </is>
      </c>
      <c r="BS107" s="30">
        <f>IF(BR107="NO",5,0)</f>
        <v/>
      </c>
      <c r="BT107" s="30" t="inlineStr">
        <is>
          <t>Above 2</t>
        </is>
      </c>
      <c r="BU107" s="30">
        <f>IF(BT107="Above 2",0,IF(BT107="Between 1.5 to 2",5,IF(BT107="Less than 1.5",10,0)))</f>
        <v/>
      </c>
      <c r="BV107" s="30" t="inlineStr">
        <is>
          <t>Above 70%</t>
        </is>
      </c>
      <c r="BW107" s="30">
        <f>IF(BV107="Above 70%",10,IF(BV107="Between 50% to 70%",5,IF(BV107="Less than 50%",0,IF(BV107="Negative",-10,IF(BV107="Less than 50% and Borrowings are increasing",-5,0)))))</f>
        <v/>
      </c>
      <c r="BX107" s="30" t="inlineStr">
        <is>
          <t>Less than 0.7</t>
        </is>
      </c>
      <c r="BY107" s="30">
        <f>IF(BX107="More than 1.2",-10,IF(BX107="Between 0.7 to 1.2",0,IF(BX107="Less than 0.7",10,0)))</f>
        <v/>
      </c>
      <c r="BZ107" s="30" t="inlineStr">
        <is>
          <t>No</t>
        </is>
      </c>
      <c r="CA107" s="30">
        <f>IF(BZ107="Yes",-10,0)</f>
        <v/>
      </c>
      <c r="CB107" s="30" t="inlineStr">
        <is>
          <t>Less than 15%</t>
        </is>
      </c>
      <c r="CC107" s="30">
        <f>IF(CB107="More than 15%",-10,IF(CB107="Less than 15%",10,0))</f>
        <v/>
      </c>
      <c r="CD107" s="30" t="inlineStr">
        <is>
          <t>No</t>
        </is>
      </c>
      <c r="CE107" s="30">
        <f>IF(CD107="Yes, more than 10%",-10,IF(CD107="No",10,0))</f>
        <v/>
      </c>
    </row>
    <row r="108">
      <c r="A108" s="30">
        <f>IF(B108=0,"",RANK(B108,$B$2:$B$331,0))</f>
        <v/>
      </c>
      <c r="B108" s="31">
        <f>SUM(N108,Y108,AA108,AC108,AE108,AG108,AI108,AK108,AM108,AO108,AQ108,AS108,AU108,AW108,AY108,BA108,BC108,BE108,BG108,BI108,BK108,BM108,BO108,BQ108,BS108,BU108,BW108,BY108,CA108,CC108,CE108)</f>
        <v/>
      </c>
      <c r="C108" s="30" t="inlineStr">
        <is>
          <t>AHCL</t>
        </is>
      </c>
      <c r="D108" s="30" t="inlineStr">
        <is>
          <t>Anlon Healthcare Ltd</t>
        </is>
      </c>
      <c r="E108" s="30" t="inlineStr">
        <is>
          <t>healthcare</t>
        </is>
      </c>
      <c r="F108" s="30" t="inlineStr">
        <is>
          <t>pharmaceuticals - indian - bulk drugs &amp; formln</t>
        </is>
      </c>
      <c r="G108" s="30" t="inlineStr">
        <is>
          <t>smallcap</t>
        </is>
      </c>
      <c r="H108" s="31" t="n">
        <v>865.3099999999999</v>
      </c>
      <c r="I108" s="31" t="n">
        <v>17.54</v>
      </c>
      <c r="J108" s="31" t="n">
        <v>7.74</v>
      </c>
      <c r="K108" s="31" t="n">
        <v>31629564</v>
      </c>
      <c r="L108" s="30" t="n">
        <v>48</v>
      </c>
      <c r="M108" s="30" t="inlineStr">
        <is>
          <t>Outperforming</t>
        </is>
      </c>
      <c r="N108" s="31">
        <f>IF(M108="Underperforming",-5,IF(L108&gt;=95,15,IF(L108&gt;=90,10,IF(L108&gt;=80,5,0))))</f>
        <v/>
      </c>
      <c r="O108" s="31" t="n">
        <v>67.95999999999999</v>
      </c>
      <c r="P108" s="31" t="n">
        <v>39.5</v>
      </c>
      <c r="Q108" s="31" t="n">
        <v>13.05</v>
      </c>
      <c r="R108" s="30" t="inlineStr">
        <is>
          <t>Volume Spike &amp; Near 52W High Breakout</t>
        </is>
      </c>
      <c r="S108" s="30" t="inlineStr">
        <is>
          <t>Nifty Pharma</t>
        </is>
      </c>
      <c r="T108" s="31" t="n">
        <v>18.86</v>
      </c>
      <c r="U108" s="31" t="n">
        <v>60.29</v>
      </c>
      <c r="V108" s="31" t="n">
        <v>34.85</v>
      </c>
      <c r="W108" s="31" t="n">
        <v>14.78</v>
      </c>
      <c r="X108" s="30" t="inlineStr">
        <is>
          <t>Growing Industry</t>
        </is>
      </c>
      <c r="Y108" s="30">
        <f>IF(X108="Growing Industry",10,IF(X108="Cyclical in an Upturn",5,0))</f>
        <v/>
      </c>
      <c r="Z108" s="30" t="inlineStr">
        <is>
          <t>Too Many Players with High ROCE</t>
        </is>
      </c>
      <c r="AA108" s="30">
        <f>IF(Z108="Monopoly",10,IF(Z108="Oligopoly",5,IF(Z108="Duopoly that cooperate",10,IF(Z108="Duopoly that compete",5,IF(Z108="Too many players with High ROCE",5,0)))))</f>
        <v/>
      </c>
      <c r="AB108" s="30" t="inlineStr">
        <is>
          <t>Yes</t>
        </is>
      </c>
      <c r="AC108" s="30">
        <f>IF(AB108="No",5,0)</f>
        <v/>
      </c>
      <c r="AD108" s="30" t="inlineStr">
        <is>
          <t>Tailwind</t>
        </is>
      </c>
      <c r="AE108" s="30">
        <f>IF(AD108="Tailwind",10,0)</f>
        <v/>
      </c>
      <c r="AF108" s="30" t="inlineStr">
        <is>
          <t>Structural (10 Years Consistency)</t>
        </is>
      </c>
      <c r="AG108" s="30">
        <f>IF(AF108="Structural (10 Years Consistency)",10,IF(AF108="Shallow Cyclical (2 to 3 years growth)",5,0))</f>
        <v/>
      </c>
      <c r="AH108" s="30" t="inlineStr">
        <is>
          <t>No</t>
        </is>
      </c>
      <c r="AI108" s="30">
        <f>IF(AH108="Yes due to Product Mix change or Operating Leverage",10,IF(AH108="Yes, these are peak margins",-5,IF(AH108="No",5,0)))</f>
        <v/>
      </c>
      <c r="AJ108" s="30" t="inlineStr">
        <is>
          <t>Stable</t>
        </is>
      </c>
      <c r="AK108" s="30">
        <f>IF(AJ108="Stable",10,0)</f>
        <v/>
      </c>
      <c r="AL108" s="30" t="inlineStr">
        <is>
          <t>Yes</t>
        </is>
      </c>
      <c r="AM108" s="30">
        <f>IF(AL108="Yes",10,0)</f>
        <v/>
      </c>
      <c r="AN108" s="30" t="inlineStr">
        <is>
          <t>B2B</t>
        </is>
      </c>
      <c r="AO108" s="30">
        <f>IF(AN108="B2C",10,IF(AN108="B2B",5,0))</f>
        <v/>
      </c>
      <c r="AP108" s="30" t="inlineStr">
        <is>
          <t>Yes</t>
        </is>
      </c>
      <c r="AQ108" s="30">
        <f>IF(AP108="Yes",10,0)</f>
        <v/>
      </c>
      <c r="AR108" s="30" t="inlineStr">
        <is>
          <t>Higher Annuity, Lower One Time</t>
        </is>
      </c>
      <c r="AS108" s="30">
        <f>IF(AR108="Fully Annuity",10,IF(AR108="Higher Annuity, Lower One Time",5,IF(AR108="Higher One Time, Lower Annuity",3,0)))</f>
        <v/>
      </c>
      <c r="AT108" s="30" t="inlineStr">
        <is>
          <t>Good</t>
        </is>
      </c>
      <c r="AU108" s="30">
        <f>IF(AT108="Good",10,0)</f>
        <v/>
      </c>
      <c r="AV108" s="30" t="inlineStr">
        <is>
          <t>Yes for more than 2 years</t>
        </is>
      </c>
      <c r="AW108" s="30">
        <f>IF(AV108="Yes for more than 2 years",10,IF(AV108="Yes only for next 1 to 2 years",5,0))</f>
        <v/>
      </c>
      <c r="AX108" s="30" t="inlineStr">
        <is>
          <t>20 to 40</t>
        </is>
      </c>
      <c r="AY108" s="30">
        <f>IF(AX108="Above 40",20,IF(AX108="20 to 40",10,IF(AX108="0 to 20",-5,0)))</f>
        <v/>
      </c>
      <c r="AZ108" s="30" t="inlineStr">
        <is>
          <t>Between 50 to 75</t>
        </is>
      </c>
      <c r="BA108" s="30">
        <f>IF(AZ108="Between 50 to 75",10,IF(AZ108="Above 75",0,0))</f>
        <v/>
      </c>
      <c r="BB108" s="30" t="inlineStr">
        <is>
          <t>Stage 2</t>
        </is>
      </c>
      <c r="BC108" s="30">
        <f>IF(BB108="Stage 2",20,IF(BB108="Stage 1",0,IF(BB108="Stage 3",5,IF(BB108="Stage 4",-5,0))))</f>
        <v/>
      </c>
      <c r="BD108" s="30" t="inlineStr">
        <is>
          <t>Positive Trend</t>
        </is>
      </c>
      <c r="BE108" s="30">
        <f>IF(BD108="Positive Trend",20,IF(BD108="Negative Trend",-10,0))</f>
        <v/>
      </c>
      <c r="BF108" s="30" t="inlineStr">
        <is>
          <t>Uptrend</t>
        </is>
      </c>
      <c r="BG108" s="30">
        <f>IF(BF108="Uptrend",10,IF(BF108="Sideways",5,0))</f>
        <v/>
      </c>
      <c r="BH108" s="30" t="inlineStr">
        <is>
          <t>Uptrend</t>
        </is>
      </c>
      <c r="BI108" s="30">
        <f>IF(BH108="Uptrend",10,IF(BH108="Sideways",5,0))</f>
        <v/>
      </c>
      <c r="BJ108" s="30" t="inlineStr">
        <is>
          <t>Blue sky scenario</t>
        </is>
      </c>
      <c r="BK108" s="30">
        <f>IF(BJ108="Overhead supply in last 2 years in last 2 years",-5,IF(BJ108="Close to 52 week high or retracement",5,IF(BJ108="Blue sky scenario",10,IF(BJ108="Long term Downtrend",-10,0))))</f>
        <v/>
      </c>
      <c r="BL108" s="30" t="inlineStr">
        <is>
          <t>Yes</t>
        </is>
      </c>
      <c r="BM108" s="30">
        <f>IF(BL108="Yes",10,0)</f>
        <v/>
      </c>
      <c r="BN108" s="30" t="inlineStr">
        <is>
          <t>More than 20%</t>
        </is>
      </c>
      <c r="BO108" s="30">
        <f>IF(BN108="More than 20%",10,IF(BN108="Between 12 to 20%",5,IF(BN108="Less than 12%",0,0)))</f>
        <v/>
      </c>
      <c r="BP108" s="30" t="inlineStr">
        <is>
          <t>No</t>
        </is>
      </c>
      <c r="BQ108" s="30">
        <f>IF(BP108="No",10,0)</f>
        <v/>
      </c>
      <c r="BR108" s="30" t="inlineStr">
        <is>
          <t>No</t>
        </is>
      </c>
      <c r="BS108" s="30">
        <f>IF(BR108="NO",5,0)</f>
        <v/>
      </c>
      <c r="BT108" s="30" t="inlineStr">
        <is>
          <t>Above 2</t>
        </is>
      </c>
      <c r="BU108" s="30">
        <f>IF(BT108="Above 2",0,IF(BT108="Between 1.5 to 2",5,IF(BT108="Less than 1.5",10,0)))</f>
        <v/>
      </c>
      <c r="BV108" s="30" t="inlineStr">
        <is>
          <t>Above 70%</t>
        </is>
      </c>
      <c r="BW108" s="30">
        <f>IF(BV108="Above 70%",10,IF(BV108="Between 50% to 70%",5,IF(BV108="Less than 50%",0,IF(BV108="Negative",-10,IF(BV108="Less than 50% and Borrowings are increasing",-5,0)))))</f>
        <v/>
      </c>
      <c r="BX108" s="30" t="inlineStr">
        <is>
          <t>Less than 0.7</t>
        </is>
      </c>
      <c r="BY108" s="30">
        <f>IF(BX108="More than 1.2",-10,IF(BX108="Between 0.7 to 1.2",0,IF(BX108="Less than 0.7",10,0)))</f>
        <v/>
      </c>
      <c r="BZ108" s="30" t="inlineStr">
        <is>
          <t>No</t>
        </is>
      </c>
      <c r="CA108" s="30">
        <f>IF(BZ108="Yes",-10,0)</f>
        <v/>
      </c>
      <c r="CB108" s="30" t="inlineStr">
        <is>
          <t>Less than 15%</t>
        </is>
      </c>
      <c r="CC108" s="30">
        <f>IF(CB108="More than 15%",-10,IF(CB108="Less than 15%",10,0))</f>
        <v/>
      </c>
      <c r="CD108" s="30" t="inlineStr">
        <is>
          <t>No</t>
        </is>
      </c>
      <c r="CE108" s="30">
        <f>IF(CD108="Yes, more than 10%",-10,IF(CD108="No",10,0))</f>
        <v/>
      </c>
    </row>
    <row r="109">
      <c r="A109" s="30">
        <f>IF(B109=0,"",RANK(B109,$B$2:$B$331,0))</f>
        <v/>
      </c>
      <c r="B109" s="31">
        <f>SUM(N109,Y109,AA109,AC109,AE109,AG109,AI109,AK109,AM109,AO109,AQ109,AS109,AU109,AW109,AY109,BA109,BC109,BE109,BG109,BI109,BK109,BM109,BO109,BQ109,BS109,BU109,BW109,BY109,CA109,CC109,CE109)</f>
        <v/>
      </c>
      <c r="C109" s="30" t="inlineStr">
        <is>
          <t>ACUTAAS</t>
        </is>
      </c>
      <c r="D109" s="30" t="inlineStr">
        <is>
          <t>Acutaas Chemicals Ltd</t>
        </is>
      </c>
      <c r="E109" s="30" t="inlineStr">
        <is>
          <t>healthcare</t>
        </is>
      </c>
      <c r="F109" s="30" t="inlineStr">
        <is>
          <t>pharmaceuticals - indian - bulk drugs</t>
        </is>
      </c>
      <c r="G109" s="30" t="inlineStr">
        <is>
          <t>largecap</t>
        </is>
      </c>
      <c r="H109" s="31" t="n">
        <v>26540.98</v>
      </c>
      <c r="I109" s="31" t="n">
        <v>3451.4</v>
      </c>
      <c r="J109" s="31" t="n">
        <v>6.47</v>
      </c>
      <c r="K109" s="31" t="n">
        <v>1000453</v>
      </c>
      <c r="L109" s="30" t="n">
        <v>69</v>
      </c>
      <c r="M109" s="30" t="inlineStr">
        <is>
          <t>Outperforming</t>
        </is>
      </c>
      <c r="N109" s="31">
        <f>IF(M109="Underperforming",-5,IF(L109&gt;=95,15,IF(L109&gt;=90,10,IF(L109&gt;=80,5,0))))</f>
        <v/>
      </c>
      <c r="O109" s="31" t="n">
        <v>61.68</v>
      </c>
      <c r="P109" s="31" t="n">
        <v>55.54</v>
      </c>
      <c r="Q109" s="31" t="n">
        <v>2848.87</v>
      </c>
      <c r="R109" s="30" t="inlineStr">
        <is>
          <t>Earnings / Momentum Support</t>
        </is>
      </c>
      <c r="S109" s="30" t="inlineStr">
        <is>
          <t>Nifty Pharma</t>
        </is>
      </c>
      <c r="T109" s="31" t="n">
        <v>18.86</v>
      </c>
      <c r="U109" s="31" t="n">
        <v>139.58</v>
      </c>
      <c r="V109" s="31" t="n">
        <v>101.55</v>
      </c>
      <c r="W109" s="31" t="n">
        <v>22.23</v>
      </c>
      <c r="X109" s="30" t="inlineStr">
        <is>
          <t>Growing Industry</t>
        </is>
      </c>
      <c r="Y109" s="30">
        <f>IF(X109="Growing Industry",10,IF(X109="Cyclical in an Upturn",5,0))</f>
        <v/>
      </c>
      <c r="Z109" s="30" t="inlineStr">
        <is>
          <t>Too Many Players with High ROCE</t>
        </is>
      </c>
      <c r="AA109" s="30">
        <f>IF(Z109="Monopoly",10,IF(Z109="Oligopoly",5,IF(Z109="Duopoly that cooperate",10,IF(Z109="Duopoly that compete",5,IF(Z109="Too many players with High ROCE",5,0)))))</f>
        <v/>
      </c>
      <c r="AB109" s="30" t="inlineStr">
        <is>
          <t>Yes</t>
        </is>
      </c>
      <c r="AC109" s="30">
        <f>IF(AB109="No",5,0)</f>
        <v/>
      </c>
      <c r="AD109" s="30" t="inlineStr">
        <is>
          <t>Tailwind</t>
        </is>
      </c>
      <c r="AE109" s="30">
        <f>IF(AD109="Tailwind",10,0)</f>
        <v/>
      </c>
      <c r="AF109" s="30" t="inlineStr">
        <is>
          <t>Structural (10 Years Consistency)</t>
        </is>
      </c>
      <c r="AG109" s="30">
        <f>IF(AF109="Structural (10 Years Consistency)",10,IF(AF109="Shallow Cyclical (2 to 3 years growth)",5,0))</f>
        <v/>
      </c>
      <c r="AH109" s="30" t="inlineStr">
        <is>
          <t>No</t>
        </is>
      </c>
      <c r="AI109" s="30">
        <f>IF(AH109="Yes due to Product Mix change or Operating Leverage",10,IF(AH109="Yes, these are peak margins",-5,IF(AH109="No",5,0)))</f>
        <v/>
      </c>
      <c r="AJ109" s="30" t="inlineStr">
        <is>
          <t>Stable</t>
        </is>
      </c>
      <c r="AK109" s="30">
        <f>IF(AJ109="Stable",10,0)</f>
        <v/>
      </c>
      <c r="AL109" s="30" t="inlineStr">
        <is>
          <t>Yes</t>
        </is>
      </c>
      <c r="AM109" s="30">
        <f>IF(AL109="Yes",10,0)</f>
        <v/>
      </c>
      <c r="AN109" s="30" t="inlineStr">
        <is>
          <t>B2B</t>
        </is>
      </c>
      <c r="AO109" s="30">
        <f>IF(AN109="B2C",10,IF(AN109="B2B",5,0))</f>
        <v/>
      </c>
      <c r="AP109" s="30" t="inlineStr">
        <is>
          <t>No</t>
        </is>
      </c>
      <c r="AQ109" s="30">
        <f>IF(AP109="Yes",10,0)</f>
        <v/>
      </c>
      <c r="AR109" s="30" t="inlineStr">
        <is>
          <t>Higher Annuity, Lower One Time</t>
        </is>
      </c>
      <c r="AS109" s="30">
        <f>IF(AR109="Fully Annuity",10,IF(AR109="Higher Annuity, Lower One Time",5,IF(AR109="Higher One Time, Lower Annuity",3,0)))</f>
        <v/>
      </c>
      <c r="AT109" s="30" t="inlineStr">
        <is>
          <t>Good</t>
        </is>
      </c>
      <c r="AU109" s="30">
        <f>IF(AT109="Good",10,0)</f>
        <v/>
      </c>
      <c r="AV109" s="30" t="inlineStr">
        <is>
          <t>Yes for more than 2 years</t>
        </is>
      </c>
      <c r="AW109" s="30">
        <f>IF(AV109="Yes for more than 2 years",10,IF(AV109="Yes only for next 1 to 2 years",5,0))</f>
        <v/>
      </c>
      <c r="AX109" s="30" t="inlineStr">
        <is>
          <t>Above 40</t>
        </is>
      </c>
      <c r="AY109" s="30">
        <f>IF(AX109="Above 40",20,IF(AX109="20 to 40",10,IF(AX109="0 to 20",-5,0)))</f>
        <v/>
      </c>
      <c r="AZ109" s="30" t="inlineStr">
        <is>
          <t>Between 50 to 75</t>
        </is>
      </c>
      <c r="BA109" s="30">
        <f>IF(AZ109="Between 50 to 75",10,IF(AZ109="Above 75",0,0))</f>
        <v/>
      </c>
      <c r="BB109" s="30" t="inlineStr">
        <is>
          <t>Stage 2</t>
        </is>
      </c>
      <c r="BC109" s="30">
        <f>IF(BB109="Stage 2",20,IF(BB109="Stage 1",0,IF(BB109="Stage 3",5,IF(BB109="Stage 4",-5,0))))</f>
        <v/>
      </c>
      <c r="BD109" s="30" t="inlineStr">
        <is>
          <t>Positive Trend</t>
        </is>
      </c>
      <c r="BE109" s="30">
        <f>IF(BD109="Positive Trend",20,IF(BD109="Negative Trend",-10,0))</f>
        <v/>
      </c>
      <c r="BF109" s="30" t="inlineStr">
        <is>
          <t>Uptrend</t>
        </is>
      </c>
      <c r="BG109" s="30">
        <f>IF(BF109="Uptrend",10,IF(BF109="Sideways",5,0))</f>
        <v/>
      </c>
      <c r="BH109" s="30" t="inlineStr">
        <is>
          <t>Uptrend</t>
        </is>
      </c>
      <c r="BI109" s="30">
        <f>IF(BH109="Uptrend",10,IF(BH109="Sideways",5,0))</f>
        <v/>
      </c>
      <c r="BJ109" s="30" t="inlineStr">
        <is>
          <t>Close to 52 week high or retracement</t>
        </is>
      </c>
      <c r="BK109" s="30">
        <f>IF(BJ109="Overhead supply in last 2 years in last 2 years",-5,IF(BJ109="Close to 52 week high or retracement",5,IF(BJ109="Blue sky scenario",10,IF(BJ109="Long term Downtrend",-10,0))))</f>
        <v/>
      </c>
      <c r="BL109" s="30" t="inlineStr">
        <is>
          <t>Yes</t>
        </is>
      </c>
      <c r="BM109" s="30">
        <f>IF(BL109="Yes",10,0)</f>
        <v/>
      </c>
      <c r="BN109" s="30" t="inlineStr">
        <is>
          <t>More than 20%</t>
        </is>
      </c>
      <c r="BO109" s="30">
        <f>IF(BN109="More than 20%",10,IF(BN109="Between 12 to 20%",5,IF(BN109="Less than 12%",0,0)))</f>
        <v/>
      </c>
      <c r="BP109" s="30" t="inlineStr">
        <is>
          <t>No</t>
        </is>
      </c>
      <c r="BQ109" s="30">
        <f>IF(BP109="No",10,0)</f>
        <v/>
      </c>
      <c r="BR109" s="30" t="inlineStr">
        <is>
          <t>Yes</t>
        </is>
      </c>
      <c r="BS109" s="30">
        <f>IF(BR109="NO",5,0)</f>
        <v/>
      </c>
      <c r="BT109" s="30" t="inlineStr">
        <is>
          <t>Less than 1.5</t>
        </is>
      </c>
      <c r="BU109" s="30">
        <f>IF(BT109="Above 2",0,IF(BT109="Between 1.5 to 2",5,IF(BT109="Less than 1.5",10,0)))</f>
        <v/>
      </c>
      <c r="BV109" s="30" t="inlineStr">
        <is>
          <t>Above 70%</t>
        </is>
      </c>
      <c r="BW109" s="30">
        <f>IF(BV109="Above 70%",10,IF(BV109="Between 50% to 70%",5,IF(BV109="Less than 50%",0,IF(BV109="Negative",-10,IF(BV109="Less than 50% and Borrowings are increasing",-5,0)))))</f>
        <v/>
      </c>
      <c r="BX109" s="30" t="inlineStr">
        <is>
          <t>Less than 0.7</t>
        </is>
      </c>
      <c r="BY109" s="30">
        <f>IF(BX109="More than 1.2",-10,IF(BX109="Between 0.7 to 1.2",0,IF(BX109="Less than 0.7",10,0)))</f>
        <v/>
      </c>
      <c r="BZ109" s="30" t="inlineStr">
        <is>
          <t>No</t>
        </is>
      </c>
      <c r="CA109" s="30">
        <f>IF(BZ109="Yes",-10,0)</f>
        <v/>
      </c>
      <c r="CB109" s="30" t="inlineStr">
        <is>
          <t>Less than 15%</t>
        </is>
      </c>
      <c r="CC109" s="30">
        <f>IF(CB109="More than 15%",-10,IF(CB109="Less than 15%",10,0))</f>
        <v/>
      </c>
      <c r="CD109" s="30" t="inlineStr">
        <is>
          <t>No</t>
        </is>
      </c>
      <c r="CE109" s="30">
        <f>IF(CD109="Yes, more than 10%",-10,IF(CD109="No",10,0))</f>
        <v/>
      </c>
    </row>
    <row r="110">
      <c r="A110" s="30">
        <f>IF(B110=0,"",RANK(B110,$B$2:$B$331,0))</f>
        <v/>
      </c>
      <c r="B110" s="31">
        <f>SUM(N110,Y110,AA110,AC110,AE110,AG110,AI110,AK110,AM110,AO110,AQ110,AS110,AU110,AW110,AY110,BA110,BC110,BE110,BG110,BI110,BK110,BM110,BO110,BQ110,BS110,BU110,BW110,BY110,CA110,CC110,CE110)</f>
        <v/>
      </c>
      <c r="C110" s="30" t="inlineStr">
        <is>
          <t>SUBEXLTD</t>
        </is>
      </c>
      <c r="D110" s="30" t="inlineStr">
        <is>
          <t>Subex Ltd</t>
        </is>
      </c>
      <c r="E110" s="30" t="inlineStr">
        <is>
          <t>i.t</t>
        </is>
      </c>
      <c r="F110" s="30" t="inlineStr">
        <is>
          <t>computers - software - medium / small</t>
        </is>
      </c>
      <c r="G110" s="30" t="inlineStr">
        <is>
          <t>smallcap</t>
        </is>
      </c>
      <c r="H110" s="31" t="n">
        <v>1056.57</v>
      </c>
      <c r="I110" s="31" t="n">
        <v>19.76</v>
      </c>
      <c r="J110" s="31" t="n">
        <v>5.11</v>
      </c>
      <c r="K110" s="31" t="n">
        <v>15258452</v>
      </c>
      <c r="L110" s="30" t="n">
        <v>83</v>
      </c>
      <c r="M110" s="30" t="inlineStr">
        <is>
          <t>Outperforming</t>
        </is>
      </c>
      <c r="N110" s="31">
        <f>IF(M110="Underperforming",-5,IF(L110&gt;=95,15,IF(L110&gt;=90,10,IF(L110&gt;=80,5,0))))</f>
        <v/>
      </c>
      <c r="O110" s="31" t="n">
        <v>74.42</v>
      </c>
      <c r="P110" s="31" t="n">
        <v>36.43</v>
      </c>
      <c r="Q110" s="31" t="n">
        <v>14.29</v>
      </c>
      <c r="R110" s="30" t="inlineStr">
        <is>
          <t>Volume Spike &amp; Near 52W High Breakout</t>
        </is>
      </c>
      <c r="S110" s="30" t="inlineStr">
        <is>
          <t>Nifty IT</t>
        </is>
      </c>
      <c r="T110" s="31" t="n">
        <v>-19.99</v>
      </c>
      <c r="U110" s="31" t="n">
        <v>53.65</v>
      </c>
      <c r="V110" s="31" t="n">
        <v>92.05</v>
      </c>
      <c r="W110" s="31" t="n">
        <v>33.08</v>
      </c>
      <c r="X110" s="30" t="inlineStr">
        <is>
          <t>Growing Industry</t>
        </is>
      </c>
      <c r="Y110" s="30">
        <f>IF(X110="Growing Industry",10,IF(X110="Cyclical in an Upturn",5,0))</f>
        <v/>
      </c>
      <c r="Z110" s="30" t="inlineStr">
        <is>
          <t>Too Many Players with High ROCE</t>
        </is>
      </c>
      <c r="AA110" s="30">
        <f>IF(Z110="Monopoly",10,IF(Z110="Oligopoly",5,IF(Z110="Duopoly that cooperate",10,IF(Z110="Duopoly that compete",5,IF(Z110="Too many players with High ROCE",5,0)))))</f>
        <v/>
      </c>
      <c r="AB110" s="30" t="inlineStr">
        <is>
          <t>No</t>
        </is>
      </c>
      <c r="AC110" s="30">
        <f>IF(AB110="No",5,0)</f>
        <v/>
      </c>
      <c r="AD110" s="30" t="inlineStr">
        <is>
          <t>Tailwind</t>
        </is>
      </c>
      <c r="AE110" s="30">
        <f>IF(AD110="Tailwind",10,0)</f>
        <v/>
      </c>
      <c r="AF110" s="30" t="inlineStr">
        <is>
          <t>Structural (10 Years Consistency)</t>
        </is>
      </c>
      <c r="AG110" s="30">
        <f>IF(AF110="Structural (10 Years Consistency)",10,IF(AF110="Shallow Cyclical (2 to 3 years growth)",5,0))</f>
        <v/>
      </c>
      <c r="AH110" s="30" t="inlineStr">
        <is>
          <t>No</t>
        </is>
      </c>
      <c r="AI110" s="30">
        <f>IF(AH110="Yes due to Product Mix change or Operating Leverage",10,IF(AH110="Yes, these are peak margins",-5,IF(AH110="No",5,0)))</f>
        <v/>
      </c>
      <c r="AJ110" s="30" t="inlineStr">
        <is>
          <t>Stable</t>
        </is>
      </c>
      <c r="AK110" s="30">
        <f>IF(AJ110="Stable",10,0)</f>
        <v/>
      </c>
      <c r="AL110" s="30" t="inlineStr">
        <is>
          <t>Yes</t>
        </is>
      </c>
      <c r="AM110" s="30">
        <f>IF(AL110="Yes",10,0)</f>
        <v/>
      </c>
      <c r="AN110" s="30" t="inlineStr">
        <is>
          <t>B2B</t>
        </is>
      </c>
      <c r="AO110" s="30">
        <f>IF(AN110="B2C",10,IF(AN110="B2B",5,0))</f>
        <v/>
      </c>
      <c r="AP110" s="30" t="inlineStr">
        <is>
          <t>Yes</t>
        </is>
      </c>
      <c r="AQ110" s="30">
        <f>IF(AP110="Yes",10,0)</f>
        <v/>
      </c>
      <c r="AR110" s="30" t="inlineStr">
        <is>
          <t>Higher Annuity, Lower One Time</t>
        </is>
      </c>
      <c r="AS110" s="30">
        <f>IF(AR110="Fully Annuity",10,IF(AR110="Higher Annuity, Lower One Time",5,IF(AR110="Higher One Time, Lower Annuity",3,0)))</f>
        <v/>
      </c>
      <c r="AT110" s="30" t="inlineStr">
        <is>
          <t>Good</t>
        </is>
      </c>
      <c r="AU110" s="30">
        <f>IF(AT110="Good",10,0)</f>
        <v/>
      </c>
      <c r="AV110" s="30" t="inlineStr">
        <is>
          <t>Yes for more than 2 years</t>
        </is>
      </c>
      <c r="AW110" s="30">
        <f>IF(AV110="Yes for more than 2 years",10,IF(AV110="Yes only for next 1 to 2 years",5,0))</f>
        <v/>
      </c>
      <c r="AX110" s="30" t="inlineStr">
        <is>
          <t>20 to 40</t>
        </is>
      </c>
      <c r="AY110" s="30">
        <f>IF(AX110="Above 40",20,IF(AX110="20 to 40",10,IF(AX110="0 to 20",-5,0)))</f>
        <v/>
      </c>
      <c r="AZ110" s="30" t="inlineStr">
        <is>
          <t>Between 50 to 75</t>
        </is>
      </c>
      <c r="BA110" s="30">
        <f>IF(AZ110="Between 50 to 75",10,IF(AZ110="Above 75",0,0))</f>
        <v/>
      </c>
      <c r="BB110" s="30" t="inlineStr">
        <is>
          <t>Stage 2</t>
        </is>
      </c>
      <c r="BC110" s="30">
        <f>IF(BB110="Stage 2",20,IF(BB110="Stage 1",0,IF(BB110="Stage 3",5,IF(BB110="Stage 4",-5,0))))</f>
        <v/>
      </c>
      <c r="BD110" s="30" t="inlineStr">
        <is>
          <t>Positive Trend</t>
        </is>
      </c>
      <c r="BE110" s="30">
        <f>IF(BD110="Positive Trend",20,IF(BD110="Negative Trend",-10,0))</f>
        <v/>
      </c>
      <c r="BF110" s="30" t="inlineStr">
        <is>
          <t>Uptrend</t>
        </is>
      </c>
      <c r="BG110" s="30">
        <f>IF(BF110="Uptrend",10,IF(BF110="Sideways",5,0))</f>
        <v/>
      </c>
      <c r="BH110" s="30" t="inlineStr">
        <is>
          <t>Uptrend</t>
        </is>
      </c>
      <c r="BI110" s="30">
        <f>IF(BH110="Uptrend",10,IF(BH110="Sideways",5,0))</f>
        <v/>
      </c>
      <c r="BJ110" s="30" t="inlineStr">
        <is>
          <t>Close to 52 week high or retracement</t>
        </is>
      </c>
      <c r="BK110" s="30">
        <f>IF(BJ110="Overhead supply in last 2 years in last 2 years",-5,IF(BJ110="Close to 52 week high or retracement",5,IF(BJ110="Blue sky scenario",10,IF(BJ110="Long term Downtrend",-10,0))))</f>
        <v/>
      </c>
      <c r="BL110" s="30" t="inlineStr">
        <is>
          <t>Yes</t>
        </is>
      </c>
      <c r="BM110" s="30">
        <f>IF(BL110="Yes",10,0)</f>
        <v/>
      </c>
      <c r="BN110" s="30" t="inlineStr">
        <is>
          <t>Between 12 to 20%</t>
        </is>
      </c>
      <c r="BO110" s="30">
        <f>IF(BN110="More than 20%",10,IF(BN110="Between 12 to 20%",5,IF(BN110="Less than 12%",0,0)))</f>
        <v/>
      </c>
      <c r="BP110" s="30" t="inlineStr">
        <is>
          <t>No</t>
        </is>
      </c>
      <c r="BQ110" s="30">
        <f>IF(BP110="No",10,0)</f>
        <v/>
      </c>
      <c r="BR110" s="30" t="inlineStr">
        <is>
          <t>No</t>
        </is>
      </c>
      <c r="BS110" s="30">
        <f>IF(BR110="NO",5,0)</f>
        <v/>
      </c>
      <c r="BT110" s="30" t="inlineStr">
        <is>
          <t>Above 2</t>
        </is>
      </c>
      <c r="BU110" s="30">
        <f>IF(BT110="Above 2",0,IF(BT110="Between 1.5 to 2",5,IF(BT110="Less than 1.5",10,0)))</f>
        <v/>
      </c>
      <c r="BV110" s="30" t="inlineStr">
        <is>
          <t>Above 70%</t>
        </is>
      </c>
      <c r="BW110" s="30">
        <f>IF(BV110="Above 70%",10,IF(BV110="Between 50% to 70%",5,IF(BV110="Less than 50%",0,IF(BV110="Negative",-10,IF(BV110="Less than 50% and Borrowings are increasing",-5,0)))))</f>
        <v/>
      </c>
      <c r="BX110" s="30" t="inlineStr">
        <is>
          <t>Less than 0.7</t>
        </is>
      </c>
      <c r="BY110" s="30">
        <f>IF(BX110="More than 1.2",-10,IF(BX110="Between 0.7 to 1.2",0,IF(BX110="Less than 0.7",10,0)))</f>
        <v/>
      </c>
      <c r="BZ110" s="30" t="inlineStr">
        <is>
          <t>No</t>
        </is>
      </c>
      <c r="CA110" s="30">
        <f>IF(BZ110="Yes",-10,0)</f>
        <v/>
      </c>
      <c r="CB110" s="30" t="inlineStr">
        <is>
          <t>Less than 15%</t>
        </is>
      </c>
      <c r="CC110" s="30">
        <f>IF(CB110="More than 15%",-10,IF(CB110="Less than 15%",10,0))</f>
        <v/>
      </c>
      <c r="CD110" s="30" t="inlineStr">
        <is>
          <t>No</t>
        </is>
      </c>
      <c r="CE110" s="30">
        <f>IF(CD110="Yes, more than 10%",-10,IF(CD110="No",10,0))</f>
        <v/>
      </c>
    </row>
    <row r="111">
      <c r="A111" s="30">
        <f>IF(B111=0,"",RANK(B111,$B$2:$B$331,0))</f>
        <v/>
      </c>
      <c r="B111" s="31">
        <f>SUM(N111,Y111,AA111,AC111,AE111,AG111,AI111,AK111,AM111,AO111,AQ111,AS111,AU111,AW111,AY111,BA111,BC111,BE111,BG111,BI111,BK111,BM111,BO111,BQ111,BS111,BU111,BW111,BY111,CA111,CC111,CE111)</f>
        <v/>
      </c>
      <c r="C111" s="30" t="inlineStr">
        <is>
          <t>TASTYBITE</t>
        </is>
      </c>
      <c r="D111" s="30" t="inlineStr">
        <is>
          <t>Tasty Bite Eatables Ltd</t>
        </is>
      </c>
      <c r="E111" s="30" t="inlineStr">
        <is>
          <t>fmcg</t>
        </is>
      </c>
      <c r="F111" s="30" t="inlineStr">
        <is>
          <t>food - processing - indian</t>
        </is>
      </c>
      <c r="G111" s="30" t="inlineStr">
        <is>
          <t>smallcap</t>
        </is>
      </c>
      <c r="H111" s="31" t="n">
        <v>2520.84</v>
      </c>
      <c r="I111" s="31" t="n">
        <v>10201</v>
      </c>
      <c r="J111" s="31" t="n">
        <v>3.84</v>
      </c>
      <c r="K111" s="31" t="n">
        <v>6020</v>
      </c>
      <c r="L111" s="30" t="n">
        <v>35</v>
      </c>
      <c r="M111" s="30" t="inlineStr">
        <is>
          <t>Outperforming</t>
        </is>
      </c>
      <c r="N111" s="31">
        <f>IF(M111="Underperforming",-5,IF(L111&gt;=95,15,IF(L111&gt;=90,10,IF(L111&gt;=80,5,0))))</f>
        <v/>
      </c>
      <c r="O111" s="31" t="n">
        <v>71.73</v>
      </c>
      <c r="P111" s="31" t="n">
        <v>51.72</v>
      </c>
      <c r="Q111" s="31" t="n">
        <v>8043.65</v>
      </c>
      <c r="R111" s="30" t="inlineStr">
        <is>
          <t>Near 52W High Breakout</t>
        </is>
      </c>
      <c r="S111" s="30" t="inlineStr">
        <is>
          <t>Nifty FMCG</t>
        </is>
      </c>
      <c r="T111" s="31" t="n">
        <v>-17.21</v>
      </c>
      <c r="U111" s="31" t="n">
        <v>-5.3</v>
      </c>
      <c r="V111" s="31" t="n">
        <v>14.39</v>
      </c>
      <c r="W111" s="31" t="n">
        <v>10.78</v>
      </c>
      <c r="X111" s="30" t="inlineStr">
        <is>
          <t>Growing Industry</t>
        </is>
      </c>
      <c r="Y111" s="30">
        <f>IF(X111="Growing Industry",10,IF(X111="Cyclical in an Upturn",5,0))</f>
        <v/>
      </c>
      <c r="Z111" s="30" t="inlineStr">
        <is>
          <t>Too Many Players with High ROCE</t>
        </is>
      </c>
      <c r="AA111" s="30">
        <f>IF(Z111="Monopoly",10,IF(Z111="Oligopoly",5,IF(Z111="Duopoly that cooperate",10,IF(Z111="Duopoly that compete",5,IF(Z111="Too many players with High ROCE",5,0)))))</f>
        <v/>
      </c>
      <c r="AB111" s="30" t="inlineStr">
        <is>
          <t>No</t>
        </is>
      </c>
      <c r="AC111" s="30">
        <f>IF(AB111="No",5,0)</f>
        <v/>
      </c>
      <c r="AD111" s="30" t="inlineStr">
        <is>
          <t>Tailwind</t>
        </is>
      </c>
      <c r="AE111" s="30">
        <f>IF(AD111="Tailwind",10,0)</f>
        <v/>
      </c>
      <c r="AF111" s="30" t="inlineStr">
        <is>
          <t>Structural (10 Years Consistency)</t>
        </is>
      </c>
      <c r="AG111" s="30">
        <f>IF(AF111="Structural (10 Years Consistency)",10,IF(AF111="Shallow Cyclical (2 to 3 years growth)",5,0))</f>
        <v/>
      </c>
      <c r="AH111" s="30" t="inlineStr">
        <is>
          <t>No</t>
        </is>
      </c>
      <c r="AI111" s="30">
        <f>IF(AH111="Yes due to Product Mix change or Operating Leverage",10,IF(AH111="Yes, these are peak margins",-5,IF(AH111="No",5,0)))</f>
        <v/>
      </c>
      <c r="AJ111" s="30" t="inlineStr">
        <is>
          <t>Stable</t>
        </is>
      </c>
      <c r="AK111" s="30">
        <f>IF(AJ111="Stable",10,0)</f>
        <v/>
      </c>
      <c r="AL111" s="30" t="inlineStr">
        <is>
          <t>Yes</t>
        </is>
      </c>
      <c r="AM111" s="30">
        <f>IF(AL111="Yes",10,0)</f>
        <v/>
      </c>
      <c r="AN111" s="30" t="inlineStr">
        <is>
          <t>B2C</t>
        </is>
      </c>
      <c r="AO111" s="30">
        <f>IF(AN111="B2C",10,IF(AN111="B2B",5,0))</f>
        <v/>
      </c>
      <c r="AP111" s="30" t="inlineStr">
        <is>
          <t>Yes</t>
        </is>
      </c>
      <c r="AQ111" s="30">
        <f>IF(AP111="Yes",10,0)</f>
        <v/>
      </c>
      <c r="AR111" s="30" t="inlineStr">
        <is>
          <t>Higher Annuity, Lower One Time</t>
        </is>
      </c>
      <c r="AS111" s="30">
        <f>IF(AR111="Fully Annuity",10,IF(AR111="Higher Annuity, Lower One Time",5,IF(AR111="Higher One Time, Lower Annuity",3,0)))</f>
        <v/>
      </c>
      <c r="AT111" s="30" t="inlineStr">
        <is>
          <t>Good</t>
        </is>
      </c>
      <c r="AU111" s="30">
        <f>IF(AT111="Good",10,0)</f>
        <v/>
      </c>
      <c r="AV111" s="30" t="inlineStr">
        <is>
          <t>Yes for more than 2 years</t>
        </is>
      </c>
      <c r="AW111" s="30">
        <f>IF(AV111="Yes for more than 2 years",10,IF(AV111="Yes only for next 1 to 2 years",5,0))</f>
        <v/>
      </c>
      <c r="AX111" s="30" t="inlineStr">
        <is>
          <t>Above 40</t>
        </is>
      </c>
      <c r="AY111" s="30">
        <f>IF(AX111="Above 40",20,IF(AX111="20 to 40",10,IF(AX111="0 to 20",-5,0)))</f>
        <v/>
      </c>
      <c r="AZ111" s="30" t="inlineStr">
        <is>
          <t>Between 50 to 75</t>
        </is>
      </c>
      <c r="BA111" s="30">
        <f>IF(AZ111="Between 50 to 75",10,IF(AZ111="Above 75",0,0))</f>
        <v/>
      </c>
      <c r="BB111" s="30" t="inlineStr">
        <is>
          <t>Stage 2</t>
        </is>
      </c>
      <c r="BC111" s="30">
        <f>IF(BB111="Stage 2",20,IF(BB111="Stage 1",0,IF(BB111="Stage 3",5,IF(BB111="Stage 4",-5,0))))</f>
        <v/>
      </c>
      <c r="BD111" s="30" t="inlineStr">
        <is>
          <t>Positive Trend</t>
        </is>
      </c>
      <c r="BE111" s="30">
        <f>IF(BD111="Positive Trend",20,IF(BD111="Negative Trend",-10,0))</f>
        <v/>
      </c>
      <c r="BF111" s="30" t="inlineStr">
        <is>
          <t>Uptrend</t>
        </is>
      </c>
      <c r="BG111" s="30">
        <f>IF(BF111="Uptrend",10,IF(BF111="Sideways",5,0))</f>
        <v/>
      </c>
      <c r="BH111" s="30" t="inlineStr">
        <is>
          <t>Uptrend</t>
        </is>
      </c>
      <c r="BI111" s="30">
        <f>IF(BH111="Uptrend",10,IF(BH111="Sideways",5,0))</f>
        <v/>
      </c>
      <c r="BJ111" s="30" t="inlineStr">
        <is>
          <t>Close to 52 week high or retracement</t>
        </is>
      </c>
      <c r="BK111" s="30">
        <f>IF(BJ111="Overhead supply in last 2 years in last 2 years",-5,IF(BJ111="Close to 52 week high or retracement",5,IF(BJ111="Blue sky scenario",10,IF(BJ111="Long term Downtrend",-10,0))))</f>
        <v/>
      </c>
      <c r="BL111" s="30" t="inlineStr">
        <is>
          <t>Yes</t>
        </is>
      </c>
      <c r="BM111" s="30">
        <f>IF(BL111="Yes",10,0)</f>
        <v/>
      </c>
      <c r="BN111" s="30" t="inlineStr">
        <is>
          <t>Less than 12%</t>
        </is>
      </c>
      <c r="BO111" s="30">
        <f>IF(BN111="More than 20%",10,IF(BN111="Between 12 to 20%",5,IF(BN111="Less than 12%",0,0)))</f>
        <v/>
      </c>
      <c r="BP111" s="30" t="inlineStr">
        <is>
          <t>No</t>
        </is>
      </c>
      <c r="BQ111" s="30">
        <f>IF(BP111="No",10,0)</f>
        <v/>
      </c>
      <c r="BR111" s="30" t="inlineStr">
        <is>
          <t>Yes</t>
        </is>
      </c>
      <c r="BS111" s="30">
        <f>IF(BR111="NO",5,0)</f>
        <v/>
      </c>
      <c r="BT111" s="30" t="inlineStr">
        <is>
          <t>Above 2</t>
        </is>
      </c>
      <c r="BU111" s="30">
        <f>IF(BT111="Above 2",0,IF(BT111="Between 1.5 to 2",5,IF(BT111="Less than 1.5",10,0)))</f>
        <v/>
      </c>
      <c r="BV111" s="30" t="inlineStr">
        <is>
          <t>Above 70%</t>
        </is>
      </c>
      <c r="BW111" s="30">
        <f>IF(BV111="Above 70%",10,IF(BV111="Between 50% to 70%",5,IF(BV111="Less than 50%",0,IF(BV111="Negative",-10,IF(BV111="Less than 50% and Borrowings are increasing",-5,0)))))</f>
        <v/>
      </c>
      <c r="BX111" s="30" t="inlineStr">
        <is>
          <t>Less than 0.7</t>
        </is>
      </c>
      <c r="BY111" s="30">
        <f>IF(BX111="More than 1.2",-10,IF(BX111="Between 0.7 to 1.2",0,IF(BX111="Less than 0.7",10,0)))</f>
        <v/>
      </c>
      <c r="BZ111" s="30" t="inlineStr">
        <is>
          <t>No</t>
        </is>
      </c>
      <c r="CA111" s="30">
        <f>IF(BZ111="Yes",-10,0)</f>
        <v/>
      </c>
      <c r="CB111" s="30" t="inlineStr">
        <is>
          <t>Less than 15%</t>
        </is>
      </c>
      <c r="CC111" s="30">
        <f>IF(CB111="More than 15%",-10,IF(CB111="Less than 15%",10,0))</f>
        <v/>
      </c>
      <c r="CD111" s="30" t="inlineStr">
        <is>
          <t>No</t>
        </is>
      </c>
      <c r="CE111" s="30">
        <f>IF(CD111="Yes, more than 10%",-10,IF(CD111="No",10,0))</f>
        <v/>
      </c>
    </row>
    <row r="112">
      <c r="A112" s="30">
        <f>IF(B112=0,"",RANK(B112,$B$2:$B$331,0))</f>
        <v/>
      </c>
      <c r="B112" s="31">
        <f>SUM(N112,Y112,AA112,AC112,AE112,AG112,AI112,AK112,AM112,AO112,AQ112,AS112,AU112,AW112,AY112,BA112,BC112,BE112,BG112,BI112,BK112,BM112,BO112,BQ112,BS112,BU112,BW112,BY112,CA112,CC112,CE112)</f>
        <v/>
      </c>
      <c r="C112" s="32" t="inlineStr">
        <is>
          <t>SOLARA</t>
        </is>
      </c>
      <c r="D112" s="32" t="inlineStr">
        <is>
          <t>Solara Active Pharma Sciences Ltd</t>
        </is>
      </c>
      <c r="E112" s="30" t="inlineStr">
        <is>
          <t>healthcare</t>
        </is>
      </c>
      <c r="F112" s="30" t="inlineStr">
        <is>
          <t>pharmaceuticals - indian - bulk drugs &amp; formln</t>
        </is>
      </c>
      <c r="G112" s="30" t="inlineStr">
        <is>
          <t>smallcap</t>
        </is>
      </c>
      <c r="H112" s="31" t="n">
        <v>3331.39</v>
      </c>
      <c r="I112" s="31" t="n">
        <v>707.25</v>
      </c>
      <c r="J112" s="31" t="n">
        <v>2.43</v>
      </c>
      <c r="K112" s="31" t="n">
        <v>1463549</v>
      </c>
      <c r="L112" s="30" t="n">
        <v>21</v>
      </c>
      <c r="M112" s="30" t="inlineStr">
        <is>
          <t>Underperforming</t>
        </is>
      </c>
      <c r="N112" s="31">
        <f>IF(M112="Underperforming",-5,IF(L112&gt;=95,15,IF(L112&gt;=90,10,IF(L112&gt;=80,5,0))))</f>
        <v/>
      </c>
      <c r="O112" s="31" t="n">
        <v>69.09999999999999</v>
      </c>
      <c r="P112" s="31" t="n">
        <v>28.38</v>
      </c>
      <c r="Q112" s="31" t="n">
        <v>525.61</v>
      </c>
      <c r="R112" s="30" t="inlineStr">
        <is>
          <t>Volume Spike &amp; Near 52W High Breakout</t>
        </is>
      </c>
      <c r="S112" s="30" t="inlineStr">
        <is>
          <t>Nifty Pharma</t>
        </is>
      </c>
      <c r="T112" s="31" t="n">
        <v>18.86</v>
      </c>
      <c r="U112" s="31" t="n">
        <v>4.38</v>
      </c>
      <c r="V112" s="31" t="n">
        <v>-12.18</v>
      </c>
      <c r="W112" s="31" t="n">
        <v>6.45</v>
      </c>
      <c r="X112" s="30" t="inlineStr">
        <is>
          <t>Growing Industry</t>
        </is>
      </c>
      <c r="Y112" s="30">
        <f>IF(X112="Growing Industry",10,IF(X112="Cyclical in an Upturn",5,0))</f>
        <v/>
      </c>
      <c r="Z112" s="30" t="inlineStr">
        <is>
          <t>Too Many Players with High ROCE</t>
        </is>
      </c>
      <c r="AA112" s="30">
        <f>IF(Z112="Monopoly",10,IF(Z112="Oligopoly",5,IF(Z112="Duopoly that cooperate",10,IF(Z112="Duopoly that compete",5,IF(Z112="Too many players with High ROCE",5,0)))))</f>
        <v/>
      </c>
      <c r="AB112" s="30" t="inlineStr">
        <is>
          <t>Yes</t>
        </is>
      </c>
      <c r="AC112" s="30">
        <f>IF(AB112="No",5,0)</f>
        <v/>
      </c>
      <c r="AD112" s="30" t="inlineStr">
        <is>
          <t>Tailwind</t>
        </is>
      </c>
      <c r="AE112" s="30">
        <f>IF(AD112="Tailwind",10,0)</f>
        <v/>
      </c>
      <c r="AF112" s="30" t="inlineStr">
        <is>
          <t>Structural (10 Years Consistency)</t>
        </is>
      </c>
      <c r="AG112" s="30">
        <f>IF(AF112="Structural (10 Years Consistency)",10,IF(AF112="Shallow Cyclical (2 to 3 years growth)",5,0))</f>
        <v/>
      </c>
      <c r="AH112" s="30" t="inlineStr">
        <is>
          <t>No</t>
        </is>
      </c>
      <c r="AI112" s="30">
        <f>IF(AH112="Yes due to Product Mix change or Operating Leverage",10,IF(AH112="Yes, these are peak margins",-5,IF(AH112="No",5,0)))</f>
        <v/>
      </c>
      <c r="AJ112" s="30" t="inlineStr">
        <is>
          <t>Stable</t>
        </is>
      </c>
      <c r="AK112" s="30">
        <f>IF(AJ112="Stable",10,0)</f>
        <v/>
      </c>
      <c r="AL112" s="30" t="inlineStr">
        <is>
          <t>Yes</t>
        </is>
      </c>
      <c r="AM112" s="30">
        <f>IF(AL112="Yes",10,0)</f>
        <v/>
      </c>
      <c r="AN112" s="30" t="inlineStr">
        <is>
          <t>B2B</t>
        </is>
      </c>
      <c r="AO112" s="30">
        <f>IF(AN112="B2C",10,IF(AN112="B2B",5,0))</f>
        <v/>
      </c>
      <c r="AP112" s="30" t="inlineStr">
        <is>
          <t>Yes</t>
        </is>
      </c>
      <c r="AQ112" s="30">
        <f>IF(AP112="Yes",10,0)</f>
        <v/>
      </c>
      <c r="AR112" s="30" t="inlineStr">
        <is>
          <t>Higher Annuity, Lower One Time</t>
        </is>
      </c>
      <c r="AS112" s="30">
        <f>IF(AR112="Fully Annuity",10,IF(AR112="Higher Annuity, Lower One Time",5,IF(AR112="Higher One Time, Lower Annuity",3,0)))</f>
        <v/>
      </c>
      <c r="AT112" s="30" t="inlineStr">
        <is>
          <t>Good</t>
        </is>
      </c>
      <c r="AU112" s="30">
        <f>IF(AT112="Good",10,0)</f>
        <v/>
      </c>
      <c r="AV112" s="30" t="inlineStr">
        <is>
          <t>Yes for more than 2 years</t>
        </is>
      </c>
      <c r="AW112" s="30">
        <f>IF(AV112="Yes for more than 2 years",10,IF(AV112="Yes only for next 1 to 2 years",5,0))</f>
        <v/>
      </c>
      <c r="AX112" s="30" t="inlineStr">
        <is>
          <t>20 to 40</t>
        </is>
      </c>
      <c r="AY112" s="30">
        <f>IF(AX112="Above 40",20,IF(AX112="20 to 40",10,IF(AX112="0 to 20",-5,0)))</f>
        <v/>
      </c>
      <c r="AZ112" s="30" t="inlineStr">
        <is>
          <t>Between 50 to 75</t>
        </is>
      </c>
      <c r="BA112" s="30">
        <f>IF(AZ112="Between 50 to 75",10,IF(AZ112="Above 75",0,0))</f>
        <v/>
      </c>
      <c r="BB112" s="30" t="inlineStr">
        <is>
          <t>Stage 2</t>
        </is>
      </c>
      <c r="BC112" s="30">
        <f>IF(BB112="Stage 2",20,IF(BB112="Stage 1",0,IF(BB112="Stage 3",5,IF(BB112="Stage 4",-5,0))))</f>
        <v/>
      </c>
      <c r="BD112" s="30" t="inlineStr">
        <is>
          <t>Positive Trend</t>
        </is>
      </c>
      <c r="BE112" s="30">
        <f>IF(BD112="Positive Trend",20,IF(BD112="Negative Trend",-10,0))</f>
        <v/>
      </c>
      <c r="BF112" s="30" t="inlineStr">
        <is>
          <t>Uptrend</t>
        </is>
      </c>
      <c r="BG112" s="30">
        <f>IF(BF112="Uptrend",10,IF(BF112="Sideways",5,0))</f>
        <v/>
      </c>
      <c r="BH112" s="30" t="inlineStr">
        <is>
          <t>Uptrend</t>
        </is>
      </c>
      <c r="BI112" s="30">
        <f>IF(BH112="Uptrend",10,IF(BH112="Sideways",5,0))</f>
        <v/>
      </c>
      <c r="BJ112" s="30" t="inlineStr">
        <is>
          <t>Close to 52 week high or retracement</t>
        </is>
      </c>
      <c r="BK112" s="30">
        <f>IF(BJ112="Overhead supply in last 2 years in last 2 years",-5,IF(BJ112="Close to 52 week high or retracement",5,IF(BJ112="Blue sky scenario",10,IF(BJ112="Long term Downtrend",-10,0))))</f>
        <v/>
      </c>
      <c r="BL112" s="30" t="inlineStr">
        <is>
          <t>Yes</t>
        </is>
      </c>
      <c r="BM112" s="30">
        <f>IF(BL112="Yes",10,0)</f>
        <v/>
      </c>
      <c r="BN112" s="30" t="inlineStr">
        <is>
          <t>More than 20%</t>
        </is>
      </c>
      <c r="BO112" s="30">
        <f>IF(BN112="More than 20%",10,IF(BN112="Between 12 to 20%",5,IF(BN112="Less than 12%",0,0)))</f>
        <v/>
      </c>
      <c r="BP112" s="30" t="inlineStr">
        <is>
          <t>No</t>
        </is>
      </c>
      <c r="BQ112" s="30">
        <f>IF(BP112="No",10,0)</f>
        <v/>
      </c>
      <c r="BR112" s="30" t="inlineStr">
        <is>
          <t>No</t>
        </is>
      </c>
      <c r="BS112" s="30">
        <f>IF(BR112="NO",5,0)</f>
        <v/>
      </c>
      <c r="BT112" s="30" t="inlineStr">
        <is>
          <t>Less than 1.5</t>
        </is>
      </c>
      <c r="BU112" s="30">
        <f>IF(BT112="Above 2",0,IF(BT112="Between 1.5 to 2",5,IF(BT112="Less than 1.5",10,0)))</f>
        <v/>
      </c>
      <c r="BV112" s="30" t="inlineStr">
        <is>
          <t>Above 70%</t>
        </is>
      </c>
      <c r="BW112" s="30">
        <f>IF(BV112="Above 70%",10,IF(BV112="Between 50% to 70%",5,IF(BV112="Less than 50%",0,IF(BV112="Negative",-10,IF(BV112="Less than 50% and Borrowings are increasing",-5,0)))))</f>
        <v/>
      </c>
      <c r="BX112" s="30" t="inlineStr">
        <is>
          <t>Less than 0.7</t>
        </is>
      </c>
      <c r="BY112" s="30">
        <f>IF(BX112="More than 1.2",-10,IF(BX112="Between 0.7 to 1.2",0,IF(BX112="Less than 0.7",10,0)))</f>
        <v/>
      </c>
      <c r="BZ112" s="30" t="inlineStr">
        <is>
          <t>No</t>
        </is>
      </c>
      <c r="CA112" s="30">
        <f>IF(BZ112="Yes",-10,0)</f>
        <v/>
      </c>
      <c r="CB112" s="30" t="inlineStr">
        <is>
          <t>Less than 15%</t>
        </is>
      </c>
      <c r="CC112" s="30">
        <f>IF(CB112="More than 15%",-10,IF(CB112="Less than 15%",10,0))</f>
        <v/>
      </c>
      <c r="CD112" s="30" t="inlineStr">
        <is>
          <t>No</t>
        </is>
      </c>
      <c r="CE112" s="30">
        <f>IF(CD112="Yes, more than 10%",-10,IF(CD112="No",10,0))</f>
        <v/>
      </c>
    </row>
    <row r="113">
      <c r="A113" s="30">
        <f>IF(B113=0,"",RANK(B113,$B$2:$B$331,0))</f>
        <v/>
      </c>
      <c r="B113" s="31">
        <f>SUM(N113,Y113,AA113,AC113,AE113,AG113,AI113,AK113,AM113,AO113,AQ113,AS113,AU113,AW113,AY113,BA113,BC113,BE113,BG113,BI113,BK113,BM113,BO113,BQ113,BS113,BU113,BW113,BY113,CA113,CC113,CE113)</f>
        <v/>
      </c>
      <c r="C113" s="30" t="inlineStr">
        <is>
          <t>ZYDUSWELL</t>
        </is>
      </c>
      <c r="D113" s="30" t="inlineStr">
        <is>
          <t>Zydus Wellness Limited</t>
        </is>
      </c>
      <c r="E113" s="30" t="inlineStr">
        <is>
          <t>fmcg</t>
        </is>
      </c>
      <c r="F113" s="30" t="inlineStr">
        <is>
          <t>food - processing - indian</t>
        </is>
      </c>
      <c r="G113" s="30" t="inlineStr">
        <is>
          <t>midcap</t>
        </is>
      </c>
      <c r="H113" s="31" t="n">
        <v>17632.47</v>
      </c>
      <c r="I113" s="31" t="n">
        <v>566.3</v>
      </c>
      <c r="J113" s="31" t="n">
        <v>2.18</v>
      </c>
      <c r="K113" s="31" t="n">
        <v>368281</v>
      </c>
      <c r="L113" s="30" t="n">
        <v>33</v>
      </c>
      <c r="M113" s="30" t="inlineStr">
        <is>
          <t>Outperforming</t>
        </is>
      </c>
      <c r="N113" s="31">
        <f>IF(M113="Underperforming",-5,IF(L113&gt;=95,15,IF(L113&gt;=90,10,IF(L113&gt;=80,5,0))))</f>
        <v/>
      </c>
      <c r="O113" s="31" t="n">
        <v>60.01</v>
      </c>
      <c r="P113" s="31" t="n">
        <v>41.29</v>
      </c>
      <c r="Q113" s="31" t="n">
        <v>470.62</v>
      </c>
      <c r="R113" s="30" t="inlineStr">
        <is>
          <t>Volume Spike / Accumulation</t>
        </is>
      </c>
      <c r="S113" s="30" t="inlineStr">
        <is>
          <t>Nifty FMCG</t>
        </is>
      </c>
      <c r="T113" s="31" t="n">
        <v>-17.21</v>
      </c>
      <c r="U113" s="31" t="n">
        <v>34.94</v>
      </c>
      <c r="V113" s="31" t="n">
        <v>62.99</v>
      </c>
      <c r="W113" s="31" t="n">
        <v>10.02</v>
      </c>
      <c r="X113" s="30" t="inlineStr">
        <is>
          <t>Growing Industry</t>
        </is>
      </c>
      <c r="Y113" s="30">
        <f>IF(X113="Growing Industry",10,IF(X113="Cyclical in an Upturn",5,0))</f>
        <v/>
      </c>
      <c r="Z113" s="30" t="inlineStr">
        <is>
          <t>Too Many Players with High ROCE</t>
        </is>
      </c>
      <c r="AA113" s="30">
        <f>IF(Z113="Monopoly",10,IF(Z113="Oligopoly",5,IF(Z113="Duopoly that cooperate",10,IF(Z113="Duopoly that compete",5,IF(Z113="Too many players with High ROCE",5,0)))))</f>
        <v/>
      </c>
      <c r="AB113" s="30" t="inlineStr">
        <is>
          <t>No</t>
        </is>
      </c>
      <c r="AC113" s="30">
        <f>IF(AB113="No",5,0)</f>
        <v/>
      </c>
      <c r="AD113" s="30" t="inlineStr">
        <is>
          <t>Tailwind</t>
        </is>
      </c>
      <c r="AE113" s="30">
        <f>IF(AD113="Tailwind",10,0)</f>
        <v/>
      </c>
      <c r="AF113" s="30" t="inlineStr">
        <is>
          <t>Structural (10 Years Consistency)</t>
        </is>
      </c>
      <c r="AG113" s="30">
        <f>IF(AF113="Structural (10 Years Consistency)",10,IF(AF113="Shallow Cyclical (2 to 3 years growth)",5,0))</f>
        <v/>
      </c>
      <c r="AH113" s="30" t="inlineStr">
        <is>
          <t>No</t>
        </is>
      </c>
      <c r="AI113" s="30">
        <f>IF(AH113="Yes due to Product Mix change or Operating Leverage",10,IF(AH113="Yes, these are peak margins",-5,IF(AH113="No",5,0)))</f>
        <v/>
      </c>
      <c r="AJ113" s="30" t="inlineStr">
        <is>
          <t>Stable</t>
        </is>
      </c>
      <c r="AK113" s="30">
        <f>IF(AJ113="Stable",10,0)</f>
        <v/>
      </c>
      <c r="AL113" s="30" t="inlineStr">
        <is>
          <t>Yes</t>
        </is>
      </c>
      <c r="AM113" s="30">
        <f>IF(AL113="Yes",10,0)</f>
        <v/>
      </c>
      <c r="AN113" s="30" t="inlineStr">
        <is>
          <t>B2C</t>
        </is>
      </c>
      <c r="AO113" s="30">
        <f>IF(AN113="B2C",10,IF(AN113="B2B",5,0))</f>
        <v/>
      </c>
      <c r="AP113" s="30" t="inlineStr">
        <is>
          <t>Yes</t>
        </is>
      </c>
      <c r="AQ113" s="30">
        <f>IF(AP113="Yes",10,0)</f>
        <v/>
      </c>
      <c r="AR113" s="30" t="inlineStr">
        <is>
          <t>Higher Annuity, Lower One Time</t>
        </is>
      </c>
      <c r="AS113" s="30">
        <f>IF(AR113="Fully Annuity",10,IF(AR113="Higher Annuity, Lower One Time",5,IF(AR113="Higher One Time, Lower Annuity",3,0)))</f>
        <v/>
      </c>
      <c r="AT113" s="30" t="inlineStr">
        <is>
          <t>Good</t>
        </is>
      </c>
      <c r="AU113" s="30">
        <f>IF(AT113="Good",10,0)</f>
        <v/>
      </c>
      <c r="AV113" s="30" t="inlineStr">
        <is>
          <t>Yes for more than 2 years</t>
        </is>
      </c>
      <c r="AW113" s="30">
        <f>IF(AV113="Yes for more than 2 years",10,IF(AV113="Yes only for next 1 to 2 years",5,0))</f>
        <v/>
      </c>
      <c r="AX113" s="30" t="inlineStr">
        <is>
          <t>Above 40</t>
        </is>
      </c>
      <c r="AY113" s="30">
        <f>IF(AX113="Above 40",20,IF(AX113="20 to 40",10,IF(AX113="0 to 20",-5,0)))</f>
        <v/>
      </c>
      <c r="AZ113" s="30" t="inlineStr">
        <is>
          <t>Between 50 to 75</t>
        </is>
      </c>
      <c r="BA113" s="30">
        <f>IF(AZ113="Between 50 to 75",10,IF(AZ113="Above 75",0,0))</f>
        <v/>
      </c>
      <c r="BB113" s="30" t="inlineStr">
        <is>
          <t>Stage 2</t>
        </is>
      </c>
      <c r="BC113" s="30">
        <f>IF(BB113="Stage 2",20,IF(BB113="Stage 1",0,IF(BB113="Stage 3",5,IF(BB113="Stage 4",-5,0))))</f>
        <v/>
      </c>
      <c r="BD113" s="30" t="inlineStr">
        <is>
          <t>Positive Trend</t>
        </is>
      </c>
      <c r="BE113" s="30">
        <f>IF(BD113="Positive Trend",20,IF(BD113="Negative Trend",-10,0))</f>
        <v/>
      </c>
      <c r="BF113" s="30" t="inlineStr">
        <is>
          <t>Uptrend</t>
        </is>
      </c>
      <c r="BG113" s="30">
        <f>IF(BF113="Uptrend",10,IF(BF113="Sideways",5,0))</f>
        <v/>
      </c>
      <c r="BH113" s="30" t="inlineStr">
        <is>
          <t>Uptrend</t>
        </is>
      </c>
      <c r="BI113" s="30">
        <f>IF(BH113="Uptrend",10,IF(BH113="Sideways",5,0))</f>
        <v/>
      </c>
      <c r="BJ113" s="30" t="inlineStr">
        <is>
          <t>Close to 52 week high or retracement</t>
        </is>
      </c>
      <c r="BK113" s="30">
        <f>IF(BJ113="Overhead supply in last 2 years in last 2 years",-5,IF(BJ113="Close to 52 week high or retracement",5,IF(BJ113="Blue sky scenario",10,IF(BJ113="Long term Downtrend",-10,0))))</f>
        <v/>
      </c>
      <c r="BL113" s="30" t="inlineStr">
        <is>
          <t>Yes</t>
        </is>
      </c>
      <c r="BM113" s="30">
        <f>IF(BL113="Yes",10,0)</f>
        <v/>
      </c>
      <c r="BN113" s="30" t="inlineStr">
        <is>
          <t>Less than 12%</t>
        </is>
      </c>
      <c r="BO113" s="30">
        <f>IF(BN113="More than 20%",10,IF(BN113="Between 12 to 20%",5,IF(BN113="Less than 12%",0,0)))</f>
        <v/>
      </c>
      <c r="BP113" s="30" t="inlineStr">
        <is>
          <t>No</t>
        </is>
      </c>
      <c r="BQ113" s="30">
        <f>IF(BP113="No",10,0)</f>
        <v/>
      </c>
      <c r="BR113" s="30" t="inlineStr">
        <is>
          <t>Yes</t>
        </is>
      </c>
      <c r="BS113" s="30">
        <f>IF(BR113="NO",5,0)</f>
        <v/>
      </c>
      <c r="BT113" s="30" t="inlineStr">
        <is>
          <t>Above 2</t>
        </is>
      </c>
      <c r="BU113" s="30">
        <f>IF(BT113="Above 2",0,IF(BT113="Between 1.5 to 2",5,IF(BT113="Less than 1.5",10,0)))</f>
        <v/>
      </c>
      <c r="BV113" s="30" t="inlineStr">
        <is>
          <t>Above 70%</t>
        </is>
      </c>
      <c r="BW113" s="30">
        <f>IF(BV113="Above 70%",10,IF(BV113="Between 50% to 70%",5,IF(BV113="Less than 50%",0,IF(BV113="Negative",-10,IF(BV113="Less than 50% and Borrowings are increasing",-5,0)))))</f>
        <v/>
      </c>
      <c r="BX113" s="30" t="inlineStr">
        <is>
          <t>Less than 0.7</t>
        </is>
      </c>
      <c r="BY113" s="30">
        <f>IF(BX113="More than 1.2",-10,IF(BX113="Between 0.7 to 1.2",0,IF(BX113="Less than 0.7",10,0)))</f>
        <v/>
      </c>
      <c r="BZ113" s="30" t="inlineStr">
        <is>
          <t>No</t>
        </is>
      </c>
      <c r="CA113" s="30">
        <f>IF(BZ113="Yes",-10,0)</f>
        <v/>
      </c>
      <c r="CB113" s="30" t="inlineStr">
        <is>
          <t>Less than 15%</t>
        </is>
      </c>
      <c r="CC113" s="30">
        <f>IF(CB113="More than 15%",-10,IF(CB113="Less than 15%",10,0))</f>
        <v/>
      </c>
      <c r="CD113" s="30" t="inlineStr">
        <is>
          <t>No</t>
        </is>
      </c>
      <c r="CE113" s="30">
        <f>IF(CD113="Yes, more than 10%",-10,IF(CD113="No",10,0))</f>
        <v/>
      </c>
    </row>
    <row r="114">
      <c r="A114" s="30">
        <f>IF(B114=0,"",RANK(B114,$B$2:$B$331,0))</f>
        <v/>
      </c>
      <c r="B114" s="31">
        <f>SUM(N114,Y114,AA114,AC114,AE114,AG114,AI114,AK114,AM114,AO114,AQ114,AS114,AU114,AW114,AY114,BA114,BC114,BE114,BG114,BI114,BK114,BM114,BO114,BQ114,BS114,BU114,BW114,BY114,CA114,CC114,CE114)</f>
        <v/>
      </c>
      <c r="C114" s="30" t="inlineStr">
        <is>
          <t>BALRAMCHIN</t>
        </is>
      </c>
      <c r="D114" s="30" t="inlineStr">
        <is>
          <t>Balrampur Chini Mills Limited</t>
        </is>
      </c>
      <c r="E114" s="30" t="inlineStr">
        <is>
          <t>fmcg</t>
        </is>
      </c>
      <c r="F114" s="30" t="inlineStr">
        <is>
          <t>sugar</t>
        </is>
      </c>
      <c r="G114" s="30" t="inlineStr">
        <is>
          <t>midcap</t>
        </is>
      </c>
      <c r="H114" s="31" t="n">
        <v>14789.76</v>
      </c>
      <c r="I114" s="31" t="n">
        <v>705.15</v>
      </c>
      <c r="J114" s="31" t="n">
        <v>0.73</v>
      </c>
      <c r="K114" s="31" t="n">
        <v>1534401</v>
      </c>
      <c r="L114" s="30" t="n">
        <v>44</v>
      </c>
      <c r="M114" s="30" t="inlineStr">
        <is>
          <t>Outperforming</t>
        </is>
      </c>
      <c r="N114" s="31">
        <f>IF(M114="Underperforming",-5,IF(L114&gt;=95,15,IF(L114&gt;=90,10,IF(L114&gt;=80,5,0))))</f>
        <v/>
      </c>
      <c r="O114" s="31" t="n">
        <v>68.52</v>
      </c>
      <c r="P114" s="31" t="n">
        <v>56.42</v>
      </c>
      <c r="Q114" s="31" t="n">
        <v>557.24</v>
      </c>
      <c r="R114" s="30" t="inlineStr">
        <is>
          <t>Near 52W High Breakout</t>
        </is>
      </c>
      <c r="S114" s="30" t="inlineStr">
        <is>
          <t>Nifty FMCG</t>
        </is>
      </c>
      <c r="T114" s="31" t="n">
        <v>-17.21</v>
      </c>
      <c r="U114" s="31" t="n">
        <v>20.59</v>
      </c>
      <c r="V114" s="31" t="n">
        <v>45.66</v>
      </c>
      <c r="W114" s="31" t="n">
        <v>13.33</v>
      </c>
      <c r="X114" s="30" t="inlineStr">
        <is>
          <t>Growing Industry</t>
        </is>
      </c>
      <c r="Y114" s="30">
        <f>IF(X114="Growing Industry",10,IF(X114="Cyclical in an Upturn",5,0))</f>
        <v/>
      </c>
      <c r="Z114" s="30" t="inlineStr">
        <is>
          <t>Too Many Players with High ROCE</t>
        </is>
      </c>
      <c r="AA114" s="30">
        <f>IF(Z114="Monopoly",10,IF(Z114="Oligopoly",5,IF(Z114="Duopoly that cooperate",10,IF(Z114="Duopoly that compete",5,IF(Z114="Too many players with High ROCE",5,0)))))</f>
        <v/>
      </c>
      <c r="AB114" s="30" t="inlineStr">
        <is>
          <t>No</t>
        </is>
      </c>
      <c r="AC114" s="30">
        <f>IF(AB114="No",5,0)</f>
        <v/>
      </c>
      <c r="AD114" s="30" t="inlineStr">
        <is>
          <t>Tailwind</t>
        </is>
      </c>
      <c r="AE114" s="30">
        <f>IF(AD114="Tailwind",10,0)</f>
        <v/>
      </c>
      <c r="AF114" s="30" t="inlineStr">
        <is>
          <t>Structural (10 Years Consistency)</t>
        </is>
      </c>
      <c r="AG114" s="30">
        <f>IF(AF114="Structural (10 Years Consistency)",10,IF(AF114="Shallow Cyclical (2 to 3 years growth)",5,0))</f>
        <v/>
      </c>
      <c r="AH114" s="30" t="inlineStr">
        <is>
          <t>No</t>
        </is>
      </c>
      <c r="AI114" s="30">
        <f>IF(AH114="Yes due to Product Mix change or Operating Leverage",10,IF(AH114="Yes, these are peak margins",-5,IF(AH114="No",5,0)))</f>
        <v/>
      </c>
      <c r="AJ114" s="30" t="inlineStr">
        <is>
          <t>Stable</t>
        </is>
      </c>
      <c r="AK114" s="30">
        <f>IF(AJ114="Stable",10,0)</f>
        <v/>
      </c>
      <c r="AL114" s="30" t="inlineStr">
        <is>
          <t>Yes</t>
        </is>
      </c>
      <c r="AM114" s="30">
        <f>IF(AL114="Yes",10,0)</f>
        <v/>
      </c>
      <c r="AN114" s="30" t="inlineStr">
        <is>
          <t>B2C</t>
        </is>
      </c>
      <c r="AO114" s="30">
        <f>IF(AN114="B2C",10,IF(AN114="B2B",5,0))</f>
        <v/>
      </c>
      <c r="AP114" s="30" t="inlineStr">
        <is>
          <t>Yes</t>
        </is>
      </c>
      <c r="AQ114" s="30">
        <f>IF(AP114="Yes",10,0)</f>
        <v/>
      </c>
      <c r="AR114" s="30" t="inlineStr">
        <is>
          <t>Higher Annuity, Lower One Time</t>
        </is>
      </c>
      <c r="AS114" s="30">
        <f>IF(AR114="Fully Annuity",10,IF(AR114="Higher Annuity, Lower One Time",5,IF(AR114="Higher One Time, Lower Annuity",3,0)))</f>
        <v/>
      </c>
      <c r="AT114" s="30" t="inlineStr">
        <is>
          <t>Good</t>
        </is>
      </c>
      <c r="AU114" s="30">
        <f>IF(AT114="Good",10,0)</f>
        <v/>
      </c>
      <c r="AV114" s="30" t="inlineStr">
        <is>
          <t>Yes for more than 2 years</t>
        </is>
      </c>
      <c r="AW114" s="30">
        <f>IF(AV114="Yes for more than 2 years",10,IF(AV114="Yes only for next 1 to 2 years",5,0))</f>
        <v/>
      </c>
      <c r="AX114" s="30" t="inlineStr">
        <is>
          <t>Above 40</t>
        </is>
      </c>
      <c r="AY114" s="30">
        <f>IF(AX114="Above 40",20,IF(AX114="20 to 40",10,IF(AX114="0 to 20",-5,0)))</f>
        <v/>
      </c>
      <c r="AZ114" s="30" t="inlineStr">
        <is>
          <t>Between 50 to 75</t>
        </is>
      </c>
      <c r="BA114" s="30">
        <f>IF(AZ114="Between 50 to 75",10,IF(AZ114="Above 75",0,0))</f>
        <v/>
      </c>
      <c r="BB114" s="30" t="inlineStr">
        <is>
          <t>Stage 2</t>
        </is>
      </c>
      <c r="BC114" s="30">
        <f>IF(BB114="Stage 2",20,IF(BB114="Stage 1",0,IF(BB114="Stage 3",5,IF(BB114="Stage 4",-5,0))))</f>
        <v/>
      </c>
      <c r="BD114" s="30" t="inlineStr">
        <is>
          <t>Positive Trend</t>
        </is>
      </c>
      <c r="BE114" s="30">
        <f>IF(BD114="Positive Trend",20,IF(BD114="Negative Trend",-10,0))</f>
        <v/>
      </c>
      <c r="BF114" s="30" t="inlineStr">
        <is>
          <t>Uptrend</t>
        </is>
      </c>
      <c r="BG114" s="30">
        <f>IF(BF114="Uptrend",10,IF(BF114="Sideways",5,0))</f>
        <v/>
      </c>
      <c r="BH114" s="30" t="inlineStr">
        <is>
          <t>Uptrend</t>
        </is>
      </c>
      <c r="BI114" s="30">
        <f>IF(BH114="Uptrend",10,IF(BH114="Sideways",5,0))</f>
        <v/>
      </c>
      <c r="BJ114" s="30" t="inlineStr">
        <is>
          <t>Blue sky scenario</t>
        </is>
      </c>
      <c r="BK114" s="30">
        <f>IF(BJ114="Overhead supply in last 2 years in last 2 years",-5,IF(BJ114="Close to 52 week high or retracement",5,IF(BJ114="Blue sky scenario",10,IF(BJ114="Long term Downtrend",-10,0))))</f>
        <v/>
      </c>
      <c r="BL114" s="30" t="inlineStr">
        <is>
          <t>Yes</t>
        </is>
      </c>
      <c r="BM114" s="30">
        <f>IF(BL114="Yes",10,0)</f>
        <v/>
      </c>
      <c r="BN114" s="30" t="inlineStr">
        <is>
          <t>Less than 12%</t>
        </is>
      </c>
      <c r="BO114" s="30">
        <f>IF(BN114="More than 20%",10,IF(BN114="Between 12 to 20%",5,IF(BN114="Less than 12%",0,0)))</f>
        <v/>
      </c>
      <c r="BP114" s="30" t="inlineStr">
        <is>
          <t>No</t>
        </is>
      </c>
      <c r="BQ114" s="30">
        <f>IF(BP114="No",10,0)</f>
        <v/>
      </c>
      <c r="BR114" s="30" t="inlineStr">
        <is>
          <t>No</t>
        </is>
      </c>
      <c r="BS114" s="30">
        <f>IF(BR114="NO",5,0)</f>
        <v/>
      </c>
      <c r="BT114" s="30" t="inlineStr">
        <is>
          <t>Above 2</t>
        </is>
      </c>
      <c r="BU114" s="30">
        <f>IF(BT114="Above 2",0,IF(BT114="Between 1.5 to 2",5,IF(BT114="Less than 1.5",10,0)))</f>
        <v/>
      </c>
      <c r="BV114" s="30" t="inlineStr">
        <is>
          <t>Above 70%</t>
        </is>
      </c>
      <c r="BW114" s="30">
        <f>IF(BV114="Above 70%",10,IF(BV114="Between 50% to 70%",5,IF(BV114="Less than 50%",0,IF(BV114="Negative",-10,IF(BV114="Less than 50% and Borrowings are increasing",-5,0)))))</f>
        <v/>
      </c>
      <c r="BX114" s="30" t="inlineStr">
        <is>
          <t>Between 0.7 to 1.2</t>
        </is>
      </c>
      <c r="BY114" s="30">
        <f>IF(BX114="More than 1.2",-10,IF(BX114="Between 0.7 to 1.2",0,IF(BX114="Less than 0.7",10,0)))</f>
        <v/>
      </c>
      <c r="BZ114" s="30" t="inlineStr">
        <is>
          <t>No</t>
        </is>
      </c>
      <c r="CA114" s="30">
        <f>IF(BZ114="Yes",-10,0)</f>
        <v/>
      </c>
      <c r="CB114" s="30" t="inlineStr">
        <is>
          <t>Less than 15%</t>
        </is>
      </c>
      <c r="CC114" s="30">
        <f>IF(CB114="More than 15%",-10,IF(CB114="Less than 15%",10,0))</f>
        <v/>
      </c>
      <c r="CD114" s="30" t="inlineStr">
        <is>
          <t>No</t>
        </is>
      </c>
      <c r="CE114" s="30">
        <f>IF(CD114="Yes, more than 10%",-10,IF(CD114="No",10,0))</f>
        <v/>
      </c>
    </row>
    <row r="115">
      <c r="A115" s="30">
        <f>IF(B115=0,"",RANK(B115,$B$2:$B$331,0))</f>
        <v/>
      </c>
      <c r="B115" s="31">
        <f>SUM(N115,Y115,AA115,AC115,AE115,AG115,AI115,AK115,AM115,AO115,AQ115,AS115,AU115,AW115,AY115,BA115,BC115,BE115,BG115,BI115,BK115,BM115,BO115,BQ115,BS115,BU115,BW115,BY115,CA115,CC115,CE115)</f>
        <v/>
      </c>
      <c r="C115" s="32" t="inlineStr">
        <is>
          <t>LALPATHLAB</t>
        </is>
      </c>
      <c r="D115" s="32" t="inlineStr">
        <is>
          <t>Dr. Lal Path Labs Ltd.</t>
        </is>
      </c>
      <c r="E115" s="30" t="inlineStr">
        <is>
          <t>healthcare</t>
        </is>
      </c>
      <c r="F115" s="30" t="inlineStr">
        <is>
          <t>healthcare</t>
        </is>
      </c>
      <c r="G115" s="30" t="inlineStr">
        <is>
          <t>largecap</t>
        </is>
      </c>
      <c r="H115" s="31" t="n">
        <v>32181.42</v>
      </c>
      <c r="I115" s="31" t="n">
        <v>1916.7</v>
      </c>
      <c r="J115" s="31" t="n">
        <v>-0.16</v>
      </c>
      <c r="K115" s="31" t="n">
        <v>165825</v>
      </c>
      <c r="L115" s="30" t="n">
        <v>25</v>
      </c>
      <c r="M115" s="30" t="inlineStr">
        <is>
          <t>Underperforming</t>
        </is>
      </c>
      <c r="N115" s="31">
        <f>IF(M115="Underperforming",-5,IF(L115&gt;=95,15,IF(L115&gt;=90,10,IF(L115&gt;=80,5,0))))</f>
        <v/>
      </c>
      <c r="O115" s="31" t="n">
        <v>68.34999999999999</v>
      </c>
      <c r="P115" s="31" t="n">
        <v>43.75</v>
      </c>
      <c r="Q115" s="31" t="n">
        <v>1625.78</v>
      </c>
      <c r="R115" s="30" t="inlineStr">
        <is>
          <t>Near 52W High Breakout</t>
        </is>
      </c>
      <c r="S115" s="30" t="inlineStr">
        <is>
          <t>Nifty Pharma</t>
        </is>
      </c>
      <c r="T115" s="31" t="n">
        <v>18.86</v>
      </c>
      <c r="U115" s="31" t="n">
        <v>15.77</v>
      </c>
      <c r="V115" s="31" t="n">
        <v>-2.6</v>
      </c>
      <c r="W115" s="31" t="n">
        <v>7.89</v>
      </c>
      <c r="X115" s="30" t="inlineStr">
        <is>
          <t>Growing Industry</t>
        </is>
      </c>
      <c r="Y115" s="30">
        <f>IF(X115="Growing Industry",10,IF(X115="Cyclical in an Upturn",5,0))</f>
        <v/>
      </c>
      <c r="Z115" s="30" t="inlineStr">
        <is>
          <t>Too Many Players with High ROCE</t>
        </is>
      </c>
      <c r="AA115" s="30">
        <f>IF(Z115="Monopoly",10,IF(Z115="Oligopoly",5,IF(Z115="Duopoly that cooperate",10,IF(Z115="Duopoly that compete",5,IF(Z115="Too many players with High ROCE",5,0)))))</f>
        <v/>
      </c>
      <c r="AB115" s="30" t="inlineStr">
        <is>
          <t>Yes</t>
        </is>
      </c>
      <c r="AC115" s="30">
        <f>IF(AB115="No",5,0)</f>
        <v/>
      </c>
      <c r="AD115" s="30" t="inlineStr">
        <is>
          <t>Tailwind</t>
        </is>
      </c>
      <c r="AE115" s="30">
        <f>IF(AD115="Tailwind",10,0)</f>
        <v/>
      </c>
      <c r="AF115" s="30" t="inlineStr">
        <is>
          <t>Structural (10 Years Consistency)</t>
        </is>
      </c>
      <c r="AG115" s="30">
        <f>IF(AF115="Structural (10 Years Consistency)",10,IF(AF115="Shallow Cyclical (2 to 3 years growth)",5,0))</f>
        <v/>
      </c>
      <c r="AH115" s="30" t="inlineStr">
        <is>
          <t>No</t>
        </is>
      </c>
      <c r="AI115" s="30">
        <f>IF(AH115="Yes due to Product Mix change or Operating Leverage",10,IF(AH115="Yes, these are peak margins",-5,IF(AH115="No",5,0)))</f>
        <v/>
      </c>
      <c r="AJ115" s="30" t="inlineStr">
        <is>
          <t>Stable</t>
        </is>
      </c>
      <c r="AK115" s="30">
        <f>IF(AJ115="Stable",10,0)</f>
        <v/>
      </c>
      <c r="AL115" s="30" t="inlineStr">
        <is>
          <t>Yes</t>
        </is>
      </c>
      <c r="AM115" s="30">
        <f>IF(AL115="Yes",10,0)</f>
        <v/>
      </c>
      <c r="AN115" s="30" t="inlineStr">
        <is>
          <t>B2B</t>
        </is>
      </c>
      <c r="AO115" s="30">
        <f>IF(AN115="B2C",10,IF(AN115="B2B",5,0))</f>
        <v/>
      </c>
      <c r="AP115" s="30" t="inlineStr">
        <is>
          <t>Yes</t>
        </is>
      </c>
      <c r="AQ115" s="30">
        <f>IF(AP115="Yes",10,0)</f>
        <v/>
      </c>
      <c r="AR115" s="30" t="inlineStr">
        <is>
          <t>Higher Annuity, Lower One Time</t>
        </is>
      </c>
      <c r="AS115" s="30">
        <f>IF(AR115="Fully Annuity",10,IF(AR115="Higher Annuity, Lower One Time",5,IF(AR115="Higher One Time, Lower Annuity",3,0)))</f>
        <v/>
      </c>
      <c r="AT115" s="30" t="inlineStr">
        <is>
          <t>Good</t>
        </is>
      </c>
      <c r="AU115" s="30">
        <f>IF(AT115="Good",10,0)</f>
        <v/>
      </c>
      <c r="AV115" s="30" t="inlineStr">
        <is>
          <t>Yes for more than 2 years</t>
        </is>
      </c>
      <c r="AW115" s="30">
        <f>IF(AV115="Yes for more than 2 years",10,IF(AV115="Yes only for next 1 to 2 years",5,0))</f>
        <v/>
      </c>
      <c r="AX115" s="30" t="inlineStr">
        <is>
          <t>Above 40</t>
        </is>
      </c>
      <c r="AY115" s="30">
        <f>IF(AX115="Above 40",20,IF(AX115="20 to 40",10,IF(AX115="0 to 20",-5,0)))</f>
        <v/>
      </c>
      <c r="AZ115" s="30" t="inlineStr">
        <is>
          <t>Between 50 to 75</t>
        </is>
      </c>
      <c r="BA115" s="30">
        <f>IF(AZ115="Between 50 to 75",10,IF(AZ115="Above 75",0,0))</f>
        <v/>
      </c>
      <c r="BB115" s="30" t="inlineStr">
        <is>
          <t>Stage 2</t>
        </is>
      </c>
      <c r="BC115" s="30">
        <f>IF(BB115="Stage 2",20,IF(BB115="Stage 1",0,IF(BB115="Stage 3",5,IF(BB115="Stage 4",-5,0))))</f>
        <v/>
      </c>
      <c r="BD115" s="30" t="inlineStr">
        <is>
          <t>Positive Trend</t>
        </is>
      </c>
      <c r="BE115" s="30">
        <f>IF(BD115="Positive Trend",20,IF(BD115="Negative Trend",-10,0))</f>
        <v/>
      </c>
      <c r="BF115" s="30" t="inlineStr">
        <is>
          <t>Uptrend</t>
        </is>
      </c>
      <c r="BG115" s="30">
        <f>IF(BF115="Uptrend",10,IF(BF115="Sideways",5,0))</f>
        <v/>
      </c>
      <c r="BH115" s="30" t="inlineStr">
        <is>
          <t>Uptrend</t>
        </is>
      </c>
      <c r="BI115" s="30">
        <f>IF(BH115="Uptrend",10,IF(BH115="Sideways",5,0))</f>
        <v/>
      </c>
      <c r="BJ115" s="30" t="inlineStr">
        <is>
          <t>Blue sky scenario</t>
        </is>
      </c>
      <c r="BK115" s="30">
        <f>IF(BJ115="Overhead supply in last 2 years in last 2 years",-5,IF(BJ115="Close to 52 week high or retracement",5,IF(BJ115="Blue sky scenario",10,IF(BJ115="Long term Downtrend",-10,0))))</f>
        <v/>
      </c>
      <c r="BL115" s="30" t="inlineStr">
        <is>
          <t>Yes</t>
        </is>
      </c>
      <c r="BM115" s="30">
        <f>IF(BL115="Yes",10,0)</f>
        <v/>
      </c>
      <c r="BN115" s="30" t="inlineStr">
        <is>
          <t>More than 20%</t>
        </is>
      </c>
      <c r="BO115" s="30">
        <f>IF(BN115="More than 20%",10,IF(BN115="Between 12 to 20%",5,IF(BN115="Less than 12%",0,0)))</f>
        <v/>
      </c>
      <c r="BP115" s="30" t="inlineStr">
        <is>
          <t>No</t>
        </is>
      </c>
      <c r="BQ115" s="30">
        <f>IF(BP115="No",10,0)</f>
        <v/>
      </c>
      <c r="BR115" s="30" t="inlineStr">
        <is>
          <t>Yes</t>
        </is>
      </c>
      <c r="BS115" s="30">
        <f>IF(BR115="NO",5,0)</f>
        <v/>
      </c>
      <c r="BT115" s="30" t="inlineStr">
        <is>
          <t>Above 2</t>
        </is>
      </c>
      <c r="BU115" s="30">
        <f>IF(BT115="Above 2",0,IF(BT115="Between 1.5 to 2",5,IF(BT115="Less than 1.5",10,0)))</f>
        <v/>
      </c>
      <c r="BV115" s="30" t="inlineStr">
        <is>
          <t>Above 70%</t>
        </is>
      </c>
      <c r="BW115" s="30">
        <f>IF(BV115="Above 70%",10,IF(BV115="Between 50% to 70%",5,IF(BV115="Less than 50%",0,IF(BV115="Negative",-10,IF(BV115="Less than 50% and Borrowings are increasing",-5,0)))))</f>
        <v/>
      </c>
      <c r="BX115" s="30" t="inlineStr">
        <is>
          <t>Less than 0.7</t>
        </is>
      </c>
      <c r="BY115" s="30">
        <f>IF(BX115="More than 1.2",-10,IF(BX115="Between 0.7 to 1.2",0,IF(BX115="Less than 0.7",10,0)))</f>
        <v/>
      </c>
      <c r="BZ115" s="30" t="inlineStr">
        <is>
          <t>No</t>
        </is>
      </c>
      <c r="CA115" s="30">
        <f>IF(BZ115="Yes",-10,0)</f>
        <v/>
      </c>
      <c r="CB115" s="30" t="inlineStr">
        <is>
          <t>Less than 15%</t>
        </is>
      </c>
      <c r="CC115" s="30">
        <f>IF(CB115="More than 15%",-10,IF(CB115="Less than 15%",10,0))</f>
        <v/>
      </c>
      <c r="CD115" s="30" t="inlineStr">
        <is>
          <t>No</t>
        </is>
      </c>
      <c r="CE115" s="30">
        <f>IF(CD115="Yes, more than 10%",-10,IF(CD115="No",10,0))</f>
        <v/>
      </c>
    </row>
    <row r="116">
      <c r="A116" s="30">
        <f>IF(B116=0,"",RANK(B116,$B$2:$B$331,0))</f>
        <v/>
      </c>
      <c r="B116" s="31">
        <f>SUM(N116,Y116,AA116,AC116,AE116,AG116,AI116,AK116,AM116,AO116,AQ116,AS116,AU116,AW116,AY116,BA116,BC116,BE116,BG116,BI116,BK116,BM116,BO116,BQ116,BS116,BU116,BW116,BY116,CA116,CC116,CE116)</f>
        <v/>
      </c>
      <c r="C116" s="32" t="inlineStr">
        <is>
          <t>GPTHEALTH</t>
        </is>
      </c>
      <c r="D116" s="32" t="inlineStr">
        <is>
          <t>GPT Healthcare Ltd</t>
        </is>
      </c>
      <c r="E116" s="30" t="inlineStr">
        <is>
          <t>healthcare</t>
        </is>
      </c>
      <c r="F116" s="30" t="inlineStr">
        <is>
          <t>healthcare</t>
        </is>
      </c>
      <c r="G116" s="30" t="inlineStr">
        <is>
          <t>smallcap</t>
        </is>
      </c>
      <c r="H116" s="31" t="n">
        <v>1334.46</v>
      </c>
      <c r="I116" s="31" t="n">
        <v>161.29</v>
      </c>
      <c r="J116" s="31" t="n">
        <v>-0.82</v>
      </c>
      <c r="K116" s="31" t="n">
        <v>145904</v>
      </c>
      <c r="L116" s="30" t="n">
        <v>11</v>
      </c>
      <c r="M116" s="30" t="inlineStr">
        <is>
          <t>Underperforming</t>
        </is>
      </c>
      <c r="N116" s="31">
        <f>IF(M116="Underperforming",-5,IF(L116&gt;=95,15,IF(L116&gt;=90,10,IF(L116&gt;=80,5,0))))</f>
        <v/>
      </c>
      <c r="O116" s="31" t="n">
        <v>60.26</v>
      </c>
      <c r="P116" s="31" t="n">
        <v>49.78</v>
      </c>
      <c r="Q116" s="31" t="n">
        <v>140.39</v>
      </c>
      <c r="R116" s="30" t="inlineStr">
        <is>
          <t>Earnings / Momentum Support</t>
        </is>
      </c>
      <c r="S116" s="30" t="inlineStr">
        <is>
          <t>Nifty Pharma</t>
        </is>
      </c>
      <c r="T116" s="31" t="n">
        <v>18.86</v>
      </c>
      <c r="U116" s="31" t="n">
        <v>7.13</v>
      </c>
      <c r="V116" s="31" t="n">
        <v>-9.869999999999999</v>
      </c>
      <c r="W116" s="31" t="n">
        <v>3.96</v>
      </c>
      <c r="X116" s="30" t="inlineStr">
        <is>
          <t>Growing Industry</t>
        </is>
      </c>
      <c r="Y116" s="30">
        <f>IF(X116="Growing Industry",10,IF(X116="Cyclical in an Upturn",5,0))</f>
        <v/>
      </c>
      <c r="Z116" s="30" t="inlineStr">
        <is>
          <t>Too Many Players with High ROCE</t>
        </is>
      </c>
      <c r="AA116" s="30">
        <f>IF(Z116="Monopoly",10,IF(Z116="Oligopoly",5,IF(Z116="Duopoly that cooperate",10,IF(Z116="Duopoly that compete",5,IF(Z116="Too many players with High ROCE",5,0)))))</f>
        <v/>
      </c>
      <c r="AB116" s="30" t="inlineStr">
        <is>
          <t>Yes</t>
        </is>
      </c>
      <c r="AC116" s="30">
        <f>IF(AB116="No",5,0)</f>
        <v/>
      </c>
      <c r="AD116" s="30" t="inlineStr">
        <is>
          <t>Tailwind</t>
        </is>
      </c>
      <c r="AE116" s="30">
        <f>IF(AD116="Tailwind",10,0)</f>
        <v/>
      </c>
      <c r="AF116" s="30" t="inlineStr">
        <is>
          <t>Structural (10 Years Consistency)</t>
        </is>
      </c>
      <c r="AG116" s="30">
        <f>IF(AF116="Structural (10 Years Consistency)",10,IF(AF116="Shallow Cyclical (2 to 3 years growth)",5,0))</f>
        <v/>
      </c>
      <c r="AH116" s="30" t="inlineStr">
        <is>
          <t>No</t>
        </is>
      </c>
      <c r="AI116" s="30">
        <f>IF(AH116="Yes due to Product Mix change or Operating Leverage",10,IF(AH116="Yes, these are peak margins",-5,IF(AH116="No",5,0)))</f>
        <v/>
      </c>
      <c r="AJ116" s="30" t="inlineStr">
        <is>
          <t>Stable</t>
        </is>
      </c>
      <c r="AK116" s="30">
        <f>IF(AJ116="Stable",10,0)</f>
        <v/>
      </c>
      <c r="AL116" s="30" t="inlineStr">
        <is>
          <t>Yes</t>
        </is>
      </c>
      <c r="AM116" s="30">
        <f>IF(AL116="Yes",10,0)</f>
        <v/>
      </c>
      <c r="AN116" s="30" t="inlineStr">
        <is>
          <t>B2B</t>
        </is>
      </c>
      <c r="AO116" s="30">
        <f>IF(AN116="B2C",10,IF(AN116="B2B",5,0))</f>
        <v/>
      </c>
      <c r="AP116" s="30" t="inlineStr">
        <is>
          <t>No</t>
        </is>
      </c>
      <c r="AQ116" s="30">
        <f>IF(AP116="Yes",10,0)</f>
        <v/>
      </c>
      <c r="AR116" s="30" t="inlineStr">
        <is>
          <t>Higher Annuity, Lower One Time</t>
        </is>
      </c>
      <c r="AS116" s="30">
        <f>IF(AR116="Fully Annuity",10,IF(AR116="Higher Annuity, Lower One Time",5,IF(AR116="Higher One Time, Lower Annuity",3,0)))</f>
        <v/>
      </c>
      <c r="AT116" s="30" t="inlineStr">
        <is>
          <t>Good</t>
        </is>
      </c>
      <c r="AU116" s="30">
        <f>IF(AT116="Good",10,0)</f>
        <v/>
      </c>
      <c r="AV116" s="30" t="inlineStr">
        <is>
          <t>Yes for more than 2 years</t>
        </is>
      </c>
      <c r="AW116" s="30">
        <f>IF(AV116="Yes for more than 2 years",10,IF(AV116="Yes only for next 1 to 2 years",5,0))</f>
        <v/>
      </c>
      <c r="AX116" s="30" t="inlineStr">
        <is>
          <t>Above 40</t>
        </is>
      </c>
      <c r="AY116" s="30">
        <f>IF(AX116="Above 40",20,IF(AX116="20 to 40",10,IF(AX116="0 to 20",-5,0)))</f>
        <v/>
      </c>
      <c r="AZ116" s="30" t="inlineStr">
        <is>
          <t>Between 50 to 75</t>
        </is>
      </c>
      <c r="BA116" s="30">
        <f>IF(AZ116="Between 50 to 75",10,IF(AZ116="Above 75",0,0))</f>
        <v/>
      </c>
      <c r="BB116" s="30" t="inlineStr">
        <is>
          <t>Stage 2</t>
        </is>
      </c>
      <c r="BC116" s="30">
        <f>IF(BB116="Stage 2",20,IF(BB116="Stage 1",0,IF(BB116="Stage 3",5,IF(BB116="Stage 4",-5,0))))</f>
        <v/>
      </c>
      <c r="BD116" s="30" t="inlineStr">
        <is>
          <t>Positive Trend</t>
        </is>
      </c>
      <c r="BE116" s="30">
        <f>IF(BD116="Positive Trend",20,IF(BD116="Negative Trend",-10,0))</f>
        <v/>
      </c>
      <c r="BF116" s="30" t="inlineStr">
        <is>
          <t>Uptrend</t>
        </is>
      </c>
      <c r="BG116" s="30">
        <f>IF(BF116="Uptrend",10,IF(BF116="Sideways",5,0))</f>
        <v/>
      </c>
      <c r="BH116" s="30" t="inlineStr">
        <is>
          <t>Uptrend</t>
        </is>
      </c>
      <c r="BI116" s="30">
        <f>IF(BH116="Uptrend",10,IF(BH116="Sideways",5,0))</f>
        <v/>
      </c>
      <c r="BJ116" s="30" t="inlineStr">
        <is>
          <t>Close to 52 week high or retracement</t>
        </is>
      </c>
      <c r="BK116" s="30">
        <f>IF(BJ116="Overhead supply in last 2 years in last 2 years",-5,IF(BJ116="Close to 52 week high or retracement",5,IF(BJ116="Blue sky scenario",10,IF(BJ116="Long term Downtrend",-10,0))))</f>
        <v/>
      </c>
      <c r="BL116" s="30" t="inlineStr">
        <is>
          <t>Yes</t>
        </is>
      </c>
      <c r="BM116" s="30">
        <f>IF(BL116="Yes",10,0)</f>
        <v/>
      </c>
      <c r="BN116" s="30" t="inlineStr">
        <is>
          <t>More than 20%</t>
        </is>
      </c>
      <c r="BO116" s="30">
        <f>IF(BN116="More than 20%",10,IF(BN116="Between 12 to 20%",5,IF(BN116="Less than 12%",0,0)))</f>
        <v/>
      </c>
      <c r="BP116" s="30" t="inlineStr">
        <is>
          <t>No</t>
        </is>
      </c>
      <c r="BQ116" s="30">
        <f>IF(BP116="No",10,0)</f>
        <v/>
      </c>
      <c r="BR116" s="30" t="inlineStr">
        <is>
          <t>No</t>
        </is>
      </c>
      <c r="BS116" s="30">
        <f>IF(BR116="NO",5,0)</f>
        <v/>
      </c>
      <c r="BT116" s="30" t="inlineStr">
        <is>
          <t>Less than 1.5</t>
        </is>
      </c>
      <c r="BU116" s="30">
        <f>IF(BT116="Above 2",0,IF(BT116="Between 1.5 to 2",5,IF(BT116="Less than 1.5",10,0)))</f>
        <v/>
      </c>
      <c r="BV116" s="30" t="inlineStr">
        <is>
          <t>Above 70%</t>
        </is>
      </c>
      <c r="BW116" s="30">
        <f>IF(BV116="Above 70%",10,IF(BV116="Between 50% to 70%",5,IF(BV116="Less than 50%",0,IF(BV116="Negative",-10,IF(BV116="Less than 50% and Borrowings are increasing",-5,0)))))</f>
        <v/>
      </c>
      <c r="BX116" s="30" t="inlineStr">
        <is>
          <t>Less than 0.7</t>
        </is>
      </c>
      <c r="BY116" s="30">
        <f>IF(BX116="More than 1.2",-10,IF(BX116="Between 0.7 to 1.2",0,IF(BX116="Less than 0.7",10,0)))</f>
        <v/>
      </c>
      <c r="BZ116" s="30" t="inlineStr">
        <is>
          <t>No</t>
        </is>
      </c>
      <c r="CA116" s="30">
        <f>IF(BZ116="Yes",-10,0)</f>
        <v/>
      </c>
      <c r="CB116" s="30" t="inlineStr">
        <is>
          <t>Less than 15%</t>
        </is>
      </c>
      <c r="CC116" s="30">
        <f>IF(CB116="More than 15%",-10,IF(CB116="Less than 15%",10,0))</f>
        <v/>
      </c>
      <c r="CD116" s="30" t="inlineStr">
        <is>
          <t>No</t>
        </is>
      </c>
      <c r="CE116" s="30">
        <f>IF(CD116="Yes, more than 10%",-10,IF(CD116="No",10,0))</f>
        <v/>
      </c>
    </row>
    <row r="117">
      <c r="A117" s="30">
        <f>IF(B117=0,"",RANK(B117,$B$2:$B$331,0))</f>
        <v/>
      </c>
      <c r="B117" s="31">
        <f>SUM(N117,Y117,AA117,AC117,AE117,AG117,AI117,AK117,AM117,AO117,AQ117,AS117,AU117,AW117,AY117,BA117,BC117,BE117,BG117,BI117,BK117,BM117,BO117,BQ117,BS117,BU117,BW117,BY117,CA117,CC117,CE117)</f>
        <v/>
      </c>
      <c r="C117" s="30" t="inlineStr">
        <is>
          <t>SHILPAMED</t>
        </is>
      </c>
      <c r="D117" s="30" t="inlineStr">
        <is>
          <t>Shilpa Medicare Limited</t>
        </is>
      </c>
      <c r="E117" s="30" t="inlineStr">
        <is>
          <t>healthcare</t>
        </is>
      </c>
      <c r="F117" s="30" t="inlineStr">
        <is>
          <t>pharmaceuticals - indian - formulations</t>
        </is>
      </c>
      <c r="G117" s="30" t="inlineStr">
        <is>
          <t>midcap</t>
        </is>
      </c>
      <c r="H117" s="31" t="n">
        <v>18787.59</v>
      </c>
      <c r="I117" s="31" t="n">
        <v>939.9</v>
      </c>
      <c r="J117" s="31" t="n">
        <v>-2.15</v>
      </c>
      <c r="K117" s="31" t="n">
        <v>682900</v>
      </c>
      <c r="L117" s="30" t="n">
        <v>89</v>
      </c>
      <c r="M117" s="30" t="inlineStr">
        <is>
          <t>Outperforming</t>
        </is>
      </c>
      <c r="N117" s="31">
        <f>IF(M117="Underperforming",-5,IF(L117&gt;=95,15,IF(L117&gt;=90,10,IF(L117&gt;=80,5,0))))</f>
        <v/>
      </c>
      <c r="O117" s="31" t="n">
        <v>86.64</v>
      </c>
      <c r="P117" s="31" t="n">
        <v>79.22</v>
      </c>
      <c r="Q117" s="31" t="n">
        <v>788.1799999999999</v>
      </c>
      <c r="R117" s="30" t="inlineStr">
        <is>
          <t>Near 52W High Breakout</t>
        </is>
      </c>
      <c r="S117" s="30" t="inlineStr">
        <is>
          <t>Nifty Pharma</t>
        </is>
      </c>
      <c r="T117" s="31" t="n">
        <v>18.86</v>
      </c>
      <c r="U117" s="31" t="n">
        <v>127.56</v>
      </c>
      <c r="V117" s="31" t="n">
        <v>91.44</v>
      </c>
      <c r="W117" s="31" t="n">
        <v>38.68</v>
      </c>
      <c r="X117" s="30" t="inlineStr">
        <is>
          <t>Growing Industry</t>
        </is>
      </c>
      <c r="Y117" s="30">
        <f>IF(X117="Growing Industry",10,IF(X117="Cyclical in an Upturn",5,0))</f>
        <v/>
      </c>
      <c r="Z117" s="30" t="inlineStr">
        <is>
          <t>Too Many Players with High ROCE</t>
        </is>
      </c>
      <c r="AA117" s="30">
        <f>IF(Z117="Monopoly",10,IF(Z117="Oligopoly",5,IF(Z117="Duopoly that cooperate",10,IF(Z117="Duopoly that compete",5,IF(Z117="Too many players with High ROCE",5,0)))))</f>
        <v/>
      </c>
      <c r="AB117" s="30" t="inlineStr">
        <is>
          <t>Yes</t>
        </is>
      </c>
      <c r="AC117" s="30">
        <f>IF(AB117="No",5,0)</f>
        <v/>
      </c>
      <c r="AD117" s="30" t="inlineStr">
        <is>
          <t>Tailwind</t>
        </is>
      </c>
      <c r="AE117" s="30">
        <f>IF(AD117="Tailwind",10,0)</f>
        <v/>
      </c>
      <c r="AF117" s="30" t="inlineStr">
        <is>
          <t>Structural (10 Years Consistency)</t>
        </is>
      </c>
      <c r="AG117" s="30">
        <f>IF(AF117="Structural (10 Years Consistency)",10,IF(AF117="Shallow Cyclical (2 to 3 years growth)",5,0))</f>
        <v/>
      </c>
      <c r="AH117" s="30" t="inlineStr">
        <is>
          <t>No</t>
        </is>
      </c>
      <c r="AI117" s="30">
        <f>IF(AH117="Yes due to Product Mix change or Operating Leverage",10,IF(AH117="Yes, these are peak margins",-5,IF(AH117="No",5,0)))</f>
        <v/>
      </c>
      <c r="AJ117" s="30" t="inlineStr">
        <is>
          <t>Stable</t>
        </is>
      </c>
      <c r="AK117" s="30">
        <f>IF(AJ117="Stable",10,0)</f>
        <v/>
      </c>
      <c r="AL117" s="30" t="inlineStr">
        <is>
          <t>Yes</t>
        </is>
      </c>
      <c r="AM117" s="30">
        <f>IF(AL117="Yes",10,0)</f>
        <v/>
      </c>
      <c r="AN117" s="30" t="inlineStr">
        <is>
          <t>B2B</t>
        </is>
      </c>
      <c r="AO117" s="30">
        <f>IF(AN117="B2C",10,IF(AN117="B2B",5,0))</f>
        <v/>
      </c>
      <c r="AP117" s="30" t="inlineStr">
        <is>
          <t>Yes</t>
        </is>
      </c>
      <c r="AQ117" s="30">
        <f>IF(AP117="Yes",10,0)</f>
        <v/>
      </c>
      <c r="AR117" s="30" t="inlineStr">
        <is>
          <t>Higher Annuity, Lower One Time</t>
        </is>
      </c>
      <c r="AS117" s="30">
        <f>IF(AR117="Fully Annuity",10,IF(AR117="Higher Annuity, Lower One Time",5,IF(AR117="Higher One Time, Lower Annuity",3,0)))</f>
        <v/>
      </c>
      <c r="AT117" s="30" t="inlineStr">
        <is>
          <t>Good</t>
        </is>
      </c>
      <c r="AU117" s="30">
        <f>IF(AT117="Good",10,0)</f>
        <v/>
      </c>
      <c r="AV117" s="30" t="inlineStr">
        <is>
          <t>Yes for more than 2 years</t>
        </is>
      </c>
      <c r="AW117" s="30">
        <f>IF(AV117="Yes for more than 2 years",10,IF(AV117="Yes only for next 1 to 2 years",5,0))</f>
        <v/>
      </c>
      <c r="AX117" s="30" t="inlineStr">
        <is>
          <t>Above 40</t>
        </is>
      </c>
      <c r="AY117" s="30">
        <f>IF(AX117="Above 40",20,IF(AX117="20 to 40",10,IF(AX117="0 to 20",-5,0)))</f>
        <v/>
      </c>
      <c r="AZ117" s="30" t="inlineStr">
        <is>
          <t>Above 75</t>
        </is>
      </c>
      <c r="BA117" s="30">
        <f>IF(AZ117="Between 50 to 75",10,IF(AZ117="Above 75",0,0))</f>
        <v/>
      </c>
      <c r="BB117" s="30" t="inlineStr">
        <is>
          <t>Stage 2</t>
        </is>
      </c>
      <c r="BC117" s="30">
        <f>IF(BB117="Stage 2",20,IF(BB117="Stage 1",0,IF(BB117="Stage 3",5,IF(BB117="Stage 4",-5,0))))</f>
        <v/>
      </c>
      <c r="BD117" s="30" t="inlineStr">
        <is>
          <t>Positive Trend</t>
        </is>
      </c>
      <c r="BE117" s="30">
        <f>IF(BD117="Positive Trend",20,IF(BD117="Negative Trend",-10,0))</f>
        <v/>
      </c>
      <c r="BF117" s="30" t="inlineStr">
        <is>
          <t>Uptrend</t>
        </is>
      </c>
      <c r="BG117" s="30">
        <f>IF(BF117="Uptrend",10,IF(BF117="Sideways",5,0))</f>
        <v/>
      </c>
      <c r="BH117" s="30" t="inlineStr">
        <is>
          <t>Uptrend</t>
        </is>
      </c>
      <c r="BI117" s="30">
        <f>IF(BH117="Uptrend",10,IF(BH117="Sideways",5,0))</f>
        <v/>
      </c>
      <c r="BJ117" s="30" t="inlineStr">
        <is>
          <t>Blue sky scenario</t>
        </is>
      </c>
      <c r="BK117" s="30">
        <f>IF(BJ117="Overhead supply in last 2 years in last 2 years",-5,IF(BJ117="Close to 52 week high or retracement",5,IF(BJ117="Blue sky scenario",10,IF(BJ117="Long term Downtrend",-10,0))))</f>
        <v/>
      </c>
      <c r="BL117" s="30" t="inlineStr">
        <is>
          <t>Yes</t>
        </is>
      </c>
      <c r="BM117" s="30">
        <f>IF(BL117="Yes",10,0)</f>
        <v/>
      </c>
      <c r="BN117" s="30" t="inlineStr">
        <is>
          <t>More than 20%</t>
        </is>
      </c>
      <c r="BO117" s="30">
        <f>IF(BN117="More than 20%",10,IF(BN117="Between 12 to 20%",5,IF(BN117="Less than 12%",0,0)))</f>
        <v/>
      </c>
      <c r="BP117" s="30" t="inlineStr">
        <is>
          <t>No</t>
        </is>
      </c>
      <c r="BQ117" s="30">
        <f>IF(BP117="No",10,0)</f>
        <v/>
      </c>
      <c r="BR117" s="30" t="inlineStr">
        <is>
          <t>Yes</t>
        </is>
      </c>
      <c r="BS117" s="30">
        <f>IF(BR117="NO",5,0)</f>
        <v/>
      </c>
      <c r="BT117" s="30" t="inlineStr">
        <is>
          <t>Above 2</t>
        </is>
      </c>
      <c r="BU117" s="30">
        <f>IF(BT117="Above 2",0,IF(BT117="Between 1.5 to 2",5,IF(BT117="Less than 1.5",10,0)))</f>
        <v/>
      </c>
      <c r="BV117" s="30" t="inlineStr">
        <is>
          <t>Above 70%</t>
        </is>
      </c>
      <c r="BW117" s="30">
        <f>IF(BV117="Above 70%",10,IF(BV117="Between 50% to 70%",5,IF(BV117="Less than 50%",0,IF(BV117="Negative",-10,IF(BV117="Less than 50% and Borrowings are increasing",-5,0)))))</f>
        <v/>
      </c>
      <c r="BX117" s="30" t="inlineStr">
        <is>
          <t>Less than 0.7</t>
        </is>
      </c>
      <c r="BY117" s="30">
        <f>IF(BX117="More than 1.2",-10,IF(BX117="Between 0.7 to 1.2",0,IF(BX117="Less than 0.7",10,0)))</f>
        <v/>
      </c>
      <c r="BZ117" s="30" t="inlineStr">
        <is>
          <t>No</t>
        </is>
      </c>
      <c r="CA117" s="30">
        <f>IF(BZ117="Yes",-10,0)</f>
        <v/>
      </c>
      <c r="CB117" s="30" t="inlineStr">
        <is>
          <t>Less than 15%</t>
        </is>
      </c>
      <c r="CC117" s="30">
        <f>IF(CB117="More than 15%",-10,IF(CB117="Less than 15%",10,0))</f>
        <v/>
      </c>
      <c r="CD117" s="30" t="inlineStr">
        <is>
          <t>No</t>
        </is>
      </c>
      <c r="CE117" s="30">
        <f>IF(CD117="Yes, more than 10%",-10,IF(CD117="No",10,0))</f>
        <v/>
      </c>
    </row>
    <row r="118">
      <c r="A118" s="30">
        <f>IF(B118=0,"",RANK(B118,$B$2:$B$331,0))</f>
        <v/>
      </c>
      <c r="B118" s="31">
        <f>SUM(N118,Y118,AA118,AC118,AE118,AG118,AI118,AK118,AM118,AO118,AQ118,AS118,AU118,AW118,AY118,BA118,BC118,BE118,BG118,BI118,BK118,BM118,BO118,BQ118,BS118,BU118,BW118,BY118,CA118,CC118,CE118)</f>
        <v/>
      </c>
      <c r="C118" s="32" t="inlineStr">
        <is>
          <t>HIKAL</t>
        </is>
      </c>
      <c r="D118" s="32" t="inlineStr">
        <is>
          <t>Hikal Limited</t>
        </is>
      </c>
      <c r="E118" s="30" t="inlineStr">
        <is>
          <t>healthcare</t>
        </is>
      </c>
      <c r="F118" s="30" t="inlineStr">
        <is>
          <t>pharmaceuticals - indian - bulk drugs</t>
        </is>
      </c>
      <c r="G118" s="30" t="inlineStr">
        <is>
          <t>smallcap</t>
        </is>
      </c>
      <c r="H118" s="31" t="n">
        <v>2967.73</v>
      </c>
      <c r="I118" s="31" t="n">
        <v>234.78</v>
      </c>
      <c r="J118" s="31" t="n">
        <v>-2.46</v>
      </c>
      <c r="K118" s="31" t="n">
        <v>774444</v>
      </c>
      <c r="L118" s="30" t="n">
        <v>17</v>
      </c>
      <c r="M118" s="30" t="inlineStr">
        <is>
          <t>Underperforming</t>
        </is>
      </c>
      <c r="N118" s="31">
        <f>IF(M118="Underperforming",-5,IF(L118&gt;=95,15,IF(L118&gt;=90,10,IF(L118&gt;=80,5,0))))</f>
        <v/>
      </c>
      <c r="O118" s="31" t="n">
        <v>57.26</v>
      </c>
      <c r="P118" s="31" t="n">
        <v>24.42</v>
      </c>
      <c r="Q118" s="31" t="n">
        <v>177.57</v>
      </c>
      <c r="R118" s="30" t="inlineStr">
        <is>
          <t>Volume Spike / Accumulation</t>
        </is>
      </c>
      <c r="S118" s="30" t="inlineStr">
        <is>
          <t>Nifty Pharma</t>
        </is>
      </c>
      <c r="T118" s="31" t="n">
        <v>18.86</v>
      </c>
      <c r="U118" s="31" t="n">
        <v>-8.57</v>
      </c>
      <c r="V118" s="31" t="n">
        <v>-23.08</v>
      </c>
      <c r="W118" s="31" t="n">
        <v>5.76</v>
      </c>
      <c r="X118" s="30" t="inlineStr">
        <is>
          <t>Growing Industry</t>
        </is>
      </c>
      <c r="Y118" s="30">
        <f>IF(X118="Growing Industry",10,IF(X118="Cyclical in an Upturn",5,0))</f>
        <v/>
      </c>
      <c r="Z118" s="30" t="inlineStr">
        <is>
          <t>Too Many Players with High ROCE</t>
        </is>
      </c>
      <c r="AA118" s="30">
        <f>IF(Z118="Monopoly",10,IF(Z118="Oligopoly",5,IF(Z118="Duopoly that cooperate",10,IF(Z118="Duopoly that compete",5,IF(Z118="Too many players with High ROCE",5,0)))))</f>
        <v/>
      </c>
      <c r="AB118" s="30" t="inlineStr">
        <is>
          <t>Yes</t>
        </is>
      </c>
      <c r="AC118" s="30">
        <f>IF(AB118="No",5,0)</f>
        <v/>
      </c>
      <c r="AD118" s="30" t="inlineStr">
        <is>
          <t>Tailwind</t>
        </is>
      </c>
      <c r="AE118" s="30">
        <f>IF(AD118="Tailwind",10,0)</f>
        <v/>
      </c>
      <c r="AF118" s="30" t="inlineStr">
        <is>
          <t>Structural (10 Years Consistency)</t>
        </is>
      </c>
      <c r="AG118" s="30">
        <f>IF(AF118="Structural (10 Years Consistency)",10,IF(AF118="Shallow Cyclical (2 to 3 years growth)",5,0))</f>
        <v/>
      </c>
      <c r="AH118" s="30" t="inlineStr">
        <is>
          <t>No</t>
        </is>
      </c>
      <c r="AI118" s="30">
        <f>IF(AH118="Yes due to Product Mix change or Operating Leverage",10,IF(AH118="Yes, these are peak margins",-5,IF(AH118="No",5,0)))</f>
        <v/>
      </c>
      <c r="AJ118" s="30" t="inlineStr">
        <is>
          <t>Stable</t>
        </is>
      </c>
      <c r="AK118" s="30">
        <f>IF(AJ118="Stable",10,0)</f>
        <v/>
      </c>
      <c r="AL118" s="30" t="inlineStr">
        <is>
          <t>Yes</t>
        </is>
      </c>
      <c r="AM118" s="30">
        <f>IF(AL118="Yes",10,0)</f>
        <v/>
      </c>
      <c r="AN118" s="30" t="inlineStr">
        <is>
          <t>B2B</t>
        </is>
      </c>
      <c r="AO118" s="30">
        <f>IF(AN118="B2C",10,IF(AN118="B2B",5,0))</f>
        <v/>
      </c>
      <c r="AP118" s="30" t="inlineStr">
        <is>
          <t>Yes</t>
        </is>
      </c>
      <c r="AQ118" s="30">
        <f>IF(AP118="Yes",10,0)</f>
        <v/>
      </c>
      <c r="AR118" s="30" t="inlineStr">
        <is>
          <t>Higher Annuity, Lower One Time</t>
        </is>
      </c>
      <c r="AS118" s="30">
        <f>IF(AR118="Fully Annuity",10,IF(AR118="Higher Annuity, Lower One Time",5,IF(AR118="Higher One Time, Lower Annuity",3,0)))</f>
        <v/>
      </c>
      <c r="AT118" s="30" t="inlineStr">
        <is>
          <t>Good</t>
        </is>
      </c>
      <c r="AU118" s="30">
        <f>IF(AT118="Good",10,0)</f>
        <v/>
      </c>
      <c r="AV118" s="30" t="inlineStr">
        <is>
          <t>Yes for more than 2 years</t>
        </is>
      </c>
      <c r="AW118" s="30">
        <f>IF(AV118="Yes for more than 2 years",10,IF(AV118="Yes only for next 1 to 2 years",5,0))</f>
        <v/>
      </c>
      <c r="AX118" s="30" t="inlineStr">
        <is>
          <t>20 to 40</t>
        </is>
      </c>
      <c r="AY118" s="30">
        <f>IF(AX118="Above 40",20,IF(AX118="20 to 40",10,IF(AX118="0 to 20",-5,0)))</f>
        <v/>
      </c>
      <c r="AZ118" s="30" t="inlineStr">
        <is>
          <t>Between 50 to 75</t>
        </is>
      </c>
      <c r="BA118" s="30">
        <f>IF(AZ118="Between 50 to 75",10,IF(AZ118="Above 75",0,0))</f>
        <v/>
      </c>
      <c r="BB118" s="30" t="inlineStr">
        <is>
          <t>Stage 2</t>
        </is>
      </c>
      <c r="BC118" s="30">
        <f>IF(BB118="Stage 2",20,IF(BB118="Stage 1",0,IF(BB118="Stage 3",5,IF(BB118="Stage 4",-5,0))))</f>
        <v/>
      </c>
      <c r="BD118" s="30" t="inlineStr">
        <is>
          <t>Positive Trend</t>
        </is>
      </c>
      <c r="BE118" s="30">
        <f>IF(BD118="Positive Trend",20,IF(BD118="Negative Trend",-10,0))</f>
        <v/>
      </c>
      <c r="BF118" s="30" t="inlineStr">
        <is>
          <t>Uptrend</t>
        </is>
      </c>
      <c r="BG118" s="30">
        <f>IF(BF118="Uptrend",10,IF(BF118="Sideways",5,0))</f>
        <v/>
      </c>
      <c r="BH118" s="30" t="inlineStr">
        <is>
          <t>Uptrend</t>
        </is>
      </c>
      <c r="BI118" s="30">
        <f>IF(BH118="Uptrend",10,IF(BH118="Sideways",5,0))</f>
        <v/>
      </c>
      <c r="BJ118" s="30" t="inlineStr">
        <is>
          <t>Close to 52 week high or retracement</t>
        </is>
      </c>
      <c r="BK118" s="30">
        <f>IF(BJ118="Overhead supply in last 2 years in last 2 years",-5,IF(BJ118="Close to 52 week high or retracement",5,IF(BJ118="Blue sky scenario",10,IF(BJ118="Long term Downtrend",-10,0))))</f>
        <v/>
      </c>
      <c r="BL118" s="30" t="inlineStr">
        <is>
          <t>Yes</t>
        </is>
      </c>
      <c r="BM118" s="30">
        <f>IF(BL118="Yes",10,0)</f>
        <v/>
      </c>
      <c r="BN118" s="30" t="inlineStr">
        <is>
          <t>More than 20%</t>
        </is>
      </c>
      <c r="BO118" s="30">
        <f>IF(BN118="More than 20%",10,IF(BN118="Between 12 to 20%",5,IF(BN118="Less than 12%",0,0)))</f>
        <v/>
      </c>
      <c r="BP118" s="30" t="inlineStr">
        <is>
          <t>No</t>
        </is>
      </c>
      <c r="BQ118" s="30">
        <f>IF(BP118="No",10,0)</f>
        <v/>
      </c>
      <c r="BR118" s="30" t="inlineStr">
        <is>
          <t>No</t>
        </is>
      </c>
      <c r="BS118" s="30">
        <f>IF(BR118="NO",5,0)</f>
        <v/>
      </c>
      <c r="BT118" s="30" t="inlineStr">
        <is>
          <t>Less than 1.5</t>
        </is>
      </c>
      <c r="BU118" s="30">
        <f>IF(BT118="Above 2",0,IF(BT118="Between 1.5 to 2",5,IF(BT118="Less than 1.5",10,0)))</f>
        <v/>
      </c>
      <c r="BV118" s="30" t="inlineStr">
        <is>
          <t>Above 70%</t>
        </is>
      </c>
      <c r="BW118" s="30">
        <f>IF(BV118="Above 70%",10,IF(BV118="Between 50% to 70%",5,IF(BV118="Less than 50%",0,IF(BV118="Negative",-10,IF(BV118="Less than 50% and Borrowings are increasing",-5,0)))))</f>
        <v/>
      </c>
      <c r="BX118" s="30" t="inlineStr">
        <is>
          <t>Less than 0.7</t>
        </is>
      </c>
      <c r="BY118" s="30">
        <f>IF(BX118="More than 1.2",-10,IF(BX118="Between 0.7 to 1.2",0,IF(BX118="Less than 0.7",10,0)))</f>
        <v/>
      </c>
      <c r="BZ118" s="30" t="inlineStr">
        <is>
          <t>No</t>
        </is>
      </c>
      <c r="CA118" s="30">
        <f>IF(BZ118="Yes",-10,0)</f>
        <v/>
      </c>
      <c r="CB118" s="30" t="inlineStr">
        <is>
          <t>Less than 15%</t>
        </is>
      </c>
      <c r="CC118" s="30">
        <f>IF(CB118="More than 15%",-10,IF(CB118="Less than 15%",10,0))</f>
        <v/>
      </c>
      <c r="CD118" s="30" t="inlineStr">
        <is>
          <t>No</t>
        </is>
      </c>
      <c r="CE118" s="30">
        <f>IF(CD118="Yes, more than 10%",-10,IF(CD118="No",10,0))</f>
        <v/>
      </c>
    </row>
    <row r="119">
      <c r="A119" s="30">
        <f>IF(B119=0,"",RANK(B119,$B$2:$B$331,0))</f>
        <v/>
      </c>
      <c r="B119" s="31">
        <f>SUM(N119,Y119,AA119,AC119,AE119,AG119,AI119,AK119,AM119,AO119,AQ119,AS119,AU119,AW119,AY119,BA119,BC119,BE119,BG119,BI119,BK119,BM119,BO119,BQ119,BS119,BU119,BW119,BY119,CA119,CC119,CE119)</f>
        <v/>
      </c>
      <c r="C119" s="30" t="inlineStr">
        <is>
          <t>KRBL</t>
        </is>
      </c>
      <c r="D119" s="30" t="inlineStr">
        <is>
          <t>Krbl Limited</t>
        </is>
      </c>
      <c r="E119" s="30" t="inlineStr">
        <is>
          <t>fmcg</t>
        </is>
      </c>
      <c r="F119" s="30" t="inlineStr">
        <is>
          <t>food - processing - indian</t>
        </is>
      </c>
      <c r="G119" s="30" t="inlineStr">
        <is>
          <t>midcap</t>
        </is>
      </c>
      <c r="H119" s="31" t="n">
        <v>9944.120000000001</v>
      </c>
      <c r="I119" s="31" t="n">
        <v>423.25</v>
      </c>
      <c r="J119" s="31" t="n">
        <v>-2.58</v>
      </c>
      <c r="K119" s="31" t="n">
        <v>473016</v>
      </c>
      <c r="L119" s="30" t="n">
        <v>18</v>
      </c>
      <c r="M119" s="30" t="inlineStr">
        <is>
          <t>Outperforming</t>
        </is>
      </c>
      <c r="N119" s="31">
        <f>IF(M119="Underperforming",-5,IF(L119&gt;=95,15,IF(L119&gt;=90,10,IF(L119&gt;=80,5,0))))</f>
        <v/>
      </c>
      <c r="O119" s="31" t="n">
        <v>63.68</v>
      </c>
      <c r="P119" s="31" t="n">
        <v>15.21</v>
      </c>
      <c r="Q119" s="31" t="n">
        <v>355.2</v>
      </c>
      <c r="R119" s="30" t="inlineStr">
        <is>
          <t>Near 52W High Breakout</t>
        </is>
      </c>
      <c r="S119" s="30" t="inlineStr">
        <is>
          <t>Nifty FMCG</t>
        </is>
      </c>
      <c r="T119" s="31" t="n">
        <v>-17.21</v>
      </c>
      <c r="U119" s="31" t="n">
        <v>9.43</v>
      </c>
      <c r="V119" s="31" t="n">
        <v>32.18</v>
      </c>
      <c r="W119" s="31" t="n">
        <v>5.94</v>
      </c>
      <c r="X119" s="30" t="inlineStr">
        <is>
          <t>Growing Industry</t>
        </is>
      </c>
      <c r="Y119" s="30">
        <f>IF(X119="Growing Industry",10,IF(X119="Cyclical in an Upturn",5,0))</f>
        <v/>
      </c>
      <c r="Z119" s="30" t="inlineStr">
        <is>
          <t>Too Many Players with High ROCE</t>
        </is>
      </c>
      <c r="AA119" s="30">
        <f>IF(Z119="Monopoly",10,IF(Z119="Oligopoly",5,IF(Z119="Duopoly that cooperate",10,IF(Z119="Duopoly that compete",5,IF(Z119="Too many players with High ROCE",5,0)))))</f>
        <v/>
      </c>
      <c r="AB119" s="30" t="inlineStr">
        <is>
          <t>No</t>
        </is>
      </c>
      <c r="AC119" s="30">
        <f>IF(AB119="No",5,0)</f>
        <v/>
      </c>
      <c r="AD119" s="30" t="inlineStr">
        <is>
          <t>Tailwind</t>
        </is>
      </c>
      <c r="AE119" s="30">
        <f>IF(AD119="Tailwind",10,0)</f>
        <v/>
      </c>
      <c r="AF119" s="30" t="inlineStr">
        <is>
          <t>Structural (10 Years Consistency)</t>
        </is>
      </c>
      <c r="AG119" s="30">
        <f>IF(AF119="Structural (10 Years Consistency)",10,IF(AF119="Shallow Cyclical (2 to 3 years growth)",5,0))</f>
        <v/>
      </c>
      <c r="AH119" s="30" t="inlineStr">
        <is>
          <t>No</t>
        </is>
      </c>
      <c r="AI119" s="30">
        <f>IF(AH119="Yes due to Product Mix change or Operating Leverage",10,IF(AH119="Yes, these are peak margins",-5,IF(AH119="No",5,0)))</f>
        <v/>
      </c>
      <c r="AJ119" s="30" t="inlineStr">
        <is>
          <t>Stable</t>
        </is>
      </c>
      <c r="AK119" s="30">
        <f>IF(AJ119="Stable",10,0)</f>
        <v/>
      </c>
      <c r="AL119" s="30" t="inlineStr">
        <is>
          <t>Yes</t>
        </is>
      </c>
      <c r="AM119" s="30">
        <f>IF(AL119="Yes",10,0)</f>
        <v/>
      </c>
      <c r="AN119" s="30" t="inlineStr">
        <is>
          <t>B2C</t>
        </is>
      </c>
      <c r="AO119" s="30">
        <f>IF(AN119="B2C",10,IF(AN119="B2B",5,0))</f>
        <v/>
      </c>
      <c r="AP119" s="30" t="inlineStr">
        <is>
          <t>Yes</t>
        </is>
      </c>
      <c r="AQ119" s="30">
        <f>IF(AP119="Yes",10,0)</f>
        <v/>
      </c>
      <c r="AR119" s="30" t="inlineStr">
        <is>
          <t>Higher Annuity, Lower One Time</t>
        </is>
      </c>
      <c r="AS119" s="30">
        <f>IF(AR119="Fully Annuity",10,IF(AR119="Higher Annuity, Lower One Time",5,IF(AR119="Higher One Time, Lower Annuity",3,0)))</f>
        <v/>
      </c>
      <c r="AT119" s="30" t="inlineStr">
        <is>
          <t>Good</t>
        </is>
      </c>
      <c r="AU119" s="30">
        <f>IF(AT119="Good",10,0)</f>
        <v/>
      </c>
      <c r="AV119" s="30" t="inlineStr">
        <is>
          <t>Yes for more than 2 years</t>
        </is>
      </c>
      <c r="AW119" s="30">
        <f>IF(AV119="Yes for more than 2 years",10,IF(AV119="Yes only for next 1 to 2 years",5,0))</f>
        <v/>
      </c>
      <c r="AX119" s="30" t="inlineStr">
        <is>
          <t>0 to 20</t>
        </is>
      </c>
      <c r="AY119" s="30">
        <f>IF(AX119="Above 40",20,IF(AX119="20 to 40",10,IF(AX119="0 to 20",-5,0)))</f>
        <v/>
      </c>
      <c r="AZ119" s="30" t="inlineStr">
        <is>
          <t>Between 50 to 75</t>
        </is>
      </c>
      <c r="BA119" s="30">
        <f>IF(AZ119="Between 50 to 75",10,IF(AZ119="Above 75",0,0))</f>
        <v/>
      </c>
      <c r="BB119" s="30" t="inlineStr">
        <is>
          <t>Stage 2</t>
        </is>
      </c>
      <c r="BC119" s="30">
        <f>IF(BB119="Stage 2",20,IF(BB119="Stage 1",0,IF(BB119="Stage 3",5,IF(BB119="Stage 4",-5,0))))</f>
        <v/>
      </c>
      <c r="BD119" s="30" t="inlineStr">
        <is>
          <t>Positive Trend</t>
        </is>
      </c>
      <c r="BE119" s="30">
        <f>IF(BD119="Positive Trend",20,IF(BD119="Negative Trend",-10,0))</f>
        <v/>
      </c>
      <c r="BF119" s="30" t="inlineStr">
        <is>
          <t>Uptrend</t>
        </is>
      </c>
      <c r="BG119" s="30">
        <f>IF(BF119="Uptrend",10,IF(BF119="Sideways",5,0))</f>
        <v/>
      </c>
      <c r="BH119" s="30" t="inlineStr">
        <is>
          <t>Uptrend</t>
        </is>
      </c>
      <c r="BI119" s="30">
        <f>IF(BH119="Uptrend",10,IF(BH119="Sideways",5,0))</f>
        <v/>
      </c>
      <c r="BJ119" s="30" t="inlineStr">
        <is>
          <t>Close to 52 week high or retracement</t>
        </is>
      </c>
      <c r="BK119" s="30">
        <f>IF(BJ119="Overhead supply in last 2 years in last 2 years",-5,IF(BJ119="Close to 52 week high or retracement",5,IF(BJ119="Blue sky scenario",10,IF(BJ119="Long term Downtrend",-10,0))))</f>
        <v/>
      </c>
      <c r="BL119" s="30" t="inlineStr">
        <is>
          <t>Yes</t>
        </is>
      </c>
      <c r="BM119" s="30">
        <f>IF(BL119="Yes",10,0)</f>
        <v/>
      </c>
      <c r="BN119" s="30" t="inlineStr">
        <is>
          <t>More than 20%</t>
        </is>
      </c>
      <c r="BO119" s="30">
        <f>IF(BN119="More than 20%",10,IF(BN119="Between 12 to 20%",5,IF(BN119="Less than 12%",0,0)))</f>
        <v/>
      </c>
      <c r="BP119" s="30" t="inlineStr">
        <is>
          <t>No</t>
        </is>
      </c>
      <c r="BQ119" s="30">
        <f>IF(BP119="No",10,0)</f>
        <v/>
      </c>
      <c r="BR119" s="30" t="inlineStr">
        <is>
          <t>No</t>
        </is>
      </c>
      <c r="BS119" s="30">
        <f>IF(BR119="NO",5,0)</f>
        <v/>
      </c>
      <c r="BT119" s="30" t="inlineStr">
        <is>
          <t>Less than 1.5</t>
        </is>
      </c>
      <c r="BU119" s="30">
        <f>IF(BT119="Above 2",0,IF(BT119="Between 1.5 to 2",5,IF(BT119="Less than 1.5",10,0)))</f>
        <v/>
      </c>
      <c r="BV119" s="30" t="inlineStr">
        <is>
          <t>Above 70%</t>
        </is>
      </c>
      <c r="BW119" s="30">
        <f>IF(BV119="Above 70%",10,IF(BV119="Between 50% to 70%",5,IF(BV119="Less than 50%",0,IF(BV119="Negative",-10,IF(BV119="Less than 50% and Borrowings are increasing",-5,0)))))</f>
        <v/>
      </c>
      <c r="BX119" s="30" t="inlineStr">
        <is>
          <t>Less than 0.7</t>
        </is>
      </c>
      <c r="BY119" s="30">
        <f>IF(BX119="More than 1.2",-10,IF(BX119="Between 0.7 to 1.2",0,IF(BX119="Less than 0.7",10,0)))</f>
        <v/>
      </c>
      <c r="BZ119" s="30" t="inlineStr">
        <is>
          <t>No</t>
        </is>
      </c>
      <c r="CA119" s="30">
        <f>IF(BZ119="Yes",-10,0)</f>
        <v/>
      </c>
      <c r="CB119" s="30" t="inlineStr">
        <is>
          <t>Less than 15%</t>
        </is>
      </c>
      <c r="CC119" s="30">
        <f>IF(CB119="More than 15%",-10,IF(CB119="Less than 15%",10,0))</f>
        <v/>
      </c>
      <c r="CD119" s="30" t="inlineStr">
        <is>
          <t>No</t>
        </is>
      </c>
      <c r="CE119" s="30">
        <f>IF(CD119="Yes, more than 10%",-10,IF(CD119="No",10,0))</f>
        <v/>
      </c>
    </row>
    <row r="120">
      <c r="A120" s="30">
        <f>IF(B120=0,"",RANK(B120,$B$2:$B$331,0))</f>
        <v/>
      </c>
      <c r="B120" s="31">
        <f>SUM(N120,Y120,AA120,AC120,AE120,AG120,AI120,AK120,AM120,AO120,AQ120,AS120,AU120,AW120,AY120,BA120,BC120,BE120,BG120,BI120,BK120,BM120,BO120,BQ120,BS120,BU120,BW120,BY120,CA120,CC120,CE120)</f>
        <v/>
      </c>
      <c r="C120" s="30" t="inlineStr">
        <is>
          <t>SAKAR</t>
        </is>
      </c>
      <c r="D120" s="30" t="inlineStr">
        <is>
          <t>Sakar Healthcare Ltd</t>
        </is>
      </c>
      <c r="E120" s="30" t="inlineStr">
        <is>
          <t>healthcare</t>
        </is>
      </c>
      <c r="F120" s="30" t="inlineStr">
        <is>
          <t>pharmaceuticals - indian - bulk drugs &amp; formln</t>
        </is>
      </c>
      <c r="G120" s="30" t="inlineStr">
        <is>
          <t>smallcap</t>
        </is>
      </c>
      <c r="H120" s="31" t="n">
        <v>2563.97</v>
      </c>
      <c r="I120" s="31" t="n">
        <v>1117.3</v>
      </c>
      <c r="J120" s="31" t="n">
        <v>-3.04</v>
      </c>
      <c r="K120" s="31" t="n">
        <v>91278</v>
      </c>
      <c r="L120" s="30" t="n">
        <v>87</v>
      </c>
      <c r="M120" s="30" t="inlineStr">
        <is>
          <t>Outperforming</t>
        </is>
      </c>
      <c r="N120" s="31">
        <f>IF(M120="Underperforming",-5,IF(L120&gt;=95,15,IF(L120&gt;=90,10,IF(L120&gt;=80,5,0))))</f>
        <v/>
      </c>
      <c r="O120" s="31" t="n">
        <v>75.08</v>
      </c>
      <c r="P120" s="31" t="n">
        <v>52.51</v>
      </c>
      <c r="Q120" s="31" t="n">
        <v>811.54</v>
      </c>
      <c r="R120" s="30" t="inlineStr">
        <is>
          <t>Near 52W High Breakout</t>
        </is>
      </c>
      <c r="S120" s="30" t="inlineStr">
        <is>
          <t>Nifty Pharma</t>
        </is>
      </c>
      <c r="T120" s="31" t="n">
        <v>18.86</v>
      </c>
      <c r="U120" s="31" t="n">
        <v>234.22</v>
      </c>
      <c r="V120" s="31" t="n">
        <v>181.18</v>
      </c>
      <c r="W120" s="31" t="n">
        <v>35.84</v>
      </c>
      <c r="X120" s="30" t="inlineStr">
        <is>
          <t>Growing Industry</t>
        </is>
      </c>
      <c r="Y120" s="30">
        <f>IF(X120="Growing Industry",10,IF(X120="Cyclical in an Upturn",5,0))</f>
        <v/>
      </c>
      <c r="Z120" s="30" t="inlineStr">
        <is>
          <t>Too Many Players with High ROCE</t>
        </is>
      </c>
      <c r="AA120" s="30">
        <f>IF(Z120="Monopoly",10,IF(Z120="Oligopoly",5,IF(Z120="Duopoly that cooperate",10,IF(Z120="Duopoly that compete",5,IF(Z120="Too many players with High ROCE",5,0)))))</f>
        <v/>
      </c>
      <c r="AB120" s="30" t="inlineStr">
        <is>
          <t>Yes</t>
        </is>
      </c>
      <c r="AC120" s="30">
        <f>IF(AB120="No",5,0)</f>
        <v/>
      </c>
      <c r="AD120" s="30" t="inlineStr">
        <is>
          <t>Tailwind</t>
        </is>
      </c>
      <c r="AE120" s="30">
        <f>IF(AD120="Tailwind",10,0)</f>
        <v/>
      </c>
      <c r="AF120" s="30" t="inlineStr">
        <is>
          <t>Structural (10 Years Consistency)</t>
        </is>
      </c>
      <c r="AG120" s="30">
        <f>IF(AF120="Structural (10 Years Consistency)",10,IF(AF120="Shallow Cyclical (2 to 3 years growth)",5,0))</f>
        <v/>
      </c>
      <c r="AH120" s="30" t="inlineStr">
        <is>
          <t>No</t>
        </is>
      </c>
      <c r="AI120" s="30">
        <f>IF(AH120="Yes due to Product Mix change or Operating Leverage",10,IF(AH120="Yes, these are peak margins",-5,IF(AH120="No",5,0)))</f>
        <v/>
      </c>
      <c r="AJ120" s="30" t="inlineStr">
        <is>
          <t>Stable</t>
        </is>
      </c>
      <c r="AK120" s="30">
        <f>IF(AJ120="Stable",10,0)</f>
        <v/>
      </c>
      <c r="AL120" s="30" t="inlineStr">
        <is>
          <t>Yes</t>
        </is>
      </c>
      <c r="AM120" s="30">
        <f>IF(AL120="Yes",10,0)</f>
        <v/>
      </c>
      <c r="AN120" s="30" t="inlineStr">
        <is>
          <t>B2B</t>
        </is>
      </c>
      <c r="AO120" s="30">
        <f>IF(AN120="B2C",10,IF(AN120="B2B",5,0))</f>
        <v/>
      </c>
      <c r="AP120" s="30" t="inlineStr">
        <is>
          <t>Yes</t>
        </is>
      </c>
      <c r="AQ120" s="30">
        <f>IF(AP120="Yes",10,0)</f>
        <v/>
      </c>
      <c r="AR120" s="30" t="inlineStr">
        <is>
          <t>Higher Annuity, Lower One Time</t>
        </is>
      </c>
      <c r="AS120" s="30">
        <f>IF(AR120="Fully Annuity",10,IF(AR120="Higher Annuity, Lower One Time",5,IF(AR120="Higher One Time, Lower Annuity",3,0)))</f>
        <v/>
      </c>
      <c r="AT120" s="30" t="inlineStr">
        <is>
          <t>Good</t>
        </is>
      </c>
      <c r="AU120" s="30">
        <f>IF(AT120="Good",10,0)</f>
        <v/>
      </c>
      <c r="AV120" s="30" t="inlineStr">
        <is>
          <t>Yes for more than 2 years</t>
        </is>
      </c>
      <c r="AW120" s="30">
        <f>IF(AV120="Yes for more than 2 years",10,IF(AV120="Yes only for next 1 to 2 years",5,0))</f>
        <v/>
      </c>
      <c r="AX120" s="30" t="inlineStr">
        <is>
          <t>Above 40</t>
        </is>
      </c>
      <c r="AY120" s="30">
        <f>IF(AX120="Above 40",20,IF(AX120="20 to 40",10,IF(AX120="0 to 20",-5,0)))</f>
        <v/>
      </c>
      <c r="AZ120" s="30" t="inlineStr">
        <is>
          <t>Above 75</t>
        </is>
      </c>
      <c r="BA120" s="30">
        <f>IF(AZ120="Between 50 to 75",10,IF(AZ120="Above 75",0,0))</f>
        <v/>
      </c>
      <c r="BB120" s="30" t="inlineStr">
        <is>
          <t>Stage 2</t>
        </is>
      </c>
      <c r="BC120" s="30">
        <f>IF(BB120="Stage 2",20,IF(BB120="Stage 1",0,IF(BB120="Stage 3",5,IF(BB120="Stage 4",-5,0))))</f>
        <v/>
      </c>
      <c r="BD120" s="30" t="inlineStr">
        <is>
          <t>Positive Trend</t>
        </is>
      </c>
      <c r="BE120" s="30">
        <f>IF(BD120="Positive Trend",20,IF(BD120="Negative Trend",-10,0))</f>
        <v/>
      </c>
      <c r="BF120" s="30" t="inlineStr">
        <is>
          <t>Uptrend</t>
        </is>
      </c>
      <c r="BG120" s="30">
        <f>IF(BF120="Uptrend",10,IF(BF120="Sideways",5,0))</f>
        <v/>
      </c>
      <c r="BH120" s="30" t="inlineStr">
        <is>
          <t>Uptrend</t>
        </is>
      </c>
      <c r="BI120" s="30">
        <f>IF(BH120="Uptrend",10,IF(BH120="Sideways",5,0))</f>
        <v/>
      </c>
      <c r="BJ120" s="30" t="inlineStr">
        <is>
          <t>Blue sky scenario</t>
        </is>
      </c>
      <c r="BK120" s="30">
        <f>IF(BJ120="Overhead supply in last 2 years in last 2 years",-5,IF(BJ120="Close to 52 week high or retracement",5,IF(BJ120="Blue sky scenario",10,IF(BJ120="Long term Downtrend",-10,0))))</f>
        <v/>
      </c>
      <c r="BL120" s="30" t="inlineStr">
        <is>
          <t>Yes</t>
        </is>
      </c>
      <c r="BM120" s="30">
        <f>IF(BL120="Yes",10,0)</f>
        <v/>
      </c>
      <c r="BN120" s="30" t="inlineStr">
        <is>
          <t>More than 20%</t>
        </is>
      </c>
      <c r="BO120" s="30">
        <f>IF(BN120="More than 20%",10,IF(BN120="Between 12 to 20%",5,IF(BN120="Less than 12%",0,0)))</f>
        <v/>
      </c>
      <c r="BP120" s="30" t="inlineStr">
        <is>
          <t>No</t>
        </is>
      </c>
      <c r="BQ120" s="30">
        <f>IF(BP120="No",10,0)</f>
        <v/>
      </c>
      <c r="BR120" s="30" t="inlineStr">
        <is>
          <t>Yes</t>
        </is>
      </c>
      <c r="BS120" s="30">
        <f>IF(BR120="NO",5,0)</f>
        <v/>
      </c>
      <c r="BT120" s="30" t="inlineStr">
        <is>
          <t>Above 2</t>
        </is>
      </c>
      <c r="BU120" s="30">
        <f>IF(BT120="Above 2",0,IF(BT120="Between 1.5 to 2",5,IF(BT120="Less than 1.5",10,0)))</f>
        <v/>
      </c>
      <c r="BV120" s="30" t="inlineStr">
        <is>
          <t>Above 70%</t>
        </is>
      </c>
      <c r="BW120" s="30">
        <f>IF(BV120="Above 70%",10,IF(BV120="Between 50% to 70%",5,IF(BV120="Less than 50%",0,IF(BV120="Negative",-10,IF(BV120="Less than 50% and Borrowings are increasing",-5,0)))))</f>
        <v/>
      </c>
      <c r="BX120" s="30" t="inlineStr">
        <is>
          <t>Less than 0.7</t>
        </is>
      </c>
      <c r="BY120" s="30">
        <f>IF(BX120="More than 1.2",-10,IF(BX120="Between 0.7 to 1.2",0,IF(BX120="Less than 0.7",10,0)))</f>
        <v/>
      </c>
      <c r="BZ120" s="30" t="inlineStr">
        <is>
          <t>No</t>
        </is>
      </c>
      <c r="CA120" s="30">
        <f>IF(BZ120="Yes",-10,0)</f>
        <v/>
      </c>
      <c r="CB120" s="30" t="inlineStr">
        <is>
          <t>Less than 15%</t>
        </is>
      </c>
      <c r="CC120" s="30">
        <f>IF(CB120="More than 15%",-10,IF(CB120="Less than 15%",10,0))</f>
        <v/>
      </c>
      <c r="CD120" s="30" t="inlineStr">
        <is>
          <t>No</t>
        </is>
      </c>
      <c r="CE120" s="30">
        <f>IF(CD120="Yes, more than 10%",-10,IF(CD120="No",10,0))</f>
        <v/>
      </c>
    </row>
    <row r="121">
      <c r="A121" s="30">
        <f>IF(B121=0,"",RANK(B121,$B$2:$B$331,0))</f>
        <v/>
      </c>
      <c r="B121" s="31">
        <f>SUM(N121,Y121,AA121,AC121,AE121,AG121,AI121,AK121,AM121,AO121,AQ121,AS121,AU121,AW121,AY121,BA121,BC121,BE121,BG121,BI121,BK121,BM121,BO121,BQ121,BS121,BU121,BW121,BY121,CA121,CC121,CE121)</f>
        <v/>
      </c>
      <c r="C121" s="30" t="inlineStr">
        <is>
          <t>RGL</t>
        </is>
      </c>
      <c r="D121" s="30" t="inlineStr">
        <is>
          <t>Renaissance Global Ltd</t>
        </is>
      </c>
      <c r="E121" s="30" t="inlineStr">
        <is>
          <t>consumer discretionary</t>
        </is>
      </c>
      <c r="F121" s="30" t="inlineStr">
        <is>
          <t>diamond cutting / jewellery</t>
        </is>
      </c>
      <c r="G121" s="30" t="inlineStr">
        <is>
          <t>smallcap</t>
        </is>
      </c>
      <c r="H121" s="31" t="n">
        <v>1580.36</v>
      </c>
      <c r="I121" s="31" t="n">
        <v>156.48</v>
      </c>
      <c r="J121" s="31" t="n">
        <v>6.31</v>
      </c>
      <c r="K121" s="31" t="n">
        <v>2423183</v>
      </c>
      <c r="L121" s="30" t="n">
        <v>57</v>
      </c>
      <c r="M121" s="30" t="inlineStr">
        <is>
          <t>Outperforming</t>
        </is>
      </c>
      <c r="N121" s="31">
        <f>IF(M121="Underperforming",-5,IF(L121&gt;=95,15,IF(L121&gt;=90,10,IF(L121&gt;=80,5,0))))</f>
        <v/>
      </c>
      <c r="O121" s="31" t="n">
        <v>74.77</v>
      </c>
      <c r="P121" s="31" t="n">
        <v>24.46</v>
      </c>
      <c r="Q121" s="31" t="n">
        <v>117.86</v>
      </c>
      <c r="R121" s="30" t="inlineStr">
        <is>
          <t>Near 52W High Breakout</t>
        </is>
      </c>
      <c r="S121" s="30" t="inlineStr">
        <is>
          <t>Nifty 50</t>
        </is>
      </c>
      <c r="T121" s="31" t="n">
        <v>-6.52</v>
      </c>
      <c r="U121" s="31" t="n">
        <v>31.99</v>
      </c>
      <c r="V121" s="31" t="n">
        <v>41.19</v>
      </c>
      <c r="W121" s="31" t="n">
        <v>17.97</v>
      </c>
      <c r="X121" s="30" t="inlineStr">
        <is>
          <t>Growing Industry</t>
        </is>
      </c>
      <c r="Y121" s="30">
        <f>IF(X121="Growing Industry",10,IF(X121="Cyclical in an Upturn",5,0))</f>
        <v/>
      </c>
      <c r="Z121" s="30" t="inlineStr">
        <is>
          <t>Too Many Players with High ROCE</t>
        </is>
      </c>
      <c r="AA121" s="30">
        <f>IF(Z121="Monopoly",10,IF(Z121="Oligopoly",5,IF(Z121="Duopoly that cooperate",10,IF(Z121="Duopoly that compete",5,IF(Z121="Too many players with High ROCE",5,0)))))</f>
        <v/>
      </c>
      <c r="AB121" s="30" t="inlineStr">
        <is>
          <t>No</t>
        </is>
      </c>
      <c r="AC121" s="30">
        <f>IF(AB121="No",5,0)</f>
        <v/>
      </c>
      <c r="AD121" s="30" t="inlineStr">
        <is>
          <t>Tailwind</t>
        </is>
      </c>
      <c r="AE121" s="30">
        <f>IF(AD121="Tailwind",10,0)</f>
        <v/>
      </c>
      <c r="AF121" s="30" t="inlineStr">
        <is>
          <t>Structural (10 Years Consistency)</t>
        </is>
      </c>
      <c r="AG121" s="30">
        <f>IF(AF121="Structural (10 Years Consistency)",10,IF(AF121="Shallow Cyclical (2 to 3 years growth)",5,0))</f>
        <v/>
      </c>
      <c r="AH121" s="30" t="inlineStr">
        <is>
          <t>No</t>
        </is>
      </c>
      <c r="AI121" s="30">
        <f>IF(AH121="Yes due to Product Mix change or Operating Leverage",10,IF(AH121="Yes, these are peak margins",-5,IF(AH121="No",5,0)))</f>
        <v/>
      </c>
      <c r="AJ121" s="30" t="inlineStr">
        <is>
          <t>Stable</t>
        </is>
      </c>
      <c r="AK121" s="30">
        <f>IF(AJ121="Stable",10,0)</f>
        <v/>
      </c>
      <c r="AL121" s="30" t="inlineStr">
        <is>
          <t>Yes</t>
        </is>
      </c>
      <c r="AM121" s="30">
        <f>IF(AL121="Yes",10,0)</f>
        <v/>
      </c>
      <c r="AN121" s="30" t="inlineStr">
        <is>
          <t>B2B</t>
        </is>
      </c>
      <c r="AO121" s="30">
        <f>IF(AN121="B2C",10,IF(AN121="B2B",5,0))</f>
        <v/>
      </c>
      <c r="AP121" s="30" t="inlineStr">
        <is>
          <t>Yes</t>
        </is>
      </c>
      <c r="AQ121" s="30">
        <f>IF(AP121="Yes",10,0)</f>
        <v/>
      </c>
      <c r="AR121" s="30" t="inlineStr">
        <is>
          <t>Higher One Time, Lower Annuity</t>
        </is>
      </c>
      <c r="AS121" s="30">
        <f>IF(AR121="Fully Annuity",10,IF(AR121="Higher Annuity, Lower One Time",5,IF(AR121="Higher One Time, Lower Annuity",3,0)))</f>
        <v/>
      </c>
      <c r="AT121" s="30" t="inlineStr">
        <is>
          <t>Good</t>
        </is>
      </c>
      <c r="AU121" s="30">
        <f>IF(AT121="Good",10,0)</f>
        <v/>
      </c>
      <c r="AV121" s="30" t="inlineStr">
        <is>
          <t>Yes for more than 2 years</t>
        </is>
      </c>
      <c r="AW121" s="30">
        <f>IF(AV121="Yes for more than 2 years",10,IF(AV121="Yes only for next 1 to 2 years",5,0))</f>
        <v/>
      </c>
      <c r="AX121" s="30" t="inlineStr">
        <is>
          <t>20 to 40</t>
        </is>
      </c>
      <c r="AY121" s="30">
        <f>IF(AX121="Above 40",20,IF(AX121="20 to 40",10,IF(AX121="0 to 20",-5,0)))</f>
        <v/>
      </c>
      <c r="AZ121" s="30" t="inlineStr">
        <is>
          <t>Between 50 to 75</t>
        </is>
      </c>
      <c r="BA121" s="30">
        <f>IF(AZ121="Between 50 to 75",10,IF(AZ121="Above 75",0,0))</f>
        <v/>
      </c>
      <c r="BB121" s="30" t="inlineStr">
        <is>
          <t>Stage 2</t>
        </is>
      </c>
      <c r="BC121" s="30">
        <f>IF(BB121="Stage 2",20,IF(BB121="Stage 1",0,IF(BB121="Stage 3",5,IF(BB121="Stage 4",-5,0))))</f>
        <v/>
      </c>
      <c r="BD121" s="30" t="inlineStr">
        <is>
          <t>Positive Trend</t>
        </is>
      </c>
      <c r="BE121" s="30">
        <f>IF(BD121="Positive Trend",20,IF(BD121="Negative Trend",-10,0))</f>
        <v/>
      </c>
      <c r="BF121" s="30" t="inlineStr">
        <is>
          <t>Uptrend</t>
        </is>
      </c>
      <c r="BG121" s="30">
        <f>IF(BF121="Uptrend",10,IF(BF121="Sideways",5,0))</f>
        <v/>
      </c>
      <c r="BH121" s="30" t="inlineStr">
        <is>
          <t>Uptrend</t>
        </is>
      </c>
      <c r="BI121" s="30">
        <f>IF(BH121="Uptrend",10,IF(BH121="Sideways",5,0))</f>
        <v/>
      </c>
      <c r="BJ121" s="30" t="inlineStr">
        <is>
          <t>Close to 52 week high or retracement</t>
        </is>
      </c>
      <c r="BK121" s="30">
        <f>IF(BJ121="Overhead supply in last 2 years in last 2 years",-5,IF(BJ121="Close to 52 week high or retracement",5,IF(BJ121="Blue sky scenario",10,IF(BJ121="Long term Downtrend",-10,0))))</f>
        <v/>
      </c>
      <c r="BL121" s="30" t="inlineStr">
        <is>
          <t>Yes</t>
        </is>
      </c>
      <c r="BM121" s="30">
        <f>IF(BL121="Yes",10,0)</f>
        <v/>
      </c>
      <c r="BN121" s="30" t="inlineStr">
        <is>
          <t>More than 20%</t>
        </is>
      </c>
      <c r="BO121" s="30">
        <f>IF(BN121="More than 20%",10,IF(BN121="Between 12 to 20%",5,IF(BN121="Less than 12%",0,0)))</f>
        <v/>
      </c>
      <c r="BP121" s="30" t="inlineStr">
        <is>
          <t>No</t>
        </is>
      </c>
      <c r="BQ121" s="30">
        <f>IF(BP121="No",10,0)</f>
        <v/>
      </c>
      <c r="BR121" s="30" t="inlineStr">
        <is>
          <t>No</t>
        </is>
      </c>
      <c r="BS121" s="30">
        <f>IF(BR121="NO",5,0)</f>
        <v/>
      </c>
      <c r="BT121" s="30" t="inlineStr">
        <is>
          <t>Above 2</t>
        </is>
      </c>
      <c r="BU121" s="30">
        <f>IF(BT121="Above 2",0,IF(BT121="Between 1.5 to 2",5,IF(BT121="Less than 1.5",10,0)))</f>
        <v/>
      </c>
      <c r="BV121" s="30" t="inlineStr">
        <is>
          <t>Above 70%</t>
        </is>
      </c>
      <c r="BW121" s="30">
        <f>IF(BV121="Above 70%",10,IF(BV121="Between 50% to 70%",5,IF(BV121="Less than 50%",0,IF(BV121="Negative",-10,IF(BV121="Less than 50% and Borrowings are increasing",-5,0)))))</f>
        <v/>
      </c>
      <c r="BX121" s="30" t="inlineStr">
        <is>
          <t>Less than 0.7</t>
        </is>
      </c>
      <c r="BY121" s="30">
        <f>IF(BX121="More than 1.2",-10,IF(BX121="Between 0.7 to 1.2",0,IF(BX121="Less than 0.7",10,0)))</f>
        <v/>
      </c>
      <c r="BZ121" s="30" t="inlineStr">
        <is>
          <t>No</t>
        </is>
      </c>
      <c r="CA121" s="30">
        <f>IF(BZ121="Yes",-10,0)</f>
        <v/>
      </c>
      <c r="CB121" s="30" t="inlineStr">
        <is>
          <t>Less than 15%</t>
        </is>
      </c>
      <c r="CC121" s="30">
        <f>IF(CB121="More than 15%",-10,IF(CB121="Less than 15%",10,0))</f>
        <v/>
      </c>
      <c r="CD121" s="30" t="inlineStr">
        <is>
          <t>No</t>
        </is>
      </c>
      <c r="CE121" s="30">
        <f>IF(CD121="Yes, more than 10%",-10,IF(CD121="No",10,0))</f>
        <v/>
      </c>
    </row>
    <row r="122">
      <c r="A122" s="30">
        <f>IF(B122=0,"",RANK(B122,$B$2:$B$331,0))</f>
        <v/>
      </c>
      <c r="B122" s="31">
        <f>SUM(N122,Y122,AA122,AC122,AE122,AG122,AI122,AK122,AM122,AO122,AQ122,AS122,AU122,AW122,AY122,BA122,BC122,BE122,BG122,BI122,BK122,BM122,BO122,BQ122,BS122,BU122,BW122,BY122,CA122,CC122,CE122)</f>
        <v/>
      </c>
      <c r="C122" s="30" t="inlineStr">
        <is>
          <t>KENNAMET</t>
        </is>
      </c>
      <c r="D122" s="30" t="inlineStr">
        <is>
          <t>Kennametal India Ltd</t>
        </is>
      </c>
      <c r="E122" s="30" t="inlineStr">
        <is>
          <t>industrials</t>
        </is>
      </c>
      <c r="F122" s="30" t="inlineStr">
        <is>
          <t>castings &amp; forgings</t>
        </is>
      </c>
      <c r="G122" s="30" t="inlineStr">
        <is>
          <t>midcap</t>
        </is>
      </c>
      <c r="H122" s="31" t="n">
        <v>10432.41</v>
      </c>
      <c r="I122" s="31" t="n">
        <v>5027.9</v>
      </c>
      <c r="J122" s="31" t="n">
        <v>5.92</v>
      </c>
      <c r="K122" s="31" t="n">
        <v>72699</v>
      </c>
      <c r="L122" s="30" t="n">
        <v>88</v>
      </c>
      <c r="M122" s="30" t="inlineStr">
        <is>
          <t>Outperforming</t>
        </is>
      </c>
      <c r="N122" s="31">
        <f>IF(M122="Underperforming",-5,IF(L122&gt;=95,15,IF(L122&gt;=90,10,IF(L122&gt;=80,5,0))))</f>
        <v/>
      </c>
      <c r="O122" s="31" t="n">
        <v>87.02</v>
      </c>
      <c r="P122" s="31" t="n">
        <v>49.02</v>
      </c>
      <c r="Q122" s="31" t="n">
        <v>3962.74</v>
      </c>
      <c r="R122" s="30" t="inlineStr">
        <is>
          <t>Near 52W High Breakout</t>
        </is>
      </c>
      <c r="S122" s="30" t="inlineStr">
        <is>
          <t>Nifty 50</t>
        </is>
      </c>
      <c r="T122" s="31" t="n">
        <v>-6.52</v>
      </c>
      <c r="U122" s="31" t="n">
        <v>133.85</v>
      </c>
      <c r="V122" s="31" t="n">
        <v>150.15</v>
      </c>
      <c r="W122" s="31" t="n">
        <v>37.97</v>
      </c>
      <c r="X122" s="30" t="inlineStr">
        <is>
          <t>Cyclical in an Upturn</t>
        </is>
      </c>
      <c r="Y122" s="30">
        <f>IF(X122="Growing Industry",10,IF(X122="Cyclical in an Upturn",5,0))</f>
        <v/>
      </c>
      <c r="Z122" s="30" t="inlineStr">
        <is>
          <t>Too Many Players with High ROCE</t>
        </is>
      </c>
      <c r="AA122" s="30">
        <f>IF(Z122="Monopoly",10,IF(Z122="Oligopoly",5,IF(Z122="Duopoly that cooperate",10,IF(Z122="Duopoly that compete",5,IF(Z122="Too many players with High ROCE",5,0)))))</f>
        <v/>
      </c>
      <c r="AB122" s="30" t="inlineStr">
        <is>
          <t>No</t>
        </is>
      </c>
      <c r="AC122" s="30">
        <f>IF(AB122="No",5,0)</f>
        <v/>
      </c>
      <c r="AD122" s="30" t="inlineStr">
        <is>
          <t>Tailwind</t>
        </is>
      </c>
      <c r="AE122" s="30">
        <f>IF(AD122="Tailwind",10,0)</f>
        <v/>
      </c>
      <c r="AF122" s="30" t="inlineStr">
        <is>
          <t>Structural (10 Years Consistency)</t>
        </is>
      </c>
      <c r="AG122" s="30">
        <f>IF(AF122="Structural (10 Years Consistency)",10,IF(AF122="Shallow Cyclical (2 to 3 years growth)",5,0))</f>
        <v/>
      </c>
      <c r="AH122" s="30" t="inlineStr">
        <is>
          <t>No</t>
        </is>
      </c>
      <c r="AI122" s="30">
        <f>IF(AH122="Yes due to Product Mix change or Operating Leverage",10,IF(AH122="Yes, these are peak margins",-5,IF(AH122="No",5,0)))</f>
        <v/>
      </c>
      <c r="AJ122" s="30" t="inlineStr">
        <is>
          <t>Stable</t>
        </is>
      </c>
      <c r="AK122" s="30">
        <f>IF(AJ122="Stable",10,0)</f>
        <v/>
      </c>
      <c r="AL122" s="30" t="inlineStr">
        <is>
          <t>Yes</t>
        </is>
      </c>
      <c r="AM122" s="30">
        <f>IF(AL122="Yes",10,0)</f>
        <v/>
      </c>
      <c r="AN122" s="30" t="inlineStr">
        <is>
          <t>B2B</t>
        </is>
      </c>
      <c r="AO122" s="30">
        <f>IF(AN122="B2C",10,IF(AN122="B2B",5,0))</f>
        <v/>
      </c>
      <c r="AP122" s="30" t="inlineStr">
        <is>
          <t>Yes</t>
        </is>
      </c>
      <c r="AQ122" s="30">
        <f>IF(AP122="Yes",10,0)</f>
        <v/>
      </c>
      <c r="AR122" s="30" t="inlineStr">
        <is>
          <t>Higher One Time, Lower Annuity</t>
        </is>
      </c>
      <c r="AS122" s="30">
        <f>IF(AR122="Fully Annuity",10,IF(AR122="Higher Annuity, Lower One Time",5,IF(AR122="Higher One Time, Lower Annuity",3,0)))</f>
        <v/>
      </c>
      <c r="AT122" s="30" t="inlineStr">
        <is>
          <t>Good</t>
        </is>
      </c>
      <c r="AU122" s="30">
        <f>IF(AT122="Good",10,0)</f>
        <v/>
      </c>
      <c r="AV122" s="30" t="inlineStr">
        <is>
          <t>Yes for more than 2 years</t>
        </is>
      </c>
      <c r="AW122" s="30">
        <f>IF(AV122="Yes for more than 2 years",10,IF(AV122="Yes only for next 1 to 2 years",5,0))</f>
        <v/>
      </c>
      <c r="AX122" s="30" t="inlineStr">
        <is>
          <t>Above 40</t>
        </is>
      </c>
      <c r="AY122" s="30">
        <f>IF(AX122="Above 40",20,IF(AX122="20 to 40",10,IF(AX122="0 to 20",-5,0)))</f>
        <v/>
      </c>
      <c r="AZ122" s="30" t="inlineStr">
        <is>
          <t>Above 75</t>
        </is>
      </c>
      <c r="BA122" s="30">
        <f>IF(AZ122="Between 50 to 75",10,IF(AZ122="Above 75",0,0))</f>
        <v/>
      </c>
      <c r="BB122" s="30" t="inlineStr">
        <is>
          <t>Stage 2</t>
        </is>
      </c>
      <c r="BC122" s="30">
        <f>IF(BB122="Stage 2",20,IF(BB122="Stage 1",0,IF(BB122="Stage 3",5,IF(BB122="Stage 4",-5,0))))</f>
        <v/>
      </c>
      <c r="BD122" s="30" t="inlineStr">
        <is>
          <t>Positive Trend</t>
        </is>
      </c>
      <c r="BE122" s="30">
        <f>IF(BD122="Positive Trend",20,IF(BD122="Negative Trend",-10,0))</f>
        <v/>
      </c>
      <c r="BF122" s="30" t="inlineStr">
        <is>
          <t>Uptrend</t>
        </is>
      </c>
      <c r="BG122" s="30">
        <f>IF(BF122="Uptrend",10,IF(BF122="Sideways",5,0))</f>
        <v/>
      </c>
      <c r="BH122" s="30" t="inlineStr">
        <is>
          <t>Uptrend</t>
        </is>
      </c>
      <c r="BI122" s="30">
        <f>IF(BH122="Uptrend",10,IF(BH122="Sideways",5,0))</f>
        <v/>
      </c>
      <c r="BJ122" s="30" t="inlineStr">
        <is>
          <t>Blue sky scenario</t>
        </is>
      </c>
      <c r="BK122" s="30">
        <f>IF(BJ122="Overhead supply in last 2 years in last 2 years",-5,IF(BJ122="Close to 52 week high or retracement",5,IF(BJ122="Blue sky scenario",10,IF(BJ122="Long term Downtrend",-10,0))))</f>
        <v/>
      </c>
      <c r="BL122" s="30" t="inlineStr">
        <is>
          <t>Yes</t>
        </is>
      </c>
      <c r="BM122" s="30">
        <f>IF(BL122="Yes",10,0)</f>
        <v/>
      </c>
      <c r="BN122" s="30" t="inlineStr">
        <is>
          <t>More than 20%</t>
        </is>
      </c>
      <c r="BO122" s="30">
        <f>IF(BN122="More than 20%",10,IF(BN122="Between 12 to 20%",5,IF(BN122="Less than 12%",0,0)))</f>
        <v/>
      </c>
      <c r="BP122" s="30" t="inlineStr">
        <is>
          <t>No</t>
        </is>
      </c>
      <c r="BQ122" s="30">
        <f>IF(BP122="No",10,0)</f>
        <v/>
      </c>
      <c r="BR122" s="30" t="inlineStr">
        <is>
          <t>Yes</t>
        </is>
      </c>
      <c r="BS122" s="30">
        <f>IF(BR122="NO",5,0)</f>
        <v/>
      </c>
      <c r="BT122" s="30" t="inlineStr">
        <is>
          <t>Above 2</t>
        </is>
      </c>
      <c r="BU122" s="30">
        <f>IF(BT122="Above 2",0,IF(BT122="Between 1.5 to 2",5,IF(BT122="Less than 1.5",10,0)))</f>
        <v/>
      </c>
      <c r="BV122" s="30" t="inlineStr">
        <is>
          <t>Above 70%</t>
        </is>
      </c>
      <c r="BW122" s="30">
        <f>IF(BV122="Above 70%",10,IF(BV122="Between 50% to 70%",5,IF(BV122="Less than 50%",0,IF(BV122="Negative",-10,IF(BV122="Less than 50% and Borrowings are increasing",-5,0)))))</f>
        <v/>
      </c>
      <c r="BX122" s="30" t="inlineStr">
        <is>
          <t>Less than 0.7</t>
        </is>
      </c>
      <c r="BY122" s="30">
        <f>IF(BX122="More than 1.2",-10,IF(BX122="Between 0.7 to 1.2",0,IF(BX122="Less than 0.7",10,0)))</f>
        <v/>
      </c>
      <c r="BZ122" s="30" t="inlineStr">
        <is>
          <t>No</t>
        </is>
      </c>
      <c r="CA122" s="30">
        <f>IF(BZ122="Yes",-10,0)</f>
        <v/>
      </c>
      <c r="CB122" s="30" t="inlineStr">
        <is>
          <t>Less than 15%</t>
        </is>
      </c>
      <c r="CC122" s="30">
        <f>IF(CB122="More than 15%",-10,IF(CB122="Less than 15%",10,0))</f>
        <v/>
      </c>
      <c r="CD122" s="30" t="inlineStr">
        <is>
          <t>No</t>
        </is>
      </c>
      <c r="CE122" s="30">
        <f>IF(CD122="Yes, more than 10%",-10,IF(CD122="No",10,0))</f>
        <v/>
      </c>
    </row>
    <row r="123">
      <c r="A123" s="30">
        <f>IF(B123=0,"",RANK(B123,$B$2:$B$331,0))</f>
        <v/>
      </c>
      <c r="B123" s="31">
        <f>SUM(N123,Y123,AA123,AC123,AE123,AG123,AI123,AK123,AM123,AO123,AQ123,AS123,AU123,AW123,AY123,BA123,BC123,BE123,BG123,BI123,BK123,BM123,BO123,BQ123,BS123,BU123,BW123,BY123,CA123,CC123,CE123)</f>
        <v/>
      </c>
      <c r="C123" s="30" t="inlineStr">
        <is>
          <t>STLNETWORK</t>
        </is>
      </c>
      <c r="D123" s="30" t="inlineStr">
        <is>
          <t>STL Networks Ltd</t>
        </is>
      </c>
      <c r="E123" s="30" t="inlineStr">
        <is>
          <t>telecom-service</t>
        </is>
      </c>
      <c r="F123" s="30" t="inlineStr">
        <is>
          <t>telecommunications - service provider</t>
        </is>
      </c>
      <c r="G123" s="30" t="inlineStr">
        <is>
          <t>smallcap</t>
        </is>
      </c>
      <c r="H123" s="31" t="n">
        <v>1620.41</v>
      </c>
      <c r="I123" s="31" t="n">
        <v>34.86</v>
      </c>
      <c r="J123" s="31" t="n">
        <v>5</v>
      </c>
      <c r="K123" s="31" t="n">
        <v>8127111</v>
      </c>
      <c r="L123" s="30" t="n">
        <v>55</v>
      </c>
      <c r="M123" s="30" t="inlineStr">
        <is>
          <t>Outperforming</t>
        </is>
      </c>
      <c r="N123" s="31">
        <f>IF(M123="Underperforming",-5,IF(L123&gt;=95,15,IF(L123&gt;=90,10,IF(L123&gt;=80,5,0))))</f>
        <v/>
      </c>
      <c r="O123" s="31" t="n">
        <v>71.81</v>
      </c>
      <c r="P123" s="31" t="n">
        <v>26.44</v>
      </c>
      <c r="Q123" s="31" t="n">
        <v>26.49</v>
      </c>
      <c r="R123" s="30" t="inlineStr">
        <is>
          <t>Volume Spike &amp; Near 52W High Breakout</t>
        </is>
      </c>
      <c r="S123" s="30" t="inlineStr">
        <is>
          <t>Nifty 50</t>
        </is>
      </c>
      <c r="T123" s="31" t="n">
        <v>-6.52</v>
      </c>
      <c r="U123" s="31" t="n">
        <v>59.69</v>
      </c>
      <c r="V123" s="31" t="n">
        <v>70.81999999999999</v>
      </c>
      <c r="W123" s="31" t="n">
        <v>17.43</v>
      </c>
      <c r="X123" s="30" t="inlineStr">
        <is>
          <t>Growing Industry</t>
        </is>
      </c>
      <c r="Y123" s="30">
        <f>IF(X123="Growing Industry",10,IF(X123="Cyclical in an Upturn",5,0))</f>
        <v/>
      </c>
      <c r="Z123" s="30" t="inlineStr">
        <is>
          <t>Oligopoly</t>
        </is>
      </c>
      <c r="AA123" s="30">
        <f>IF(Z123="Monopoly",10,IF(Z123="Oligopoly",5,IF(Z123="Duopoly that cooperate",10,IF(Z123="Duopoly that compete",5,IF(Z123="Too many players with High ROCE",5,0)))))</f>
        <v/>
      </c>
      <c r="AB123" s="30" t="inlineStr">
        <is>
          <t>Yes</t>
        </is>
      </c>
      <c r="AC123" s="30">
        <f>IF(AB123="No",5,0)</f>
        <v/>
      </c>
      <c r="AD123" s="30" t="inlineStr">
        <is>
          <t>Tailwind</t>
        </is>
      </c>
      <c r="AE123" s="30">
        <f>IF(AD123="Tailwind",10,0)</f>
        <v/>
      </c>
      <c r="AF123" s="30" t="inlineStr">
        <is>
          <t>Structural (10 Years Consistency)</t>
        </is>
      </c>
      <c r="AG123" s="30">
        <f>IF(AF123="Structural (10 Years Consistency)",10,IF(AF123="Shallow Cyclical (2 to 3 years growth)",5,0))</f>
        <v/>
      </c>
      <c r="AH123" s="30" t="inlineStr">
        <is>
          <t>No</t>
        </is>
      </c>
      <c r="AI123" s="30">
        <f>IF(AH123="Yes due to Product Mix change or Operating Leverage",10,IF(AH123="Yes, these are peak margins",-5,IF(AH123="No",5,0)))</f>
        <v/>
      </c>
      <c r="AJ123" s="30" t="inlineStr">
        <is>
          <t>Stable</t>
        </is>
      </c>
      <c r="AK123" s="30">
        <f>IF(AJ123="Stable",10,0)</f>
        <v/>
      </c>
      <c r="AL123" s="30" t="inlineStr">
        <is>
          <t>Yes</t>
        </is>
      </c>
      <c r="AM123" s="30">
        <f>IF(AL123="Yes",10,0)</f>
        <v/>
      </c>
      <c r="AN123" s="30" t="inlineStr">
        <is>
          <t>B2B</t>
        </is>
      </c>
      <c r="AO123" s="30">
        <f>IF(AN123="B2C",10,IF(AN123="B2B",5,0))</f>
        <v/>
      </c>
      <c r="AP123" s="30" t="inlineStr">
        <is>
          <t>Yes</t>
        </is>
      </c>
      <c r="AQ123" s="30">
        <f>IF(AP123="Yes",10,0)</f>
        <v/>
      </c>
      <c r="AR123" s="30" t="inlineStr">
        <is>
          <t>Higher One Time, Lower Annuity</t>
        </is>
      </c>
      <c r="AS123" s="30">
        <f>IF(AR123="Fully Annuity",10,IF(AR123="Higher Annuity, Lower One Time",5,IF(AR123="Higher One Time, Lower Annuity",3,0)))</f>
        <v/>
      </c>
      <c r="AT123" s="30" t="inlineStr">
        <is>
          <t>Good</t>
        </is>
      </c>
      <c r="AU123" s="30">
        <f>IF(AT123="Good",10,0)</f>
        <v/>
      </c>
      <c r="AV123" s="30" t="inlineStr">
        <is>
          <t>Yes for more than 2 years</t>
        </is>
      </c>
      <c r="AW123" s="30">
        <f>IF(AV123="Yes for more than 2 years",10,IF(AV123="Yes only for next 1 to 2 years",5,0))</f>
        <v/>
      </c>
      <c r="AX123" s="30" t="inlineStr">
        <is>
          <t>20 to 40</t>
        </is>
      </c>
      <c r="AY123" s="30">
        <f>IF(AX123="Above 40",20,IF(AX123="20 to 40",10,IF(AX123="0 to 20",-5,0)))</f>
        <v/>
      </c>
      <c r="AZ123" s="30" t="inlineStr">
        <is>
          <t>Between 50 to 75</t>
        </is>
      </c>
      <c r="BA123" s="30">
        <f>IF(AZ123="Between 50 to 75",10,IF(AZ123="Above 75",0,0))</f>
        <v/>
      </c>
      <c r="BB123" s="30" t="inlineStr">
        <is>
          <t>Stage 2</t>
        </is>
      </c>
      <c r="BC123" s="30">
        <f>IF(BB123="Stage 2",20,IF(BB123="Stage 1",0,IF(BB123="Stage 3",5,IF(BB123="Stage 4",-5,0))))</f>
        <v/>
      </c>
      <c r="BD123" s="30" t="inlineStr">
        <is>
          <t>Positive Trend</t>
        </is>
      </c>
      <c r="BE123" s="30">
        <f>IF(BD123="Positive Trend",20,IF(BD123="Negative Trend",-10,0))</f>
        <v/>
      </c>
      <c r="BF123" s="30" t="inlineStr">
        <is>
          <t>Uptrend</t>
        </is>
      </c>
      <c r="BG123" s="30">
        <f>IF(BF123="Uptrend",10,IF(BF123="Sideways",5,0))</f>
        <v/>
      </c>
      <c r="BH123" s="30" t="inlineStr">
        <is>
          <t>Uptrend</t>
        </is>
      </c>
      <c r="BI123" s="30">
        <f>IF(BH123="Uptrend",10,IF(BH123="Sideways",5,0))</f>
        <v/>
      </c>
      <c r="BJ123" s="30" t="inlineStr">
        <is>
          <t>Blue sky scenario</t>
        </is>
      </c>
      <c r="BK123" s="30">
        <f>IF(BJ123="Overhead supply in last 2 years in last 2 years",-5,IF(BJ123="Close to 52 week high or retracement",5,IF(BJ123="Blue sky scenario",10,IF(BJ123="Long term Downtrend",-10,0))))</f>
        <v/>
      </c>
      <c r="BL123" s="30" t="inlineStr">
        <is>
          <t>Yes</t>
        </is>
      </c>
      <c r="BM123" s="30">
        <f>IF(BL123="Yes",10,0)</f>
        <v/>
      </c>
      <c r="BN123" s="30" t="inlineStr">
        <is>
          <t>More than 20%</t>
        </is>
      </c>
      <c r="BO123" s="30">
        <f>IF(BN123="More than 20%",10,IF(BN123="Between 12 to 20%",5,IF(BN123="Less than 12%",0,0)))</f>
        <v/>
      </c>
      <c r="BP123" s="30" t="inlineStr">
        <is>
          <t>No</t>
        </is>
      </c>
      <c r="BQ123" s="30">
        <f>IF(BP123="No",10,0)</f>
        <v/>
      </c>
      <c r="BR123" s="30" t="inlineStr">
        <is>
          <t>No</t>
        </is>
      </c>
      <c r="BS123" s="30">
        <f>IF(BR123="NO",5,0)</f>
        <v/>
      </c>
      <c r="BT123" s="30" t="inlineStr">
        <is>
          <t>Less than 1.5</t>
        </is>
      </c>
      <c r="BU123" s="30">
        <f>IF(BT123="Above 2",0,IF(BT123="Between 1.5 to 2",5,IF(BT123="Less than 1.5",10,0)))</f>
        <v/>
      </c>
      <c r="BV123" s="30" t="inlineStr">
        <is>
          <t>Above 70%</t>
        </is>
      </c>
      <c r="BW123" s="30">
        <f>IF(BV123="Above 70%",10,IF(BV123="Between 50% to 70%",5,IF(BV123="Less than 50%",0,IF(BV123="Negative",-10,IF(BV123="Less than 50% and Borrowings are increasing",-5,0)))))</f>
        <v/>
      </c>
      <c r="BX123" s="30" t="inlineStr">
        <is>
          <t>Between 0.7 to 1.2</t>
        </is>
      </c>
      <c r="BY123" s="30">
        <f>IF(BX123="More than 1.2",-10,IF(BX123="Between 0.7 to 1.2",0,IF(BX123="Less than 0.7",10,0)))</f>
        <v/>
      </c>
      <c r="BZ123" s="30" t="inlineStr">
        <is>
          <t>No</t>
        </is>
      </c>
      <c r="CA123" s="30">
        <f>IF(BZ123="Yes",-10,0)</f>
        <v/>
      </c>
      <c r="CB123" s="30" t="inlineStr">
        <is>
          <t>Less than 15%</t>
        </is>
      </c>
      <c r="CC123" s="30">
        <f>IF(CB123="More than 15%",-10,IF(CB123="Less than 15%",10,0))</f>
        <v/>
      </c>
      <c r="CD123" s="30" t="inlineStr">
        <is>
          <t>No</t>
        </is>
      </c>
      <c r="CE123" s="30">
        <f>IF(CD123="Yes, more than 10%",-10,IF(CD123="No",10,0))</f>
        <v/>
      </c>
    </row>
    <row r="124">
      <c r="A124" s="30">
        <f>IF(B124=0,"",RANK(B124,$B$2:$B$331,0))</f>
        <v/>
      </c>
      <c r="B124" s="31">
        <f>SUM(N124,Y124,AA124,AC124,AE124,AG124,AI124,AK124,AM124,AO124,AQ124,AS124,AU124,AW124,AY124,BA124,BC124,BE124,BG124,BI124,BK124,BM124,BO124,BQ124,BS124,BU124,BW124,BY124,CA124,CC124,CE124)</f>
        <v/>
      </c>
      <c r="C124" s="30" t="inlineStr">
        <is>
          <t>VALIANTORG</t>
        </is>
      </c>
      <c r="D124" s="30" t="inlineStr">
        <is>
          <t>Valiant Organics Ltd</t>
        </is>
      </c>
      <c r="E124" s="30" t="inlineStr">
        <is>
          <t>chemicals</t>
        </is>
      </c>
      <c r="F124" s="30" t="inlineStr">
        <is>
          <t>chemicals</t>
        </is>
      </c>
      <c r="G124" s="30" t="inlineStr">
        <is>
          <t>smallcap</t>
        </is>
      </c>
      <c r="H124" s="31" t="n">
        <v>1007.84</v>
      </c>
      <c r="I124" s="31" t="n">
        <v>377.45</v>
      </c>
      <c r="J124" s="31" t="n">
        <v>4.99</v>
      </c>
      <c r="K124" s="31" t="n">
        <v>228476</v>
      </c>
      <c r="L124" s="30" t="n">
        <v>36</v>
      </c>
      <c r="M124" s="30" t="inlineStr">
        <is>
          <t>Outperforming</t>
        </is>
      </c>
      <c r="N124" s="31">
        <f>IF(M124="Underperforming",-5,IF(L124&gt;=95,15,IF(L124&gt;=90,10,IF(L124&gt;=80,5,0))))</f>
        <v/>
      </c>
      <c r="O124" s="31" t="n">
        <v>67.88</v>
      </c>
      <c r="P124" s="31" t="n">
        <v>35.55</v>
      </c>
      <c r="Q124" s="31" t="n">
        <v>277.36</v>
      </c>
      <c r="R124" s="30" t="inlineStr">
        <is>
          <t>Volume Spike &amp; Near 52W High Breakout</t>
        </is>
      </c>
      <c r="S124" s="30" t="inlineStr">
        <is>
          <t>Nifty IT</t>
        </is>
      </c>
      <c r="T124" s="31" t="n">
        <v>-19.99</v>
      </c>
      <c r="U124" s="31" t="n">
        <v>3.44</v>
      </c>
      <c r="V124" s="31" t="n">
        <v>29.29</v>
      </c>
      <c r="W124" s="31" t="n">
        <v>11.05</v>
      </c>
      <c r="X124" s="30" t="inlineStr">
        <is>
          <t>Growing Industry</t>
        </is>
      </c>
      <c r="Y124" s="30">
        <f>IF(X124="Growing Industry",10,IF(X124="Cyclical in an Upturn",5,0))</f>
        <v/>
      </c>
      <c r="Z124" s="30" t="inlineStr">
        <is>
          <t>Too Many Players with High ROCE</t>
        </is>
      </c>
      <c r="AA124" s="30">
        <f>IF(Z124="Monopoly",10,IF(Z124="Oligopoly",5,IF(Z124="Duopoly that cooperate",10,IF(Z124="Duopoly that compete",5,IF(Z124="Too many players with High ROCE",5,0)))))</f>
        <v/>
      </c>
      <c r="AB124" s="30" t="inlineStr">
        <is>
          <t>No</t>
        </is>
      </c>
      <c r="AC124" s="30">
        <f>IF(AB124="No",5,0)</f>
        <v/>
      </c>
      <c r="AD124" s="30" t="inlineStr">
        <is>
          <t>Tailwind</t>
        </is>
      </c>
      <c r="AE124" s="30">
        <f>IF(AD124="Tailwind",10,0)</f>
        <v/>
      </c>
      <c r="AF124" s="30" t="inlineStr">
        <is>
          <t>Structural (10 Years Consistency)</t>
        </is>
      </c>
      <c r="AG124" s="30">
        <f>IF(AF124="Structural (10 Years Consistency)",10,IF(AF124="Shallow Cyclical (2 to 3 years growth)",5,0))</f>
        <v/>
      </c>
      <c r="AH124" s="30" t="inlineStr">
        <is>
          <t>No</t>
        </is>
      </c>
      <c r="AI124" s="30">
        <f>IF(AH124="Yes due to Product Mix change or Operating Leverage",10,IF(AH124="Yes, these are peak margins",-5,IF(AH124="No",5,0)))</f>
        <v/>
      </c>
      <c r="AJ124" s="30" t="inlineStr">
        <is>
          <t>Stable</t>
        </is>
      </c>
      <c r="AK124" s="30">
        <f>IF(AJ124="Stable",10,0)</f>
        <v/>
      </c>
      <c r="AL124" s="30" t="inlineStr">
        <is>
          <t>Yes</t>
        </is>
      </c>
      <c r="AM124" s="30">
        <f>IF(AL124="Yes",10,0)</f>
        <v/>
      </c>
      <c r="AN124" s="30" t="inlineStr">
        <is>
          <t>B2B</t>
        </is>
      </c>
      <c r="AO124" s="30">
        <f>IF(AN124="B2C",10,IF(AN124="B2B",5,0))</f>
        <v/>
      </c>
      <c r="AP124" s="30" t="inlineStr">
        <is>
          <t>Yes</t>
        </is>
      </c>
      <c r="AQ124" s="30">
        <f>IF(AP124="Yes",10,0)</f>
        <v/>
      </c>
      <c r="AR124" s="30" t="inlineStr">
        <is>
          <t>Higher One Time, Lower Annuity</t>
        </is>
      </c>
      <c r="AS124" s="30">
        <f>IF(AR124="Fully Annuity",10,IF(AR124="Higher Annuity, Lower One Time",5,IF(AR124="Higher One Time, Lower Annuity",3,0)))</f>
        <v/>
      </c>
      <c r="AT124" s="30" t="inlineStr">
        <is>
          <t>Good</t>
        </is>
      </c>
      <c r="AU124" s="30">
        <f>IF(AT124="Good",10,0)</f>
        <v/>
      </c>
      <c r="AV124" s="30" t="inlineStr">
        <is>
          <t>Yes for more than 2 years</t>
        </is>
      </c>
      <c r="AW124" s="30">
        <f>IF(AV124="Yes for more than 2 years",10,IF(AV124="Yes only for next 1 to 2 years",5,0))</f>
        <v/>
      </c>
      <c r="AX124" s="30" t="inlineStr">
        <is>
          <t>20 to 40</t>
        </is>
      </c>
      <c r="AY124" s="30">
        <f>IF(AX124="Above 40",20,IF(AX124="20 to 40",10,IF(AX124="0 to 20",-5,0)))</f>
        <v/>
      </c>
      <c r="AZ124" s="30" t="inlineStr">
        <is>
          <t>Between 50 to 75</t>
        </is>
      </c>
      <c r="BA124" s="30">
        <f>IF(AZ124="Between 50 to 75",10,IF(AZ124="Above 75",0,0))</f>
        <v/>
      </c>
      <c r="BB124" s="30" t="inlineStr">
        <is>
          <t>Stage 2</t>
        </is>
      </c>
      <c r="BC124" s="30">
        <f>IF(BB124="Stage 2",20,IF(BB124="Stage 1",0,IF(BB124="Stage 3",5,IF(BB124="Stage 4",-5,0))))</f>
        <v/>
      </c>
      <c r="BD124" s="30" t="inlineStr">
        <is>
          <t>Positive Trend</t>
        </is>
      </c>
      <c r="BE124" s="30">
        <f>IF(BD124="Positive Trend",20,IF(BD124="Negative Trend",-10,0))</f>
        <v/>
      </c>
      <c r="BF124" s="30" t="inlineStr">
        <is>
          <t>Uptrend</t>
        </is>
      </c>
      <c r="BG124" s="30">
        <f>IF(BF124="Uptrend",10,IF(BF124="Sideways",5,0))</f>
        <v/>
      </c>
      <c r="BH124" s="30" t="inlineStr">
        <is>
          <t>Uptrend</t>
        </is>
      </c>
      <c r="BI124" s="30">
        <f>IF(BH124="Uptrend",10,IF(BH124="Sideways",5,0))</f>
        <v/>
      </c>
      <c r="BJ124" s="30" t="inlineStr">
        <is>
          <t>Close to 52 week high or retracement</t>
        </is>
      </c>
      <c r="BK124" s="30">
        <f>IF(BJ124="Overhead supply in last 2 years in last 2 years",-5,IF(BJ124="Close to 52 week high or retracement",5,IF(BJ124="Blue sky scenario",10,IF(BJ124="Long term Downtrend",-10,0))))</f>
        <v/>
      </c>
      <c r="BL124" s="30" t="inlineStr">
        <is>
          <t>Yes</t>
        </is>
      </c>
      <c r="BM124" s="30">
        <f>IF(BL124="Yes",10,0)</f>
        <v/>
      </c>
      <c r="BN124" s="30" t="inlineStr">
        <is>
          <t>More than 20%</t>
        </is>
      </c>
      <c r="BO124" s="30">
        <f>IF(BN124="More than 20%",10,IF(BN124="Between 12 to 20%",5,IF(BN124="Less than 12%",0,0)))</f>
        <v/>
      </c>
      <c r="BP124" s="30" t="inlineStr">
        <is>
          <t>No</t>
        </is>
      </c>
      <c r="BQ124" s="30">
        <f>IF(BP124="No",10,0)</f>
        <v/>
      </c>
      <c r="BR124" s="30" t="inlineStr">
        <is>
          <t>No</t>
        </is>
      </c>
      <c r="BS124" s="30">
        <f>IF(BR124="NO",5,0)</f>
        <v/>
      </c>
      <c r="BT124" s="30" t="inlineStr">
        <is>
          <t>Above 2</t>
        </is>
      </c>
      <c r="BU124" s="30">
        <f>IF(BT124="Above 2",0,IF(BT124="Between 1.5 to 2",5,IF(BT124="Less than 1.5",10,0)))</f>
        <v/>
      </c>
      <c r="BV124" s="30" t="inlineStr">
        <is>
          <t>Above 70%</t>
        </is>
      </c>
      <c r="BW124" s="30">
        <f>IF(BV124="Above 70%",10,IF(BV124="Between 50% to 70%",5,IF(BV124="Less than 50%",0,IF(BV124="Negative",-10,IF(BV124="Less than 50% and Borrowings are increasing",-5,0)))))</f>
        <v/>
      </c>
      <c r="BX124" s="30" t="inlineStr">
        <is>
          <t>Less than 0.7</t>
        </is>
      </c>
      <c r="BY124" s="30">
        <f>IF(BX124="More than 1.2",-10,IF(BX124="Between 0.7 to 1.2",0,IF(BX124="Less than 0.7",10,0)))</f>
        <v/>
      </c>
      <c r="BZ124" s="30" t="inlineStr">
        <is>
          <t>No</t>
        </is>
      </c>
      <c r="CA124" s="30">
        <f>IF(BZ124="Yes",-10,0)</f>
        <v/>
      </c>
      <c r="CB124" s="30" t="inlineStr">
        <is>
          <t>Less than 15%</t>
        </is>
      </c>
      <c r="CC124" s="30">
        <f>IF(CB124="More than 15%",-10,IF(CB124="Less than 15%",10,0))</f>
        <v/>
      </c>
      <c r="CD124" s="30" t="inlineStr">
        <is>
          <t>No</t>
        </is>
      </c>
      <c r="CE124" s="30">
        <f>IF(CD124="Yes, more than 10%",-10,IF(CD124="No",10,0))</f>
        <v/>
      </c>
    </row>
    <row r="125">
      <c r="A125" s="30">
        <f>IF(B125=0,"",RANK(B125,$B$2:$B$331,0))</f>
        <v/>
      </c>
      <c r="B125" s="31">
        <f>SUM(N125,Y125,AA125,AC125,AE125,AG125,AI125,AK125,AM125,AO125,AQ125,AS125,AU125,AW125,AY125,BA125,BC125,BE125,BG125,BI125,BK125,BM125,BO125,BQ125,BS125,BU125,BW125,BY125,CA125,CC125,CE125)</f>
        <v/>
      </c>
      <c r="C125" s="30" t="inlineStr">
        <is>
          <t>RBZJEWEL</t>
        </is>
      </c>
      <c r="D125" s="30" t="inlineStr">
        <is>
          <t>RBZ Jewellers Ltd</t>
        </is>
      </c>
      <c r="E125" s="30" t="inlineStr">
        <is>
          <t>consumer discretionary</t>
        </is>
      </c>
      <c r="F125" s="30" t="inlineStr">
        <is>
          <t>diamond cutting / jewellery</t>
        </is>
      </c>
      <c r="G125" s="30" t="inlineStr">
        <is>
          <t>smallcap</t>
        </is>
      </c>
      <c r="H125" s="31" t="n">
        <v>694.4</v>
      </c>
      <c r="I125" s="31" t="n">
        <v>178.67</v>
      </c>
      <c r="J125" s="31" t="n">
        <v>2.92</v>
      </c>
      <c r="K125" s="31" t="n">
        <v>157181</v>
      </c>
      <c r="L125" s="30" t="n">
        <v>42</v>
      </c>
      <c r="M125" s="30" t="inlineStr">
        <is>
          <t>Outperforming</t>
        </is>
      </c>
      <c r="N125" s="31">
        <f>IF(M125="Underperforming",-5,IF(L125&gt;=95,15,IF(L125&gt;=90,10,IF(L125&gt;=80,5,0))))</f>
        <v/>
      </c>
      <c r="O125" s="31" t="n">
        <v>60.91</v>
      </c>
      <c r="P125" s="31" t="n">
        <v>31.23</v>
      </c>
      <c r="Q125" s="31" t="n">
        <v>143.86</v>
      </c>
      <c r="R125" s="30" t="inlineStr">
        <is>
          <t>Earnings / Momentum Support</t>
        </is>
      </c>
      <c r="S125" s="30" t="inlineStr">
        <is>
          <t>Nifty 50</t>
        </is>
      </c>
      <c r="T125" s="31" t="n">
        <v>-6.52</v>
      </c>
      <c r="U125" s="31" t="n">
        <v>27.3</v>
      </c>
      <c r="V125" s="31" t="n">
        <v>36.18</v>
      </c>
      <c r="W125" s="31" t="n">
        <v>12.89</v>
      </c>
      <c r="X125" s="30" t="inlineStr">
        <is>
          <t>Growing Industry</t>
        </is>
      </c>
      <c r="Y125" s="30">
        <f>IF(X125="Growing Industry",10,IF(X125="Cyclical in an Upturn",5,0))</f>
        <v/>
      </c>
      <c r="Z125" s="30" t="inlineStr">
        <is>
          <t>Too Many Players with High ROCE</t>
        </is>
      </c>
      <c r="AA125" s="30">
        <f>IF(Z125="Monopoly",10,IF(Z125="Oligopoly",5,IF(Z125="Duopoly that cooperate",10,IF(Z125="Duopoly that compete",5,IF(Z125="Too many players with High ROCE",5,0)))))</f>
        <v/>
      </c>
      <c r="AB125" s="30" t="inlineStr">
        <is>
          <t>No</t>
        </is>
      </c>
      <c r="AC125" s="30">
        <f>IF(AB125="No",5,0)</f>
        <v/>
      </c>
      <c r="AD125" s="30" t="inlineStr">
        <is>
          <t>Tailwind</t>
        </is>
      </c>
      <c r="AE125" s="30">
        <f>IF(AD125="Tailwind",10,0)</f>
        <v/>
      </c>
      <c r="AF125" s="30" t="inlineStr">
        <is>
          <t>Structural (10 Years Consistency)</t>
        </is>
      </c>
      <c r="AG125" s="30">
        <f>IF(AF125="Structural (10 Years Consistency)",10,IF(AF125="Shallow Cyclical (2 to 3 years growth)",5,0))</f>
        <v/>
      </c>
      <c r="AH125" s="30" t="inlineStr">
        <is>
          <t>No</t>
        </is>
      </c>
      <c r="AI125" s="30">
        <f>IF(AH125="Yes due to Product Mix change or Operating Leverage",10,IF(AH125="Yes, these are peak margins",-5,IF(AH125="No",5,0)))</f>
        <v/>
      </c>
      <c r="AJ125" s="30" t="inlineStr">
        <is>
          <t>Stable</t>
        </is>
      </c>
      <c r="AK125" s="30">
        <f>IF(AJ125="Stable",10,0)</f>
        <v/>
      </c>
      <c r="AL125" s="30" t="inlineStr">
        <is>
          <t>Yes</t>
        </is>
      </c>
      <c r="AM125" s="30">
        <f>IF(AL125="Yes",10,0)</f>
        <v/>
      </c>
      <c r="AN125" s="30" t="inlineStr">
        <is>
          <t>B2B</t>
        </is>
      </c>
      <c r="AO125" s="30">
        <f>IF(AN125="B2C",10,IF(AN125="B2B",5,0))</f>
        <v/>
      </c>
      <c r="AP125" s="30" t="inlineStr">
        <is>
          <t>No</t>
        </is>
      </c>
      <c r="AQ125" s="30">
        <f>IF(AP125="Yes",10,0)</f>
        <v/>
      </c>
      <c r="AR125" s="30" t="inlineStr">
        <is>
          <t>Higher One Time, Lower Annuity</t>
        </is>
      </c>
      <c r="AS125" s="30">
        <f>IF(AR125="Fully Annuity",10,IF(AR125="Higher Annuity, Lower One Time",5,IF(AR125="Higher One Time, Lower Annuity",3,0)))</f>
        <v/>
      </c>
      <c r="AT125" s="30" t="inlineStr">
        <is>
          <t>Good</t>
        </is>
      </c>
      <c r="AU125" s="30">
        <f>IF(AT125="Good",10,0)</f>
        <v/>
      </c>
      <c r="AV125" s="30" t="inlineStr">
        <is>
          <t>Yes for more than 2 years</t>
        </is>
      </c>
      <c r="AW125" s="30">
        <f>IF(AV125="Yes for more than 2 years",10,IF(AV125="Yes only for next 1 to 2 years",5,0))</f>
        <v/>
      </c>
      <c r="AX125" s="30" t="inlineStr">
        <is>
          <t>20 to 40</t>
        </is>
      </c>
      <c r="AY125" s="30">
        <f>IF(AX125="Above 40",20,IF(AX125="20 to 40",10,IF(AX125="0 to 20",-5,0)))</f>
        <v/>
      </c>
      <c r="AZ125" s="30" t="inlineStr">
        <is>
          <t>Between 50 to 75</t>
        </is>
      </c>
      <c r="BA125" s="30">
        <f>IF(AZ125="Between 50 to 75",10,IF(AZ125="Above 75",0,0))</f>
        <v/>
      </c>
      <c r="BB125" s="30" t="inlineStr">
        <is>
          <t>Stage 2</t>
        </is>
      </c>
      <c r="BC125" s="30">
        <f>IF(BB125="Stage 2",20,IF(BB125="Stage 1",0,IF(BB125="Stage 3",5,IF(BB125="Stage 4",-5,0))))</f>
        <v/>
      </c>
      <c r="BD125" s="30" t="inlineStr">
        <is>
          <t>Positive Trend</t>
        </is>
      </c>
      <c r="BE125" s="30">
        <f>IF(BD125="Positive Trend",20,IF(BD125="Negative Trend",-10,0))</f>
        <v/>
      </c>
      <c r="BF125" s="30" t="inlineStr">
        <is>
          <t>Uptrend</t>
        </is>
      </c>
      <c r="BG125" s="30">
        <f>IF(BF125="Uptrend",10,IF(BF125="Sideways",5,0))</f>
        <v/>
      </c>
      <c r="BH125" s="30" t="inlineStr">
        <is>
          <t>Uptrend</t>
        </is>
      </c>
      <c r="BI125" s="30">
        <f>IF(BH125="Uptrend",10,IF(BH125="Sideways",5,0))</f>
        <v/>
      </c>
      <c r="BJ125" s="30" t="inlineStr">
        <is>
          <t>Close to 52 week high or retracement</t>
        </is>
      </c>
      <c r="BK125" s="30">
        <f>IF(BJ125="Overhead supply in last 2 years in last 2 years",-5,IF(BJ125="Close to 52 week high or retracement",5,IF(BJ125="Blue sky scenario",10,IF(BJ125="Long term Downtrend",-10,0))))</f>
        <v/>
      </c>
      <c r="BL125" s="30" t="inlineStr">
        <is>
          <t>Yes</t>
        </is>
      </c>
      <c r="BM125" s="30">
        <f>IF(BL125="Yes",10,0)</f>
        <v/>
      </c>
      <c r="BN125" s="30" t="inlineStr">
        <is>
          <t>More than 20%</t>
        </is>
      </c>
      <c r="BO125" s="30">
        <f>IF(BN125="More than 20%",10,IF(BN125="Between 12 to 20%",5,IF(BN125="Less than 12%",0,0)))</f>
        <v/>
      </c>
      <c r="BP125" s="30" t="inlineStr">
        <is>
          <t>No</t>
        </is>
      </c>
      <c r="BQ125" s="30">
        <f>IF(BP125="No",10,0)</f>
        <v/>
      </c>
      <c r="BR125" s="30" t="inlineStr">
        <is>
          <t>No</t>
        </is>
      </c>
      <c r="BS125" s="30">
        <f>IF(BR125="NO",5,0)</f>
        <v/>
      </c>
      <c r="BT125" s="30" t="inlineStr">
        <is>
          <t>Less than 1.5</t>
        </is>
      </c>
      <c r="BU125" s="30">
        <f>IF(BT125="Above 2",0,IF(BT125="Between 1.5 to 2",5,IF(BT125="Less than 1.5",10,0)))</f>
        <v/>
      </c>
      <c r="BV125" s="30" t="inlineStr">
        <is>
          <t>Above 70%</t>
        </is>
      </c>
      <c r="BW125" s="30">
        <f>IF(BV125="Above 70%",10,IF(BV125="Between 50% to 70%",5,IF(BV125="Less than 50%",0,IF(BV125="Negative",-10,IF(BV125="Less than 50% and Borrowings are increasing",-5,0)))))</f>
        <v/>
      </c>
      <c r="BX125" s="30" t="inlineStr">
        <is>
          <t>Less than 0.7</t>
        </is>
      </c>
      <c r="BY125" s="30">
        <f>IF(BX125="More than 1.2",-10,IF(BX125="Between 0.7 to 1.2",0,IF(BX125="Less than 0.7",10,0)))</f>
        <v/>
      </c>
      <c r="BZ125" s="30" t="inlineStr">
        <is>
          <t>No</t>
        </is>
      </c>
      <c r="CA125" s="30">
        <f>IF(BZ125="Yes",-10,0)</f>
        <v/>
      </c>
      <c r="CB125" s="30" t="inlineStr">
        <is>
          <t>Less than 15%</t>
        </is>
      </c>
      <c r="CC125" s="30">
        <f>IF(CB125="More than 15%",-10,IF(CB125="Less than 15%",10,0))</f>
        <v/>
      </c>
      <c r="CD125" s="30" t="inlineStr">
        <is>
          <t>No</t>
        </is>
      </c>
      <c r="CE125" s="30">
        <f>IF(CD125="Yes, more than 10%",-10,IF(CD125="No",10,0))</f>
        <v/>
      </c>
    </row>
    <row r="126">
      <c r="A126" s="30">
        <f>IF(B126=0,"",RANK(B126,$B$2:$B$331,0))</f>
        <v/>
      </c>
      <c r="B126" s="31">
        <f>SUM(N126,Y126,AA126,AC126,AE126,AG126,AI126,AK126,AM126,AO126,AQ126,AS126,AU126,AW126,AY126,BA126,BC126,BE126,BG126,BI126,BK126,BM126,BO126,BQ126,BS126,BU126,BW126,BY126,CA126,CC126,CE126)</f>
        <v/>
      </c>
      <c r="C126" s="30" t="inlineStr">
        <is>
          <t>PVP</t>
        </is>
      </c>
      <c r="D126" s="30" t="inlineStr">
        <is>
          <t>Pvp Ventures Limited</t>
        </is>
      </c>
      <c r="E126" s="30" t="inlineStr">
        <is>
          <t>realty</t>
        </is>
      </c>
      <c r="F126" s="30" t="inlineStr">
        <is>
          <t>construction</t>
        </is>
      </c>
      <c r="G126" s="30" t="inlineStr">
        <is>
          <t>smallcap</t>
        </is>
      </c>
      <c r="H126" s="31" t="n">
        <v>1680.65</v>
      </c>
      <c r="I126" s="31" t="n">
        <v>66.09999999999999</v>
      </c>
      <c r="J126" s="31" t="n">
        <v>2.42</v>
      </c>
      <c r="K126" s="31" t="n">
        <v>1507975</v>
      </c>
      <c r="L126" s="30" t="n">
        <v>94</v>
      </c>
      <c r="M126" s="30" t="inlineStr">
        <is>
          <t>Outperforming</t>
        </is>
      </c>
      <c r="N126" s="31">
        <f>IF(M126="Underperforming",-5,IF(L126&gt;=95,15,IF(L126&gt;=90,10,IF(L126&gt;=80,5,0))))</f>
        <v/>
      </c>
      <c r="O126" s="31" t="n">
        <v>80.23</v>
      </c>
      <c r="P126" s="31" t="n">
        <v>28.9</v>
      </c>
      <c r="Q126" s="31" t="n">
        <v>48.89</v>
      </c>
      <c r="R126" s="30" t="inlineStr">
        <is>
          <t>Near 52W High Breakout</t>
        </is>
      </c>
      <c r="S126" s="30" t="inlineStr">
        <is>
          <t>Nifty Realty</t>
        </is>
      </c>
      <c r="T126" s="31" t="n">
        <v>-8.26</v>
      </c>
      <c r="U126" s="31" t="n">
        <v>212.97</v>
      </c>
      <c r="V126" s="31" t="n">
        <v>241.16</v>
      </c>
      <c r="W126" s="31" t="n">
        <v>51.29</v>
      </c>
      <c r="X126" s="30" t="inlineStr">
        <is>
          <t>Growing Industry</t>
        </is>
      </c>
      <c r="Y126" s="30">
        <f>IF(X126="Growing Industry",10,IF(X126="Cyclical in an Upturn",5,0))</f>
        <v/>
      </c>
      <c r="Z126" s="30" t="inlineStr">
        <is>
          <t>Too Many Players with High ROCE</t>
        </is>
      </c>
      <c r="AA126" s="30">
        <f>IF(Z126="Monopoly",10,IF(Z126="Oligopoly",5,IF(Z126="Duopoly that cooperate",10,IF(Z126="Duopoly that compete",5,IF(Z126="Too many players with High ROCE",5,0)))))</f>
        <v/>
      </c>
      <c r="AB126" s="30" t="inlineStr">
        <is>
          <t>No</t>
        </is>
      </c>
      <c r="AC126" s="30">
        <f>IF(AB126="No",5,0)</f>
        <v/>
      </c>
      <c r="AD126" s="30" t="inlineStr">
        <is>
          <t>Tailwind</t>
        </is>
      </c>
      <c r="AE126" s="30">
        <f>IF(AD126="Tailwind",10,0)</f>
        <v/>
      </c>
      <c r="AF126" s="30" t="inlineStr">
        <is>
          <t>Structural (10 Years Consistency)</t>
        </is>
      </c>
      <c r="AG126" s="30">
        <f>IF(AF126="Structural (10 Years Consistency)",10,IF(AF126="Shallow Cyclical (2 to 3 years growth)",5,0))</f>
        <v/>
      </c>
      <c r="AH126" s="30" t="inlineStr">
        <is>
          <t>No</t>
        </is>
      </c>
      <c r="AI126" s="30">
        <f>IF(AH126="Yes due to Product Mix change or Operating Leverage",10,IF(AH126="Yes, these are peak margins",-5,IF(AH126="No",5,0)))</f>
        <v/>
      </c>
      <c r="AJ126" s="30" t="inlineStr">
        <is>
          <t>Stable</t>
        </is>
      </c>
      <c r="AK126" s="30">
        <f>IF(AJ126="Stable",10,0)</f>
        <v/>
      </c>
      <c r="AL126" s="30" t="inlineStr">
        <is>
          <t>Yes</t>
        </is>
      </c>
      <c r="AM126" s="30">
        <f>IF(AL126="Yes",10,0)</f>
        <v/>
      </c>
      <c r="AN126" s="30" t="inlineStr">
        <is>
          <t>B2B</t>
        </is>
      </c>
      <c r="AO126" s="30">
        <f>IF(AN126="B2C",10,IF(AN126="B2B",5,0))</f>
        <v/>
      </c>
      <c r="AP126" s="30" t="inlineStr">
        <is>
          <t>Yes</t>
        </is>
      </c>
      <c r="AQ126" s="30">
        <f>IF(AP126="Yes",10,0)</f>
        <v/>
      </c>
      <c r="AR126" s="30" t="inlineStr">
        <is>
          <t>Higher One Time, Lower Annuity</t>
        </is>
      </c>
      <c r="AS126" s="30">
        <f>IF(AR126="Fully Annuity",10,IF(AR126="Higher Annuity, Lower One Time",5,IF(AR126="Higher One Time, Lower Annuity",3,0)))</f>
        <v/>
      </c>
      <c r="AT126" s="30" t="inlineStr">
        <is>
          <t>Good</t>
        </is>
      </c>
      <c r="AU126" s="30">
        <f>IF(AT126="Good",10,0)</f>
        <v/>
      </c>
      <c r="AV126" s="30" t="inlineStr">
        <is>
          <t>Yes for more than 2 years</t>
        </is>
      </c>
      <c r="AW126" s="30">
        <f>IF(AV126="Yes for more than 2 years",10,IF(AV126="Yes only for next 1 to 2 years",5,0))</f>
        <v/>
      </c>
      <c r="AX126" s="30" t="inlineStr">
        <is>
          <t>20 to 40</t>
        </is>
      </c>
      <c r="AY126" s="30">
        <f>IF(AX126="Above 40",20,IF(AX126="20 to 40",10,IF(AX126="0 to 20",-5,0)))</f>
        <v/>
      </c>
      <c r="AZ126" s="30" t="inlineStr">
        <is>
          <t>Above 75</t>
        </is>
      </c>
      <c r="BA126" s="30">
        <f>IF(AZ126="Between 50 to 75",10,IF(AZ126="Above 75",0,0))</f>
        <v/>
      </c>
      <c r="BB126" s="30" t="inlineStr">
        <is>
          <t>Stage 2</t>
        </is>
      </c>
      <c r="BC126" s="30">
        <f>IF(BB126="Stage 2",20,IF(BB126="Stage 1",0,IF(BB126="Stage 3",5,IF(BB126="Stage 4",-5,0))))</f>
        <v/>
      </c>
      <c r="BD126" s="30" t="inlineStr">
        <is>
          <t>Positive Trend</t>
        </is>
      </c>
      <c r="BE126" s="30">
        <f>IF(BD126="Positive Trend",20,IF(BD126="Negative Trend",-10,0))</f>
        <v/>
      </c>
      <c r="BF126" s="30" t="inlineStr">
        <is>
          <t>Uptrend</t>
        </is>
      </c>
      <c r="BG126" s="30">
        <f>IF(BF126="Uptrend",10,IF(BF126="Sideways",5,0))</f>
        <v/>
      </c>
      <c r="BH126" s="30" t="inlineStr">
        <is>
          <t>Uptrend</t>
        </is>
      </c>
      <c r="BI126" s="30">
        <f>IF(BH126="Uptrend",10,IF(BH126="Sideways",5,0))</f>
        <v/>
      </c>
      <c r="BJ126" s="30" t="inlineStr">
        <is>
          <t>Blue sky scenario</t>
        </is>
      </c>
      <c r="BK126" s="30">
        <f>IF(BJ126="Overhead supply in last 2 years in last 2 years",-5,IF(BJ126="Close to 52 week high or retracement",5,IF(BJ126="Blue sky scenario",10,IF(BJ126="Long term Downtrend",-10,0))))</f>
        <v/>
      </c>
      <c r="BL126" s="30" t="inlineStr">
        <is>
          <t>Yes</t>
        </is>
      </c>
      <c r="BM126" s="30">
        <f>IF(BL126="Yes",10,0)</f>
        <v/>
      </c>
      <c r="BN126" s="30" t="inlineStr">
        <is>
          <t>More than 20%</t>
        </is>
      </c>
      <c r="BO126" s="30">
        <f>IF(BN126="More than 20%",10,IF(BN126="Between 12 to 20%",5,IF(BN126="Less than 12%",0,0)))</f>
        <v/>
      </c>
      <c r="BP126" s="30" t="inlineStr">
        <is>
          <t>No</t>
        </is>
      </c>
      <c r="BQ126" s="30">
        <f>IF(BP126="No",10,0)</f>
        <v/>
      </c>
      <c r="BR126" s="30" t="inlineStr">
        <is>
          <t>Yes</t>
        </is>
      </c>
      <c r="BS126" s="30">
        <f>IF(BR126="NO",5,0)</f>
        <v/>
      </c>
      <c r="BT126" s="30" t="inlineStr">
        <is>
          <t>Above 2</t>
        </is>
      </c>
      <c r="BU126" s="30">
        <f>IF(BT126="Above 2",0,IF(BT126="Between 1.5 to 2",5,IF(BT126="Less than 1.5",10,0)))</f>
        <v/>
      </c>
      <c r="BV126" s="30" t="inlineStr">
        <is>
          <t>Above 70%</t>
        </is>
      </c>
      <c r="BW126" s="30">
        <f>IF(BV126="Above 70%",10,IF(BV126="Between 50% to 70%",5,IF(BV126="Less than 50%",0,IF(BV126="Negative",-10,IF(BV126="Less than 50% and Borrowings are increasing",-5,0)))))</f>
        <v/>
      </c>
      <c r="BX126" s="30" t="inlineStr">
        <is>
          <t>Less than 0.7</t>
        </is>
      </c>
      <c r="BY126" s="30">
        <f>IF(BX126="More than 1.2",-10,IF(BX126="Between 0.7 to 1.2",0,IF(BX126="Less than 0.7",10,0)))</f>
        <v/>
      </c>
      <c r="BZ126" s="30" t="inlineStr">
        <is>
          <t>No</t>
        </is>
      </c>
      <c r="CA126" s="30">
        <f>IF(BZ126="Yes",-10,0)</f>
        <v/>
      </c>
      <c r="CB126" s="30" t="inlineStr">
        <is>
          <t>Less than 15%</t>
        </is>
      </c>
      <c r="CC126" s="30">
        <f>IF(CB126="More than 15%",-10,IF(CB126="Less than 15%",10,0))</f>
        <v/>
      </c>
      <c r="CD126" s="30" t="inlineStr">
        <is>
          <t>No</t>
        </is>
      </c>
      <c r="CE126" s="30">
        <f>IF(CD126="Yes, more than 10%",-10,IF(CD126="No",10,0))</f>
        <v/>
      </c>
    </row>
    <row r="127">
      <c r="A127" s="30">
        <f>IF(B127=0,"",RANK(B127,$B$2:$B$331,0))</f>
        <v/>
      </c>
      <c r="B127" s="31">
        <f>SUM(N127,Y127,AA127,AC127,AE127,AG127,AI127,AK127,AM127,AO127,AQ127,AS127,AU127,AW127,AY127,BA127,BC127,BE127,BG127,BI127,BK127,BM127,BO127,BQ127,BS127,BU127,BW127,BY127,CA127,CC127,CE127)</f>
        <v/>
      </c>
      <c r="C127" s="30" t="inlineStr">
        <is>
          <t>THEJO</t>
        </is>
      </c>
      <c r="D127" s="30" t="inlineStr">
        <is>
          <t>Thejo Engineering Ltd</t>
        </is>
      </c>
      <c r="E127" s="30" t="inlineStr">
        <is>
          <t>industrials</t>
        </is>
      </c>
      <c r="F127" s="30" t="inlineStr">
        <is>
          <t>engineering</t>
        </is>
      </c>
      <c r="G127" s="30" t="inlineStr">
        <is>
          <t>smallcap</t>
        </is>
      </c>
      <c r="H127" s="31" t="n">
        <v>2332.32</v>
      </c>
      <c r="I127" s="31" t="n">
        <v>2197.4</v>
      </c>
      <c r="J127" s="31" t="n">
        <v>2.2</v>
      </c>
      <c r="K127" s="31" t="n">
        <v>8107</v>
      </c>
      <c r="L127" s="30" t="n">
        <v>44</v>
      </c>
      <c r="M127" s="30" t="inlineStr">
        <is>
          <t>Outperforming</t>
        </is>
      </c>
      <c r="N127" s="31">
        <f>IF(M127="Underperforming",-5,IF(L127&gt;=95,15,IF(L127&gt;=90,10,IF(L127&gt;=80,5,0))))</f>
        <v/>
      </c>
      <c r="O127" s="31" t="n">
        <v>66.38</v>
      </c>
      <c r="P127" s="31" t="n">
        <v>36.33</v>
      </c>
      <c r="Q127" s="31" t="n">
        <v>1751.14</v>
      </c>
      <c r="R127" s="30" t="inlineStr">
        <is>
          <t>Near 52W High Breakout</t>
        </is>
      </c>
      <c r="S127" s="30" t="inlineStr">
        <is>
          <t>Nifty 50</t>
        </is>
      </c>
      <c r="T127" s="31" t="n">
        <v>-6.52</v>
      </c>
      <c r="U127" s="31" t="n">
        <v>17.23</v>
      </c>
      <c r="V127" s="31" t="n">
        <v>25.4</v>
      </c>
      <c r="W127" s="31" t="n">
        <v>13.41</v>
      </c>
      <c r="X127" s="30" t="inlineStr">
        <is>
          <t>Cyclical in an Upturn</t>
        </is>
      </c>
      <c r="Y127" s="30">
        <f>IF(X127="Growing Industry",10,IF(X127="Cyclical in an Upturn",5,0))</f>
        <v/>
      </c>
      <c r="Z127" s="30" t="inlineStr">
        <is>
          <t>Too Many Players with High ROCE</t>
        </is>
      </c>
      <c r="AA127" s="30">
        <f>IF(Z127="Monopoly",10,IF(Z127="Oligopoly",5,IF(Z127="Duopoly that cooperate",10,IF(Z127="Duopoly that compete",5,IF(Z127="Too many players with High ROCE",5,0)))))</f>
        <v/>
      </c>
      <c r="AB127" s="30" t="inlineStr">
        <is>
          <t>No</t>
        </is>
      </c>
      <c r="AC127" s="30">
        <f>IF(AB127="No",5,0)</f>
        <v/>
      </c>
      <c r="AD127" s="30" t="inlineStr">
        <is>
          <t>Tailwind</t>
        </is>
      </c>
      <c r="AE127" s="30">
        <f>IF(AD127="Tailwind",10,0)</f>
        <v/>
      </c>
      <c r="AF127" s="30" t="inlineStr">
        <is>
          <t>Structural (10 Years Consistency)</t>
        </is>
      </c>
      <c r="AG127" s="30">
        <f>IF(AF127="Structural (10 Years Consistency)",10,IF(AF127="Shallow Cyclical (2 to 3 years growth)",5,0))</f>
        <v/>
      </c>
      <c r="AH127" s="30" t="inlineStr">
        <is>
          <t>No</t>
        </is>
      </c>
      <c r="AI127" s="30">
        <f>IF(AH127="Yes due to Product Mix change or Operating Leverage",10,IF(AH127="Yes, these are peak margins",-5,IF(AH127="No",5,0)))</f>
        <v/>
      </c>
      <c r="AJ127" s="30" t="inlineStr">
        <is>
          <t>Stable</t>
        </is>
      </c>
      <c r="AK127" s="30">
        <f>IF(AJ127="Stable",10,0)</f>
        <v/>
      </c>
      <c r="AL127" s="30" t="inlineStr">
        <is>
          <t>Yes</t>
        </is>
      </c>
      <c r="AM127" s="30">
        <f>IF(AL127="Yes",10,0)</f>
        <v/>
      </c>
      <c r="AN127" s="30" t="inlineStr">
        <is>
          <t>B2B</t>
        </is>
      </c>
      <c r="AO127" s="30">
        <f>IF(AN127="B2C",10,IF(AN127="B2B",5,0))</f>
        <v/>
      </c>
      <c r="AP127" s="30" t="inlineStr">
        <is>
          <t>Yes</t>
        </is>
      </c>
      <c r="AQ127" s="30">
        <f>IF(AP127="Yes",10,0)</f>
        <v/>
      </c>
      <c r="AR127" s="30" t="inlineStr">
        <is>
          <t>Higher One Time, Lower Annuity</t>
        </is>
      </c>
      <c r="AS127" s="30">
        <f>IF(AR127="Fully Annuity",10,IF(AR127="Higher Annuity, Lower One Time",5,IF(AR127="Higher One Time, Lower Annuity",3,0)))</f>
        <v/>
      </c>
      <c r="AT127" s="30" t="inlineStr">
        <is>
          <t>Good</t>
        </is>
      </c>
      <c r="AU127" s="30">
        <f>IF(AT127="Good",10,0)</f>
        <v/>
      </c>
      <c r="AV127" s="30" t="inlineStr">
        <is>
          <t>Yes for more than 2 years</t>
        </is>
      </c>
      <c r="AW127" s="30">
        <f>IF(AV127="Yes for more than 2 years",10,IF(AV127="Yes only for next 1 to 2 years",5,0))</f>
        <v/>
      </c>
      <c r="AX127" s="30" t="inlineStr">
        <is>
          <t>20 to 40</t>
        </is>
      </c>
      <c r="AY127" s="30">
        <f>IF(AX127="Above 40",20,IF(AX127="20 to 40",10,IF(AX127="0 to 20",-5,0)))</f>
        <v/>
      </c>
      <c r="AZ127" s="30" t="inlineStr">
        <is>
          <t>Between 50 to 75</t>
        </is>
      </c>
      <c r="BA127" s="30">
        <f>IF(AZ127="Between 50 to 75",10,IF(AZ127="Above 75",0,0))</f>
        <v/>
      </c>
      <c r="BB127" s="30" t="inlineStr">
        <is>
          <t>Stage 2</t>
        </is>
      </c>
      <c r="BC127" s="30">
        <f>IF(BB127="Stage 2",20,IF(BB127="Stage 1",0,IF(BB127="Stage 3",5,IF(BB127="Stage 4",-5,0))))</f>
        <v/>
      </c>
      <c r="BD127" s="30" t="inlineStr">
        <is>
          <t>Positive Trend</t>
        </is>
      </c>
      <c r="BE127" s="30">
        <f>IF(BD127="Positive Trend",20,IF(BD127="Negative Trend",-10,0))</f>
        <v/>
      </c>
      <c r="BF127" s="30" t="inlineStr">
        <is>
          <t>Uptrend</t>
        </is>
      </c>
      <c r="BG127" s="30">
        <f>IF(BF127="Uptrend",10,IF(BF127="Sideways",5,0))</f>
        <v/>
      </c>
      <c r="BH127" s="30" t="inlineStr">
        <is>
          <t>Uptrend</t>
        </is>
      </c>
      <c r="BI127" s="30">
        <f>IF(BH127="Uptrend",10,IF(BH127="Sideways",5,0))</f>
        <v/>
      </c>
      <c r="BJ127" s="30" t="inlineStr">
        <is>
          <t>Close to 52 week high or retracement</t>
        </is>
      </c>
      <c r="BK127" s="30">
        <f>IF(BJ127="Overhead supply in last 2 years in last 2 years",-5,IF(BJ127="Close to 52 week high or retracement",5,IF(BJ127="Blue sky scenario",10,IF(BJ127="Long term Downtrend",-10,0))))</f>
        <v/>
      </c>
      <c r="BL127" s="30" t="inlineStr">
        <is>
          <t>Yes</t>
        </is>
      </c>
      <c r="BM127" s="30">
        <f>IF(BL127="Yes",10,0)</f>
        <v/>
      </c>
      <c r="BN127" s="30" t="inlineStr">
        <is>
          <t>More than 20%</t>
        </is>
      </c>
      <c r="BO127" s="30">
        <f>IF(BN127="More than 20%",10,IF(BN127="Between 12 to 20%",5,IF(BN127="Less than 12%",0,0)))</f>
        <v/>
      </c>
      <c r="BP127" s="30" t="inlineStr">
        <is>
          <t>No</t>
        </is>
      </c>
      <c r="BQ127" s="30">
        <f>IF(BP127="No",10,0)</f>
        <v/>
      </c>
      <c r="BR127" s="30" t="inlineStr">
        <is>
          <t>Yes</t>
        </is>
      </c>
      <c r="BS127" s="30">
        <f>IF(BR127="NO",5,0)</f>
        <v/>
      </c>
      <c r="BT127" s="30" t="inlineStr">
        <is>
          <t>Less than 1.5</t>
        </is>
      </c>
      <c r="BU127" s="30">
        <f>IF(BT127="Above 2",0,IF(BT127="Between 1.5 to 2",5,IF(BT127="Less than 1.5",10,0)))</f>
        <v/>
      </c>
      <c r="BV127" s="30" t="inlineStr">
        <is>
          <t>Above 70%</t>
        </is>
      </c>
      <c r="BW127" s="30">
        <f>IF(BV127="Above 70%",10,IF(BV127="Between 50% to 70%",5,IF(BV127="Less than 50%",0,IF(BV127="Negative",-10,IF(BV127="Less than 50% and Borrowings are increasing",-5,0)))))</f>
        <v/>
      </c>
      <c r="BX127" s="30" t="inlineStr">
        <is>
          <t>Less than 0.7</t>
        </is>
      </c>
      <c r="BY127" s="30">
        <f>IF(BX127="More than 1.2",-10,IF(BX127="Between 0.7 to 1.2",0,IF(BX127="Less than 0.7",10,0)))</f>
        <v/>
      </c>
      <c r="BZ127" s="30" t="inlineStr">
        <is>
          <t>No</t>
        </is>
      </c>
      <c r="CA127" s="30">
        <f>IF(BZ127="Yes",-10,0)</f>
        <v/>
      </c>
      <c r="CB127" s="30" t="inlineStr">
        <is>
          <t>Less than 15%</t>
        </is>
      </c>
      <c r="CC127" s="30">
        <f>IF(CB127="More than 15%",-10,IF(CB127="Less than 15%",10,0))</f>
        <v/>
      </c>
      <c r="CD127" s="30" t="inlineStr">
        <is>
          <t>No</t>
        </is>
      </c>
      <c r="CE127" s="30">
        <f>IF(CD127="Yes, more than 10%",-10,IF(CD127="No",10,0))</f>
        <v/>
      </c>
    </row>
    <row r="128">
      <c r="A128" s="30">
        <f>IF(B128=0,"",RANK(B128,$B$2:$B$331,0))</f>
        <v/>
      </c>
      <c r="B128" s="31">
        <f>SUM(N128,Y128,AA128,AC128,AE128,AG128,AI128,AK128,AM128,AO128,AQ128,AS128,AU128,AW128,AY128,BA128,BC128,BE128,BG128,BI128,BK128,BM128,BO128,BQ128,BS128,BU128,BW128,BY128,CA128,CC128,CE128)</f>
        <v/>
      </c>
      <c r="C128" s="30" t="inlineStr">
        <is>
          <t>GANDHAR</t>
        </is>
      </c>
      <c r="D128" s="30" t="inlineStr">
        <is>
          <t>Gandhar Oil Refinery (India) Ltd</t>
        </is>
      </c>
      <c r="E128" s="30" t="inlineStr">
        <is>
          <t>energy</t>
        </is>
      </c>
      <c r="F128" s="30" t="inlineStr">
        <is>
          <t>refineries</t>
        </is>
      </c>
      <c r="G128" s="30" t="inlineStr">
        <is>
          <t>smallcap</t>
        </is>
      </c>
      <c r="H128" s="31" t="n">
        <v>2602.13</v>
      </c>
      <c r="I128" s="31" t="n">
        <v>271.3</v>
      </c>
      <c r="J128" s="31" t="n">
        <v>2.05</v>
      </c>
      <c r="K128" s="31" t="n">
        <v>1490894</v>
      </c>
      <c r="L128" s="30" t="n">
        <v>88</v>
      </c>
      <c r="M128" s="30" t="inlineStr">
        <is>
          <t>Outperforming</t>
        </is>
      </c>
      <c r="N128" s="31">
        <f>IF(M128="Underperforming",-5,IF(L128&gt;=95,15,IF(L128&gt;=90,10,IF(L128&gt;=80,5,0))))</f>
        <v/>
      </c>
      <c r="O128" s="31" t="n">
        <v>70.59</v>
      </c>
      <c r="P128" s="31" t="n">
        <v>73.79000000000001</v>
      </c>
      <c r="Q128" s="31" t="n">
        <v>214.53</v>
      </c>
      <c r="R128" s="30" t="inlineStr">
        <is>
          <t>Near 52W High Breakout</t>
        </is>
      </c>
      <c r="S128" s="30" t="inlineStr">
        <is>
          <t>Nifty Energy</t>
        </is>
      </c>
      <c r="T128" s="31" t="n">
        <v>8.43</v>
      </c>
      <c r="U128" s="31" t="n">
        <v>64.86</v>
      </c>
      <c r="V128" s="31" t="n">
        <v>52.04</v>
      </c>
      <c r="W128" s="31" t="n">
        <v>36.98</v>
      </c>
      <c r="X128" s="30" t="inlineStr">
        <is>
          <t>Cyclical in an Upturn</t>
        </is>
      </c>
      <c r="Y128" s="30">
        <f>IF(X128="Growing Industry",10,IF(X128="Cyclical in an Upturn",5,0))</f>
        <v/>
      </c>
      <c r="Z128" s="30" t="inlineStr">
        <is>
          <t>Oligopoly</t>
        </is>
      </c>
      <c r="AA128" s="30">
        <f>IF(Z128="Monopoly",10,IF(Z128="Oligopoly",5,IF(Z128="Duopoly that cooperate",10,IF(Z128="Duopoly that compete",5,IF(Z128="Too many players with High ROCE",5,0)))))</f>
        <v/>
      </c>
      <c r="AB128" s="30" t="inlineStr">
        <is>
          <t>Yes</t>
        </is>
      </c>
      <c r="AC128" s="30">
        <f>IF(AB128="No",5,0)</f>
        <v/>
      </c>
      <c r="AD128" s="30" t="inlineStr">
        <is>
          <t>Tailwind</t>
        </is>
      </c>
      <c r="AE128" s="30">
        <f>IF(AD128="Tailwind",10,0)</f>
        <v/>
      </c>
      <c r="AF128" s="30" t="inlineStr">
        <is>
          <t>Cyclical</t>
        </is>
      </c>
      <c r="AG128" s="30">
        <f>IF(AF128="Structural (10 Years Consistency)",10,IF(AF128="Shallow Cyclical (2 to 3 years growth)",5,0))</f>
        <v/>
      </c>
      <c r="AH128" s="30" t="inlineStr">
        <is>
          <t>No</t>
        </is>
      </c>
      <c r="AI128" s="30">
        <f>IF(AH128="Yes due to Product Mix change or Operating Leverage",10,IF(AH128="Yes, these are peak margins",-5,IF(AH128="No",5,0)))</f>
        <v/>
      </c>
      <c r="AJ128" s="30" t="inlineStr">
        <is>
          <t>Volatile</t>
        </is>
      </c>
      <c r="AK128" s="30">
        <f>IF(AJ128="Stable",10,0)</f>
        <v/>
      </c>
      <c r="AL128" s="30" t="inlineStr">
        <is>
          <t>Yes</t>
        </is>
      </c>
      <c r="AM128" s="30">
        <f>IF(AL128="Yes",10,0)</f>
        <v/>
      </c>
      <c r="AN128" s="30" t="inlineStr">
        <is>
          <t>B2B</t>
        </is>
      </c>
      <c r="AO128" s="30">
        <f>IF(AN128="B2C",10,IF(AN128="B2B",5,0))</f>
        <v/>
      </c>
      <c r="AP128" s="30" t="inlineStr">
        <is>
          <t>Yes</t>
        </is>
      </c>
      <c r="AQ128" s="30">
        <f>IF(AP128="Yes",10,0)</f>
        <v/>
      </c>
      <c r="AR128" s="30" t="inlineStr">
        <is>
          <t>Higher One Time, Lower Annuity</t>
        </is>
      </c>
      <c r="AS128" s="30">
        <f>IF(AR128="Fully Annuity",10,IF(AR128="Higher Annuity, Lower One Time",5,IF(AR128="Higher One Time, Lower Annuity",3,0)))</f>
        <v/>
      </c>
      <c r="AT128" s="30" t="inlineStr">
        <is>
          <t>Good</t>
        </is>
      </c>
      <c r="AU128" s="30">
        <f>IF(AT128="Good",10,0)</f>
        <v/>
      </c>
      <c r="AV128" s="30" t="inlineStr">
        <is>
          <t>Yes for more than 2 years</t>
        </is>
      </c>
      <c r="AW128" s="30">
        <f>IF(AV128="Yes for more than 2 years",10,IF(AV128="Yes only for next 1 to 2 years",5,0))</f>
        <v/>
      </c>
      <c r="AX128" s="30" t="inlineStr">
        <is>
          <t>Above 40</t>
        </is>
      </c>
      <c r="AY128" s="30">
        <f>IF(AX128="Above 40",20,IF(AX128="20 to 40",10,IF(AX128="0 to 20",-5,0)))</f>
        <v/>
      </c>
      <c r="AZ128" s="30" t="inlineStr">
        <is>
          <t>Between 50 to 75</t>
        </is>
      </c>
      <c r="BA128" s="30">
        <f>IF(AZ128="Between 50 to 75",10,IF(AZ128="Above 75",0,0))</f>
        <v/>
      </c>
      <c r="BB128" s="30" t="inlineStr">
        <is>
          <t>Stage 2</t>
        </is>
      </c>
      <c r="BC128" s="30">
        <f>IF(BB128="Stage 2",20,IF(BB128="Stage 1",0,IF(BB128="Stage 3",5,IF(BB128="Stage 4",-5,0))))</f>
        <v/>
      </c>
      <c r="BD128" s="30" t="inlineStr">
        <is>
          <t>Positive Trend</t>
        </is>
      </c>
      <c r="BE128" s="30">
        <f>IF(BD128="Positive Trend",20,IF(BD128="Negative Trend",-10,0))</f>
        <v/>
      </c>
      <c r="BF128" s="30" t="inlineStr">
        <is>
          <t>Uptrend</t>
        </is>
      </c>
      <c r="BG128" s="30">
        <f>IF(BF128="Uptrend",10,IF(BF128="Sideways",5,0))</f>
        <v/>
      </c>
      <c r="BH128" s="30" t="inlineStr">
        <is>
          <t>Uptrend</t>
        </is>
      </c>
      <c r="BI128" s="30">
        <f>IF(BH128="Uptrend",10,IF(BH128="Sideways",5,0))</f>
        <v/>
      </c>
      <c r="BJ128" s="30" t="inlineStr">
        <is>
          <t>Blue sky scenario</t>
        </is>
      </c>
      <c r="BK128" s="30">
        <f>IF(BJ128="Overhead supply in last 2 years in last 2 years",-5,IF(BJ128="Close to 52 week high or retracement",5,IF(BJ128="Blue sky scenario",10,IF(BJ128="Long term Downtrend",-10,0))))</f>
        <v/>
      </c>
      <c r="BL128" s="30" t="inlineStr">
        <is>
          <t>Yes</t>
        </is>
      </c>
      <c r="BM128" s="30">
        <f>IF(BL128="Yes",10,0)</f>
        <v/>
      </c>
      <c r="BN128" s="30" t="inlineStr">
        <is>
          <t>More than 20%</t>
        </is>
      </c>
      <c r="BO128" s="30">
        <f>IF(BN128="More than 20%",10,IF(BN128="Between 12 to 20%",5,IF(BN128="Less than 12%",0,0)))</f>
        <v/>
      </c>
      <c r="BP128" s="30" t="inlineStr">
        <is>
          <t>No</t>
        </is>
      </c>
      <c r="BQ128" s="30">
        <f>IF(BP128="No",10,0)</f>
        <v/>
      </c>
      <c r="BR128" s="30" t="inlineStr">
        <is>
          <t>No</t>
        </is>
      </c>
      <c r="BS128" s="30">
        <f>IF(BR128="NO",5,0)</f>
        <v/>
      </c>
      <c r="BT128" s="30" t="inlineStr">
        <is>
          <t>Less than 1.5</t>
        </is>
      </c>
      <c r="BU128" s="30">
        <f>IF(BT128="Above 2",0,IF(BT128="Between 1.5 to 2",5,IF(BT128="Less than 1.5",10,0)))</f>
        <v/>
      </c>
      <c r="BV128" s="30" t="inlineStr">
        <is>
          <t>Above 70%</t>
        </is>
      </c>
      <c r="BW128" s="30">
        <f>IF(BV128="Above 70%",10,IF(BV128="Between 50% to 70%",5,IF(BV128="Less than 50%",0,IF(BV128="Negative",-10,IF(BV128="Less than 50% and Borrowings are increasing",-5,0)))))</f>
        <v/>
      </c>
      <c r="BX128" s="30" t="inlineStr">
        <is>
          <t>Less than 0.7</t>
        </is>
      </c>
      <c r="BY128" s="30">
        <f>IF(BX128="More than 1.2",-10,IF(BX128="Between 0.7 to 1.2",0,IF(BX128="Less than 0.7",10,0)))</f>
        <v/>
      </c>
      <c r="BZ128" s="30" t="inlineStr">
        <is>
          <t>No</t>
        </is>
      </c>
      <c r="CA128" s="30">
        <f>IF(BZ128="Yes",-10,0)</f>
        <v/>
      </c>
      <c r="CB128" s="30" t="inlineStr">
        <is>
          <t>Less than 15%</t>
        </is>
      </c>
      <c r="CC128" s="30">
        <f>IF(CB128="More than 15%",-10,IF(CB128="Less than 15%",10,0))</f>
        <v/>
      </c>
      <c r="CD128" s="30" t="inlineStr">
        <is>
          <t>No</t>
        </is>
      </c>
      <c r="CE128" s="30">
        <f>IF(CD128="Yes, more than 10%",-10,IF(CD128="No",10,0))</f>
        <v/>
      </c>
    </row>
    <row r="129">
      <c r="A129" s="30">
        <f>IF(B129=0,"",RANK(B129,$B$2:$B$331,0))</f>
        <v/>
      </c>
      <c r="B129" s="31">
        <f>SUM(N129,Y129,AA129,AC129,AE129,AG129,AI129,AK129,AM129,AO129,AQ129,AS129,AU129,AW129,AY129,BA129,BC129,BE129,BG129,BI129,BK129,BM129,BO129,BQ129,BS129,BU129,BW129,BY129,CA129,CC129,CE129)</f>
        <v/>
      </c>
      <c r="C129" s="30" t="inlineStr">
        <is>
          <t>MGEL</t>
        </is>
      </c>
      <c r="D129" s="30" t="inlineStr">
        <is>
          <t>Mangalam Global Enterprise Ltd</t>
        </is>
      </c>
      <c r="E129" s="30" t="inlineStr">
        <is>
          <t>services</t>
        </is>
      </c>
      <c r="F129" s="30" t="inlineStr">
        <is>
          <t>trading</t>
        </is>
      </c>
      <c r="G129" s="30" t="inlineStr">
        <is>
          <t>smallcap</t>
        </is>
      </c>
      <c r="H129" s="31" t="n">
        <v>522.02</v>
      </c>
      <c r="I129" s="31" t="n">
        <v>16.03</v>
      </c>
      <c r="J129" s="31" t="n">
        <v>1.2</v>
      </c>
      <c r="K129" s="31" t="n">
        <v>1085311</v>
      </c>
      <c r="L129" s="30" t="n">
        <v>13</v>
      </c>
      <c r="M129" s="30" t="inlineStr">
        <is>
          <t>Outperforming</t>
        </is>
      </c>
      <c r="N129" s="31">
        <f>IF(M129="Underperforming",-5,IF(L129&gt;=95,15,IF(L129&gt;=90,10,IF(L129&gt;=80,5,0))))</f>
        <v/>
      </c>
      <c r="O129" s="31" t="n">
        <v>58.5</v>
      </c>
      <c r="P129" s="31" t="n">
        <v>34.31</v>
      </c>
      <c r="Q129" s="31" t="n">
        <v>12.36</v>
      </c>
      <c r="R129" s="30" t="inlineStr">
        <is>
          <t>Volume Spike / Accumulation</t>
        </is>
      </c>
      <c r="S129" s="30" t="inlineStr">
        <is>
          <t>Nifty 50</t>
        </is>
      </c>
      <c r="T129" s="31" t="n">
        <v>-6.52</v>
      </c>
      <c r="U129" s="31" t="n">
        <v>6.3</v>
      </c>
      <c r="V129" s="31" t="n">
        <v>13.7</v>
      </c>
      <c r="W129" s="31" t="n">
        <v>4.54</v>
      </c>
      <c r="X129" s="30" t="inlineStr">
        <is>
          <t>Growing Industry</t>
        </is>
      </c>
      <c r="Y129" s="30">
        <f>IF(X129="Growing Industry",10,IF(X129="Cyclical in an Upturn",5,0))</f>
        <v/>
      </c>
      <c r="Z129" s="30" t="inlineStr">
        <is>
          <t>Too Many Players with High ROCE</t>
        </is>
      </c>
      <c r="AA129" s="30">
        <f>IF(Z129="Monopoly",10,IF(Z129="Oligopoly",5,IF(Z129="Duopoly that cooperate",10,IF(Z129="Duopoly that compete",5,IF(Z129="Too many players with High ROCE",5,0)))))</f>
        <v/>
      </c>
      <c r="AB129" s="30" t="inlineStr">
        <is>
          <t>No</t>
        </is>
      </c>
      <c r="AC129" s="30">
        <f>IF(AB129="No",5,0)</f>
        <v/>
      </c>
      <c r="AD129" s="30" t="inlineStr">
        <is>
          <t>Tailwind</t>
        </is>
      </c>
      <c r="AE129" s="30">
        <f>IF(AD129="Tailwind",10,0)</f>
        <v/>
      </c>
      <c r="AF129" s="30" t="inlineStr">
        <is>
          <t>Structural (10 Years Consistency)</t>
        </is>
      </c>
      <c r="AG129" s="30">
        <f>IF(AF129="Structural (10 Years Consistency)",10,IF(AF129="Shallow Cyclical (2 to 3 years growth)",5,0))</f>
        <v/>
      </c>
      <c r="AH129" s="30" t="inlineStr">
        <is>
          <t>No</t>
        </is>
      </c>
      <c r="AI129" s="30">
        <f>IF(AH129="Yes due to Product Mix change or Operating Leverage",10,IF(AH129="Yes, these are peak margins",-5,IF(AH129="No",5,0)))</f>
        <v/>
      </c>
      <c r="AJ129" s="30" t="inlineStr">
        <is>
          <t>Stable</t>
        </is>
      </c>
      <c r="AK129" s="30">
        <f>IF(AJ129="Stable",10,0)</f>
        <v/>
      </c>
      <c r="AL129" s="30" t="inlineStr">
        <is>
          <t>Yes</t>
        </is>
      </c>
      <c r="AM129" s="30">
        <f>IF(AL129="Yes",10,0)</f>
        <v/>
      </c>
      <c r="AN129" s="30" t="inlineStr">
        <is>
          <t>B2B</t>
        </is>
      </c>
      <c r="AO129" s="30">
        <f>IF(AN129="B2C",10,IF(AN129="B2B",5,0))</f>
        <v/>
      </c>
      <c r="AP129" s="30" t="inlineStr">
        <is>
          <t>Yes</t>
        </is>
      </c>
      <c r="AQ129" s="30">
        <f>IF(AP129="Yes",10,0)</f>
        <v/>
      </c>
      <c r="AR129" s="30" t="inlineStr">
        <is>
          <t>Higher One Time, Lower Annuity</t>
        </is>
      </c>
      <c r="AS129" s="30">
        <f>IF(AR129="Fully Annuity",10,IF(AR129="Higher Annuity, Lower One Time",5,IF(AR129="Higher One Time, Lower Annuity",3,0)))</f>
        <v/>
      </c>
      <c r="AT129" s="30" t="inlineStr">
        <is>
          <t>Good</t>
        </is>
      </c>
      <c r="AU129" s="30">
        <f>IF(AT129="Good",10,0)</f>
        <v/>
      </c>
      <c r="AV129" s="30" t="inlineStr">
        <is>
          <t>Yes for more than 2 years</t>
        </is>
      </c>
      <c r="AW129" s="30">
        <f>IF(AV129="Yes for more than 2 years",10,IF(AV129="Yes only for next 1 to 2 years",5,0))</f>
        <v/>
      </c>
      <c r="AX129" s="30" t="inlineStr">
        <is>
          <t>20 to 40</t>
        </is>
      </c>
      <c r="AY129" s="30">
        <f>IF(AX129="Above 40",20,IF(AX129="20 to 40",10,IF(AX129="0 to 20",-5,0)))</f>
        <v/>
      </c>
      <c r="AZ129" s="30" t="inlineStr">
        <is>
          <t>Between 50 to 75</t>
        </is>
      </c>
      <c r="BA129" s="30">
        <f>IF(AZ129="Between 50 to 75",10,IF(AZ129="Above 75",0,0))</f>
        <v/>
      </c>
      <c r="BB129" s="30" t="inlineStr">
        <is>
          <t>Stage 2</t>
        </is>
      </c>
      <c r="BC129" s="30">
        <f>IF(BB129="Stage 2",20,IF(BB129="Stage 1",0,IF(BB129="Stage 3",5,IF(BB129="Stage 4",-5,0))))</f>
        <v/>
      </c>
      <c r="BD129" s="30" t="inlineStr">
        <is>
          <t>Positive Trend</t>
        </is>
      </c>
      <c r="BE129" s="30">
        <f>IF(BD129="Positive Trend",20,IF(BD129="Negative Trend",-10,0))</f>
        <v/>
      </c>
      <c r="BF129" s="30" t="inlineStr">
        <is>
          <t>Uptrend</t>
        </is>
      </c>
      <c r="BG129" s="30">
        <f>IF(BF129="Uptrend",10,IF(BF129="Sideways",5,0))</f>
        <v/>
      </c>
      <c r="BH129" s="30" t="inlineStr">
        <is>
          <t>Uptrend</t>
        </is>
      </c>
      <c r="BI129" s="30">
        <f>IF(BH129="Uptrend",10,IF(BH129="Sideways",5,0))</f>
        <v/>
      </c>
      <c r="BJ129" s="30" t="inlineStr">
        <is>
          <t>Close to 52 week high or retracement</t>
        </is>
      </c>
      <c r="BK129" s="30">
        <f>IF(BJ129="Overhead supply in last 2 years in last 2 years",-5,IF(BJ129="Close to 52 week high or retracement",5,IF(BJ129="Blue sky scenario",10,IF(BJ129="Long term Downtrend",-10,0))))</f>
        <v/>
      </c>
      <c r="BL129" s="30" t="inlineStr">
        <is>
          <t>Yes</t>
        </is>
      </c>
      <c r="BM129" s="30">
        <f>IF(BL129="Yes",10,0)</f>
        <v/>
      </c>
      <c r="BN129" s="30" t="inlineStr">
        <is>
          <t>More than 20%</t>
        </is>
      </c>
      <c r="BO129" s="30">
        <f>IF(BN129="More than 20%",10,IF(BN129="Between 12 to 20%",5,IF(BN129="Less than 12%",0,0)))</f>
        <v/>
      </c>
      <c r="BP129" s="30" t="inlineStr">
        <is>
          <t>No</t>
        </is>
      </c>
      <c r="BQ129" s="30">
        <f>IF(BP129="No",10,0)</f>
        <v/>
      </c>
      <c r="BR129" s="30" t="inlineStr">
        <is>
          <t>No</t>
        </is>
      </c>
      <c r="BS129" s="30">
        <f>IF(BR129="NO",5,0)</f>
        <v/>
      </c>
      <c r="BT129" s="30" t="inlineStr">
        <is>
          <t>Less than 1.5</t>
        </is>
      </c>
      <c r="BU129" s="30">
        <f>IF(BT129="Above 2",0,IF(BT129="Between 1.5 to 2",5,IF(BT129="Less than 1.5",10,0)))</f>
        <v/>
      </c>
      <c r="BV129" s="30" t="inlineStr">
        <is>
          <t>Above 70%</t>
        </is>
      </c>
      <c r="BW129" s="30">
        <f>IF(BV129="Above 70%",10,IF(BV129="Between 50% to 70%",5,IF(BV129="Less than 50%",0,IF(BV129="Negative",-10,IF(BV129="Less than 50% and Borrowings are increasing",-5,0)))))</f>
        <v/>
      </c>
      <c r="BX129" s="30" t="inlineStr">
        <is>
          <t>Between 0.7 to 1.2</t>
        </is>
      </c>
      <c r="BY129" s="30">
        <f>IF(BX129="More than 1.2",-10,IF(BX129="Between 0.7 to 1.2",0,IF(BX129="Less than 0.7",10,0)))</f>
        <v/>
      </c>
      <c r="BZ129" s="30" t="inlineStr">
        <is>
          <t>No</t>
        </is>
      </c>
      <c r="CA129" s="30">
        <f>IF(BZ129="Yes",-10,0)</f>
        <v/>
      </c>
      <c r="CB129" s="30" t="inlineStr">
        <is>
          <t>Less than 15%</t>
        </is>
      </c>
      <c r="CC129" s="30">
        <f>IF(CB129="More than 15%",-10,IF(CB129="Less than 15%",10,0))</f>
        <v/>
      </c>
      <c r="CD129" s="30" t="inlineStr">
        <is>
          <t>No</t>
        </is>
      </c>
      <c r="CE129" s="30">
        <f>IF(CD129="Yes, more than 10%",-10,IF(CD129="No",10,0))</f>
        <v/>
      </c>
    </row>
    <row r="130">
      <c r="A130" s="30">
        <f>IF(B130=0,"",RANK(B130,$B$2:$B$331,0))</f>
        <v/>
      </c>
      <c r="B130" s="31">
        <f>SUM(N130,Y130,AA130,AC130,AE130,AG130,AI130,AK130,AM130,AO130,AQ130,AS130,AU130,AW130,AY130,BA130,BC130,BE130,BG130,BI130,BK130,BM130,BO130,BQ130,BS130,BU130,BW130,BY130,CA130,CC130,CE130)</f>
        <v/>
      </c>
      <c r="C130" s="30" t="inlineStr">
        <is>
          <t>SOMANYCERA</t>
        </is>
      </c>
      <c r="D130" s="30" t="inlineStr">
        <is>
          <t>Somany Ceramics Limited</t>
        </is>
      </c>
      <c r="E130" s="30" t="inlineStr">
        <is>
          <t>building materials</t>
        </is>
      </c>
      <c r="F130" s="30" t="inlineStr">
        <is>
          <t>ceramics - tiles / sanitaryware</t>
        </is>
      </c>
      <c r="G130" s="30" t="inlineStr">
        <is>
          <t>smallcap</t>
        </is>
      </c>
      <c r="H130" s="31" t="n">
        <v>2270.06</v>
      </c>
      <c r="I130" s="31" t="n">
        <v>559.7</v>
      </c>
      <c r="J130" s="31" t="n">
        <v>1.12</v>
      </c>
      <c r="K130" s="31" t="n">
        <v>88278</v>
      </c>
      <c r="L130" s="30" t="n">
        <v>22</v>
      </c>
      <c r="M130" s="30" t="inlineStr">
        <is>
          <t>Outperforming</t>
        </is>
      </c>
      <c r="N130" s="31">
        <f>IF(M130="Underperforming",-5,IF(L130&gt;=95,15,IF(L130&gt;=90,10,IF(L130&gt;=80,5,0))))</f>
        <v/>
      </c>
      <c r="O130" s="31" t="n">
        <v>65.06</v>
      </c>
      <c r="P130" s="31" t="n">
        <v>32.67</v>
      </c>
      <c r="Q130" s="31" t="n">
        <v>448.74</v>
      </c>
      <c r="R130" s="30" t="inlineStr">
        <is>
          <t>Near 52W High Breakout</t>
        </is>
      </c>
      <c r="S130" s="30" t="inlineStr">
        <is>
          <t>Nifty Infra</t>
        </is>
      </c>
      <c r="T130" s="31" t="n">
        <v>0.74</v>
      </c>
      <c r="U130" s="31" t="n">
        <v>6.28</v>
      </c>
      <c r="V130" s="31" t="n">
        <v>5.5</v>
      </c>
      <c r="W130" s="31" t="n">
        <v>6.66</v>
      </c>
      <c r="X130" s="30" t="inlineStr">
        <is>
          <t>Growing Industry</t>
        </is>
      </c>
      <c r="Y130" s="30">
        <f>IF(X130="Growing Industry",10,IF(X130="Cyclical in an Upturn",5,0))</f>
        <v/>
      </c>
      <c r="Z130" s="30" t="inlineStr">
        <is>
          <t>Too Many Players with High ROCE</t>
        </is>
      </c>
      <c r="AA130" s="30">
        <f>IF(Z130="Monopoly",10,IF(Z130="Oligopoly",5,IF(Z130="Duopoly that cooperate",10,IF(Z130="Duopoly that compete",5,IF(Z130="Too many players with High ROCE",5,0)))))</f>
        <v/>
      </c>
      <c r="AB130" s="30" t="inlineStr">
        <is>
          <t>No</t>
        </is>
      </c>
      <c r="AC130" s="30">
        <f>IF(AB130="No",5,0)</f>
        <v/>
      </c>
      <c r="AD130" s="30" t="inlineStr">
        <is>
          <t>Tailwind</t>
        </is>
      </c>
      <c r="AE130" s="30">
        <f>IF(AD130="Tailwind",10,0)</f>
        <v/>
      </c>
      <c r="AF130" s="30" t="inlineStr">
        <is>
          <t>Structural (10 Years Consistency)</t>
        </is>
      </c>
      <c r="AG130" s="30">
        <f>IF(AF130="Structural (10 Years Consistency)",10,IF(AF130="Shallow Cyclical (2 to 3 years growth)",5,0))</f>
        <v/>
      </c>
      <c r="AH130" s="30" t="inlineStr">
        <is>
          <t>No</t>
        </is>
      </c>
      <c r="AI130" s="30">
        <f>IF(AH130="Yes due to Product Mix change or Operating Leverage",10,IF(AH130="Yes, these are peak margins",-5,IF(AH130="No",5,0)))</f>
        <v/>
      </c>
      <c r="AJ130" s="30" t="inlineStr">
        <is>
          <t>Stable</t>
        </is>
      </c>
      <c r="AK130" s="30">
        <f>IF(AJ130="Stable",10,0)</f>
        <v/>
      </c>
      <c r="AL130" s="30" t="inlineStr">
        <is>
          <t>Yes</t>
        </is>
      </c>
      <c r="AM130" s="30">
        <f>IF(AL130="Yes",10,0)</f>
        <v/>
      </c>
      <c r="AN130" s="30" t="inlineStr">
        <is>
          <t>B2B</t>
        </is>
      </c>
      <c r="AO130" s="30">
        <f>IF(AN130="B2C",10,IF(AN130="B2B",5,0))</f>
        <v/>
      </c>
      <c r="AP130" s="30" t="inlineStr">
        <is>
          <t>Yes</t>
        </is>
      </c>
      <c r="AQ130" s="30">
        <f>IF(AP130="Yes",10,0)</f>
        <v/>
      </c>
      <c r="AR130" s="30" t="inlineStr">
        <is>
          <t>Higher One Time, Lower Annuity</t>
        </is>
      </c>
      <c r="AS130" s="30">
        <f>IF(AR130="Fully Annuity",10,IF(AR130="Higher Annuity, Lower One Time",5,IF(AR130="Higher One Time, Lower Annuity",3,0)))</f>
        <v/>
      </c>
      <c r="AT130" s="30" t="inlineStr">
        <is>
          <t>Good</t>
        </is>
      </c>
      <c r="AU130" s="30">
        <f>IF(AT130="Good",10,0)</f>
        <v/>
      </c>
      <c r="AV130" s="30" t="inlineStr">
        <is>
          <t>Yes for more than 2 years</t>
        </is>
      </c>
      <c r="AW130" s="30">
        <f>IF(AV130="Yes for more than 2 years",10,IF(AV130="Yes only for next 1 to 2 years",5,0))</f>
        <v/>
      </c>
      <c r="AX130" s="30" t="inlineStr">
        <is>
          <t>20 to 40</t>
        </is>
      </c>
      <c r="AY130" s="30">
        <f>IF(AX130="Above 40",20,IF(AX130="20 to 40",10,IF(AX130="0 to 20",-5,0)))</f>
        <v/>
      </c>
      <c r="AZ130" s="30" t="inlineStr">
        <is>
          <t>Between 50 to 75</t>
        </is>
      </c>
      <c r="BA130" s="30">
        <f>IF(AZ130="Between 50 to 75",10,IF(AZ130="Above 75",0,0))</f>
        <v/>
      </c>
      <c r="BB130" s="30" t="inlineStr">
        <is>
          <t>Stage 2</t>
        </is>
      </c>
      <c r="BC130" s="30">
        <f>IF(BB130="Stage 2",20,IF(BB130="Stage 1",0,IF(BB130="Stage 3",5,IF(BB130="Stage 4",-5,0))))</f>
        <v/>
      </c>
      <c r="BD130" s="30" t="inlineStr">
        <is>
          <t>Positive Trend</t>
        </is>
      </c>
      <c r="BE130" s="30">
        <f>IF(BD130="Positive Trend",20,IF(BD130="Negative Trend",-10,0))</f>
        <v/>
      </c>
      <c r="BF130" s="30" t="inlineStr">
        <is>
          <t>Uptrend</t>
        </is>
      </c>
      <c r="BG130" s="30">
        <f>IF(BF130="Uptrend",10,IF(BF130="Sideways",5,0))</f>
        <v/>
      </c>
      <c r="BH130" s="30" t="inlineStr">
        <is>
          <t>Uptrend</t>
        </is>
      </c>
      <c r="BI130" s="30">
        <f>IF(BH130="Uptrend",10,IF(BH130="Sideways",5,0))</f>
        <v/>
      </c>
      <c r="BJ130" s="30" t="inlineStr">
        <is>
          <t>Close to 52 week high or retracement</t>
        </is>
      </c>
      <c r="BK130" s="30">
        <f>IF(BJ130="Overhead supply in last 2 years in last 2 years",-5,IF(BJ130="Close to 52 week high or retracement",5,IF(BJ130="Blue sky scenario",10,IF(BJ130="Long term Downtrend",-10,0))))</f>
        <v/>
      </c>
      <c r="BL130" s="30" t="inlineStr">
        <is>
          <t>Yes</t>
        </is>
      </c>
      <c r="BM130" s="30">
        <f>IF(BL130="Yes",10,0)</f>
        <v/>
      </c>
      <c r="BN130" s="30" t="inlineStr">
        <is>
          <t>More than 20%</t>
        </is>
      </c>
      <c r="BO130" s="30">
        <f>IF(BN130="More than 20%",10,IF(BN130="Between 12 to 20%",5,IF(BN130="Less than 12%",0,0)))</f>
        <v/>
      </c>
      <c r="BP130" s="30" t="inlineStr">
        <is>
          <t>No</t>
        </is>
      </c>
      <c r="BQ130" s="30">
        <f>IF(BP130="No",10,0)</f>
        <v/>
      </c>
      <c r="BR130" s="30" t="inlineStr">
        <is>
          <t>No</t>
        </is>
      </c>
      <c r="BS130" s="30">
        <f>IF(BR130="NO",5,0)</f>
        <v/>
      </c>
      <c r="BT130" s="30" t="inlineStr">
        <is>
          <t>Above 2</t>
        </is>
      </c>
      <c r="BU130" s="30">
        <f>IF(BT130="Above 2",0,IF(BT130="Between 1.5 to 2",5,IF(BT130="Less than 1.5",10,0)))</f>
        <v/>
      </c>
      <c r="BV130" s="30" t="inlineStr">
        <is>
          <t>Above 70%</t>
        </is>
      </c>
      <c r="BW130" s="30">
        <f>IF(BV130="Above 70%",10,IF(BV130="Between 50% to 70%",5,IF(BV130="Less than 50%",0,IF(BV130="Negative",-10,IF(BV130="Less than 50% and Borrowings are increasing",-5,0)))))</f>
        <v/>
      </c>
      <c r="BX130" s="30" t="inlineStr">
        <is>
          <t>Less than 0.7</t>
        </is>
      </c>
      <c r="BY130" s="30">
        <f>IF(BX130="More than 1.2",-10,IF(BX130="Between 0.7 to 1.2",0,IF(BX130="Less than 0.7",10,0)))</f>
        <v/>
      </c>
      <c r="BZ130" s="30" t="inlineStr">
        <is>
          <t>No</t>
        </is>
      </c>
      <c r="CA130" s="30">
        <f>IF(BZ130="Yes",-10,0)</f>
        <v/>
      </c>
      <c r="CB130" s="30" t="inlineStr">
        <is>
          <t>Less than 15%</t>
        </is>
      </c>
      <c r="CC130" s="30">
        <f>IF(CB130="More than 15%",-10,IF(CB130="Less than 15%",10,0))</f>
        <v/>
      </c>
      <c r="CD130" s="30" t="inlineStr">
        <is>
          <t>No</t>
        </is>
      </c>
      <c r="CE130" s="30">
        <f>IF(CD130="Yes, more than 10%",-10,IF(CD130="No",10,0))</f>
        <v/>
      </c>
    </row>
    <row r="131">
      <c r="A131" s="30">
        <f>IF(B131=0,"",RANK(B131,$B$2:$B$331,0))</f>
        <v/>
      </c>
      <c r="B131" s="31">
        <f>SUM(N131,Y131,AA131,AC131,AE131,AG131,AI131,AK131,AM131,AO131,AQ131,AS131,AU131,AW131,AY131,BA131,BC131,BE131,BG131,BI131,BK131,BM131,BO131,BQ131,BS131,BU131,BW131,BY131,CA131,CC131,CE131)</f>
        <v/>
      </c>
      <c r="C131" s="30" t="inlineStr">
        <is>
          <t>TVSSRICHAK</t>
        </is>
      </c>
      <c r="D131" s="30" t="inlineStr">
        <is>
          <t>Tvs Srichakra Limited</t>
        </is>
      </c>
      <c r="E131" s="30" t="inlineStr">
        <is>
          <t>auto</t>
        </is>
      </c>
      <c r="F131" s="30" t="inlineStr">
        <is>
          <t>tyres</t>
        </is>
      </c>
      <c r="G131" s="30" t="inlineStr">
        <is>
          <t>smallcap</t>
        </is>
      </c>
      <c r="H131" s="31" t="n">
        <v>3957.93</v>
      </c>
      <c r="I131" s="31" t="n">
        <v>5222.5</v>
      </c>
      <c r="J131" s="31" t="n">
        <v>1.04</v>
      </c>
      <c r="K131" s="31" t="n">
        <v>5894</v>
      </c>
      <c r="L131" s="30" t="n">
        <v>67</v>
      </c>
      <c r="M131" s="30" t="inlineStr">
        <is>
          <t>Outperforming</t>
        </is>
      </c>
      <c r="N131" s="31">
        <f>IF(M131="Underperforming",-5,IF(L131&gt;=95,15,IF(L131&gt;=90,10,IF(L131&gt;=80,5,0))))</f>
        <v/>
      </c>
      <c r="O131" s="31" t="n">
        <v>73.45</v>
      </c>
      <c r="P131" s="31" t="n">
        <v>32.46</v>
      </c>
      <c r="Q131" s="31" t="n">
        <v>4120.17</v>
      </c>
      <c r="R131" s="30" t="inlineStr">
        <is>
          <t>Near 52W High Breakout</t>
        </is>
      </c>
      <c r="S131" s="30" t="inlineStr">
        <is>
          <t>Nifty Auto</t>
        </is>
      </c>
      <c r="T131" s="31" t="n">
        <v>15.81</v>
      </c>
      <c r="U131" s="31" t="n">
        <v>76.56</v>
      </c>
      <c r="V131" s="31" t="n">
        <v>52.46</v>
      </c>
      <c r="W131" s="31" t="n">
        <v>21.25</v>
      </c>
      <c r="X131" s="30" t="inlineStr">
        <is>
          <t>Growing Industry</t>
        </is>
      </c>
      <c r="Y131" s="30">
        <f>IF(X131="Growing Industry",10,IF(X131="Cyclical in an Upturn",5,0))</f>
        <v/>
      </c>
      <c r="Z131" s="30" t="inlineStr">
        <is>
          <t>Too Many Players with High ROCE</t>
        </is>
      </c>
      <c r="AA131" s="30">
        <f>IF(Z131="Monopoly",10,IF(Z131="Oligopoly",5,IF(Z131="Duopoly that cooperate",10,IF(Z131="Duopoly that compete",5,IF(Z131="Too many players with High ROCE",5,0)))))</f>
        <v/>
      </c>
      <c r="AB131" s="30" t="inlineStr">
        <is>
          <t>No</t>
        </is>
      </c>
      <c r="AC131" s="30">
        <f>IF(AB131="No",5,0)</f>
        <v/>
      </c>
      <c r="AD131" s="30" t="inlineStr">
        <is>
          <t>Tailwind</t>
        </is>
      </c>
      <c r="AE131" s="30">
        <f>IF(AD131="Tailwind",10,0)</f>
        <v/>
      </c>
      <c r="AF131" s="30" t="inlineStr">
        <is>
          <t>Structural (10 Years Consistency)</t>
        </is>
      </c>
      <c r="AG131" s="30">
        <f>IF(AF131="Structural (10 Years Consistency)",10,IF(AF131="Shallow Cyclical (2 to 3 years growth)",5,0))</f>
        <v/>
      </c>
      <c r="AH131" s="30" t="inlineStr">
        <is>
          <t>No</t>
        </is>
      </c>
      <c r="AI131" s="30">
        <f>IF(AH131="Yes due to Product Mix change or Operating Leverage",10,IF(AH131="Yes, these are peak margins",-5,IF(AH131="No",5,0)))</f>
        <v/>
      </c>
      <c r="AJ131" s="30" t="inlineStr">
        <is>
          <t>Stable</t>
        </is>
      </c>
      <c r="AK131" s="30">
        <f>IF(AJ131="Stable",10,0)</f>
        <v/>
      </c>
      <c r="AL131" s="30" t="inlineStr">
        <is>
          <t>Yes</t>
        </is>
      </c>
      <c r="AM131" s="30">
        <f>IF(AL131="Yes",10,0)</f>
        <v/>
      </c>
      <c r="AN131" s="30" t="inlineStr">
        <is>
          <t>B2B</t>
        </is>
      </c>
      <c r="AO131" s="30">
        <f>IF(AN131="B2C",10,IF(AN131="B2B",5,0))</f>
        <v/>
      </c>
      <c r="AP131" s="30" t="inlineStr">
        <is>
          <t>Yes</t>
        </is>
      </c>
      <c r="AQ131" s="30">
        <f>IF(AP131="Yes",10,0)</f>
        <v/>
      </c>
      <c r="AR131" s="30" t="inlineStr">
        <is>
          <t>Higher One Time, Lower Annuity</t>
        </is>
      </c>
      <c r="AS131" s="30">
        <f>IF(AR131="Fully Annuity",10,IF(AR131="Higher Annuity, Lower One Time",5,IF(AR131="Higher One Time, Lower Annuity",3,0)))</f>
        <v/>
      </c>
      <c r="AT131" s="30" t="inlineStr">
        <is>
          <t>Good</t>
        </is>
      </c>
      <c r="AU131" s="30">
        <f>IF(AT131="Good",10,0)</f>
        <v/>
      </c>
      <c r="AV131" s="30" t="inlineStr">
        <is>
          <t>Yes for more than 2 years</t>
        </is>
      </c>
      <c r="AW131" s="30">
        <f>IF(AV131="Yes for more than 2 years",10,IF(AV131="Yes only for next 1 to 2 years",5,0))</f>
        <v/>
      </c>
      <c r="AX131" s="30" t="inlineStr">
        <is>
          <t>20 to 40</t>
        </is>
      </c>
      <c r="AY131" s="30">
        <f>IF(AX131="Above 40",20,IF(AX131="20 to 40",10,IF(AX131="0 to 20",-5,0)))</f>
        <v/>
      </c>
      <c r="AZ131" s="30" t="inlineStr">
        <is>
          <t>Between 50 to 75</t>
        </is>
      </c>
      <c r="BA131" s="30">
        <f>IF(AZ131="Between 50 to 75",10,IF(AZ131="Above 75",0,0))</f>
        <v/>
      </c>
      <c r="BB131" s="30" t="inlineStr">
        <is>
          <t>Stage 2</t>
        </is>
      </c>
      <c r="BC131" s="30">
        <f>IF(BB131="Stage 2",20,IF(BB131="Stage 1",0,IF(BB131="Stage 3",5,IF(BB131="Stage 4",-5,0))))</f>
        <v/>
      </c>
      <c r="BD131" s="30" t="inlineStr">
        <is>
          <t>Positive Trend</t>
        </is>
      </c>
      <c r="BE131" s="30">
        <f>IF(BD131="Positive Trend",20,IF(BD131="Negative Trend",-10,0))</f>
        <v/>
      </c>
      <c r="BF131" s="30" t="inlineStr">
        <is>
          <t>Uptrend</t>
        </is>
      </c>
      <c r="BG131" s="30">
        <f>IF(BF131="Uptrend",10,IF(BF131="Sideways",5,0))</f>
        <v/>
      </c>
      <c r="BH131" s="30" t="inlineStr">
        <is>
          <t>Uptrend</t>
        </is>
      </c>
      <c r="BI131" s="30">
        <f>IF(BH131="Uptrend",10,IF(BH131="Sideways",5,0))</f>
        <v/>
      </c>
      <c r="BJ131" s="30" t="inlineStr">
        <is>
          <t>Blue sky scenario</t>
        </is>
      </c>
      <c r="BK131" s="30">
        <f>IF(BJ131="Overhead supply in last 2 years in last 2 years",-5,IF(BJ131="Close to 52 week high or retracement",5,IF(BJ131="Blue sky scenario",10,IF(BJ131="Long term Downtrend",-10,0))))</f>
        <v/>
      </c>
      <c r="BL131" s="30" t="inlineStr">
        <is>
          <t>Yes</t>
        </is>
      </c>
      <c r="BM131" s="30">
        <f>IF(BL131="Yes",10,0)</f>
        <v/>
      </c>
      <c r="BN131" s="30" t="inlineStr">
        <is>
          <t>More than 20%</t>
        </is>
      </c>
      <c r="BO131" s="30">
        <f>IF(BN131="More than 20%",10,IF(BN131="Between 12 to 20%",5,IF(BN131="Less than 12%",0,0)))</f>
        <v/>
      </c>
      <c r="BP131" s="30" t="inlineStr">
        <is>
          <t>No</t>
        </is>
      </c>
      <c r="BQ131" s="30">
        <f>IF(BP131="No",10,0)</f>
        <v/>
      </c>
      <c r="BR131" s="30" t="inlineStr">
        <is>
          <t>Yes</t>
        </is>
      </c>
      <c r="BS131" s="30">
        <f>IF(BR131="NO",5,0)</f>
        <v/>
      </c>
      <c r="BT131" s="30" t="inlineStr">
        <is>
          <t>Above 2</t>
        </is>
      </c>
      <c r="BU131" s="30">
        <f>IF(BT131="Above 2",0,IF(BT131="Between 1.5 to 2",5,IF(BT131="Less than 1.5",10,0)))</f>
        <v/>
      </c>
      <c r="BV131" s="30" t="inlineStr">
        <is>
          <t>Above 70%</t>
        </is>
      </c>
      <c r="BW131" s="30">
        <f>IF(BV131="Above 70%",10,IF(BV131="Between 50% to 70%",5,IF(BV131="Less than 50%",0,IF(BV131="Negative",-10,IF(BV131="Less than 50% and Borrowings are increasing",-5,0)))))</f>
        <v/>
      </c>
      <c r="BX131" s="30" t="inlineStr">
        <is>
          <t>Less than 0.7</t>
        </is>
      </c>
      <c r="BY131" s="30">
        <f>IF(BX131="More than 1.2",-10,IF(BX131="Between 0.7 to 1.2",0,IF(BX131="Less than 0.7",10,0)))</f>
        <v/>
      </c>
      <c r="BZ131" s="30" t="inlineStr">
        <is>
          <t>No</t>
        </is>
      </c>
      <c r="CA131" s="30">
        <f>IF(BZ131="Yes",-10,0)</f>
        <v/>
      </c>
      <c r="CB131" s="30" t="inlineStr">
        <is>
          <t>Less than 15%</t>
        </is>
      </c>
      <c r="CC131" s="30">
        <f>IF(CB131="More than 15%",-10,IF(CB131="Less than 15%",10,0))</f>
        <v/>
      </c>
      <c r="CD131" s="30" t="inlineStr">
        <is>
          <t>No</t>
        </is>
      </c>
      <c r="CE131" s="30">
        <f>IF(CD131="Yes, more than 10%",-10,IF(CD131="No",10,0))</f>
        <v/>
      </c>
    </row>
    <row r="132">
      <c r="A132" s="30">
        <f>IF(B132=0,"",RANK(B132,$B$2:$B$331,0))</f>
        <v/>
      </c>
      <c r="B132" s="31">
        <f>SUM(N132,Y132,AA132,AC132,AE132,AG132,AI132,AK132,AM132,AO132,AQ132,AS132,AU132,AW132,AY132,BA132,BC132,BE132,BG132,BI132,BK132,BM132,BO132,BQ132,BS132,BU132,BW132,BY132,CA132,CC132,CE132)</f>
        <v/>
      </c>
      <c r="C132" s="30" t="inlineStr">
        <is>
          <t>CHEVIOT</t>
        </is>
      </c>
      <c r="D132" s="30" t="inlineStr">
        <is>
          <t>Cheviot Company Ltd</t>
        </is>
      </c>
      <c r="E132" s="30" t="inlineStr">
        <is>
          <t>textiles</t>
        </is>
      </c>
      <c r="F132" s="30" t="inlineStr">
        <is>
          <t>textiles - jute - yarn / products</t>
        </is>
      </c>
      <c r="G132" s="30" t="inlineStr">
        <is>
          <t>smallcap</t>
        </is>
      </c>
      <c r="H132" s="31" t="n">
        <v>692.2</v>
      </c>
      <c r="I132" s="31" t="n">
        <v>1195.9</v>
      </c>
      <c r="J132" s="31" t="n">
        <v>0.93</v>
      </c>
      <c r="K132" s="31" t="n">
        <v>1408</v>
      </c>
      <c r="L132" s="30" t="n">
        <v>9</v>
      </c>
      <c r="M132" s="30" t="inlineStr">
        <is>
          <t>Outperforming</t>
        </is>
      </c>
      <c r="N132" s="31">
        <f>IF(M132="Underperforming",-5,IF(L132&gt;=95,15,IF(L132&gt;=90,10,IF(L132&gt;=80,5,0))))</f>
        <v/>
      </c>
      <c r="O132" s="31" t="n">
        <v>61.28</v>
      </c>
      <c r="P132" s="31" t="n">
        <v>23.52</v>
      </c>
      <c r="Q132" s="31" t="n">
        <v>969.01</v>
      </c>
      <c r="R132" s="30" t="inlineStr">
        <is>
          <t>Earnings / Momentum Support</t>
        </is>
      </c>
      <c r="S132" s="30" t="inlineStr">
        <is>
          <t>Nifty IT</t>
        </is>
      </c>
      <c r="T132" s="31" t="n">
        <v>-19.99</v>
      </c>
      <c r="U132" s="31" t="n">
        <v>1.65</v>
      </c>
      <c r="V132" s="31" t="n">
        <v>27.05</v>
      </c>
      <c r="W132" s="31" t="n">
        <v>3.33</v>
      </c>
      <c r="X132" s="30" t="inlineStr">
        <is>
          <t>Growing Industry</t>
        </is>
      </c>
      <c r="Y132" s="30">
        <f>IF(X132="Growing Industry",10,IF(X132="Cyclical in an Upturn",5,0))</f>
        <v/>
      </c>
      <c r="Z132" s="30" t="inlineStr">
        <is>
          <t>Too Many Players with High ROCE</t>
        </is>
      </c>
      <c r="AA132" s="30">
        <f>IF(Z132="Monopoly",10,IF(Z132="Oligopoly",5,IF(Z132="Duopoly that cooperate",10,IF(Z132="Duopoly that compete",5,IF(Z132="Too many players with High ROCE",5,0)))))</f>
        <v/>
      </c>
      <c r="AB132" s="30" t="inlineStr">
        <is>
          <t>No</t>
        </is>
      </c>
      <c r="AC132" s="30">
        <f>IF(AB132="No",5,0)</f>
        <v/>
      </c>
      <c r="AD132" s="30" t="inlineStr">
        <is>
          <t>Tailwind</t>
        </is>
      </c>
      <c r="AE132" s="30">
        <f>IF(AD132="Tailwind",10,0)</f>
        <v/>
      </c>
      <c r="AF132" s="30" t="inlineStr">
        <is>
          <t>Structural (10 Years Consistency)</t>
        </is>
      </c>
      <c r="AG132" s="30">
        <f>IF(AF132="Structural (10 Years Consistency)",10,IF(AF132="Shallow Cyclical (2 to 3 years growth)",5,0))</f>
        <v/>
      </c>
      <c r="AH132" s="30" t="inlineStr">
        <is>
          <t>No</t>
        </is>
      </c>
      <c r="AI132" s="30">
        <f>IF(AH132="Yes due to Product Mix change or Operating Leverage",10,IF(AH132="Yes, these are peak margins",-5,IF(AH132="No",5,0)))</f>
        <v/>
      </c>
      <c r="AJ132" s="30" t="inlineStr">
        <is>
          <t>Stable</t>
        </is>
      </c>
      <c r="AK132" s="30">
        <f>IF(AJ132="Stable",10,0)</f>
        <v/>
      </c>
      <c r="AL132" s="30" t="inlineStr">
        <is>
          <t>Yes</t>
        </is>
      </c>
      <c r="AM132" s="30">
        <f>IF(AL132="Yes",10,0)</f>
        <v/>
      </c>
      <c r="AN132" s="30" t="inlineStr">
        <is>
          <t>B2B</t>
        </is>
      </c>
      <c r="AO132" s="30">
        <f>IF(AN132="B2C",10,IF(AN132="B2B",5,0))</f>
        <v/>
      </c>
      <c r="AP132" s="30" t="inlineStr">
        <is>
          <t>No</t>
        </is>
      </c>
      <c r="AQ132" s="30">
        <f>IF(AP132="Yes",10,0)</f>
        <v/>
      </c>
      <c r="AR132" s="30" t="inlineStr">
        <is>
          <t>Higher One Time, Lower Annuity</t>
        </is>
      </c>
      <c r="AS132" s="30">
        <f>IF(AR132="Fully Annuity",10,IF(AR132="Higher Annuity, Lower One Time",5,IF(AR132="Higher One Time, Lower Annuity",3,0)))</f>
        <v/>
      </c>
      <c r="AT132" s="30" t="inlineStr">
        <is>
          <t>Good</t>
        </is>
      </c>
      <c r="AU132" s="30">
        <f>IF(AT132="Good",10,0)</f>
        <v/>
      </c>
      <c r="AV132" s="30" t="inlineStr">
        <is>
          <t>Yes for more than 2 years</t>
        </is>
      </c>
      <c r="AW132" s="30">
        <f>IF(AV132="Yes for more than 2 years",10,IF(AV132="Yes only for next 1 to 2 years",5,0))</f>
        <v/>
      </c>
      <c r="AX132" s="30" t="inlineStr">
        <is>
          <t>20 to 40</t>
        </is>
      </c>
      <c r="AY132" s="30">
        <f>IF(AX132="Above 40",20,IF(AX132="20 to 40",10,IF(AX132="0 to 20",-5,0)))</f>
        <v/>
      </c>
      <c r="AZ132" s="30" t="inlineStr">
        <is>
          <t>Between 50 to 75</t>
        </is>
      </c>
      <c r="BA132" s="30">
        <f>IF(AZ132="Between 50 to 75",10,IF(AZ132="Above 75",0,0))</f>
        <v/>
      </c>
      <c r="BB132" s="30" t="inlineStr">
        <is>
          <t>Stage 2</t>
        </is>
      </c>
      <c r="BC132" s="30">
        <f>IF(BB132="Stage 2",20,IF(BB132="Stage 1",0,IF(BB132="Stage 3",5,IF(BB132="Stage 4",-5,0))))</f>
        <v/>
      </c>
      <c r="BD132" s="30" t="inlineStr">
        <is>
          <t>Positive Trend</t>
        </is>
      </c>
      <c r="BE132" s="30">
        <f>IF(BD132="Positive Trend",20,IF(BD132="Negative Trend",-10,0))</f>
        <v/>
      </c>
      <c r="BF132" s="30" t="inlineStr">
        <is>
          <t>Uptrend</t>
        </is>
      </c>
      <c r="BG132" s="30">
        <f>IF(BF132="Uptrend",10,IF(BF132="Sideways",5,0))</f>
        <v/>
      </c>
      <c r="BH132" s="30" t="inlineStr">
        <is>
          <t>Uptrend</t>
        </is>
      </c>
      <c r="BI132" s="30">
        <f>IF(BH132="Uptrend",10,IF(BH132="Sideways",5,0))</f>
        <v/>
      </c>
      <c r="BJ132" s="30" t="inlineStr">
        <is>
          <t>Close to 52 week high or retracement</t>
        </is>
      </c>
      <c r="BK132" s="30">
        <f>IF(BJ132="Overhead supply in last 2 years in last 2 years",-5,IF(BJ132="Close to 52 week high or retracement",5,IF(BJ132="Blue sky scenario",10,IF(BJ132="Long term Downtrend",-10,0))))</f>
        <v/>
      </c>
      <c r="BL132" s="30" t="inlineStr">
        <is>
          <t>Yes</t>
        </is>
      </c>
      <c r="BM132" s="30">
        <f>IF(BL132="Yes",10,0)</f>
        <v/>
      </c>
      <c r="BN132" s="30" t="inlineStr">
        <is>
          <t>More than 20%</t>
        </is>
      </c>
      <c r="BO132" s="30">
        <f>IF(BN132="More than 20%",10,IF(BN132="Between 12 to 20%",5,IF(BN132="Less than 12%",0,0)))</f>
        <v/>
      </c>
      <c r="BP132" s="30" t="inlineStr">
        <is>
          <t>No</t>
        </is>
      </c>
      <c r="BQ132" s="30">
        <f>IF(BP132="No",10,0)</f>
        <v/>
      </c>
      <c r="BR132" s="30" t="inlineStr">
        <is>
          <t>No</t>
        </is>
      </c>
      <c r="BS132" s="30">
        <f>IF(BR132="NO",5,0)</f>
        <v/>
      </c>
      <c r="BT132" s="30" t="inlineStr">
        <is>
          <t>Less than 1.5</t>
        </is>
      </c>
      <c r="BU132" s="30">
        <f>IF(BT132="Above 2",0,IF(BT132="Between 1.5 to 2",5,IF(BT132="Less than 1.5",10,0)))</f>
        <v/>
      </c>
      <c r="BV132" s="30" t="inlineStr">
        <is>
          <t>Above 70%</t>
        </is>
      </c>
      <c r="BW132" s="30">
        <f>IF(BV132="Above 70%",10,IF(BV132="Between 50% to 70%",5,IF(BV132="Less than 50%",0,IF(BV132="Negative",-10,IF(BV132="Less than 50% and Borrowings are increasing",-5,0)))))</f>
        <v/>
      </c>
      <c r="BX132" s="30" t="inlineStr">
        <is>
          <t>Less than 0.7</t>
        </is>
      </c>
      <c r="BY132" s="30">
        <f>IF(BX132="More than 1.2",-10,IF(BX132="Between 0.7 to 1.2",0,IF(BX132="Less than 0.7",10,0)))</f>
        <v/>
      </c>
      <c r="BZ132" s="30" t="inlineStr">
        <is>
          <t>No</t>
        </is>
      </c>
      <c r="CA132" s="30">
        <f>IF(BZ132="Yes",-10,0)</f>
        <v/>
      </c>
      <c r="CB132" s="30" t="inlineStr">
        <is>
          <t>Less than 15%</t>
        </is>
      </c>
      <c r="CC132" s="30">
        <f>IF(CB132="More than 15%",-10,IF(CB132="Less than 15%",10,0))</f>
        <v/>
      </c>
      <c r="CD132" s="30" t="inlineStr">
        <is>
          <t>No</t>
        </is>
      </c>
      <c r="CE132" s="30">
        <f>IF(CD132="Yes, more than 10%",-10,IF(CD132="No",10,0))</f>
        <v/>
      </c>
    </row>
    <row r="133">
      <c r="A133" s="30">
        <f>IF(B133=0,"",RANK(B133,$B$2:$B$331,0))</f>
        <v/>
      </c>
      <c r="B133" s="31">
        <f>SUM(N133,Y133,AA133,AC133,AE133,AG133,AI133,AK133,AM133,AO133,AQ133,AS133,AU133,AW133,AY133,BA133,BC133,BE133,BG133,BI133,BK133,BM133,BO133,BQ133,BS133,BU133,BW133,BY133,CA133,CC133,CE133)</f>
        <v/>
      </c>
      <c r="C133" s="30" t="inlineStr">
        <is>
          <t>ASAHIINDIA</t>
        </is>
      </c>
      <c r="D133" s="30" t="inlineStr">
        <is>
          <t>Asahi India Glass Limited</t>
        </is>
      </c>
      <c r="E133" s="30" t="inlineStr">
        <is>
          <t>building materials</t>
        </is>
      </c>
      <c r="F133" s="30" t="inlineStr">
        <is>
          <t>glass &amp; glass products</t>
        </is>
      </c>
      <c r="G133" s="30" t="inlineStr">
        <is>
          <t>largecap</t>
        </is>
      </c>
      <c r="H133" s="31" t="n">
        <v>24696.07</v>
      </c>
      <c r="I133" s="31" t="n">
        <v>976.2</v>
      </c>
      <c r="J133" s="31" t="n">
        <v>0.77</v>
      </c>
      <c r="K133" s="31" t="n">
        <v>220953</v>
      </c>
      <c r="L133" s="30" t="n">
        <v>24</v>
      </c>
      <c r="M133" s="30" t="inlineStr">
        <is>
          <t>Outperforming</t>
        </is>
      </c>
      <c r="N133" s="31">
        <f>IF(M133="Underperforming",-5,IF(L133&gt;=95,15,IF(L133&gt;=90,10,IF(L133&gt;=80,5,0))))</f>
        <v/>
      </c>
      <c r="O133" s="31" t="n">
        <v>62.17</v>
      </c>
      <c r="P133" s="31" t="n">
        <v>26.91</v>
      </c>
      <c r="Q133" s="31" t="n">
        <v>805.25</v>
      </c>
      <c r="R133" s="30" t="inlineStr">
        <is>
          <t>Near 52W High Breakout</t>
        </is>
      </c>
      <c r="S133" s="30" t="inlineStr">
        <is>
          <t>Nifty Infra</t>
        </is>
      </c>
      <c r="T133" s="31" t="n">
        <v>0.74</v>
      </c>
      <c r="U133" s="31" t="n">
        <v>17.01</v>
      </c>
      <c r="V133" s="31" t="n">
        <v>16.15</v>
      </c>
      <c r="W133" s="31" t="n">
        <v>7.12</v>
      </c>
      <c r="X133" s="30" t="inlineStr">
        <is>
          <t>Growing Industry</t>
        </is>
      </c>
      <c r="Y133" s="30">
        <f>IF(X133="Growing Industry",10,IF(X133="Cyclical in an Upturn",5,0))</f>
        <v/>
      </c>
      <c r="Z133" s="30" t="inlineStr">
        <is>
          <t>Too Many Players with High ROCE</t>
        </is>
      </c>
      <c r="AA133" s="30">
        <f>IF(Z133="Monopoly",10,IF(Z133="Oligopoly",5,IF(Z133="Duopoly that cooperate",10,IF(Z133="Duopoly that compete",5,IF(Z133="Too many players with High ROCE",5,0)))))</f>
        <v/>
      </c>
      <c r="AB133" s="30" t="inlineStr">
        <is>
          <t>No</t>
        </is>
      </c>
      <c r="AC133" s="30">
        <f>IF(AB133="No",5,0)</f>
        <v/>
      </c>
      <c r="AD133" s="30" t="inlineStr">
        <is>
          <t>Tailwind</t>
        </is>
      </c>
      <c r="AE133" s="30">
        <f>IF(AD133="Tailwind",10,0)</f>
        <v/>
      </c>
      <c r="AF133" s="30" t="inlineStr">
        <is>
          <t>Structural (10 Years Consistency)</t>
        </is>
      </c>
      <c r="AG133" s="30">
        <f>IF(AF133="Structural (10 Years Consistency)",10,IF(AF133="Shallow Cyclical (2 to 3 years growth)",5,0))</f>
        <v/>
      </c>
      <c r="AH133" s="30" t="inlineStr">
        <is>
          <t>No</t>
        </is>
      </c>
      <c r="AI133" s="30">
        <f>IF(AH133="Yes due to Product Mix change or Operating Leverage",10,IF(AH133="Yes, these are peak margins",-5,IF(AH133="No",5,0)))</f>
        <v/>
      </c>
      <c r="AJ133" s="30" t="inlineStr">
        <is>
          <t>Stable</t>
        </is>
      </c>
      <c r="AK133" s="30">
        <f>IF(AJ133="Stable",10,0)</f>
        <v/>
      </c>
      <c r="AL133" s="30" t="inlineStr">
        <is>
          <t>Yes</t>
        </is>
      </c>
      <c r="AM133" s="30">
        <f>IF(AL133="Yes",10,0)</f>
        <v/>
      </c>
      <c r="AN133" s="30" t="inlineStr">
        <is>
          <t>B2B</t>
        </is>
      </c>
      <c r="AO133" s="30">
        <f>IF(AN133="B2C",10,IF(AN133="B2B",5,0))</f>
        <v/>
      </c>
      <c r="AP133" s="30" t="inlineStr">
        <is>
          <t>Yes</t>
        </is>
      </c>
      <c r="AQ133" s="30">
        <f>IF(AP133="Yes",10,0)</f>
        <v/>
      </c>
      <c r="AR133" s="30" t="inlineStr">
        <is>
          <t>Higher One Time, Lower Annuity</t>
        </is>
      </c>
      <c r="AS133" s="30">
        <f>IF(AR133="Fully Annuity",10,IF(AR133="Higher Annuity, Lower One Time",5,IF(AR133="Higher One Time, Lower Annuity",3,0)))</f>
        <v/>
      </c>
      <c r="AT133" s="30" t="inlineStr">
        <is>
          <t>Good</t>
        </is>
      </c>
      <c r="AU133" s="30">
        <f>IF(AT133="Good",10,0)</f>
        <v/>
      </c>
      <c r="AV133" s="30" t="inlineStr">
        <is>
          <t>Yes for more than 2 years</t>
        </is>
      </c>
      <c r="AW133" s="30">
        <f>IF(AV133="Yes for more than 2 years",10,IF(AV133="Yes only for next 1 to 2 years",5,0))</f>
        <v/>
      </c>
      <c r="AX133" s="30" t="inlineStr">
        <is>
          <t>20 to 40</t>
        </is>
      </c>
      <c r="AY133" s="30">
        <f>IF(AX133="Above 40",20,IF(AX133="20 to 40",10,IF(AX133="0 to 20",-5,0)))</f>
        <v/>
      </c>
      <c r="AZ133" s="30" t="inlineStr">
        <is>
          <t>Between 50 to 75</t>
        </is>
      </c>
      <c r="BA133" s="30">
        <f>IF(AZ133="Between 50 to 75",10,IF(AZ133="Above 75",0,0))</f>
        <v/>
      </c>
      <c r="BB133" s="30" t="inlineStr">
        <is>
          <t>Stage 2</t>
        </is>
      </c>
      <c r="BC133" s="30">
        <f>IF(BB133="Stage 2",20,IF(BB133="Stage 1",0,IF(BB133="Stage 3",5,IF(BB133="Stage 4",-5,0))))</f>
        <v/>
      </c>
      <c r="BD133" s="30" t="inlineStr">
        <is>
          <t>Positive Trend</t>
        </is>
      </c>
      <c r="BE133" s="30">
        <f>IF(BD133="Positive Trend",20,IF(BD133="Negative Trend",-10,0))</f>
        <v/>
      </c>
      <c r="BF133" s="30" t="inlineStr">
        <is>
          <t>Uptrend</t>
        </is>
      </c>
      <c r="BG133" s="30">
        <f>IF(BF133="Uptrend",10,IF(BF133="Sideways",5,0))</f>
        <v/>
      </c>
      <c r="BH133" s="30" t="inlineStr">
        <is>
          <t>Uptrend</t>
        </is>
      </c>
      <c r="BI133" s="30">
        <f>IF(BH133="Uptrend",10,IF(BH133="Sideways",5,0))</f>
        <v/>
      </c>
      <c r="BJ133" s="30" t="inlineStr">
        <is>
          <t>Blue sky scenario</t>
        </is>
      </c>
      <c r="BK133" s="30">
        <f>IF(BJ133="Overhead supply in last 2 years in last 2 years",-5,IF(BJ133="Close to 52 week high or retracement",5,IF(BJ133="Blue sky scenario",10,IF(BJ133="Long term Downtrend",-10,0))))</f>
        <v/>
      </c>
      <c r="BL133" s="30" t="inlineStr">
        <is>
          <t>Yes</t>
        </is>
      </c>
      <c r="BM133" s="30">
        <f>IF(BL133="Yes",10,0)</f>
        <v/>
      </c>
      <c r="BN133" s="30" t="inlineStr">
        <is>
          <t>More than 20%</t>
        </is>
      </c>
      <c r="BO133" s="30">
        <f>IF(BN133="More than 20%",10,IF(BN133="Between 12 to 20%",5,IF(BN133="Less than 12%",0,0)))</f>
        <v/>
      </c>
      <c r="BP133" s="30" t="inlineStr">
        <is>
          <t>No</t>
        </is>
      </c>
      <c r="BQ133" s="30">
        <f>IF(BP133="No",10,0)</f>
        <v/>
      </c>
      <c r="BR133" s="30" t="inlineStr">
        <is>
          <t>Yes</t>
        </is>
      </c>
      <c r="BS133" s="30">
        <f>IF(BR133="NO",5,0)</f>
        <v/>
      </c>
      <c r="BT133" s="30" t="inlineStr">
        <is>
          <t>Above 2</t>
        </is>
      </c>
      <c r="BU133" s="30">
        <f>IF(BT133="Above 2",0,IF(BT133="Between 1.5 to 2",5,IF(BT133="Less than 1.5",10,0)))</f>
        <v/>
      </c>
      <c r="BV133" s="30" t="inlineStr">
        <is>
          <t>Above 70%</t>
        </is>
      </c>
      <c r="BW133" s="30">
        <f>IF(BV133="Above 70%",10,IF(BV133="Between 50% to 70%",5,IF(BV133="Less than 50%",0,IF(BV133="Negative",-10,IF(BV133="Less than 50% and Borrowings are increasing",-5,0)))))</f>
        <v/>
      </c>
      <c r="BX133" s="30" t="inlineStr">
        <is>
          <t>Less than 0.7</t>
        </is>
      </c>
      <c r="BY133" s="30">
        <f>IF(BX133="More than 1.2",-10,IF(BX133="Between 0.7 to 1.2",0,IF(BX133="Less than 0.7",10,0)))</f>
        <v/>
      </c>
      <c r="BZ133" s="30" t="inlineStr">
        <is>
          <t>No</t>
        </is>
      </c>
      <c r="CA133" s="30">
        <f>IF(BZ133="Yes",-10,0)</f>
        <v/>
      </c>
      <c r="CB133" s="30" t="inlineStr">
        <is>
          <t>Less than 15%</t>
        </is>
      </c>
      <c r="CC133" s="30">
        <f>IF(CB133="More than 15%",-10,IF(CB133="Less than 15%",10,0))</f>
        <v/>
      </c>
      <c r="CD133" s="30" t="inlineStr">
        <is>
          <t>No</t>
        </is>
      </c>
      <c r="CE133" s="30">
        <f>IF(CD133="Yes, more than 10%",-10,IF(CD133="No",10,0))</f>
        <v/>
      </c>
    </row>
    <row r="134">
      <c r="A134" s="30">
        <f>IF(B134=0,"",RANK(B134,$B$2:$B$331,0))</f>
        <v/>
      </c>
      <c r="B134" s="31">
        <f>SUM(N134,Y134,AA134,AC134,AE134,AG134,AI134,AK134,AM134,AO134,AQ134,AS134,AU134,AW134,AY134,BA134,BC134,BE134,BG134,BI134,BK134,BM134,BO134,BQ134,BS134,BU134,BW134,BY134,CA134,CC134,CE134)</f>
        <v/>
      </c>
      <c r="C134" s="30" t="inlineStr">
        <is>
          <t>EBGNG</t>
        </is>
      </c>
      <c r="D134" s="30" t="inlineStr">
        <is>
          <t>GNG Electronics Ltd</t>
        </is>
      </c>
      <c r="E134" s="30" t="inlineStr">
        <is>
          <t>services</t>
        </is>
      </c>
      <c r="F134" s="30" t="inlineStr">
        <is>
          <t>trading</t>
        </is>
      </c>
      <c r="G134" s="30" t="inlineStr">
        <is>
          <t>midcap</t>
        </is>
      </c>
      <c r="H134" s="31" t="n">
        <v>7704.9</v>
      </c>
      <c r="I134" s="31" t="n">
        <v>677.95</v>
      </c>
      <c r="J134" s="31" t="n">
        <v>0.32</v>
      </c>
      <c r="K134" s="31" t="n">
        <v>1283090</v>
      </c>
      <c r="L134" s="30" t="n">
        <v>78</v>
      </c>
      <c r="M134" s="30" t="inlineStr">
        <is>
          <t>Outperforming</t>
        </is>
      </c>
      <c r="N134" s="31">
        <f>IF(M134="Underperforming",-5,IF(L134&gt;=95,15,IF(L134&gt;=90,10,IF(L134&gt;=80,5,0))))</f>
        <v/>
      </c>
      <c r="O134" s="31" t="n">
        <v>68.42</v>
      </c>
      <c r="P134" s="31" t="n">
        <v>35.31</v>
      </c>
      <c r="Q134" s="31" t="n">
        <v>480.13</v>
      </c>
      <c r="R134" s="30" t="inlineStr">
        <is>
          <t>Near 52W High Breakout</t>
        </is>
      </c>
      <c r="S134" s="30" t="inlineStr">
        <is>
          <t>Nifty 50</t>
        </is>
      </c>
      <c r="T134" s="31" t="n">
        <v>-6.52</v>
      </c>
      <c r="U134" s="31" t="n">
        <v>90.92</v>
      </c>
      <c r="V134" s="31" t="n">
        <v>104.22</v>
      </c>
      <c r="W134" s="31" t="n">
        <v>28.5</v>
      </c>
      <c r="X134" s="30" t="inlineStr">
        <is>
          <t>Growing Industry</t>
        </is>
      </c>
      <c r="Y134" s="30">
        <f>IF(X134="Growing Industry",10,IF(X134="Cyclical in an Upturn",5,0))</f>
        <v/>
      </c>
      <c r="Z134" s="30" t="inlineStr">
        <is>
          <t>Too Many Players with High ROCE</t>
        </is>
      </c>
      <c r="AA134" s="30">
        <f>IF(Z134="Monopoly",10,IF(Z134="Oligopoly",5,IF(Z134="Duopoly that cooperate",10,IF(Z134="Duopoly that compete",5,IF(Z134="Too many players with High ROCE",5,0)))))</f>
        <v/>
      </c>
      <c r="AB134" s="30" t="inlineStr">
        <is>
          <t>No</t>
        </is>
      </c>
      <c r="AC134" s="30">
        <f>IF(AB134="No",5,0)</f>
        <v/>
      </c>
      <c r="AD134" s="30" t="inlineStr">
        <is>
          <t>Tailwind</t>
        </is>
      </c>
      <c r="AE134" s="30">
        <f>IF(AD134="Tailwind",10,0)</f>
        <v/>
      </c>
      <c r="AF134" s="30" t="inlineStr">
        <is>
          <t>Structural (10 Years Consistency)</t>
        </is>
      </c>
      <c r="AG134" s="30">
        <f>IF(AF134="Structural (10 Years Consistency)",10,IF(AF134="Shallow Cyclical (2 to 3 years growth)",5,0))</f>
        <v/>
      </c>
      <c r="AH134" s="30" t="inlineStr">
        <is>
          <t>No</t>
        </is>
      </c>
      <c r="AI134" s="30">
        <f>IF(AH134="Yes due to Product Mix change or Operating Leverage",10,IF(AH134="Yes, these are peak margins",-5,IF(AH134="No",5,0)))</f>
        <v/>
      </c>
      <c r="AJ134" s="30" t="inlineStr">
        <is>
          <t>Stable</t>
        </is>
      </c>
      <c r="AK134" s="30">
        <f>IF(AJ134="Stable",10,0)</f>
        <v/>
      </c>
      <c r="AL134" s="30" t="inlineStr">
        <is>
          <t>Yes</t>
        </is>
      </c>
      <c r="AM134" s="30">
        <f>IF(AL134="Yes",10,0)</f>
        <v/>
      </c>
      <c r="AN134" s="30" t="inlineStr">
        <is>
          <t>B2B</t>
        </is>
      </c>
      <c r="AO134" s="30">
        <f>IF(AN134="B2C",10,IF(AN134="B2B",5,0))</f>
        <v/>
      </c>
      <c r="AP134" s="30" t="inlineStr">
        <is>
          <t>Yes</t>
        </is>
      </c>
      <c r="AQ134" s="30">
        <f>IF(AP134="Yes",10,0)</f>
        <v/>
      </c>
      <c r="AR134" s="30" t="inlineStr">
        <is>
          <t>Higher One Time, Lower Annuity</t>
        </is>
      </c>
      <c r="AS134" s="30">
        <f>IF(AR134="Fully Annuity",10,IF(AR134="Higher Annuity, Lower One Time",5,IF(AR134="Higher One Time, Lower Annuity",3,0)))</f>
        <v/>
      </c>
      <c r="AT134" s="30" t="inlineStr">
        <is>
          <t>Good</t>
        </is>
      </c>
      <c r="AU134" s="30">
        <f>IF(AT134="Good",10,0)</f>
        <v/>
      </c>
      <c r="AV134" s="30" t="inlineStr">
        <is>
          <t>Yes for more than 2 years</t>
        </is>
      </c>
      <c r="AW134" s="30">
        <f>IF(AV134="Yes for more than 2 years",10,IF(AV134="Yes only for next 1 to 2 years",5,0))</f>
        <v/>
      </c>
      <c r="AX134" s="30" t="inlineStr">
        <is>
          <t>20 to 40</t>
        </is>
      </c>
      <c r="AY134" s="30">
        <f>IF(AX134="Above 40",20,IF(AX134="20 to 40",10,IF(AX134="0 to 20",-5,0)))</f>
        <v/>
      </c>
      <c r="AZ134" s="30" t="inlineStr">
        <is>
          <t>Between 50 to 75</t>
        </is>
      </c>
      <c r="BA134" s="30">
        <f>IF(AZ134="Between 50 to 75",10,IF(AZ134="Above 75",0,0))</f>
        <v/>
      </c>
      <c r="BB134" s="30" t="inlineStr">
        <is>
          <t>Stage 2</t>
        </is>
      </c>
      <c r="BC134" s="30">
        <f>IF(BB134="Stage 2",20,IF(BB134="Stage 1",0,IF(BB134="Stage 3",5,IF(BB134="Stage 4",-5,0))))</f>
        <v/>
      </c>
      <c r="BD134" s="30" t="inlineStr">
        <is>
          <t>Positive Trend</t>
        </is>
      </c>
      <c r="BE134" s="30">
        <f>IF(BD134="Positive Trend",20,IF(BD134="Negative Trend",-10,0))</f>
        <v/>
      </c>
      <c r="BF134" s="30" t="inlineStr">
        <is>
          <t>Uptrend</t>
        </is>
      </c>
      <c r="BG134" s="30">
        <f>IF(BF134="Uptrend",10,IF(BF134="Sideways",5,0))</f>
        <v/>
      </c>
      <c r="BH134" s="30" t="inlineStr">
        <is>
          <t>Uptrend</t>
        </is>
      </c>
      <c r="BI134" s="30">
        <f>IF(BH134="Uptrend",10,IF(BH134="Sideways",5,0))</f>
        <v/>
      </c>
      <c r="BJ134" s="30" t="inlineStr">
        <is>
          <t>Blue sky scenario</t>
        </is>
      </c>
      <c r="BK134" s="30">
        <f>IF(BJ134="Overhead supply in last 2 years in last 2 years",-5,IF(BJ134="Close to 52 week high or retracement",5,IF(BJ134="Blue sky scenario",10,IF(BJ134="Long term Downtrend",-10,0))))</f>
        <v/>
      </c>
      <c r="BL134" s="30" t="inlineStr">
        <is>
          <t>Yes</t>
        </is>
      </c>
      <c r="BM134" s="30">
        <f>IF(BL134="Yes",10,0)</f>
        <v/>
      </c>
      <c r="BN134" s="30" t="inlineStr">
        <is>
          <t>More than 20%</t>
        </is>
      </c>
      <c r="BO134" s="30">
        <f>IF(BN134="More than 20%",10,IF(BN134="Between 12 to 20%",5,IF(BN134="Less than 12%",0,0)))</f>
        <v/>
      </c>
      <c r="BP134" s="30" t="inlineStr">
        <is>
          <t>No</t>
        </is>
      </c>
      <c r="BQ134" s="30">
        <f>IF(BP134="No",10,0)</f>
        <v/>
      </c>
      <c r="BR134" s="30" t="inlineStr">
        <is>
          <t>Yes</t>
        </is>
      </c>
      <c r="BS134" s="30">
        <f>IF(BR134="NO",5,0)</f>
        <v/>
      </c>
      <c r="BT134" s="30" t="inlineStr">
        <is>
          <t>Above 2</t>
        </is>
      </c>
      <c r="BU134" s="30">
        <f>IF(BT134="Above 2",0,IF(BT134="Between 1.5 to 2",5,IF(BT134="Less than 1.5",10,0)))</f>
        <v/>
      </c>
      <c r="BV134" s="30" t="inlineStr">
        <is>
          <t>Above 70%</t>
        </is>
      </c>
      <c r="BW134" s="30">
        <f>IF(BV134="Above 70%",10,IF(BV134="Between 50% to 70%",5,IF(BV134="Less than 50%",0,IF(BV134="Negative",-10,IF(BV134="Less than 50% and Borrowings are increasing",-5,0)))))</f>
        <v/>
      </c>
      <c r="BX134" s="30" t="inlineStr">
        <is>
          <t>Less than 0.7</t>
        </is>
      </c>
      <c r="BY134" s="30">
        <f>IF(BX134="More than 1.2",-10,IF(BX134="Between 0.7 to 1.2",0,IF(BX134="Less than 0.7",10,0)))</f>
        <v/>
      </c>
      <c r="BZ134" s="30" t="inlineStr">
        <is>
          <t>No</t>
        </is>
      </c>
      <c r="CA134" s="30">
        <f>IF(BZ134="Yes",-10,0)</f>
        <v/>
      </c>
      <c r="CB134" s="30" t="inlineStr">
        <is>
          <t>Less than 15%</t>
        </is>
      </c>
      <c r="CC134" s="30">
        <f>IF(CB134="More than 15%",-10,IF(CB134="Less than 15%",10,0))</f>
        <v/>
      </c>
      <c r="CD134" s="30" t="inlineStr">
        <is>
          <t>No</t>
        </is>
      </c>
      <c r="CE134" s="30">
        <f>IF(CD134="Yes, more than 10%",-10,IF(CD134="No",10,0))</f>
        <v/>
      </c>
    </row>
    <row r="135">
      <c r="A135" s="30">
        <f>IF(B135=0,"",RANK(B135,$B$2:$B$331,0))</f>
        <v/>
      </c>
      <c r="B135" s="31">
        <f>SUM(N135,Y135,AA135,AC135,AE135,AG135,AI135,AK135,AM135,AO135,AQ135,AS135,AU135,AW135,AY135,BA135,BC135,BE135,BG135,BI135,BK135,BM135,BO135,BQ135,BS135,BU135,BW135,BY135,CA135,CC135,CE135)</f>
        <v/>
      </c>
      <c r="C135" s="30" t="inlineStr">
        <is>
          <t>JSWINFRA</t>
        </is>
      </c>
      <c r="D135" s="30" t="inlineStr">
        <is>
          <t>JSW Infrastructure Ltd</t>
        </is>
      </c>
      <c r="E135" s="30" t="inlineStr">
        <is>
          <t>transportation</t>
        </is>
      </c>
      <c r="F135" s="30" t="inlineStr">
        <is>
          <t>miscellaneous</t>
        </is>
      </c>
      <c r="G135" s="30" t="inlineStr">
        <is>
          <t>largecap</t>
        </is>
      </c>
      <c r="H135" s="31" t="n">
        <v>79546.25</v>
      </c>
      <c r="I135" s="31" t="n">
        <v>342.45</v>
      </c>
      <c r="J135" s="31" t="n">
        <v>0.31</v>
      </c>
      <c r="K135" s="31" t="n">
        <v>2842351</v>
      </c>
      <c r="L135" s="30" t="n">
        <v>19</v>
      </c>
      <c r="M135" s="30" t="inlineStr">
        <is>
          <t>Outperforming</t>
        </is>
      </c>
      <c r="N135" s="31">
        <f>IF(M135="Underperforming",-5,IF(L135&gt;=95,15,IF(L135&gt;=90,10,IF(L135&gt;=80,5,0))))</f>
        <v/>
      </c>
      <c r="O135" s="31" t="n">
        <v>63.27</v>
      </c>
      <c r="P135" s="31" t="n">
        <v>42.03</v>
      </c>
      <c r="Q135" s="31" t="n">
        <v>282.33</v>
      </c>
      <c r="R135" s="30" t="inlineStr">
        <is>
          <t>Near 52W High Breakout</t>
        </is>
      </c>
      <c r="S135" s="30" t="inlineStr">
        <is>
          <t>Nifty 500</t>
        </is>
      </c>
      <c r="T135" s="31" t="n">
        <v>-1.03</v>
      </c>
      <c r="U135" s="31" t="n">
        <v>8.960000000000001</v>
      </c>
      <c r="V135" s="31" t="n">
        <v>10.09</v>
      </c>
      <c r="W135" s="31" t="n">
        <v>6.06</v>
      </c>
      <c r="X135" s="30" t="inlineStr">
        <is>
          <t>Growing Industry</t>
        </is>
      </c>
      <c r="Y135" s="30">
        <f>IF(X135="Growing Industry",10,IF(X135="Cyclical in an Upturn",5,0))</f>
        <v/>
      </c>
      <c r="Z135" s="30" t="inlineStr">
        <is>
          <t>Too Many Players with High ROCE</t>
        </is>
      </c>
      <c r="AA135" s="30">
        <f>IF(Z135="Monopoly",10,IF(Z135="Oligopoly",5,IF(Z135="Duopoly that cooperate",10,IF(Z135="Duopoly that compete",5,IF(Z135="Too many players with High ROCE",5,0)))))</f>
        <v/>
      </c>
      <c r="AB135" s="30" t="inlineStr">
        <is>
          <t>No</t>
        </is>
      </c>
      <c r="AC135" s="30">
        <f>IF(AB135="No",5,0)</f>
        <v/>
      </c>
      <c r="AD135" s="30" t="inlineStr">
        <is>
          <t>Tailwind</t>
        </is>
      </c>
      <c r="AE135" s="30">
        <f>IF(AD135="Tailwind",10,0)</f>
        <v/>
      </c>
      <c r="AF135" s="30" t="inlineStr">
        <is>
          <t>Structural (10 Years Consistency)</t>
        </is>
      </c>
      <c r="AG135" s="30">
        <f>IF(AF135="Structural (10 Years Consistency)",10,IF(AF135="Shallow Cyclical (2 to 3 years growth)",5,0))</f>
        <v/>
      </c>
      <c r="AH135" s="30" t="inlineStr">
        <is>
          <t>No</t>
        </is>
      </c>
      <c r="AI135" s="30">
        <f>IF(AH135="Yes due to Product Mix change or Operating Leverage",10,IF(AH135="Yes, these are peak margins",-5,IF(AH135="No",5,0)))</f>
        <v/>
      </c>
      <c r="AJ135" s="30" t="inlineStr">
        <is>
          <t>Stable</t>
        </is>
      </c>
      <c r="AK135" s="30">
        <f>IF(AJ135="Stable",10,0)</f>
        <v/>
      </c>
      <c r="AL135" s="30" t="inlineStr">
        <is>
          <t>Yes</t>
        </is>
      </c>
      <c r="AM135" s="30">
        <f>IF(AL135="Yes",10,0)</f>
        <v/>
      </c>
      <c r="AN135" s="30" t="inlineStr">
        <is>
          <t>B2B</t>
        </is>
      </c>
      <c r="AO135" s="30">
        <f>IF(AN135="B2C",10,IF(AN135="B2B",5,0))</f>
        <v/>
      </c>
      <c r="AP135" s="30" t="inlineStr">
        <is>
          <t>Yes</t>
        </is>
      </c>
      <c r="AQ135" s="30">
        <f>IF(AP135="Yes",10,0)</f>
        <v/>
      </c>
      <c r="AR135" s="30" t="inlineStr">
        <is>
          <t>Higher One Time, Lower Annuity</t>
        </is>
      </c>
      <c r="AS135" s="30">
        <f>IF(AR135="Fully Annuity",10,IF(AR135="Higher Annuity, Lower One Time",5,IF(AR135="Higher One Time, Lower Annuity",3,0)))</f>
        <v/>
      </c>
      <c r="AT135" s="30" t="inlineStr">
        <is>
          <t>Good</t>
        </is>
      </c>
      <c r="AU135" s="30">
        <f>IF(AT135="Good",10,0)</f>
        <v/>
      </c>
      <c r="AV135" s="30" t="inlineStr">
        <is>
          <t>Yes for more than 2 years</t>
        </is>
      </c>
      <c r="AW135" s="30">
        <f>IF(AV135="Yes for more than 2 years",10,IF(AV135="Yes only for next 1 to 2 years",5,0))</f>
        <v/>
      </c>
      <c r="AX135" s="30" t="inlineStr">
        <is>
          <t>Above 40</t>
        </is>
      </c>
      <c r="AY135" s="30">
        <f>IF(AX135="Above 40",20,IF(AX135="20 to 40",10,IF(AX135="0 to 20",-5,0)))</f>
        <v/>
      </c>
      <c r="AZ135" s="30" t="inlineStr">
        <is>
          <t>Between 50 to 75</t>
        </is>
      </c>
      <c r="BA135" s="30">
        <f>IF(AZ135="Between 50 to 75",10,IF(AZ135="Above 75",0,0))</f>
        <v/>
      </c>
      <c r="BB135" s="30" t="inlineStr">
        <is>
          <t>Stage 2</t>
        </is>
      </c>
      <c r="BC135" s="30">
        <f>IF(BB135="Stage 2",20,IF(BB135="Stage 1",0,IF(BB135="Stage 3",5,IF(BB135="Stage 4",-5,0))))</f>
        <v/>
      </c>
      <c r="BD135" s="30" t="inlineStr">
        <is>
          <t>Positive Trend</t>
        </is>
      </c>
      <c r="BE135" s="30">
        <f>IF(BD135="Positive Trend",20,IF(BD135="Negative Trend",-10,0))</f>
        <v/>
      </c>
      <c r="BF135" s="30" t="inlineStr">
        <is>
          <t>Uptrend</t>
        </is>
      </c>
      <c r="BG135" s="30">
        <f>IF(BF135="Uptrend",10,IF(BF135="Sideways",5,0))</f>
        <v/>
      </c>
      <c r="BH135" s="30" t="inlineStr">
        <is>
          <t>Uptrend</t>
        </is>
      </c>
      <c r="BI135" s="30">
        <f>IF(BH135="Uptrend",10,IF(BH135="Sideways",5,0))</f>
        <v/>
      </c>
      <c r="BJ135" s="30" t="inlineStr">
        <is>
          <t>Blue sky scenario</t>
        </is>
      </c>
      <c r="BK135" s="30">
        <f>IF(BJ135="Overhead supply in last 2 years in last 2 years",-5,IF(BJ135="Close to 52 week high or retracement",5,IF(BJ135="Blue sky scenario",10,IF(BJ135="Long term Downtrend",-10,0))))</f>
        <v/>
      </c>
      <c r="BL135" s="30" t="inlineStr">
        <is>
          <t>Yes</t>
        </is>
      </c>
      <c r="BM135" s="30">
        <f>IF(BL135="Yes",10,0)</f>
        <v/>
      </c>
      <c r="BN135" s="30" t="inlineStr">
        <is>
          <t>Less than 12%</t>
        </is>
      </c>
      <c r="BO135" s="30">
        <f>IF(BN135="More than 20%",10,IF(BN135="Between 12 to 20%",5,IF(BN135="Less than 12%",0,0)))</f>
        <v/>
      </c>
      <c r="BP135" s="30" t="inlineStr">
        <is>
          <t>No</t>
        </is>
      </c>
      <c r="BQ135" s="30">
        <f>IF(BP135="No",10,0)</f>
        <v/>
      </c>
      <c r="BR135" s="30" t="inlineStr">
        <is>
          <t>Yes</t>
        </is>
      </c>
      <c r="BS135" s="30">
        <f>IF(BR135="NO",5,0)</f>
        <v/>
      </c>
      <c r="BT135" s="30" t="inlineStr">
        <is>
          <t>Above 2</t>
        </is>
      </c>
      <c r="BU135" s="30">
        <f>IF(BT135="Above 2",0,IF(BT135="Between 1.5 to 2",5,IF(BT135="Less than 1.5",10,0)))</f>
        <v/>
      </c>
      <c r="BV135" s="30" t="inlineStr">
        <is>
          <t>Above 70%</t>
        </is>
      </c>
      <c r="BW135" s="30">
        <f>IF(BV135="Above 70%",10,IF(BV135="Between 50% to 70%",5,IF(BV135="Less than 50%",0,IF(BV135="Negative",-10,IF(BV135="Less than 50% and Borrowings are increasing",-5,0)))))</f>
        <v/>
      </c>
      <c r="BX135" s="30" t="inlineStr">
        <is>
          <t>Less than 0.7</t>
        </is>
      </c>
      <c r="BY135" s="30">
        <f>IF(BX135="More than 1.2",-10,IF(BX135="Between 0.7 to 1.2",0,IF(BX135="Less than 0.7",10,0)))</f>
        <v/>
      </c>
      <c r="BZ135" s="30" t="inlineStr">
        <is>
          <t>No</t>
        </is>
      </c>
      <c r="CA135" s="30">
        <f>IF(BZ135="Yes",-10,0)</f>
        <v/>
      </c>
      <c r="CB135" s="30" t="inlineStr">
        <is>
          <t>Less than 15%</t>
        </is>
      </c>
      <c r="CC135" s="30">
        <f>IF(CB135="More than 15%",-10,IF(CB135="Less than 15%",10,0))</f>
        <v/>
      </c>
      <c r="CD135" s="30" t="inlineStr">
        <is>
          <t>No</t>
        </is>
      </c>
      <c r="CE135" s="30">
        <f>IF(CD135="Yes, more than 10%",-10,IF(CD135="No",10,0))</f>
        <v/>
      </c>
    </row>
    <row r="136">
      <c r="A136" s="30">
        <f>IF(B136=0,"",RANK(B136,$B$2:$B$331,0))</f>
        <v/>
      </c>
      <c r="B136" s="31">
        <f>SUM(N136,Y136,AA136,AC136,AE136,AG136,AI136,AK136,AM136,AO136,AQ136,AS136,AU136,AW136,AY136,BA136,BC136,BE136,BG136,BI136,BK136,BM136,BO136,BQ136,BS136,BU136,BW136,BY136,CA136,CC136,CE136)</f>
        <v/>
      </c>
      <c r="C136" s="30" t="inlineStr">
        <is>
          <t>NAZARA</t>
        </is>
      </c>
      <c r="D136" s="30" t="inlineStr">
        <is>
          <t>Nazara Technologies Ltd</t>
        </is>
      </c>
      <c r="E136" s="30" t="inlineStr">
        <is>
          <t>i.t</t>
        </is>
      </c>
      <c r="F136" s="30" t="inlineStr">
        <is>
          <t>telecommunications - service provider</t>
        </is>
      </c>
      <c r="G136" s="30" t="inlineStr">
        <is>
          <t>midcap</t>
        </is>
      </c>
      <c r="H136" s="31" t="n">
        <v>14403.02</v>
      </c>
      <c r="I136" s="31" t="n">
        <v>374.65</v>
      </c>
      <c r="J136" s="31" t="n">
        <v>0.07000000000000001</v>
      </c>
      <c r="K136" s="31" t="n">
        <v>1606579</v>
      </c>
      <c r="L136" s="30" t="n">
        <v>46</v>
      </c>
      <c r="M136" s="30" t="inlineStr">
        <is>
          <t>Outperforming</t>
        </is>
      </c>
      <c r="N136" s="31">
        <f>IF(M136="Underperforming",-5,IF(L136&gt;=95,15,IF(L136&gt;=90,10,IF(L136&gt;=80,5,0))))</f>
        <v/>
      </c>
      <c r="O136" s="31" t="n">
        <v>73.81</v>
      </c>
      <c r="P136" s="31" t="n">
        <v>29.68</v>
      </c>
      <c r="Q136" s="31" t="n">
        <v>307.31</v>
      </c>
      <c r="R136" s="30" t="inlineStr">
        <is>
          <t>Near 52W High Breakout</t>
        </is>
      </c>
      <c r="S136" s="30" t="inlineStr">
        <is>
          <t>Nifty IT</t>
        </is>
      </c>
      <c r="T136" s="31" t="n">
        <v>-19.99</v>
      </c>
      <c r="U136" s="31" t="n">
        <v>36.63</v>
      </c>
      <c r="V136" s="31" t="n">
        <v>70.78</v>
      </c>
      <c r="W136" s="31" t="n">
        <v>14.01</v>
      </c>
      <c r="X136" s="30" t="inlineStr">
        <is>
          <t>Growing Industry</t>
        </is>
      </c>
      <c r="Y136" s="30">
        <f>IF(X136="Growing Industry",10,IF(X136="Cyclical in an Upturn",5,0))</f>
        <v/>
      </c>
      <c r="Z136" s="30" t="inlineStr">
        <is>
          <t>Oligopoly</t>
        </is>
      </c>
      <c r="AA136" s="30">
        <f>IF(Z136="Monopoly",10,IF(Z136="Oligopoly",5,IF(Z136="Duopoly that cooperate",10,IF(Z136="Duopoly that compete",5,IF(Z136="Too many players with High ROCE",5,0)))))</f>
        <v/>
      </c>
      <c r="AB136" s="30" t="inlineStr">
        <is>
          <t>Yes</t>
        </is>
      </c>
      <c r="AC136" s="30">
        <f>IF(AB136="No",5,0)</f>
        <v/>
      </c>
      <c r="AD136" s="30" t="inlineStr">
        <is>
          <t>Tailwind</t>
        </is>
      </c>
      <c r="AE136" s="30">
        <f>IF(AD136="Tailwind",10,0)</f>
        <v/>
      </c>
      <c r="AF136" s="30" t="inlineStr">
        <is>
          <t>Structural (10 Years Consistency)</t>
        </is>
      </c>
      <c r="AG136" s="30">
        <f>IF(AF136="Structural (10 Years Consistency)",10,IF(AF136="Shallow Cyclical (2 to 3 years growth)",5,0))</f>
        <v/>
      </c>
      <c r="AH136" s="30" t="inlineStr">
        <is>
          <t>No</t>
        </is>
      </c>
      <c r="AI136" s="30">
        <f>IF(AH136="Yes due to Product Mix change or Operating Leverage",10,IF(AH136="Yes, these are peak margins",-5,IF(AH136="No",5,0)))</f>
        <v/>
      </c>
      <c r="AJ136" s="30" t="inlineStr">
        <is>
          <t>Stable</t>
        </is>
      </c>
      <c r="AK136" s="30">
        <f>IF(AJ136="Stable",10,0)</f>
        <v/>
      </c>
      <c r="AL136" s="30" t="inlineStr">
        <is>
          <t>Yes</t>
        </is>
      </c>
      <c r="AM136" s="30">
        <f>IF(AL136="Yes",10,0)</f>
        <v/>
      </c>
      <c r="AN136" s="30" t="inlineStr">
        <is>
          <t>B2B</t>
        </is>
      </c>
      <c r="AO136" s="30">
        <f>IF(AN136="B2C",10,IF(AN136="B2B",5,0))</f>
        <v/>
      </c>
      <c r="AP136" s="30" t="inlineStr">
        <is>
          <t>Yes</t>
        </is>
      </c>
      <c r="AQ136" s="30">
        <f>IF(AP136="Yes",10,0)</f>
        <v/>
      </c>
      <c r="AR136" s="30" t="inlineStr">
        <is>
          <t>Higher One Time, Lower Annuity</t>
        </is>
      </c>
      <c r="AS136" s="30">
        <f>IF(AR136="Fully Annuity",10,IF(AR136="Higher Annuity, Lower One Time",5,IF(AR136="Higher One Time, Lower Annuity",3,0)))</f>
        <v/>
      </c>
      <c r="AT136" s="30" t="inlineStr">
        <is>
          <t>Good</t>
        </is>
      </c>
      <c r="AU136" s="30">
        <f>IF(AT136="Good",10,0)</f>
        <v/>
      </c>
      <c r="AV136" s="30" t="inlineStr">
        <is>
          <t>Yes for more than 2 years</t>
        </is>
      </c>
      <c r="AW136" s="30">
        <f>IF(AV136="Yes for more than 2 years",10,IF(AV136="Yes only for next 1 to 2 years",5,0))</f>
        <v/>
      </c>
      <c r="AX136" s="30" t="inlineStr">
        <is>
          <t>20 to 40</t>
        </is>
      </c>
      <c r="AY136" s="30">
        <f>IF(AX136="Above 40",20,IF(AX136="20 to 40",10,IF(AX136="0 to 20",-5,0)))</f>
        <v/>
      </c>
      <c r="AZ136" s="30" t="inlineStr">
        <is>
          <t>Between 50 to 75</t>
        </is>
      </c>
      <c r="BA136" s="30">
        <f>IF(AZ136="Between 50 to 75",10,IF(AZ136="Above 75",0,0))</f>
        <v/>
      </c>
      <c r="BB136" s="30" t="inlineStr">
        <is>
          <t>Stage 2</t>
        </is>
      </c>
      <c r="BC136" s="30">
        <f>IF(BB136="Stage 2",20,IF(BB136="Stage 1",0,IF(BB136="Stage 3",5,IF(BB136="Stage 4",-5,0))))</f>
        <v/>
      </c>
      <c r="BD136" s="30" t="inlineStr">
        <is>
          <t>Positive Trend</t>
        </is>
      </c>
      <c r="BE136" s="30">
        <f>IF(BD136="Positive Trend",20,IF(BD136="Negative Trend",-10,0))</f>
        <v/>
      </c>
      <c r="BF136" s="30" t="inlineStr">
        <is>
          <t>Uptrend</t>
        </is>
      </c>
      <c r="BG136" s="30">
        <f>IF(BF136="Uptrend",10,IF(BF136="Sideways",5,0))</f>
        <v/>
      </c>
      <c r="BH136" s="30" t="inlineStr">
        <is>
          <t>Uptrend</t>
        </is>
      </c>
      <c r="BI136" s="30">
        <f>IF(BH136="Uptrend",10,IF(BH136="Sideways",5,0))</f>
        <v/>
      </c>
      <c r="BJ136" s="30" t="inlineStr">
        <is>
          <t>Blue sky scenario</t>
        </is>
      </c>
      <c r="BK136" s="30">
        <f>IF(BJ136="Overhead supply in last 2 years in last 2 years",-5,IF(BJ136="Close to 52 week high or retracement",5,IF(BJ136="Blue sky scenario",10,IF(BJ136="Long term Downtrend",-10,0))))</f>
        <v/>
      </c>
      <c r="BL136" s="30" t="inlineStr">
        <is>
          <t>Yes</t>
        </is>
      </c>
      <c r="BM136" s="30">
        <f>IF(BL136="Yes",10,0)</f>
        <v/>
      </c>
      <c r="BN136" s="30" t="inlineStr">
        <is>
          <t>More than 20%</t>
        </is>
      </c>
      <c r="BO136" s="30">
        <f>IF(BN136="More than 20%",10,IF(BN136="Between 12 to 20%",5,IF(BN136="Less than 12%",0,0)))</f>
        <v/>
      </c>
      <c r="BP136" s="30" t="inlineStr">
        <is>
          <t>No</t>
        </is>
      </c>
      <c r="BQ136" s="30">
        <f>IF(BP136="No",10,0)</f>
        <v/>
      </c>
      <c r="BR136" s="30" t="inlineStr">
        <is>
          <t>No</t>
        </is>
      </c>
      <c r="BS136" s="30">
        <f>IF(BR136="NO",5,0)</f>
        <v/>
      </c>
      <c r="BT136" s="30" t="inlineStr">
        <is>
          <t>Above 2</t>
        </is>
      </c>
      <c r="BU136" s="30">
        <f>IF(BT136="Above 2",0,IF(BT136="Between 1.5 to 2",5,IF(BT136="Less than 1.5",10,0)))</f>
        <v/>
      </c>
      <c r="BV136" s="30" t="inlineStr">
        <is>
          <t>Above 70%</t>
        </is>
      </c>
      <c r="BW136" s="30">
        <f>IF(BV136="Above 70%",10,IF(BV136="Between 50% to 70%",5,IF(BV136="Less than 50%",0,IF(BV136="Negative",-10,IF(BV136="Less than 50% and Borrowings are increasing",-5,0)))))</f>
        <v/>
      </c>
      <c r="BX136" s="30" t="inlineStr">
        <is>
          <t>Less than 0.7</t>
        </is>
      </c>
      <c r="BY136" s="30">
        <f>IF(BX136="More than 1.2",-10,IF(BX136="Between 0.7 to 1.2",0,IF(BX136="Less than 0.7",10,0)))</f>
        <v/>
      </c>
      <c r="BZ136" s="30" t="inlineStr">
        <is>
          <t>No</t>
        </is>
      </c>
      <c r="CA136" s="30">
        <f>IF(BZ136="Yes",-10,0)</f>
        <v/>
      </c>
      <c r="CB136" s="30" t="inlineStr">
        <is>
          <t>Less than 15%</t>
        </is>
      </c>
      <c r="CC136" s="30">
        <f>IF(CB136="More than 15%",-10,IF(CB136="Less than 15%",10,0))</f>
        <v/>
      </c>
      <c r="CD136" s="30" t="inlineStr">
        <is>
          <t>No</t>
        </is>
      </c>
      <c r="CE136" s="30">
        <f>IF(CD136="Yes, more than 10%",-10,IF(CD136="No",10,0))</f>
        <v/>
      </c>
    </row>
    <row r="137">
      <c r="A137" s="30">
        <f>IF(B137=0,"",RANK(B137,$B$2:$B$331,0))</f>
        <v/>
      </c>
      <c r="B137" s="31">
        <f>SUM(N137,Y137,AA137,AC137,AE137,AG137,AI137,AK137,AM137,AO137,AQ137,AS137,AU137,AW137,AY137,BA137,BC137,BE137,BG137,BI137,BK137,BM137,BO137,BQ137,BS137,BU137,BW137,BY137,CA137,CC137,CE137)</f>
        <v/>
      </c>
      <c r="C137" s="30" t="inlineStr">
        <is>
          <t>ORIENTHOT</t>
        </is>
      </c>
      <c r="D137" s="30" t="inlineStr">
        <is>
          <t>Oriental Hotels Limited</t>
        </is>
      </c>
      <c r="E137" s="30" t="inlineStr">
        <is>
          <t>services</t>
        </is>
      </c>
      <c r="F137" s="30" t="inlineStr">
        <is>
          <t>hotels</t>
        </is>
      </c>
      <c r="G137" s="30" t="inlineStr">
        <is>
          <t>smallcap</t>
        </is>
      </c>
      <c r="H137" s="31" t="n">
        <v>2500.03</v>
      </c>
      <c r="I137" s="31" t="n">
        <v>139.81</v>
      </c>
      <c r="J137" s="31" t="n">
        <v>-0.12</v>
      </c>
      <c r="K137" s="31" t="n">
        <v>352137</v>
      </c>
      <c r="L137" s="30" t="n">
        <v>26</v>
      </c>
      <c r="M137" s="30" t="inlineStr">
        <is>
          <t>Outperforming</t>
        </is>
      </c>
      <c r="N137" s="31">
        <f>IF(M137="Underperforming",-5,IF(L137&gt;=95,15,IF(L137&gt;=90,10,IF(L137&gt;=80,5,0))))</f>
        <v/>
      </c>
      <c r="O137" s="31" t="n">
        <v>62.81</v>
      </c>
      <c r="P137" s="31" t="n">
        <v>40.19</v>
      </c>
      <c r="Q137" s="31" t="n">
        <v>105.47</v>
      </c>
      <c r="R137" s="30" t="inlineStr">
        <is>
          <t>Near 52W High Breakout</t>
        </is>
      </c>
      <c r="S137" s="30" t="inlineStr">
        <is>
          <t>Nifty 50</t>
        </is>
      </c>
      <c r="T137" s="31" t="n">
        <v>-6.52</v>
      </c>
      <c r="U137" s="31" t="n">
        <v>-1.14</v>
      </c>
      <c r="V137" s="31" t="n">
        <v>5.75</v>
      </c>
      <c r="W137" s="31" t="n">
        <v>8.18</v>
      </c>
      <c r="X137" s="30" t="inlineStr">
        <is>
          <t>Growing Industry</t>
        </is>
      </c>
      <c r="Y137" s="30">
        <f>IF(X137="Growing Industry",10,IF(X137="Cyclical in an Upturn",5,0))</f>
        <v/>
      </c>
      <c r="Z137" s="30" t="inlineStr">
        <is>
          <t>Too Many Players with High ROCE</t>
        </is>
      </c>
      <c r="AA137" s="30">
        <f>IF(Z137="Monopoly",10,IF(Z137="Oligopoly",5,IF(Z137="Duopoly that cooperate",10,IF(Z137="Duopoly that compete",5,IF(Z137="Too many players with High ROCE",5,0)))))</f>
        <v/>
      </c>
      <c r="AB137" s="30" t="inlineStr">
        <is>
          <t>No</t>
        </is>
      </c>
      <c r="AC137" s="30">
        <f>IF(AB137="No",5,0)</f>
        <v/>
      </c>
      <c r="AD137" s="30" t="inlineStr">
        <is>
          <t>Tailwind</t>
        </is>
      </c>
      <c r="AE137" s="30">
        <f>IF(AD137="Tailwind",10,0)</f>
        <v/>
      </c>
      <c r="AF137" s="30" t="inlineStr">
        <is>
          <t>Structural (10 Years Consistency)</t>
        </is>
      </c>
      <c r="AG137" s="30">
        <f>IF(AF137="Structural (10 Years Consistency)",10,IF(AF137="Shallow Cyclical (2 to 3 years growth)",5,0))</f>
        <v/>
      </c>
      <c r="AH137" s="30" t="inlineStr">
        <is>
          <t>No</t>
        </is>
      </c>
      <c r="AI137" s="30">
        <f>IF(AH137="Yes due to Product Mix change or Operating Leverage",10,IF(AH137="Yes, these are peak margins",-5,IF(AH137="No",5,0)))</f>
        <v/>
      </c>
      <c r="AJ137" s="30" t="inlineStr">
        <is>
          <t>Stable</t>
        </is>
      </c>
      <c r="AK137" s="30">
        <f>IF(AJ137="Stable",10,0)</f>
        <v/>
      </c>
      <c r="AL137" s="30" t="inlineStr">
        <is>
          <t>Yes</t>
        </is>
      </c>
      <c r="AM137" s="30">
        <f>IF(AL137="Yes",10,0)</f>
        <v/>
      </c>
      <c r="AN137" s="30" t="inlineStr">
        <is>
          <t>B2B</t>
        </is>
      </c>
      <c r="AO137" s="30">
        <f>IF(AN137="B2C",10,IF(AN137="B2B",5,0))</f>
        <v/>
      </c>
      <c r="AP137" s="30" t="inlineStr">
        <is>
          <t>Yes</t>
        </is>
      </c>
      <c r="AQ137" s="30">
        <f>IF(AP137="Yes",10,0)</f>
        <v/>
      </c>
      <c r="AR137" s="30" t="inlineStr">
        <is>
          <t>Higher One Time, Lower Annuity</t>
        </is>
      </c>
      <c r="AS137" s="30">
        <f>IF(AR137="Fully Annuity",10,IF(AR137="Higher Annuity, Lower One Time",5,IF(AR137="Higher One Time, Lower Annuity",3,0)))</f>
        <v/>
      </c>
      <c r="AT137" s="30" t="inlineStr">
        <is>
          <t>Good</t>
        </is>
      </c>
      <c r="AU137" s="30">
        <f>IF(AT137="Good",10,0)</f>
        <v/>
      </c>
      <c r="AV137" s="30" t="inlineStr">
        <is>
          <t>Yes for more than 2 years</t>
        </is>
      </c>
      <c r="AW137" s="30">
        <f>IF(AV137="Yes for more than 2 years",10,IF(AV137="Yes only for next 1 to 2 years",5,0))</f>
        <v/>
      </c>
      <c r="AX137" s="30" t="inlineStr">
        <is>
          <t>Above 40</t>
        </is>
      </c>
      <c r="AY137" s="30">
        <f>IF(AX137="Above 40",20,IF(AX137="20 to 40",10,IF(AX137="0 to 20",-5,0)))</f>
        <v/>
      </c>
      <c r="AZ137" s="30" t="inlineStr">
        <is>
          <t>Between 50 to 75</t>
        </is>
      </c>
      <c r="BA137" s="30">
        <f>IF(AZ137="Between 50 to 75",10,IF(AZ137="Above 75",0,0))</f>
        <v/>
      </c>
      <c r="BB137" s="30" t="inlineStr">
        <is>
          <t>Stage 2</t>
        </is>
      </c>
      <c r="BC137" s="30">
        <f>IF(BB137="Stage 2",20,IF(BB137="Stage 1",0,IF(BB137="Stage 3",5,IF(BB137="Stage 4",-5,0))))</f>
        <v/>
      </c>
      <c r="BD137" s="30" t="inlineStr">
        <is>
          <t>Positive Trend</t>
        </is>
      </c>
      <c r="BE137" s="30">
        <f>IF(BD137="Positive Trend",20,IF(BD137="Negative Trend",-10,0))</f>
        <v/>
      </c>
      <c r="BF137" s="30" t="inlineStr">
        <is>
          <t>Uptrend</t>
        </is>
      </c>
      <c r="BG137" s="30">
        <f>IF(BF137="Uptrend",10,IF(BF137="Sideways",5,0))</f>
        <v/>
      </c>
      <c r="BH137" s="30" t="inlineStr">
        <is>
          <t>Uptrend</t>
        </is>
      </c>
      <c r="BI137" s="30">
        <f>IF(BH137="Uptrend",10,IF(BH137="Sideways",5,0))</f>
        <v/>
      </c>
      <c r="BJ137" s="30" t="inlineStr">
        <is>
          <t>Close to 52 week high or retracement</t>
        </is>
      </c>
      <c r="BK137" s="30">
        <f>IF(BJ137="Overhead supply in last 2 years in last 2 years",-5,IF(BJ137="Close to 52 week high or retracement",5,IF(BJ137="Blue sky scenario",10,IF(BJ137="Long term Downtrend",-10,0))))</f>
        <v/>
      </c>
      <c r="BL137" s="30" t="inlineStr">
        <is>
          <t>Yes</t>
        </is>
      </c>
      <c r="BM137" s="30">
        <f>IF(BL137="Yes",10,0)</f>
        <v/>
      </c>
      <c r="BN137" s="30" t="inlineStr">
        <is>
          <t>Less than 12%</t>
        </is>
      </c>
      <c r="BO137" s="30">
        <f>IF(BN137="More than 20%",10,IF(BN137="Between 12 to 20%",5,IF(BN137="Less than 12%",0,0)))</f>
        <v/>
      </c>
      <c r="BP137" s="30" t="inlineStr">
        <is>
          <t>No</t>
        </is>
      </c>
      <c r="BQ137" s="30">
        <f>IF(BP137="No",10,0)</f>
        <v/>
      </c>
      <c r="BR137" s="30" t="inlineStr">
        <is>
          <t>No</t>
        </is>
      </c>
      <c r="BS137" s="30">
        <f>IF(BR137="NO",5,0)</f>
        <v/>
      </c>
      <c r="BT137" s="30" t="inlineStr">
        <is>
          <t>Above 2</t>
        </is>
      </c>
      <c r="BU137" s="30">
        <f>IF(BT137="Above 2",0,IF(BT137="Between 1.5 to 2",5,IF(BT137="Less than 1.5",10,0)))</f>
        <v/>
      </c>
      <c r="BV137" s="30" t="inlineStr">
        <is>
          <t>Above 70%</t>
        </is>
      </c>
      <c r="BW137" s="30">
        <f>IF(BV137="Above 70%",10,IF(BV137="Between 50% to 70%",5,IF(BV137="Less than 50%",0,IF(BV137="Negative",-10,IF(BV137="Less than 50% and Borrowings are increasing",-5,0)))))</f>
        <v/>
      </c>
      <c r="BX137" s="30" t="inlineStr">
        <is>
          <t>Less than 0.7</t>
        </is>
      </c>
      <c r="BY137" s="30">
        <f>IF(BX137="More than 1.2",-10,IF(BX137="Between 0.7 to 1.2",0,IF(BX137="Less than 0.7",10,0)))</f>
        <v/>
      </c>
      <c r="BZ137" s="30" t="inlineStr">
        <is>
          <t>No</t>
        </is>
      </c>
      <c r="CA137" s="30">
        <f>IF(BZ137="Yes",-10,0)</f>
        <v/>
      </c>
      <c r="CB137" s="30" t="inlineStr">
        <is>
          <t>Less than 15%</t>
        </is>
      </c>
      <c r="CC137" s="30">
        <f>IF(CB137="More than 15%",-10,IF(CB137="Less than 15%",10,0))</f>
        <v/>
      </c>
      <c r="CD137" s="30" t="inlineStr">
        <is>
          <t>No</t>
        </is>
      </c>
      <c r="CE137" s="30">
        <f>IF(CD137="Yes, more than 10%",-10,IF(CD137="No",10,0))</f>
        <v/>
      </c>
    </row>
    <row r="138">
      <c r="A138" s="30">
        <f>IF(B138=0,"",RANK(B138,$B$2:$B$331,0))</f>
        <v/>
      </c>
      <c r="B138" s="31">
        <f>SUM(N138,Y138,AA138,AC138,AE138,AG138,AI138,AK138,AM138,AO138,AQ138,AS138,AU138,AW138,AY138,BA138,BC138,BE138,BG138,BI138,BK138,BM138,BO138,BQ138,BS138,BU138,BW138,BY138,CA138,CC138,CE138)</f>
        <v/>
      </c>
      <c r="C138" s="30" t="inlineStr">
        <is>
          <t>NYKAA</t>
        </is>
      </c>
      <c r="D138" s="30" t="inlineStr">
        <is>
          <t>FSN E-Commerce Ventures Ltd</t>
        </is>
      </c>
      <c r="E138" s="30" t="inlineStr">
        <is>
          <t>i.t</t>
        </is>
      </c>
      <c r="F138" s="30" t="inlineStr">
        <is>
          <t>trading</t>
        </is>
      </c>
      <c r="G138" s="30" t="inlineStr">
        <is>
          <t>largecap</t>
        </is>
      </c>
      <c r="H138" s="31" t="n">
        <v>98229.17</v>
      </c>
      <c r="I138" s="31" t="n">
        <v>341.95</v>
      </c>
      <c r="J138" s="31" t="n">
        <v>-0.31</v>
      </c>
      <c r="K138" s="31" t="n">
        <v>3136550</v>
      </c>
      <c r="L138" s="30" t="n">
        <v>43</v>
      </c>
      <c r="M138" s="30" t="inlineStr">
        <is>
          <t>Outperforming</t>
        </is>
      </c>
      <c r="N138" s="31">
        <f>IF(M138="Underperforming",-5,IF(L138&gt;=95,15,IF(L138&gt;=90,10,IF(L138&gt;=80,5,0))))</f>
        <v/>
      </c>
      <c r="O138" s="31" t="n">
        <v>72.72</v>
      </c>
      <c r="P138" s="31" t="n">
        <v>51.09</v>
      </c>
      <c r="Q138" s="31" t="n">
        <v>293.05</v>
      </c>
      <c r="R138" s="30" t="inlineStr">
        <is>
          <t>Near 52W High Breakout</t>
        </is>
      </c>
      <c r="S138" s="30" t="inlineStr">
        <is>
          <t>Nifty IT</t>
        </is>
      </c>
      <c r="T138" s="31" t="n">
        <v>-19.99</v>
      </c>
      <c r="U138" s="31" t="n">
        <v>42.97</v>
      </c>
      <c r="V138" s="31" t="n">
        <v>78.7</v>
      </c>
      <c r="W138" s="31" t="n">
        <v>12.95</v>
      </c>
      <c r="X138" s="30" t="inlineStr">
        <is>
          <t>Growing Industry</t>
        </is>
      </c>
      <c r="Y138" s="30">
        <f>IF(X138="Growing Industry",10,IF(X138="Cyclical in an Upturn",5,0))</f>
        <v/>
      </c>
      <c r="Z138" s="30" t="inlineStr">
        <is>
          <t>Too Many Players with High ROCE</t>
        </is>
      </c>
      <c r="AA138" s="30">
        <f>IF(Z138="Monopoly",10,IF(Z138="Oligopoly",5,IF(Z138="Duopoly that cooperate",10,IF(Z138="Duopoly that compete",5,IF(Z138="Too many players with High ROCE",5,0)))))</f>
        <v/>
      </c>
      <c r="AB138" s="30" t="inlineStr">
        <is>
          <t>No</t>
        </is>
      </c>
      <c r="AC138" s="30">
        <f>IF(AB138="No",5,0)</f>
        <v/>
      </c>
      <c r="AD138" s="30" t="inlineStr">
        <is>
          <t>Tailwind</t>
        </is>
      </c>
      <c r="AE138" s="30">
        <f>IF(AD138="Tailwind",10,0)</f>
        <v/>
      </c>
      <c r="AF138" s="30" t="inlineStr">
        <is>
          <t>Structural (10 Years Consistency)</t>
        </is>
      </c>
      <c r="AG138" s="30">
        <f>IF(AF138="Structural (10 Years Consistency)",10,IF(AF138="Shallow Cyclical (2 to 3 years growth)",5,0))</f>
        <v/>
      </c>
      <c r="AH138" s="30" t="inlineStr">
        <is>
          <t>No</t>
        </is>
      </c>
      <c r="AI138" s="30">
        <f>IF(AH138="Yes due to Product Mix change or Operating Leverage",10,IF(AH138="Yes, these are peak margins",-5,IF(AH138="No",5,0)))</f>
        <v/>
      </c>
      <c r="AJ138" s="30" t="inlineStr">
        <is>
          <t>Stable</t>
        </is>
      </c>
      <c r="AK138" s="30">
        <f>IF(AJ138="Stable",10,0)</f>
        <v/>
      </c>
      <c r="AL138" s="30" t="inlineStr">
        <is>
          <t>Yes</t>
        </is>
      </c>
      <c r="AM138" s="30">
        <f>IF(AL138="Yes",10,0)</f>
        <v/>
      </c>
      <c r="AN138" s="30" t="inlineStr">
        <is>
          <t>B2B</t>
        </is>
      </c>
      <c r="AO138" s="30">
        <f>IF(AN138="B2C",10,IF(AN138="B2B",5,0))</f>
        <v/>
      </c>
      <c r="AP138" s="30" t="inlineStr">
        <is>
          <t>Yes</t>
        </is>
      </c>
      <c r="AQ138" s="30">
        <f>IF(AP138="Yes",10,0)</f>
        <v/>
      </c>
      <c r="AR138" s="30" t="inlineStr">
        <is>
          <t>Higher One Time, Lower Annuity</t>
        </is>
      </c>
      <c r="AS138" s="30">
        <f>IF(AR138="Fully Annuity",10,IF(AR138="Higher Annuity, Lower One Time",5,IF(AR138="Higher One Time, Lower Annuity",3,0)))</f>
        <v/>
      </c>
      <c r="AT138" s="30" t="inlineStr">
        <is>
          <t>Good</t>
        </is>
      </c>
      <c r="AU138" s="30">
        <f>IF(AT138="Good",10,0)</f>
        <v/>
      </c>
      <c r="AV138" s="30" t="inlineStr">
        <is>
          <t>Yes for more than 2 years</t>
        </is>
      </c>
      <c r="AW138" s="30">
        <f>IF(AV138="Yes for more than 2 years",10,IF(AV138="Yes only for next 1 to 2 years",5,0))</f>
        <v/>
      </c>
      <c r="AX138" s="30" t="inlineStr">
        <is>
          <t>Above 40</t>
        </is>
      </c>
      <c r="AY138" s="30">
        <f>IF(AX138="Above 40",20,IF(AX138="20 to 40",10,IF(AX138="0 to 20",-5,0)))</f>
        <v/>
      </c>
      <c r="AZ138" s="30" t="inlineStr">
        <is>
          <t>Between 50 to 75</t>
        </is>
      </c>
      <c r="BA138" s="30">
        <f>IF(AZ138="Between 50 to 75",10,IF(AZ138="Above 75",0,0))</f>
        <v/>
      </c>
      <c r="BB138" s="30" t="inlineStr">
        <is>
          <t>Stage 2</t>
        </is>
      </c>
      <c r="BC138" s="30">
        <f>IF(BB138="Stage 2",20,IF(BB138="Stage 1",0,IF(BB138="Stage 3",5,IF(BB138="Stage 4",-5,0))))</f>
        <v/>
      </c>
      <c r="BD138" s="30" t="inlineStr">
        <is>
          <t>Positive Trend</t>
        </is>
      </c>
      <c r="BE138" s="30">
        <f>IF(BD138="Positive Trend",20,IF(BD138="Negative Trend",-10,0))</f>
        <v/>
      </c>
      <c r="BF138" s="30" t="inlineStr">
        <is>
          <t>Uptrend</t>
        </is>
      </c>
      <c r="BG138" s="30">
        <f>IF(BF138="Uptrend",10,IF(BF138="Sideways",5,0))</f>
        <v/>
      </c>
      <c r="BH138" s="30" t="inlineStr">
        <is>
          <t>Uptrend</t>
        </is>
      </c>
      <c r="BI138" s="30">
        <f>IF(BH138="Uptrend",10,IF(BH138="Sideways",5,0))</f>
        <v/>
      </c>
      <c r="BJ138" s="30" t="inlineStr">
        <is>
          <t>Blue sky scenario</t>
        </is>
      </c>
      <c r="BK138" s="30">
        <f>IF(BJ138="Overhead supply in last 2 years in last 2 years",-5,IF(BJ138="Close to 52 week high or retracement",5,IF(BJ138="Blue sky scenario",10,IF(BJ138="Long term Downtrend",-10,0))))</f>
        <v/>
      </c>
      <c r="BL138" s="30" t="inlineStr">
        <is>
          <t>Yes</t>
        </is>
      </c>
      <c r="BM138" s="30">
        <f>IF(BL138="Yes",10,0)</f>
        <v/>
      </c>
      <c r="BN138" s="30" t="inlineStr">
        <is>
          <t>More than 20%</t>
        </is>
      </c>
      <c r="BO138" s="30">
        <f>IF(BN138="More than 20%",10,IF(BN138="Between 12 to 20%",5,IF(BN138="Less than 12%",0,0)))</f>
        <v/>
      </c>
      <c r="BP138" s="30" t="inlineStr">
        <is>
          <t>No</t>
        </is>
      </c>
      <c r="BQ138" s="30">
        <f>IF(BP138="No",10,0)</f>
        <v/>
      </c>
      <c r="BR138" s="30" t="inlineStr">
        <is>
          <t>Yes</t>
        </is>
      </c>
      <c r="BS138" s="30">
        <f>IF(BR138="NO",5,0)</f>
        <v/>
      </c>
      <c r="BT138" s="30" t="inlineStr">
        <is>
          <t>Above 2</t>
        </is>
      </c>
      <c r="BU138" s="30">
        <f>IF(BT138="Above 2",0,IF(BT138="Between 1.5 to 2",5,IF(BT138="Less than 1.5",10,0)))</f>
        <v/>
      </c>
      <c r="BV138" s="30" t="inlineStr">
        <is>
          <t>Above 70%</t>
        </is>
      </c>
      <c r="BW138" s="30">
        <f>IF(BV138="Above 70%",10,IF(BV138="Between 50% to 70%",5,IF(BV138="Less than 50%",0,IF(BV138="Negative",-10,IF(BV138="Less than 50% and Borrowings are increasing",-5,0)))))</f>
        <v/>
      </c>
      <c r="BX138" s="30" t="inlineStr">
        <is>
          <t>Between 0.7 to 1.2</t>
        </is>
      </c>
      <c r="BY138" s="30">
        <f>IF(BX138="More than 1.2",-10,IF(BX138="Between 0.7 to 1.2",0,IF(BX138="Less than 0.7",10,0)))</f>
        <v/>
      </c>
      <c r="BZ138" s="30" t="inlineStr">
        <is>
          <t>No</t>
        </is>
      </c>
      <c r="CA138" s="30">
        <f>IF(BZ138="Yes",-10,0)</f>
        <v/>
      </c>
      <c r="CB138" s="30" t="inlineStr">
        <is>
          <t>Less than 15%</t>
        </is>
      </c>
      <c r="CC138" s="30">
        <f>IF(CB138="More than 15%",-10,IF(CB138="Less than 15%",10,0))</f>
        <v/>
      </c>
      <c r="CD138" s="30" t="inlineStr">
        <is>
          <t>No</t>
        </is>
      </c>
      <c r="CE138" s="30">
        <f>IF(CD138="Yes, more than 10%",-10,IF(CD138="No",10,0))</f>
        <v/>
      </c>
    </row>
    <row r="139">
      <c r="A139" s="30">
        <f>IF(B139=0,"",RANK(B139,$B$2:$B$331,0))</f>
        <v/>
      </c>
      <c r="B139" s="31">
        <f>SUM(N139,Y139,AA139,AC139,AE139,AG139,AI139,AK139,AM139,AO139,AQ139,AS139,AU139,AW139,AY139,BA139,BC139,BE139,BG139,BI139,BK139,BM139,BO139,BQ139,BS139,BU139,BW139,BY139,CA139,CC139,CE139)</f>
        <v/>
      </c>
      <c r="C139" s="30" t="inlineStr">
        <is>
          <t>MOLDTECH</t>
        </is>
      </c>
      <c r="D139" s="30" t="inlineStr">
        <is>
          <t>Mold-tek Technologies Limited</t>
        </is>
      </c>
      <c r="E139" s="30" t="inlineStr">
        <is>
          <t>realty</t>
        </is>
      </c>
      <c r="F139" s="30" t="inlineStr">
        <is>
          <t>engineering - turnkey services</t>
        </is>
      </c>
      <c r="G139" s="30" t="inlineStr">
        <is>
          <t>smallcap</t>
        </is>
      </c>
      <c r="H139" s="31" t="n">
        <v>612.14</v>
      </c>
      <c r="I139" s="31" t="n">
        <v>211.69</v>
      </c>
      <c r="J139" s="31" t="n">
        <v>-0.39</v>
      </c>
      <c r="K139" s="31" t="n">
        <v>23425</v>
      </c>
      <c r="L139" s="30" t="n">
        <v>74</v>
      </c>
      <c r="M139" s="30" t="inlineStr">
        <is>
          <t>Outperforming</t>
        </is>
      </c>
      <c r="N139" s="31">
        <f>IF(M139="Underperforming",-5,IF(L139&gt;=95,15,IF(L139&gt;=90,10,IF(L139&gt;=80,5,0))))</f>
        <v/>
      </c>
      <c r="O139" s="31" t="n">
        <v>75.26000000000001</v>
      </c>
      <c r="P139" s="31" t="n">
        <v>41.21</v>
      </c>
      <c r="Q139" s="31" t="n">
        <v>155.7</v>
      </c>
      <c r="R139" s="30" t="inlineStr">
        <is>
          <t>Near 52W High Breakout</t>
        </is>
      </c>
      <c r="S139" s="30" t="inlineStr">
        <is>
          <t>Nifty Realty</t>
        </is>
      </c>
      <c r="T139" s="31" t="n">
        <v>-8.26</v>
      </c>
      <c r="U139" s="31" t="n">
        <v>40.81</v>
      </c>
      <c r="V139" s="31" t="n">
        <v>53.5</v>
      </c>
      <c r="W139" s="31" t="n">
        <v>24.76</v>
      </c>
      <c r="X139" s="30" t="inlineStr">
        <is>
          <t>Growing Industry</t>
        </is>
      </c>
      <c r="Y139" s="30">
        <f>IF(X139="Growing Industry",10,IF(X139="Cyclical in an Upturn",5,0))</f>
        <v/>
      </c>
      <c r="Z139" s="30" t="inlineStr">
        <is>
          <t>Too Many Players with High ROCE</t>
        </is>
      </c>
      <c r="AA139" s="30">
        <f>IF(Z139="Monopoly",10,IF(Z139="Oligopoly",5,IF(Z139="Duopoly that cooperate",10,IF(Z139="Duopoly that compete",5,IF(Z139="Too many players with High ROCE",5,0)))))</f>
        <v/>
      </c>
      <c r="AB139" s="30" t="inlineStr">
        <is>
          <t>No</t>
        </is>
      </c>
      <c r="AC139" s="30">
        <f>IF(AB139="No",5,0)</f>
        <v/>
      </c>
      <c r="AD139" s="30" t="inlineStr">
        <is>
          <t>Tailwind</t>
        </is>
      </c>
      <c r="AE139" s="30">
        <f>IF(AD139="Tailwind",10,0)</f>
        <v/>
      </c>
      <c r="AF139" s="30" t="inlineStr">
        <is>
          <t>Structural (10 Years Consistency)</t>
        </is>
      </c>
      <c r="AG139" s="30">
        <f>IF(AF139="Structural (10 Years Consistency)",10,IF(AF139="Shallow Cyclical (2 to 3 years growth)",5,0))</f>
        <v/>
      </c>
      <c r="AH139" s="30" t="inlineStr">
        <is>
          <t>No</t>
        </is>
      </c>
      <c r="AI139" s="30">
        <f>IF(AH139="Yes due to Product Mix change or Operating Leverage",10,IF(AH139="Yes, these are peak margins",-5,IF(AH139="No",5,0)))</f>
        <v/>
      </c>
      <c r="AJ139" s="30" t="inlineStr">
        <is>
          <t>Stable</t>
        </is>
      </c>
      <c r="AK139" s="30">
        <f>IF(AJ139="Stable",10,0)</f>
        <v/>
      </c>
      <c r="AL139" s="30" t="inlineStr">
        <is>
          <t>Yes</t>
        </is>
      </c>
      <c r="AM139" s="30">
        <f>IF(AL139="Yes",10,0)</f>
        <v/>
      </c>
      <c r="AN139" s="30" t="inlineStr">
        <is>
          <t>B2B</t>
        </is>
      </c>
      <c r="AO139" s="30">
        <f>IF(AN139="B2C",10,IF(AN139="B2B",5,0))</f>
        <v/>
      </c>
      <c r="AP139" s="30" t="inlineStr">
        <is>
          <t>Yes</t>
        </is>
      </c>
      <c r="AQ139" s="30">
        <f>IF(AP139="Yes",10,0)</f>
        <v/>
      </c>
      <c r="AR139" s="30" t="inlineStr">
        <is>
          <t>Higher One Time, Lower Annuity</t>
        </is>
      </c>
      <c r="AS139" s="30">
        <f>IF(AR139="Fully Annuity",10,IF(AR139="Higher Annuity, Lower One Time",5,IF(AR139="Higher One Time, Lower Annuity",3,0)))</f>
        <v/>
      </c>
      <c r="AT139" s="30" t="inlineStr">
        <is>
          <t>Good</t>
        </is>
      </c>
      <c r="AU139" s="30">
        <f>IF(AT139="Good",10,0)</f>
        <v/>
      </c>
      <c r="AV139" s="30" t="inlineStr">
        <is>
          <t>Yes for more than 2 years</t>
        </is>
      </c>
      <c r="AW139" s="30">
        <f>IF(AV139="Yes for more than 2 years",10,IF(AV139="Yes only for next 1 to 2 years",5,0))</f>
        <v/>
      </c>
      <c r="AX139" s="30" t="inlineStr">
        <is>
          <t>Above 40</t>
        </is>
      </c>
      <c r="AY139" s="30">
        <f>IF(AX139="Above 40",20,IF(AX139="20 to 40",10,IF(AX139="0 to 20",-5,0)))</f>
        <v/>
      </c>
      <c r="AZ139" s="30" t="inlineStr">
        <is>
          <t>Above 75</t>
        </is>
      </c>
      <c r="BA139" s="30">
        <f>IF(AZ139="Between 50 to 75",10,IF(AZ139="Above 75",0,0))</f>
        <v/>
      </c>
      <c r="BB139" s="30" t="inlineStr">
        <is>
          <t>Stage 2</t>
        </is>
      </c>
      <c r="BC139" s="30">
        <f>IF(BB139="Stage 2",20,IF(BB139="Stage 1",0,IF(BB139="Stage 3",5,IF(BB139="Stage 4",-5,0))))</f>
        <v/>
      </c>
      <c r="BD139" s="30" t="inlineStr">
        <is>
          <t>Positive Trend</t>
        </is>
      </c>
      <c r="BE139" s="30">
        <f>IF(BD139="Positive Trend",20,IF(BD139="Negative Trend",-10,0))</f>
        <v/>
      </c>
      <c r="BF139" s="30" t="inlineStr">
        <is>
          <t>Uptrend</t>
        </is>
      </c>
      <c r="BG139" s="30">
        <f>IF(BF139="Uptrend",10,IF(BF139="Sideways",5,0))</f>
        <v/>
      </c>
      <c r="BH139" s="30" t="inlineStr">
        <is>
          <t>Uptrend</t>
        </is>
      </c>
      <c r="BI139" s="30">
        <f>IF(BH139="Uptrend",10,IF(BH139="Sideways",5,0))</f>
        <v/>
      </c>
      <c r="BJ139" s="30" t="inlineStr">
        <is>
          <t>Close to 52 week high or retracement</t>
        </is>
      </c>
      <c r="BK139" s="30">
        <f>IF(BJ139="Overhead supply in last 2 years in last 2 years",-5,IF(BJ139="Close to 52 week high or retracement",5,IF(BJ139="Blue sky scenario",10,IF(BJ139="Long term Downtrend",-10,0))))</f>
        <v/>
      </c>
      <c r="BL139" s="30" t="inlineStr">
        <is>
          <t>Yes</t>
        </is>
      </c>
      <c r="BM139" s="30">
        <f>IF(BL139="Yes",10,0)</f>
        <v/>
      </c>
      <c r="BN139" s="30" t="inlineStr">
        <is>
          <t>More than 20%</t>
        </is>
      </c>
      <c r="BO139" s="30">
        <f>IF(BN139="More than 20%",10,IF(BN139="Between 12 to 20%",5,IF(BN139="Less than 12%",0,0)))</f>
        <v/>
      </c>
      <c r="BP139" s="30" t="inlineStr">
        <is>
          <t>No</t>
        </is>
      </c>
      <c r="BQ139" s="30">
        <f>IF(BP139="No",10,0)</f>
        <v/>
      </c>
      <c r="BR139" s="30" t="inlineStr">
        <is>
          <t>No</t>
        </is>
      </c>
      <c r="BS139" s="30">
        <f>IF(BR139="NO",5,0)</f>
        <v/>
      </c>
      <c r="BT139" s="30" t="inlineStr">
        <is>
          <t>Above 2</t>
        </is>
      </c>
      <c r="BU139" s="30">
        <f>IF(BT139="Above 2",0,IF(BT139="Between 1.5 to 2",5,IF(BT139="Less than 1.5",10,0)))</f>
        <v/>
      </c>
      <c r="BV139" s="30" t="inlineStr">
        <is>
          <t>Above 70%</t>
        </is>
      </c>
      <c r="BW139" s="30">
        <f>IF(BV139="Above 70%",10,IF(BV139="Between 50% to 70%",5,IF(BV139="Less than 50%",0,IF(BV139="Negative",-10,IF(BV139="Less than 50% and Borrowings are increasing",-5,0)))))</f>
        <v/>
      </c>
      <c r="BX139" s="30" t="inlineStr">
        <is>
          <t>Less than 0.7</t>
        </is>
      </c>
      <c r="BY139" s="30">
        <f>IF(BX139="More than 1.2",-10,IF(BX139="Between 0.7 to 1.2",0,IF(BX139="Less than 0.7",10,0)))</f>
        <v/>
      </c>
      <c r="BZ139" s="30" t="inlineStr">
        <is>
          <t>No</t>
        </is>
      </c>
      <c r="CA139" s="30">
        <f>IF(BZ139="Yes",-10,0)</f>
        <v/>
      </c>
      <c r="CB139" s="30" t="inlineStr">
        <is>
          <t>Less than 15%</t>
        </is>
      </c>
      <c r="CC139" s="30">
        <f>IF(CB139="More than 15%",-10,IF(CB139="Less than 15%",10,0))</f>
        <v/>
      </c>
      <c r="CD139" s="30" t="inlineStr">
        <is>
          <t>No</t>
        </is>
      </c>
      <c r="CE139" s="30">
        <f>IF(CD139="Yes, more than 10%",-10,IF(CD139="No",10,0))</f>
        <v/>
      </c>
    </row>
    <row r="140">
      <c r="A140" s="30">
        <f>IF(B140=0,"",RANK(B140,$B$2:$B$331,0))</f>
        <v/>
      </c>
      <c r="B140" s="31">
        <f>SUM(N140,Y140,AA140,AC140,AE140,AG140,AI140,AK140,AM140,AO140,AQ140,AS140,AU140,AW140,AY140,BA140,BC140,BE140,BG140,BI140,BK140,BM140,BO140,BQ140,BS140,BU140,BW140,BY140,CA140,CC140,CE140)</f>
        <v/>
      </c>
      <c r="C140" s="30" t="inlineStr">
        <is>
          <t>BOSCHLTD</t>
        </is>
      </c>
      <c r="D140" s="30" t="inlineStr">
        <is>
          <t>Bosch Limited</t>
        </is>
      </c>
      <c r="E140" s="30" t="inlineStr">
        <is>
          <t>auto</t>
        </is>
      </c>
      <c r="F140" s="30" t="inlineStr">
        <is>
          <t>auto ancillaries</t>
        </is>
      </c>
      <c r="G140" s="30" t="inlineStr">
        <is>
          <t>largecap</t>
        </is>
      </c>
      <c r="H140" s="31" t="n">
        <v>144825.85</v>
      </c>
      <c r="I140" s="31" t="n">
        <v>48775</v>
      </c>
      <c r="J140" s="31" t="n">
        <v>-0.66</v>
      </c>
      <c r="K140" s="31" t="n">
        <v>28128</v>
      </c>
      <c r="L140" s="30" t="n">
        <v>44</v>
      </c>
      <c r="M140" s="30" t="inlineStr">
        <is>
          <t>Outperforming</t>
        </is>
      </c>
      <c r="N140" s="31">
        <f>IF(M140="Underperforming",-5,IF(L140&gt;=95,15,IF(L140&gt;=90,10,IF(L140&gt;=80,5,0))))</f>
        <v/>
      </c>
      <c r="O140" s="31" t="n">
        <v>71.37</v>
      </c>
      <c r="P140" s="31" t="n">
        <v>40.93</v>
      </c>
      <c r="Q140" s="31" t="n">
        <v>41413.67</v>
      </c>
      <c r="R140" s="30" t="inlineStr">
        <is>
          <t>Near 52W High Breakout</t>
        </is>
      </c>
      <c r="S140" s="30" t="inlineStr">
        <is>
          <t>Nifty Auto</t>
        </is>
      </c>
      <c r="T140" s="31" t="n">
        <v>15.81</v>
      </c>
      <c r="U140" s="31" t="n">
        <v>31.54</v>
      </c>
      <c r="V140" s="31" t="n">
        <v>13.59</v>
      </c>
      <c r="W140" s="31" t="n">
        <v>13.29</v>
      </c>
      <c r="X140" s="30" t="inlineStr">
        <is>
          <t>Growing Industry</t>
        </is>
      </c>
      <c r="Y140" s="30">
        <f>IF(X140="Growing Industry",10,IF(X140="Cyclical in an Upturn",5,0))</f>
        <v/>
      </c>
      <c r="Z140" s="30" t="inlineStr">
        <is>
          <t>Too Many Players with High ROCE</t>
        </is>
      </c>
      <c r="AA140" s="30">
        <f>IF(Z140="Monopoly",10,IF(Z140="Oligopoly",5,IF(Z140="Duopoly that cooperate",10,IF(Z140="Duopoly that compete",5,IF(Z140="Too many players with High ROCE",5,0)))))</f>
        <v/>
      </c>
      <c r="AB140" s="30" t="inlineStr">
        <is>
          <t>No</t>
        </is>
      </c>
      <c r="AC140" s="30">
        <f>IF(AB140="No",5,0)</f>
        <v/>
      </c>
      <c r="AD140" s="30" t="inlineStr">
        <is>
          <t>Tailwind</t>
        </is>
      </c>
      <c r="AE140" s="30">
        <f>IF(AD140="Tailwind",10,0)</f>
        <v/>
      </c>
      <c r="AF140" s="30" t="inlineStr">
        <is>
          <t>Structural (10 Years Consistency)</t>
        </is>
      </c>
      <c r="AG140" s="30">
        <f>IF(AF140="Structural (10 Years Consistency)",10,IF(AF140="Shallow Cyclical (2 to 3 years growth)",5,0))</f>
        <v/>
      </c>
      <c r="AH140" s="30" t="inlineStr">
        <is>
          <t>No</t>
        </is>
      </c>
      <c r="AI140" s="30">
        <f>IF(AH140="Yes due to Product Mix change or Operating Leverage",10,IF(AH140="Yes, these are peak margins",-5,IF(AH140="No",5,0)))</f>
        <v/>
      </c>
      <c r="AJ140" s="30" t="inlineStr">
        <is>
          <t>Stable</t>
        </is>
      </c>
      <c r="AK140" s="30">
        <f>IF(AJ140="Stable",10,0)</f>
        <v/>
      </c>
      <c r="AL140" s="30" t="inlineStr">
        <is>
          <t>Yes</t>
        </is>
      </c>
      <c r="AM140" s="30">
        <f>IF(AL140="Yes",10,0)</f>
        <v/>
      </c>
      <c r="AN140" s="30" t="inlineStr">
        <is>
          <t>B2B</t>
        </is>
      </c>
      <c r="AO140" s="30">
        <f>IF(AN140="B2C",10,IF(AN140="B2B",5,0))</f>
        <v/>
      </c>
      <c r="AP140" s="30" t="inlineStr">
        <is>
          <t>Yes</t>
        </is>
      </c>
      <c r="AQ140" s="30">
        <f>IF(AP140="Yes",10,0)</f>
        <v/>
      </c>
      <c r="AR140" s="30" t="inlineStr">
        <is>
          <t>Higher One Time, Lower Annuity</t>
        </is>
      </c>
      <c r="AS140" s="30">
        <f>IF(AR140="Fully Annuity",10,IF(AR140="Higher Annuity, Lower One Time",5,IF(AR140="Higher One Time, Lower Annuity",3,0)))</f>
        <v/>
      </c>
      <c r="AT140" s="30" t="inlineStr">
        <is>
          <t>Good</t>
        </is>
      </c>
      <c r="AU140" s="30">
        <f>IF(AT140="Good",10,0)</f>
        <v/>
      </c>
      <c r="AV140" s="30" t="inlineStr">
        <is>
          <t>Yes for more than 2 years</t>
        </is>
      </c>
      <c r="AW140" s="30">
        <f>IF(AV140="Yes for more than 2 years",10,IF(AV140="Yes only for next 1 to 2 years",5,0))</f>
        <v/>
      </c>
      <c r="AX140" s="30" t="inlineStr">
        <is>
          <t>Above 40</t>
        </is>
      </c>
      <c r="AY140" s="30">
        <f>IF(AX140="Above 40",20,IF(AX140="20 to 40",10,IF(AX140="0 to 20",-5,0)))</f>
        <v/>
      </c>
      <c r="AZ140" s="30" t="inlineStr">
        <is>
          <t>Between 50 to 75</t>
        </is>
      </c>
      <c r="BA140" s="30">
        <f>IF(AZ140="Between 50 to 75",10,IF(AZ140="Above 75",0,0))</f>
        <v/>
      </c>
      <c r="BB140" s="30" t="inlineStr">
        <is>
          <t>Stage 2</t>
        </is>
      </c>
      <c r="BC140" s="30">
        <f>IF(BB140="Stage 2",20,IF(BB140="Stage 1",0,IF(BB140="Stage 3",5,IF(BB140="Stage 4",-5,0))))</f>
        <v/>
      </c>
      <c r="BD140" s="30" t="inlineStr">
        <is>
          <t>Positive Trend</t>
        </is>
      </c>
      <c r="BE140" s="30">
        <f>IF(BD140="Positive Trend",20,IF(BD140="Negative Trend",-10,0))</f>
        <v/>
      </c>
      <c r="BF140" s="30" t="inlineStr">
        <is>
          <t>Uptrend</t>
        </is>
      </c>
      <c r="BG140" s="30">
        <f>IF(BF140="Uptrend",10,IF(BF140="Sideways",5,0))</f>
        <v/>
      </c>
      <c r="BH140" s="30" t="inlineStr">
        <is>
          <t>Uptrend</t>
        </is>
      </c>
      <c r="BI140" s="30">
        <f>IF(BH140="Uptrend",10,IF(BH140="Sideways",5,0))</f>
        <v/>
      </c>
      <c r="BJ140" s="30" t="inlineStr">
        <is>
          <t>Blue sky scenario</t>
        </is>
      </c>
      <c r="BK140" s="30">
        <f>IF(BJ140="Overhead supply in last 2 years in last 2 years",-5,IF(BJ140="Close to 52 week high or retracement",5,IF(BJ140="Blue sky scenario",10,IF(BJ140="Long term Downtrend",-10,0))))</f>
        <v/>
      </c>
      <c r="BL140" s="30" t="inlineStr">
        <is>
          <t>Yes</t>
        </is>
      </c>
      <c r="BM140" s="30">
        <f>IF(BL140="Yes",10,0)</f>
        <v/>
      </c>
      <c r="BN140" s="30" t="inlineStr">
        <is>
          <t>Less than 12%</t>
        </is>
      </c>
      <c r="BO140" s="30">
        <f>IF(BN140="More than 20%",10,IF(BN140="Between 12 to 20%",5,IF(BN140="Less than 12%",0,0)))</f>
        <v/>
      </c>
      <c r="BP140" s="30" t="inlineStr">
        <is>
          <t>No</t>
        </is>
      </c>
      <c r="BQ140" s="30">
        <f>IF(BP140="No",10,0)</f>
        <v/>
      </c>
      <c r="BR140" s="30" t="inlineStr">
        <is>
          <t>Yes</t>
        </is>
      </c>
      <c r="BS140" s="30">
        <f>IF(BR140="NO",5,0)</f>
        <v/>
      </c>
      <c r="BT140" s="30" t="inlineStr">
        <is>
          <t>Above 2</t>
        </is>
      </c>
      <c r="BU140" s="30">
        <f>IF(BT140="Above 2",0,IF(BT140="Between 1.5 to 2",5,IF(BT140="Less than 1.5",10,0)))</f>
        <v/>
      </c>
      <c r="BV140" s="30" t="inlineStr">
        <is>
          <t>Above 70%</t>
        </is>
      </c>
      <c r="BW140" s="30">
        <f>IF(BV140="Above 70%",10,IF(BV140="Between 50% to 70%",5,IF(BV140="Less than 50%",0,IF(BV140="Negative",-10,IF(BV140="Less than 50% and Borrowings are increasing",-5,0)))))</f>
        <v/>
      </c>
      <c r="BX140" s="30" t="inlineStr">
        <is>
          <t>Less than 0.7</t>
        </is>
      </c>
      <c r="BY140" s="30">
        <f>IF(BX140="More than 1.2",-10,IF(BX140="Between 0.7 to 1.2",0,IF(BX140="Less than 0.7",10,0)))</f>
        <v/>
      </c>
      <c r="BZ140" s="30" t="inlineStr">
        <is>
          <t>No</t>
        </is>
      </c>
      <c r="CA140" s="30">
        <f>IF(BZ140="Yes",-10,0)</f>
        <v/>
      </c>
      <c r="CB140" s="30" t="inlineStr">
        <is>
          <t>Less than 15%</t>
        </is>
      </c>
      <c r="CC140" s="30">
        <f>IF(CB140="More than 15%",-10,IF(CB140="Less than 15%",10,0))</f>
        <v/>
      </c>
      <c r="CD140" s="30" t="inlineStr">
        <is>
          <t>No</t>
        </is>
      </c>
      <c r="CE140" s="30">
        <f>IF(CD140="Yes, more than 10%",-10,IF(CD140="No",10,0))</f>
        <v/>
      </c>
    </row>
    <row r="141">
      <c r="A141" s="30">
        <f>IF(B141=0,"",RANK(B141,$B$2:$B$331,0))</f>
        <v/>
      </c>
      <c r="B141" s="31">
        <f>SUM(N141,Y141,AA141,AC141,AE141,AG141,AI141,AK141,AM141,AO141,AQ141,AS141,AU141,AW141,AY141,BA141,BC141,BE141,BG141,BI141,BK141,BM141,BO141,BQ141,BS141,BU141,BW141,BY141,CA141,CC141,CE141)</f>
        <v/>
      </c>
      <c r="C141" s="30" t="inlineStr">
        <is>
          <t>COMSYN</t>
        </is>
      </c>
      <c r="D141" s="30" t="inlineStr">
        <is>
          <t>Commercial Syn Bags Ltd</t>
        </is>
      </c>
      <c r="E141" s="30" t="inlineStr">
        <is>
          <t>industrials</t>
        </is>
      </c>
      <c r="F141" s="30" t="inlineStr">
        <is>
          <t>packaging</t>
        </is>
      </c>
      <c r="G141" s="30" t="inlineStr">
        <is>
          <t>smallcap</t>
        </is>
      </c>
      <c r="H141" s="31" t="n">
        <v>1214.82</v>
      </c>
      <c r="I141" s="31" t="n">
        <v>299</v>
      </c>
      <c r="J141" s="31" t="n">
        <v>-0.71</v>
      </c>
      <c r="K141" s="31" t="n">
        <v>468907</v>
      </c>
      <c r="L141" s="30" t="n">
        <v>82</v>
      </c>
      <c r="M141" s="30" t="inlineStr">
        <is>
          <t>Outperforming</t>
        </is>
      </c>
      <c r="N141" s="31">
        <f>IF(M141="Underperforming",-5,IF(L141&gt;=95,15,IF(L141&gt;=90,10,IF(L141&gt;=80,5,0))))</f>
        <v/>
      </c>
      <c r="O141" s="31" t="n">
        <v>79.81999999999999</v>
      </c>
      <c r="P141" s="31" t="n">
        <v>70.51000000000001</v>
      </c>
      <c r="Q141" s="31" t="n">
        <v>227.54</v>
      </c>
      <c r="R141" s="30" t="inlineStr">
        <is>
          <t>Near 52W High Breakout</t>
        </is>
      </c>
      <c r="S141" s="30" t="inlineStr">
        <is>
          <t>Nifty 50</t>
        </is>
      </c>
      <c r="T141" s="31" t="n">
        <v>-6.52</v>
      </c>
      <c r="U141" s="31" t="n">
        <v>93.89</v>
      </c>
      <c r="V141" s="31" t="n">
        <v>107.4</v>
      </c>
      <c r="W141" s="31" t="n">
        <v>32.62</v>
      </c>
      <c r="X141" s="30" t="inlineStr">
        <is>
          <t>Cyclical in an Upturn</t>
        </is>
      </c>
      <c r="Y141" s="30">
        <f>IF(X141="Growing Industry",10,IF(X141="Cyclical in an Upturn",5,0))</f>
        <v/>
      </c>
      <c r="Z141" s="30" t="inlineStr">
        <is>
          <t>Too Many Players with High ROCE</t>
        </is>
      </c>
      <c r="AA141" s="30">
        <f>IF(Z141="Monopoly",10,IF(Z141="Oligopoly",5,IF(Z141="Duopoly that cooperate",10,IF(Z141="Duopoly that compete",5,IF(Z141="Too many players with High ROCE",5,0)))))</f>
        <v/>
      </c>
      <c r="AB141" s="30" t="inlineStr">
        <is>
          <t>No</t>
        </is>
      </c>
      <c r="AC141" s="30">
        <f>IF(AB141="No",5,0)</f>
        <v/>
      </c>
      <c r="AD141" s="30" t="inlineStr">
        <is>
          <t>Tailwind</t>
        </is>
      </c>
      <c r="AE141" s="30">
        <f>IF(AD141="Tailwind",10,0)</f>
        <v/>
      </c>
      <c r="AF141" s="30" t="inlineStr">
        <is>
          <t>Structural (10 Years Consistency)</t>
        </is>
      </c>
      <c r="AG141" s="30">
        <f>IF(AF141="Structural (10 Years Consistency)",10,IF(AF141="Shallow Cyclical (2 to 3 years growth)",5,0))</f>
        <v/>
      </c>
      <c r="AH141" s="30" t="inlineStr">
        <is>
          <t>No</t>
        </is>
      </c>
      <c r="AI141" s="30">
        <f>IF(AH141="Yes due to Product Mix change or Operating Leverage",10,IF(AH141="Yes, these are peak margins",-5,IF(AH141="No",5,0)))</f>
        <v/>
      </c>
      <c r="AJ141" s="30" t="inlineStr">
        <is>
          <t>Stable</t>
        </is>
      </c>
      <c r="AK141" s="30">
        <f>IF(AJ141="Stable",10,0)</f>
        <v/>
      </c>
      <c r="AL141" s="30" t="inlineStr">
        <is>
          <t>Yes</t>
        </is>
      </c>
      <c r="AM141" s="30">
        <f>IF(AL141="Yes",10,0)</f>
        <v/>
      </c>
      <c r="AN141" s="30" t="inlineStr">
        <is>
          <t>B2B</t>
        </is>
      </c>
      <c r="AO141" s="30">
        <f>IF(AN141="B2C",10,IF(AN141="B2B",5,0))</f>
        <v/>
      </c>
      <c r="AP141" s="30" t="inlineStr">
        <is>
          <t>Yes</t>
        </is>
      </c>
      <c r="AQ141" s="30">
        <f>IF(AP141="Yes",10,0)</f>
        <v/>
      </c>
      <c r="AR141" s="30" t="inlineStr">
        <is>
          <t>Higher One Time, Lower Annuity</t>
        </is>
      </c>
      <c r="AS141" s="30">
        <f>IF(AR141="Fully Annuity",10,IF(AR141="Higher Annuity, Lower One Time",5,IF(AR141="Higher One Time, Lower Annuity",3,0)))</f>
        <v/>
      </c>
      <c r="AT141" s="30" t="inlineStr">
        <is>
          <t>Good</t>
        </is>
      </c>
      <c r="AU141" s="30">
        <f>IF(AT141="Good",10,0)</f>
        <v/>
      </c>
      <c r="AV141" s="30" t="inlineStr">
        <is>
          <t>Yes for more than 2 years</t>
        </is>
      </c>
      <c r="AW141" s="30">
        <f>IF(AV141="Yes for more than 2 years",10,IF(AV141="Yes only for next 1 to 2 years",5,0))</f>
        <v/>
      </c>
      <c r="AX141" s="30" t="inlineStr">
        <is>
          <t>Above 40</t>
        </is>
      </c>
      <c r="AY141" s="30">
        <f>IF(AX141="Above 40",20,IF(AX141="20 to 40",10,IF(AX141="0 to 20",-5,0)))</f>
        <v/>
      </c>
      <c r="AZ141" s="30" t="inlineStr">
        <is>
          <t>Above 75</t>
        </is>
      </c>
      <c r="BA141" s="30">
        <f>IF(AZ141="Between 50 to 75",10,IF(AZ141="Above 75",0,0))</f>
        <v/>
      </c>
      <c r="BB141" s="30" t="inlineStr">
        <is>
          <t>Stage 2</t>
        </is>
      </c>
      <c r="BC141" s="30">
        <f>IF(BB141="Stage 2",20,IF(BB141="Stage 1",0,IF(BB141="Stage 3",5,IF(BB141="Stage 4",-5,0))))</f>
        <v/>
      </c>
      <c r="BD141" s="30" t="inlineStr">
        <is>
          <t>Positive Trend</t>
        </is>
      </c>
      <c r="BE141" s="30">
        <f>IF(BD141="Positive Trend",20,IF(BD141="Negative Trend",-10,0))</f>
        <v/>
      </c>
      <c r="BF141" s="30" t="inlineStr">
        <is>
          <t>Uptrend</t>
        </is>
      </c>
      <c r="BG141" s="30">
        <f>IF(BF141="Uptrend",10,IF(BF141="Sideways",5,0))</f>
        <v/>
      </c>
      <c r="BH141" s="30" t="inlineStr">
        <is>
          <t>Uptrend</t>
        </is>
      </c>
      <c r="BI141" s="30">
        <f>IF(BH141="Uptrend",10,IF(BH141="Sideways",5,0))</f>
        <v/>
      </c>
      <c r="BJ141" s="30" t="inlineStr">
        <is>
          <t>Blue sky scenario</t>
        </is>
      </c>
      <c r="BK141" s="30">
        <f>IF(BJ141="Overhead supply in last 2 years in last 2 years",-5,IF(BJ141="Close to 52 week high or retracement",5,IF(BJ141="Blue sky scenario",10,IF(BJ141="Long term Downtrend",-10,0))))</f>
        <v/>
      </c>
      <c r="BL141" s="30" t="inlineStr">
        <is>
          <t>Yes</t>
        </is>
      </c>
      <c r="BM141" s="30">
        <f>IF(BL141="Yes",10,0)</f>
        <v/>
      </c>
      <c r="BN141" s="30" t="inlineStr">
        <is>
          <t>More than 20%</t>
        </is>
      </c>
      <c r="BO141" s="30">
        <f>IF(BN141="More than 20%",10,IF(BN141="Between 12 to 20%",5,IF(BN141="Less than 12%",0,0)))</f>
        <v/>
      </c>
      <c r="BP141" s="30" t="inlineStr">
        <is>
          <t>No</t>
        </is>
      </c>
      <c r="BQ141" s="30">
        <f>IF(BP141="No",10,0)</f>
        <v/>
      </c>
      <c r="BR141" s="30" t="inlineStr">
        <is>
          <t>Yes</t>
        </is>
      </c>
      <c r="BS141" s="30">
        <f>IF(BR141="NO",5,0)</f>
        <v/>
      </c>
      <c r="BT141" s="30" t="inlineStr">
        <is>
          <t>Less than 1.5</t>
        </is>
      </c>
      <c r="BU141" s="30">
        <f>IF(BT141="Above 2",0,IF(BT141="Between 1.5 to 2",5,IF(BT141="Less than 1.5",10,0)))</f>
        <v/>
      </c>
      <c r="BV141" s="30" t="inlineStr">
        <is>
          <t>Above 70%</t>
        </is>
      </c>
      <c r="BW141" s="30">
        <f>IF(BV141="Above 70%",10,IF(BV141="Between 50% to 70%",5,IF(BV141="Less than 50%",0,IF(BV141="Negative",-10,IF(BV141="Less than 50% and Borrowings are increasing",-5,0)))))</f>
        <v/>
      </c>
      <c r="BX141" s="30" t="inlineStr">
        <is>
          <t>Between 0.7 to 1.2</t>
        </is>
      </c>
      <c r="BY141" s="30">
        <f>IF(BX141="More than 1.2",-10,IF(BX141="Between 0.7 to 1.2",0,IF(BX141="Less than 0.7",10,0)))</f>
        <v/>
      </c>
      <c r="BZ141" s="30" t="inlineStr">
        <is>
          <t>No</t>
        </is>
      </c>
      <c r="CA141" s="30">
        <f>IF(BZ141="Yes",-10,0)</f>
        <v/>
      </c>
      <c r="CB141" s="30" t="inlineStr">
        <is>
          <t>Less than 15%</t>
        </is>
      </c>
      <c r="CC141" s="30">
        <f>IF(CB141="More than 15%",-10,IF(CB141="Less than 15%",10,0))</f>
        <v/>
      </c>
      <c r="CD141" s="30" t="inlineStr">
        <is>
          <t>No</t>
        </is>
      </c>
      <c r="CE141" s="30">
        <f>IF(CD141="Yes, more than 10%",-10,IF(CD141="No",10,0))</f>
        <v/>
      </c>
    </row>
    <row r="142">
      <c r="A142" s="30">
        <f>IF(B142=0,"",RANK(B142,$B$2:$B$331,0))</f>
        <v/>
      </c>
      <c r="B142" s="31">
        <f>SUM(N142,Y142,AA142,AC142,AE142,AG142,AI142,AK142,AM142,AO142,AQ142,AS142,AU142,AW142,AY142,BA142,BC142,BE142,BG142,BI142,BK142,BM142,BO142,BQ142,BS142,BU142,BW142,BY142,CA142,CC142,CE142)</f>
        <v/>
      </c>
      <c r="C142" s="30" t="inlineStr">
        <is>
          <t>RISHABH</t>
        </is>
      </c>
      <c r="D142" s="30" t="inlineStr">
        <is>
          <t>Rishabh Instruments Ltd</t>
        </is>
      </c>
      <c r="E142" s="30" t="inlineStr">
        <is>
          <t>industrials</t>
        </is>
      </c>
      <c r="F142" s="30" t="inlineStr">
        <is>
          <t>electric equipment</t>
        </is>
      </c>
      <c r="G142" s="30" t="inlineStr">
        <is>
          <t>smallcap</t>
        </is>
      </c>
      <c r="H142" s="31" t="n">
        <v>3144.97</v>
      </c>
      <c r="I142" s="31" t="n">
        <v>809.55</v>
      </c>
      <c r="J142" s="31" t="n">
        <v>-0.78</v>
      </c>
      <c r="K142" s="31" t="n">
        <v>171348</v>
      </c>
      <c r="L142" s="30" t="n">
        <v>90</v>
      </c>
      <c r="M142" s="30" t="inlineStr">
        <is>
          <t>Outperforming</t>
        </is>
      </c>
      <c r="N142" s="31">
        <f>IF(M142="Underperforming",-5,IF(L142&gt;=95,15,IF(L142&gt;=90,10,IF(L142&gt;=80,5,0))))</f>
        <v/>
      </c>
      <c r="O142" s="31" t="n">
        <v>79.39</v>
      </c>
      <c r="P142" s="31" t="n">
        <v>48.64</v>
      </c>
      <c r="Q142" s="31" t="n">
        <v>612.17</v>
      </c>
      <c r="R142" s="30" t="inlineStr">
        <is>
          <t>Near 52W High Breakout</t>
        </is>
      </c>
      <c r="S142" s="30" t="inlineStr">
        <is>
          <t>Nifty Infra</t>
        </is>
      </c>
      <c r="T142" s="31" t="n">
        <v>0.74</v>
      </c>
      <c r="U142" s="31" t="n">
        <v>185</v>
      </c>
      <c r="V142" s="31" t="n">
        <v>182.91</v>
      </c>
      <c r="W142" s="31" t="n">
        <v>40</v>
      </c>
      <c r="X142" s="30" t="inlineStr">
        <is>
          <t>Cyclical in an Upturn</t>
        </is>
      </c>
      <c r="Y142" s="30">
        <f>IF(X142="Growing Industry",10,IF(X142="Cyclical in an Upturn",5,0))</f>
        <v/>
      </c>
      <c r="Z142" s="30" t="inlineStr">
        <is>
          <t>Too Many Players with High ROCE</t>
        </is>
      </c>
      <c r="AA142" s="30">
        <f>IF(Z142="Monopoly",10,IF(Z142="Oligopoly",5,IF(Z142="Duopoly that cooperate",10,IF(Z142="Duopoly that compete",5,IF(Z142="Too many players with High ROCE",5,0)))))</f>
        <v/>
      </c>
      <c r="AB142" s="30" t="inlineStr">
        <is>
          <t>No</t>
        </is>
      </c>
      <c r="AC142" s="30">
        <f>IF(AB142="No",5,0)</f>
        <v/>
      </c>
      <c r="AD142" s="30" t="inlineStr">
        <is>
          <t>Tailwind</t>
        </is>
      </c>
      <c r="AE142" s="30">
        <f>IF(AD142="Tailwind",10,0)</f>
        <v/>
      </c>
      <c r="AF142" s="30" t="inlineStr">
        <is>
          <t>Structural (10 Years Consistency)</t>
        </is>
      </c>
      <c r="AG142" s="30">
        <f>IF(AF142="Structural (10 Years Consistency)",10,IF(AF142="Shallow Cyclical (2 to 3 years growth)",5,0))</f>
        <v/>
      </c>
      <c r="AH142" s="30" t="inlineStr">
        <is>
          <t>No</t>
        </is>
      </c>
      <c r="AI142" s="30">
        <f>IF(AH142="Yes due to Product Mix change or Operating Leverage",10,IF(AH142="Yes, these are peak margins",-5,IF(AH142="No",5,0)))</f>
        <v/>
      </c>
      <c r="AJ142" s="30" t="inlineStr">
        <is>
          <t>Stable</t>
        </is>
      </c>
      <c r="AK142" s="30">
        <f>IF(AJ142="Stable",10,0)</f>
        <v/>
      </c>
      <c r="AL142" s="30" t="inlineStr">
        <is>
          <t>Yes</t>
        </is>
      </c>
      <c r="AM142" s="30">
        <f>IF(AL142="Yes",10,0)</f>
        <v/>
      </c>
      <c r="AN142" s="30" t="inlineStr">
        <is>
          <t>B2B</t>
        </is>
      </c>
      <c r="AO142" s="30">
        <f>IF(AN142="B2C",10,IF(AN142="B2B",5,0))</f>
        <v/>
      </c>
      <c r="AP142" s="30" t="inlineStr">
        <is>
          <t>Yes</t>
        </is>
      </c>
      <c r="AQ142" s="30">
        <f>IF(AP142="Yes",10,0)</f>
        <v/>
      </c>
      <c r="AR142" s="30" t="inlineStr">
        <is>
          <t>Higher One Time, Lower Annuity</t>
        </is>
      </c>
      <c r="AS142" s="30">
        <f>IF(AR142="Fully Annuity",10,IF(AR142="Higher Annuity, Lower One Time",5,IF(AR142="Higher One Time, Lower Annuity",3,0)))</f>
        <v/>
      </c>
      <c r="AT142" s="30" t="inlineStr">
        <is>
          <t>Good</t>
        </is>
      </c>
      <c r="AU142" s="30">
        <f>IF(AT142="Good",10,0)</f>
        <v/>
      </c>
      <c r="AV142" s="30" t="inlineStr">
        <is>
          <t>Yes for more than 2 years</t>
        </is>
      </c>
      <c r="AW142" s="30">
        <f>IF(AV142="Yes for more than 2 years",10,IF(AV142="Yes only for next 1 to 2 years",5,0))</f>
        <v/>
      </c>
      <c r="AX142" s="30" t="inlineStr">
        <is>
          <t>Above 40</t>
        </is>
      </c>
      <c r="AY142" s="30">
        <f>IF(AX142="Above 40",20,IF(AX142="20 to 40",10,IF(AX142="0 to 20",-5,0)))</f>
        <v/>
      </c>
      <c r="AZ142" s="30" t="inlineStr">
        <is>
          <t>Above 75</t>
        </is>
      </c>
      <c r="BA142" s="30">
        <f>IF(AZ142="Between 50 to 75",10,IF(AZ142="Above 75",0,0))</f>
        <v/>
      </c>
      <c r="BB142" s="30" t="inlineStr">
        <is>
          <t>Stage 2</t>
        </is>
      </c>
      <c r="BC142" s="30">
        <f>IF(BB142="Stage 2",20,IF(BB142="Stage 1",0,IF(BB142="Stage 3",5,IF(BB142="Stage 4",-5,0))))</f>
        <v/>
      </c>
      <c r="BD142" s="30" t="inlineStr">
        <is>
          <t>Positive Trend</t>
        </is>
      </c>
      <c r="BE142" s="30">
        <f>IF(BD142="Positive Trend",20,IF(BD142="Negative Trend",-10,0))</f>
        <v/>
      </c>
      <c r="BF142" s="30" t="inlineStr">
        <is>
          <t>Uptrend</t>
        </is>
      </c>
      <c r="BG142" s="30">
        <f>IF(BF142="Uptrend",10,IF(BF142="Sideways",5,0))</f>
        <v/>
      </c>
      <c r="BH142" s="30" t="inlineStr">
        <is>
          <t>Uptrend</t>
        </is>
      </c>
      <c r="BI142" s="30">
        <f>IF(BH142="Uptrend",10,IF(BH142="Sideways",5,0))</f>
        <v/>
      </c>
      <c r="BJ142" s="30" t="inlineStr">
        <is>
          <t>Blue sky scenario</t>
        </is>
      </c>
      <c r="BK142" s="30">
        <f>IF(BJ142="Overhead supply in last 2 years in last 2 years",-5,IF(BJ142="Close to 52 week high or retracement",5,IF(BJ142="Blue sky scenario",10,IF(BJ142="Long term Downtrend",-10,0))))</f>
        <v/>
      </c>
      <c r="BL142" s="30" t="inlineStr">
        <is>
          <t>Yes</t>
        </is>
      </c>
      <c r="BM142" s="30">
        <f>IF(BL142="Yes",10,0)</f>
        <v/>
      </c>
      <c r="BN142" s="30" t="inlineStr">
        <is>
          <t>Less than 12%</t>
        </is>
      </c>
      <c r="BO142" s="30">
        <f>IF(BN142="More than 20%",10,IF(BN142="Between 12 to 20%",5,IF(BN142="Less than 12%",0,0)))</f>
        <v/>
      </c>
      <c r="BP142" s="30" t="inlineStr">
        <is>
          <t>No</t>
        </is>
      </c>
      <c r="BQ142" s="30">
        <f>IF(BP142="No",10,0)</f>
        <v/>
      </c>
      <c r="BR142" s="30" t="inlineStr">
        <is>
          <t>No</t>
        </is>
      </c>
      <c r="BS142" s="30">
        <f>IF(BR142="NO",5,0)</f>
        <v/>
      </c>
      <c r="BT142" s="30" t="inlineStr">
        <is>
          <t>Above 2</t>
        </is>
      </c>
      <c r="BU142" s="30">
        <f>IF(BT142="Above 2",0,IF(BT142="Between 1.5 to 2",5,IF(BT142="Less than 1.5",10,0)))</f>
        <v/>
      </c>
      <c r="BV142" s="30" t="inlineStr">
        <is>
          <t>Above 70%</t>
        </is>
      </c>
      <c r="BW142" s="30">
        <f>IF(BV142="Above 70%",10,IF(BV142="Between 50% to 70%",5,IF(BV142="Less than 50%",0,IF(BV142="Negative",-10,IF(BV142="Less than 50% and Borrowings are increasing",-5,0)))))</f>
        <v/>
      </c>
      <c r="BX142" s="30" t="inlineStr">
        <is>
          <t>Less than 0.7</t>
        </is>
      </c>
      <c r="BY142" s="30">
        <f>IF(BX142="More than 1.2",-10,IF(BX142="Between 0.7 to 1.2",0,IF(BX142="Less than 0.7",10,0)))</f>
        <v/>
      </c>
      <c r="BZ142" s="30" t="inlineStr">
        <is>
          <t>No</t>
        </is>
      </c>
      <c r="CA142" s="30">
        <f>IF(BZ142="Yes",-10,0)</f>
        <v/>
      </c>
      <c r="CB142" s="30" t="inlineStr">
        <is>
          <t>Less than 15%</t>
        </is>
      </c>
      <c r="CC142" s="30">
        <f>IF(CB142="More than 15%",-10,IF(CB142="Less than 15%",10,0))</f>
        <v/>
      </c>
      <c r="CD142" s="30" t="inlineStr">
        <is>
          <t>No</t>
        </is>
      </c>
      <c r="CE142" s="30">
        <f>IF(CD142="Yes, more than 10%",-10,IF(CD142="No",10,0))</f>
        <v/>
      </c>
    </row>
    <row r="143">
      <c r="A143" s="30">
        <f>IF(B143=0,"",RANK(B143,$B$2:$B$331,0))</f>
        <v/>
      </c>
      <c r="B143" s="31">
        <f>SUM(N143,Y143,AA143,AC143,AE143,AG143,AI143,AK143,AM143,AO143,AQ143,AS143,AU143,AW143,AY143,BA143,BC143,BE143,BG143,BI143,BK143,BM143,BO143,BQ143,BS143,BU143,BW143,BY143,CA143,CC143,CE143)</f>
        <v/>
      </c>
      <c r="C143" s="30" t="inlineStr">
        <is>
          <t>ADANIENT</t>
        </is>
      </c>
      <c r="D143" s="30" t="inlineStr">
        <is>
          <t>Adani Enterprises Limited</t>
        </is>
      </c>
      <c r="E143" s="30" t="inlineStr">
        <is>
          <t>services</t>
        </is>
      </c>
      <c r="F143" s="30" t="inlineStr">
        <is>
          <t>trading</t>
        </is>
      </c>
      <c r="G143" s="30" t="inlineStr">
        <is>
          <t>largecap</t>
        </is>
      </c>
      <c r="H143" s="31" t="n">
        <v>420290.26</v>
      </c>
      <c r="I143" s="31" t="n">
        <v>3077.2</v>
      </c>
      <c r="J143" s="31" t="n">
        <v>-0.89</v>
      </c>
      <c r="K143" s="31" t="n">
        <v>1716315</v>
      </c>
      <c r="L143" s="30" t="n">
        <v>26</v>
      </c>
      <c r="M143" s="30" t="inlineStr">
        <is>
          <t>Outperforming</t>
        </is>
      </c>
      <c r="N143" s="31">
        <f>IF(M143="Underperforming",-5,IF(L143&gt;=95,15,IF(L143&gt;=90,10,IF(L143&gt;=80,5,0))))</f>
        <v/>
      </c>
      <c r="O143" s="31" t="n">
        <v>60.46</v>
      </c>
      <c r="P143" s="31" t="n">
        <v>39.54</v>
      </c>
      <c r="Q143" s="31" t="n">
        <v>2669.64</v>
      </c>
      <c r="R143" s="30" t="inlineStr">
        <is>
          <t>Near 52W High Breakout</t>
        </is>
      </c>
      <c r="S143" s="30" t="inlineStr">
        <is>
          <t>Nifty 50</t>
        </is>
      </c>
      <c r="T143" s="31" t="n">
        <v>-6.52</v>
      </c>
      <c r="U143" s="31" t="n">
        <v>28.7</v>
      </c>
      <c r="V143" s="31" t="n">
        <v>37.67</v>
      </c>
      <c r="W143" s="31" t="n">
        <v>8.210000000000001</v>
      </c>
      <c r="X143" s="30" t="inlineStr">
        <is>
          <t>Growing Industry</t>
        </is>
      </c>
      <c r="Y143" s="30">
        <f>IF(X143="Growing Industry",10,IF(X143="Cyclical in an Upturn",5,0))</f>
        <v/>
      </c>
      <c r="Z143" s="30" t="inlineStr">
        <is>
          <t>Too Many Players with High ROCE</t>
        </is>
      </c>
      <c r="AA143" s="30">
        <f>IF(Z143="Monopoly",10,IF(Z143="Oligopoly",5,IF(Z143="Duopoly that cooperate",10,IF(Z143="Duopoly that compete",5,IF(Z143="Too many players with High ROCE",5,0)))))</f>
        <v/>
      </c>
      <c r="AB143" s="30" t="inlineStr">
        <is>
          <t>No</t>
        </is>
      </c>
      <c r="AC143" s="30">
        <f>IF(AB143="No",5,0)</f>
        <v/>
      </c>
      <c r="AD143" s="30" t="inlineStr">
        <is>
          <t>Tailwind</t>
        </is>
      </c>
      <c r="AE143" s="30">
        <f>IF(AD143="Tailwind",10,0)</f>
        <v/>
      </c>
      <c r="AF143" s="30" t="inlineStr">
        <is>
          <t>Structural (10 Years Consistency)</t>
        </is>
      </c>
      <c r="AG143" s="30">
        <f>IF(AF143="Structural (10 Years Consistency)",10,IF(AF143="Shallow Cyclical (2 to 3 years growth)",5,0))</f>
        <v/>
      </c>
      <c r="AH143" s="30" t="inlineStr">
        <is>
          <t>No</t>
        </is>
      </c>
      <c r="AI143" s="30">
        <f>IF(AH143="Yes due to Product Mix change or Operating Leverage",10,IF(AH143="Yes, these are peak margins",-5,IF(AH143="No",5,0)))</f>
        <v/>
      </c>
      <c r="AJ143" s="30" t="inlineStr">
        <is>
          <t>Stable</t>
        </is>
      </c>
      <c r="AK143" s="30">
        <f>IF(AJ143="Stable",10,0)</f>
        <v/>
      </c>
      <c r="AL143" s="30" t="inlineStr">
        <is>
          <t>Yes</t>
        </is>
      </c>
      <c r="AM143" s="30">
        <f>IF(AL143="Yes",10,0)</f>
        <v/>
      </c>
      <c r="AN143" s="30" t="inlineStr">
        <is>
          <t>B2B</t>
        </is>
      </c>
      <c r="AO143" s="30">
        <f>IF(AN143="B2C",10,IF(AN143="B2B",5,0))</f>
        <v/>
      </c>
      <c r="AP143" s="30" t="inlineStr">
        <is>
          <t>Yes</t>
        </is>
      </c>
      <c r="AQ143" s="30">
        <f>IF(AP143="Yes",10,0)</f>
        <v/>
      </c>
      <c r="AR143" s="30" t="inlineStr">
        <is>
          <t>Higher One Time, Lower Annuity</t>
        </is>
      </c>
      <c r="AS143" s="30">
        <f>IF(AR143="Fully Annuity",10,IF(AR143="Higher Annuity, Lower One Time",5,IF(AR143="Higher One Time, Lower Annuity",3,0)))</f>
        <v/>
      </c>
      <c r="AT143" s="30" t="inlineStr">
        <is>
          <t>Good</t>
        </is>
      </c>
      <c r="AU143" s="30">
        <f>IF(AT143="Good",10,0)</f>
        <v/>
      </c>
      <c r="AV143" s="30" t="inlineStr">
        <is>
          <t>Yes for more than 2 years</t>
        </is>
      </c>
      <c r="AW143" s="30">
        <f>IF(AV143="Yes for more than 2 years",10,IF(AV143="Yes only for next 1 to 2 years",5,0))</f>
        <v/>
      </c>
      <c r="AX143" s="30" t="inlineStr">
        <is>
          <t>20 to 40</t>
        </is>
      </c>
      <c r="AY143" s="30">
        <f>IF(AX143="Above 40",20,IF(AX143="20 to 40",10,IF(AX143="0 to 20",-5,0)))</f>
        <v/>
      </c>
      <c r="AZ143" s="30" t="inlineStr">
        <is>
          <t>Between 50 to 75</t>
        </is>
      </c>
      <c r="BA143" s="30">
        <f>IF(AZ143="Between 50 to 75",10,IF(AZ143="Above 75",0,0))</f>
        <v/>
      </c>
      <c r="BB143" s="30" t="inlineStr">
        <is>
          <t>Stage 2</t>
        </is>
      </c>
      <c r="BC143" s="30">
        <f>IF(BB143="Stage 2",20,IF(BB143="Stage 1",0,IF(BB143="Stage 3",5,IF(BB143="Stage 4",-5,0))))</f>
        <v/>
      </c>
      <c r="BD143" s="30" t="inlineStr">
        <is>
          <t>Positive Trend</t>
        </is>
      </c>
      <c r="BE143" s="30">
        <f>IF(BD143="Positive Trend",20,IF(BD143="Negative Trend",-10,0))</f>
        <v/>
      </c>
      <c r="BF143" s="30" t="inlineStr">
        <is>
          <t>Uptrend</t>
        </is>
      </c>
      <c r="BG143" s="30">
        <f>IF(BF143="Uptrend",10,IF(BF143="Sideways",5,0))</f>
        <v/>
      </c>
      <c r="BH143" s="30" t="inlineStr">
        <is>
          <t>Uptrend</t>
        </is>
      </c>
      <c r="BI143" s="30">
        <f>IF(BH143="Uptrend",10,IF(BH143="Sideways",5,0))</f>
        <v/>
      </c>
      <c r="BJ143" s="30" t="inlineStr">
        <is>
          <t>Blue sky scenario</t>
        </is>
      </c>
      <c r="BK143" s="30">
        <f>IF(BJ143="Overhead supply in last 2 years in last 2 years",-5,IF(BJ143="Close to 52 week high or retracement",5,IF(BJ143="Blue sky scenario",10,IF(BJ143="Long term Downtrend",-10,0))))</f>
        <v/>
      </c>
      <c r="BL143" s="30" t="inlineStr">
        <is>
          <t>Yes</t>
        </is>
      </c>
      <c r="BM143" s="30">
        <f>IF(BL143="Yes",10,0)</f>
        <v/>
      </c>
      <c r="BN143" s="30" t="inlineStr">
        <is>
          <t>More than 20%</t>
        </is>
      </c>
      <c r="BO143" s="30">
        <f>IF(BN143="More than 20%",10,IF(BN143="Between 12 to 20%",5,IF(BN143="Less than 12%",0,0)))</f>
        <v/>
      </c>
      <c r="BP143" s="30" t="inlineStr">
        <is>
          <t>No</t>
        </is>
      </c>
      <c r="BQ143" s="30">
        <f>IF(BP143="No",10,0)</f>
        <v/>
      </c>
      <c r="BR143" s="30" t="inlineStr">
        <is>
          <t>Yes</t>
        </is>
      </c>
      <c r="BS143" s="30">
        <f>IF(BR143="NO",5,0)</f>
        <v/>
      </c>
      <c r="BT143" s="30" t="inlineStr">
        <is>
          <t>Less than 1.5</t>
        </is>
      </c>
      <c r="BU143" s="30">
        <f>IF(BT143="Above 2",0,IF(BT143="Between 1.5 to 2",5,IF(BT143="Less than 1.5",10,0)))</f>
        <v/>
      </c>
      <c r="BV143" s="30" t="inlineStr">
        <is>
          <t>Above 70%</t>
        </is>
      </c>
      <c r="BW143" s="30">
        <f>IF(BV143="Above 70%",10,IF(BV143="Between 50% to 70%",5,IF(BV143="Less than 50%",0,IF(BV143="Negative",-10,IF(BV143="Less than 50% and Borrowings are increasing",-5,0)))))</f>
        <v/>
      </c>
      <c r="BX143" s="30" t="inlineStr">
        <is>
          <t>Between 0.7 to 1.2</t>
        </is>
      </c>
      <c r="BY143" s="30">
        <f>IF(BX143="More than 1.2",-10,IF(BX143="Between 0.7 to 1.2",0,IF(BX143="Less than 0.7",10,0)))</f>
        <v/>
      </c>
      <c r="BZ143" s="30" t="inlineStr">
        <is>
          <t>No</t>
        </is>
      </c>
      <c r="CA143" s="30">
        <f>IF(BZ143="Yes",-10,0)</f>
        <v/>
      </c>
      <c r="CB143" s="30" t="inlineStr">
        <is>
          <t>Less than 15%</t>
        </is>
      </c>
      <c r="CC143" s="30">
        <f>IF(CB143="More than 15%",-10,IF(CB143="Less than 15%",10,0))</f>
        <v/>
      </c>
      <c r="CD143" s="30" t="inlineStr">
        <is>
          <t>No</t>
        </is>
      </c>
      <c r="CE143" s="30">
        <f>IF(CD143="Yes, more than 10%",-10,IF(CD143="No",10,0))</f>
        <v/>
      </c>
    </row>
    <row r="144">
      <c r="A144" s="30">
        <f>IF(B144=0,"",RANK(B144,$B$2:$B$331,0))</f>
        <v/>
      </c>
      <c r="B144" s="31">
        <f>SUM(N144,Y144,AA144,AC144,AE144,AG144,AI144,AK144,AM144,AO144,AQ144,AS144,AU144,AW144,AY144,BA144,BC144,BE144,BG144,BI144,BK144,BM144,BO144,BQ144,BS144,BU144,BW144,BY144,CA144,CC144,CE144)</f>
        <v/>
      </c>
      <c r="C144" s="30" t="inlineStr">
        <is>
          <t>UNIMECH</t>
        </is>
      </c>
      <c r="D144" s="30" t="inlineStr">
        <is>
          <t>Unimech Aerospace and Manufacturing Ltd</t>
        </is>
      </c>
      <c r="E144" s="30" t="inlineStr">
        <is>
          <t>aerospace &amp; defence</t>
        </is>
      </c>
      <c r="F144" s="30" t="inlineStr">
        <is>
          <t>engineering</t>
        </is>
      </c>
      <c r="G144" s="30" t="inlineStr">
        <is>
          <t>midcap</t>
        </is>
      </c>
      <c r="H144" s="31" t="n">
        <v>8067.94</v>
      </c>
      <c r="I144" s="31" t="n">
        <v>1568.1</v>
      </c>
      <c r="J144" s="31" t="n">
        <v>-1.15</v>
      </c>
      <c r="K144" s="31" t="n">
        <v>132067</v>
      </c>
      <c r="L144" s="30" t="n">
        <v>66</v>
      </c>
      <c r="M144" s="30" t="inlineStr">
        <is>
          <t>Outperforming</t>
        </is>
      </c>
      <c r="N144" s="31">
        <f>IF(M144="Underperforming",-5,IF(L144&gt;=95,15,IF(L144&gt;=90,10,IF(L144&gt;=80,5,0))))</f>
        <v/>
      </c>
      <c r="O144" s="31" t="n">
        <v>75.62</v>
      </c>
      <c r="P144" s="31" t="n">
        <v>44.06</v>
      </c>
      <c r="Q144" s="31" t="n">
        <v>1205.93</v>
      </c>
      <c r="R144" s="30" t="inlineStr">
        <is>
          <t>Near 52W High Breakout</t>
        </is>
      </c>
      <c r="S144" s="30" t="inlineStr">
        <is>
          <t>Nifty Infra</t>
        </is>
      </c>
      <c r="T144" s="31" t="n">
        <v>0.74</v>
      </c>
      <c r="U144" s="31" t="n">
        <v>36.5</v>
      </c>
      <c r="V144" s="31" t="n">
        <v>35.5</v>
      </c>
      <c r="W144" s="31" t="n">
        <v>20.91</v>
      </c>
      <c r="X144" s="30" t="inlineStr">
        <is>
          <t>Growing Industry</t>
        </is>
      </c>
      <c r="Y144" s="30">
        <f>IF(X144="Growing Industry",10,IF(X144="Cyclical in an Upturn",5,0))</f>
        <v/>
      </c>
      <c r="Z144" s="30" t="inlineStr">
        <is>
          <t>Too Many Players with High ROCE</t>
        </is>
      </c>
      <c r="AA144" s="30">
        <f>IF(Z144="Monopoly",10,IF(Z144="Oligopoly",5,IF(Z144="Duopoly that cooperate",10,IF(Z144="Duopoly that compete",5,IF(Z144="Too many players with High ROCE",5,0)))))</f>
        <v/>
      </c>
      <c r="AB144" s="30" t="inlineStr">
        <is>
          <t>No</t>
        </is>
      </c>
      <c r="AC144" s="30">
        <f>IF(AB144="No",5,0)</f>
        <v/>
      </c>
      <c r="AD144" s="30" t="inlineStr">
        <is>
          <t>Tailwind</t>
        </is>
      </c>
      <c r="AE144" s="30">
        <f>IF(AD144="Tailwind",10,0)</f>
        <v/>
      </c>
      <c r="AF144" s="30" t="inlineStr">
        <is>
          <t>Structural (10 Years Consistency)</t>
        </is>
      </c>
      <c r="AG144" s="30">
        <f>IF(AF144="Structural (10 Years Consistency)",10,IF(AF144="Shallow Cyclical (2 to 3 years growth)",5,0))</f>
        <v/>
      </c>
      <c r="AH144" s="30" t="inlineStr">
        <is>
          <t>No</t>
        </is>
      </c>
      <c r="AI144" s="30">
        <f>IF(AH144="Yes due to Product Mix change or Operating Leverage",10,IF(AH144="Yes, these are peak margins",-5,IF(AH144="No",5,0)))</f>
        <v/>
      </c>
      <c r="AJ144" s="30" t="inlineStr">
        <is>
          <t>Stable</t>
        </is>
      </c>
      <c r="AK144" s="30">
        <f>IF(AJ144="Stable",10,0)</f>
        <v/>
      </c>
      <c r="AL144" s="30" t="inlineStr">
        <is>
          <t>Yes</t>
        </is>
      </c>
      <c r="AM144" s="30">
        <f>IF(AL144="Yes",10,0)</f>
        <v/>
      </c>
      <c r="AN144" s="30" t="inlineStr">
        <is>
          <t>B2B</t>
        </is>
      </c>
      <c r="AO144" s="30">
        <f>IF(AN144="B2C",10,IF(AN144="B2B",5,0))</f>
        <v/>
      </c>
      <c r="AP144" s="30" t="inlineStr">
        <is>
          <t>Yes</t>
        </is>
      </c>
      <c r="AQ144" s="30">
        <f>IF(AP144="Yes",10,0)</f>
        <v/>
      </c>
      <c r="AR144" s="30" t="inlineStr">
        <is>
          <t>Higher One Time, Lower Annuity</t>
        </is>
      </c>
      <c r="AS144" s="30">
        <f>IF(AR144="Fully Annuity",10,IF(AR144="Higher Annuity, Lower One Time",5,IF(AR144="Higher One Time, Lower Annuity",3,0)))</f>
        <v/>
      </c>
      <c r="AT144" s="30" t="inlineStr">
        <is>
          <t>Good</t>
        </is>
      </c>
      <c r="AU144" s="30">
        <f>IF(AT144="Good",10,0)</f>
        <v/>
      </c>
      <c r="AV144" s="30" t="inlineStr">
        <is>
          <t>Yes for more than 2 years</t>
        </is>
      </c>
      <c r="AW144" s="30">
        <f>IF(AV144="Yes for more than 2 years",10,IF(AV144="Yes only for next 1 to 2 years",5,0))</f>
        <v/>
      </c>
      <c r="AX144" s="30" t="inlineStr">
        <is>
          <t>Above 40</t>
        </is>
      </c>
      <c r="AY144" s="30">
        <f>IF(AX144="Above 40",20,IF(AX144="20 to 40",10,IF(AX144="0 to 20",-5,0)))</f>
        <v/>
      </c>
      <c r="AZ144" s="30" t="inlineStr">
        <is>
          <t>Above 75</t>
        </is>
      </c>
      <c r="BA144" s="30">
        <f>IF(AZ144="Between 50 to 75",10,IF(AZ144="Above 75",0,0))</f>
        <v/>
      </c>
      <c r="BB144" s="30" t="inlineStr">
        <is>
          <t>Stage 2</t>
        </is>
      </c>
      <c r="BC144" s="30">
        <f>IF(BB144="Stage 2",20,IF(BB144="Stage 1",0,IF(BB144="Stage 3",5,IF(BB144="Stage 4",-5,0))))</f>
        <v/>
      </c>
      <c r="BD144" s="30" t="inlineStr">
        <is>
          <t>Positive Trend</t>
        </is>
      </c>
      <c r="BE144" s="30">
        <f>IF(BD144="Positive Trend",20,IF(BD144="Negative Trend",-10,0))</f>
        <v/>
      </c>
      <c r="BF144" s="30" t="inlineStr">
        <is>
          <t>Uptrend</t>
        </is>
      </c>
      <c r="BG144" s="30">
        <f>IF(BF144="Uptrend",10,IF(BF144="Sideways",5,0))</f>
        <v/>
      </c>
      <c r="BH144" s="30" t="inlineStr">
        <is>
          <t>Uptrend</t>
        </is>
      </c>
      <c r="BI144" s="30">
        <f>IF(BH144="Uptrend",10,IF(BH144="Sideways",5,0))</f>
        <v/>
      </c>
      <c r="BJ144" s="30" t="inlineStr">
        <is>
          <t>Blue sky scenario</t>
        </is>
      </c>
      <c r="BK144" s="30">
        <f>IF(BJ144="Overhead supply in last 2 years in last 2 years",-5,IF(BJ144="Close to 52 week high or retracement",5,IF(BJ144="Blue sky scenario",10,IF(BJ144="Long term Downtrend",-10,0))))</f>
        <v/>
      </c>
      <c r="BL144" s="30" t="inlineStr">
        <is>
          <t>Yes</t>
        </is>
      </c>
      <c r="BM144" s="30">
        <f>IF(BL144="Yes",10,0)</f>
        <v/>
      </c>
      <c r="BN144" s="30" t="inlineStr">
        <is>
          <t>More than 20%</t>
        </is>
      </c>
      <c r="BO144" s="30">
        <f>IF(BN144="More than 20%",10,IF(BN144="Between 12 to 20%",5,IF(BN144="Less than 12%",0,0)))</f>
        <v/>
      </c>
      <c r="BP144" s="30" t="inlineStr">
        <is>
          <t>No</t>
        </is>
      </c>
      <c r="BQ144" s="30">
        <f>IF(BP144="No",10,0)</f>
        <v/>
      </c>
      <c r="BR144" s="30" t="inlineStr">
        <is>
          <t>Yes</t>
        </is>
      </c>
      <c r="BS144" s="30">
        <f>IF(BR144="NO",5,0)</f>
        <v/>
      </c>
      <c r="BT144" s="30" t="inlineStr">
        <is>
          <t>Above 2</t>
        </is>
      </c>
      <c r="BU144" s="30">
        <f>IF(BT144="Above 2",0,IF(BT144="Between 1.5 to 2",5,IF(BT144="Less than 1.5",10,0)))</f>
        <v/>
      </c>
      <c r="BV144" s="30" t="inlineStr">
        <is>
          <t>Above 70%</t>
        </is>
      </c>
      <c r="BW144" s="30">
        <f>IF(BV144="Above 70%",10,IF(BV144="Between 50% to 70%",5,IF(BV144="Less than 50%",0,IF(BV144="Negative",-10,IF(BV144="Less than 50% and Borrowings are increasing",-5,0)))))</f>
        <v/>
      </c>
      <c r="BX144" s="30" t="inlineStr">
        <is>
          <t>Less than 0.7</t>
        </is>
      </c>
      <c r="BY144" s="30">
        <f>IF(BX144="More than 1.2",-10,IF(BX144="Between 0.7 to 1.2",0,IF(BX144="Less than 0.7",10,0)))</f>
        <v/>
      </c>
      <c r="BZ144" s="30" t="inlineStr">
        <is>
          <t>No</t>
        </is>
      </c>
      <c r="CA144" s="30">
        <f>IF(BZ144="Yes",-10,0)</f>
        <v/>
      </c>
      <c r="CB144" s="30" t="inlineStr">
        <is>
          <t>Less than 15%</t>
        </is>
      </c>
      <c r="CC144" s="30">
        <f>IF(CB144="More than 15%",-10,IF(CB144="Less than 15%",10,0))</f>
        <v/>
      </c>
      <c r="CD144" s="30" t="inlineStr">
        <is>
          <t>No</t>
        </is>
      </c>
      <c r="CE144" s="30">
        <f>IF(CD144="Yes, more than 10%",-10,IF(CD144="No",10,0))</f>
        <v/>
      </c>
    </row>
    <row r="145">
      <c r="A145" s="30">
        <f>IF(B145=0,"",RANK(B145,$B$2:$B$331,0))</f>
        <v/>
      </c>
      <c r="B145" s="31">
        <f>SUM(N145,Y145,AA145,AC145,AE145,AG145,AI145,AK145,AM145,AO145,AQ145,AS145,AU145,AW145,AY145,BA145,BC145,BE145,BG145,BI145,BK145,BM145,BO145,BQ145,BS145,BU145,BW145,BY145,CA145,CC145,CE145)</f>
        <v/>
      </c>
      <c r="C145" s="30" t="inlineStr">
        <is>
          <t>STLTECH</t>
        </is>
      </c>
      <c r="D145" s="30" t="inlineStr">
        <is>
          <t>Sterlite Technologies Limited</t>
        </is>
      </c>
      <c r="E145" s="30" t="inlineStr">
        <is>
          <t>industrials</t>
        </is>
      </c>
      <c r="F145" s="30" t="inlineStr">
        <is>
          <t>cables - telephone</t>
        </is>
      </c>
      <c r="G145" s="30" t="inlineStr">
        <is>
          <t>largecap</t>
        </is>
      </c>
      <c r="H145" s="31" t="n">
        <v>44498.27</v>
      </c>
      <c r="I145" s="31" t="n">
        <v>854.75</v>
      </c>
      <c r="J145" s="31" t="n">
        <v>-1.29</v>
      </c>
      <c r="K145" s="31" t="n">
        <v>2260708</v>
      </c>
      <c r="L145" s="30" t="n">
        <v>99</v>
      </c>
      <c r="M145" s="30" t="inlineStr">
        <is>
          <t>Outperforming</t>
        </is>
      </c>
      <c r="N145" s="31">
        <f>IF(M145="Underperforming",-5,IF(L145&gt;=95,15,IF(L145&gt;=90,10,IF(L145&gt;=80,5,0))))</f>
        <v/>
      </c>
      <c r="O145" s="31" t="n">
        <v>81.63</v>
      </c>
      <c r="P145" s="31" t="n">
        <v>74.48999999999999</v>
      </c>
      <c r="Q145" s="31" t="n">
        <v>623.87</v>
      </c>
      <c r="R145" s="30" t="inlineStr">
        <is>
          <t>Near 52W High Breakout</t>
        </is>
      </c>
      <c r="S145" s="30" t="inlineStr">
        <is>
          <t>Nifty Infra</t>
        </is>
      </c>
      <c r="T145" s="31" t="n">
        <v>0.74</v>
      </c>
      <c r="U145" s="31" t="n">
        <v>628.75</v>
      </c>
      <c r="V145" s="31" t="n">
        <v>623.41</v>
      </c>
      <c r="W145" s="31" t="n">
        <v>123.8</v>
      </c>
      <c r="X145" s="30" t="inlineStr">
        <is>
          <t>Cyclical in an Upturn</t>
        </is>
      </c>
      <c r="Y145" s="30">
        <f>IF(X145="Growing Industry",10,IF(X145="Cyclical in an Upturn",5,0))</f>
        <v/>
      </c>
      <c r="Z145" s="30" t="inlineStr">
        <is>
          <t>Too Many Players with High ROCE</t>
        </is>
      </c>
      <c r="AA145" s="30">
        <f>IF(Z145="Monopoly",10,IF(Z145="Oligopoly",5,IF(Z145="Duopoly that cooperate",10,IF(Z145="Duopoly that compete",5,IF(Z145="Too many players with High ROCE",5,0)))))</f>
        <v/>
      </c>
      <c r="AB145" s="30" t="inlineStr">
        <is>
          <t>No</t>
        </is>
      </c>
      <c r="AC145" s="30">
        <f>IF(AB145="No",5,0)</f>
        <v/>
      </c>
      <c r="AD145" s="30" t="inlineStr">
        <is>
          <t>Tailwind</t>
        </is>
      </c>
      <c r="AE145" s="30">
        <f>IF(AD145="Tailwind",10,0)</f>
        <v/>
      </c>
      <c r="AF145" s="30" t="inlineStr">
        <is>
          <t>Structural (10 Years Consistency)</t>
        </is>
      </c>
      <c r="AG145" s="30">
        <f>IF(AF145="Structural (10 Years Consistency)",10,IF(AF145="Shallow Cyclical (2 to 3 years growth)",5,0))</f>
        <v/>
      </c>
      <c r="AH145" s="30" t="inlineStr">
        <is>
          <t>No</t>
        </is>
      </c>
      <c r="AI145" s="30">
        <f>IF(AH145="Yes due to Product Mix change or Operating Leverage",10,IF(AH145="Yes, these are peak margins",-5,IF(AH145="No",5,0)))</f>
        <v/>
      </c>
      <c r="AJ145" s="30" t="inlineStr">
        <is>
          <t>Stable</t>
        </is>
      </c>
      <c r="AK145" s="30">
        <f>IF(AJ145="Stable",10,0)</f>
        <v/>
      </c>
      <c r="AL145" s="30" t="inlineStr">
        <is>
          <t>Yes</t>
        </is>
      </c>
      <c r="AM145" s="30">
        <f>IF(AL145="Yes",10,0)</f>
        <v/>
      </c>
      <c r="AN145" s="30" t="inlineStr">
        <is>
          <t>B2B</t>
        </is>
      </c>
      <c r="AO145" s="30">
        <f>IF(AN145="B2C",10,IF(AN145="B2B",5,0))</f>
        <v/>
      </c>
      <c r="AP145" s="30" t="inlineStr">
        <is>
          <t>Yes</t>
        </is>
      </c>
      <c r="AQ145" s="30">
        <f>IF(AP145="Yes",10,0)</f>
        <v/>
      </c>
      <c r="AR145" s="30" t="inlineStr">
        <is>
          <t>Higher One Time, Lower Annuity</t>
        </is>
      </c>
      <c r="AS145" s="30">
        <f>IF(AR145="Fully Annuity",10,IF(AR145="Higher Annuity, Lower One Time",5,IF(AR145="Higher One Time, Lower Annuity",3,0)))</f>
        <v/>
      </c>
      <c r="AT145" s="30" t="inlineStr">
        <is>
          <t>Good</t>
        </is>
      </c>
      <c r="AU145" s="30">
        <f>IF(AT145="Good",10,0)</f>
        <v/>
      </c>
      <c r="AV145" s="30" t="inlineStr">
        <is>
          <t>Yes for more than 2 years</t>
        </is>
      </c>
      <c r="AW145" s="30">
        <f>IF(AV145="Yes for more than 2 years",10,IF(AV145="Yes only for next 1 to 2 years",5,0))</f>
        <v/>
      </c>
      <c r="AX145" s="30" t="inlineStr">
        <is>
          <t>Above 40</t>
        </is>
      </c>
      <c r="AY145" s="30">
        <f>IF(AX145="Above 40",20,IF(AX145="20 to 40",10,IF(AX145="0 to 20",-5,0)))</f>
        <v/>
      </c>
      <c r="AZ145" s="30" t="inlineStr">
        <is>
          <t>Above 75</t>
        </is>
      </c>
      <c r="BA145" s="30">
        <f>IF(AZ145="Between 50 to 75",10,IF(AZ145="Above 75",0,0))</f>
        <v/>
      </c>
      <c r="BB145" s="30" t="inlineStr">
        <is>
          <t>Stage 2</t>
        </is>
      </c>
      <c r="BC145" s="30">
        <f>IF(BB145="Stage 2",20,IF(BB145="Stage 1",0,IF(BB145="Stage 3",5,IF(BB145="Stage 4",-5,0))))</f>
        <v/>
      </c>
      <c r="BD145" s="30" t="inlineStr">
        <is>
          <t>Positive Trend</t>
        </is>
      </c>
      <c r="BE145" s="30">
        <f>IF(BD145="Positive Trend",20,IF(BD145="Negative Trend",-10,0))</f>
        <v/>
      </c>
      <c r="BF145" s="30" t="inlineStr">
        <is>
          <t>Uptrend</t>
        </is>
      </c>
      <c r="BG145" s="30">
        <f>IF(BF145="Uptrend",10,IF(BF145="Sideways",5,0))</f>
        <v/>
      </c>
      <c r="BH145" s="30" t="inlineStr">
        <is>
          <t>Uptrend</t>
        </is>
      </c>
      <c r="BI145" s="30">
        <f>IF(BH145="Uptrend",10,IF(BH145="Sideways",5,0))</f>
        <v/>
      </c>
      <c r="BJ145" s="30" t="inlineStr">
        <is>
          <t>Blue sky scenario</t>
        </is>
      </c>
      <c r="BK145" s="30">
        <f>IF(BJ145="Overhead supply in last 2 years in last 2 years",-5,IF(BJ145="Close to 52 week high or retracement",5,IF(BJ145="Blue sky scenario",10,IF(BJ145="Long term Downtrend",-10,0))))</f>
        <v/>
      </c>
      <c r="BL145" s="30" t="inlineStr">
        <is>
          <t>Yes</t>
        </is>
      </c>
      <c r="BM145" s="30">
        <f>IF(BL145="Yes",10,0)</f>
        <v/>
      </c>
      <c r="BN145" s="30" t="inlineStr">
        <is>
          <t>More than 20%</t>
        </is>
      </c>
      <c r="BO145" s="30">
        <f>IF(BN145="More than 20%",10,IF(BN145="Between 12 to 20%",5,IF(BN145="Less than 12%",0,0)))</f>
        <v/>
      </c>
      <c r="BP145" s="30" t="inlineStr">
        <is>
          <t>No</t>
        </is>
      </c>
      <c r="BQ145" s="30">
        <f>IF(BP145="No",10,0)</f>
        <v/>
      </c>
      <c r="BR145" s="30" t="inlineStr">
        <is>
          <t>Yes</t>
        </is>
      </c>
      <c r="BS145" s="30">
        <f>IF(BR145="NO",5,0)</f>
        <v/>
      </c>
      <c r="BT145" s="30" t="inlineStr">
        <is>
          <t>Above 2</t>
        </is>
      </c>
      <c r="BU145" s="30">
        <f>IF(BT145="Above 2",0,IF(BT145="Between 1.5 to 2",5,IF(BT145="Less than 1.5",10,0)))</f>
        <v/>
      </c>
      <c r="BV145" s="30" t="inlineStr">
        <is>
          <t>Above 70%</t>
        </is>
      </c>
      <c r="BW145" s="30">
        <f>IF(BV145="Above 70%",10,IF(BV145="Between 50% to 70%",5,IF(BV145="Less than 50%",0,IF(BV145="Negative",-10,IF(BV145="Less than 50% and Borrowings are increasing",-5,0)))))</f>
        <v/>
      </c>
      <c r="BX145" s="30" t="inlineStr">
        <is>
          <t>Between 0.7 to 1.2</t>
        </is>
      </c>
      <c r="BY145" s="30">
        <f>IF(BX145="More than 1.2",-10,IF(BX145="Between 0.7 to 1.2",0,IF(BX145="Less than 0.7",10,0)))</f>
        <v/>
      </c>
      <c r="BZ145" s="30" t="inlineStr">
        <is>
          <t>No</t>
        </is>
      </c>
      <c r="CA145" s="30">
        <f>IF(BZ145="Yes",-10,0)</f>
        <v/>
      </c>
      <c r="CB145" s="30" t="inlineStr">
        <is>
          <t>Less than 15%</t>
        </is>
      </c>
      <c r="CC145" s="30">
        <f>IF(CB145="More than 15%",-10,IF(CB145="Less than 15%",10,0))</f>
        <v/>
      </c>
      <c r="CD145" s="30" t="inlineStr">
        <is>
          <t>No</t>
        </is>
      </c>
      <c r="CE145" s="30">
        <f>IF(CD145="Yes, more than 10%",-10,IF(CD145="No",10,0))</f>
        <v/>
      </c>
    </row>
    <row r="146">
      <c r="A146" s="30">
        <f>IF(B146=0,"",RANK(B146,$B$2:$B$331,0))</f>
        <v/>
      </c>
      <c r="B146" s="31">
        <f>SUM(N146,Y146,AA146,AC146,AE146,AG146,AI146,AK146,AM146,AO146,AQ146,AS146,AU146,AW146,AY146,BA146,BC146,BE146,BG146,BI146,BK146,BM146,BO146,BQ146,BS146,BU146,BW146,BY146,CA146,CC146,CE146)</f>
        <v/>
      </c>
      <c r="C146" s="30" t="inlineStr">
        <is>
          <t>ORIENTCER</t>
        </is>
      </c>
      <c r="D146" s="30" t="inlineStr">
        <is>
          <t>Orient Ceratech Ltd</t>
        </is>
      </c>
      <c r="E146" s="30" t="inlineStr">
        <is>
          <t>building materials</t>
        </is>
      </c>
      <c r="F146" s="30" t="inlineStr">
        <is>
          <t>refractories / intermediates</t>
        </is>
      </c>
      <c r="G146" s="30" t="inlineStr">
        <is>
          <t>smallcap</t>
        </is>
      </c>
      <c r="H146" s="31" t="n">
        <v>565.89</v>
      </c>
      <c r="I146" s="31" t="n">
        <v>46.68</v>
      </c>
      <c r="J146" s="31" t="n">
        <v>-1.31</v>
      </c>
      <c r="K146" s="31" t="n">
        <v>140327</v>
      </c>
      <c r="L146" s="30" t="n">
        <v>15</v>
      </c>
      <c r="M146" s="30" t="inlineStr">
        <is>
          <t>Outperforming</t>
        </is>
      </c>
      <c r="N146" s="31">
        <f>IF(M146="Underperforming",-5,IF(L146&gt;=95,15,IF(L146&gt;=90,10,IF(L146&gt;=80,5,0))))</f>
        <v/>
      </c>
      <c r="O146" s="31" t="n">
        <v>60.16</v>
      </c>
      <c r="P146" s="31" t="n">
        <v>30.53</v>
      </c>
      <c r="Q146" s="31" t="n">
        <v>34.77</v>
      </c>
      <c r="R146" s="30" t="inlineStr">
        <is>
          <t>Earnings / Momentum Support</t>
        </is>
      </c>
      <c r="S146" s="30" t="inlineStr">
        <is>
          <t>Nifty Infra</t>
        </is>
      </c>
      <c r="T146" s="31" t="n">
        <v>0.74</v>
      </c>
      <c r="U146" s="31" t="n">
        <v>8.92</v>
      </c>
      <c r="V146" s="31" t="n">
        <v>8.119999999999999</v>
      </c>
      <c r="W146" s="31" t="n">
        <v>5.19</v>
      </c>
      <c r="X146" s="30" t="inlineStr">
        <is>
          <t>Growing Industry</t>
        </is>
      </c>
      <c r="Y146" s="30">
        <f>IF(X146="Growing Industry",10,IF(X146="Cyclical in an Upturn",5,0))</f>
        <v/>
      </c>
      <c r="Z146" s="30" t="inlineStr">
        <is>
          <t>Too Many Players with High ROCE</t>
        </is>
      </c>
      <c r="AA146" s="30">
        <f>IF(Z146="Monopoly",10,IF(Z146="Oligopoly",5,IF(Z146="Duopoly that cooperate",10,IF(Z146="Duopoly that compete",5,IF(Z146="Too many players with High ROCE",5,0)))))</f>
        <v/>
      </c>
      <c r="AB146" s="30" t="inlineStr">
        <is>
          <t>No</t>
        </is>
      </c>
      <c r="AC146" s="30">
        <f>IF(AB146="No",5,0)</f>
        <v/>
      </c>
      <c r="AD146" s="30" t="inlineStr">
        <is>
          <t>Tailwind</t>
        </is>
      </c>
      <c r="AE146" s="30">
        <f>IF(AD146="Tailwind",10,0)</f>
        <v/>
      </c>
      <c r="AF146" s="30" t="inlineStr">
        <is>
          <t>Structural (10 Years Consistency)</t>
        </is>
      </c>
      <c r="AG146" s="30">
        <f>IF(AF146="Structural (10 Years Consistency)",10,IF(AF146="Shallow Cyclical (2 to 3 years growth)",5,0))</f>
        <v/>
      </c>
      <c r="AH146" s="30" t="inlineStr">
        <is>
          <t>No</t>
        </is>
      </c>
      <c r="AI146" s="30">
        <f>IF(AH146="Yes due to Product Mix change or Operating Leverage",10,IF(AH146="Yes, these are peak margins",-5,IF(AH146="No",5,0)))</f>
        <v/>
      </c>
      <c r="AJ146" s="30" t="inlineStr">
        <is>
          <t>Stable</t>
        </is>
      </c>
      <c r="AK146" s="30">
        <f>IF(AJ146="Stable",10,0)</f>
        <v/>
      </c>
      <c r="AL146" s="30" t="inlineStr">
        <is>
          <t>Yes</t>
        </is>
      </c>
      <c r="AM146" s="30">
        <f>IF(AL146="Yes",10,0)</f>
        <v/>
      </c>
      <c r="AN146" s="30" t="inlineStr">
        <is>
          <t>B2B</t>
        </is>
      </c>
      <c r="AO146" s="30">
        <f>IF(AN146="B2C",10,IF(AN146="B2B",5,0))</f>
        <v/>
      </c>
      <c r="AP146" s="30" t="inlineStr">
        <is>
          <t>No</t>
        </is>
      </c>
      <c r="AQ146" s="30">
        <f>IF(AP146="Yes",10,0)</f>
        <v/>
      </c>
      <c r="AR146" s="30" t="inlineStr">
        <is>
          <t>Higher One Time, Lower Annuity</t>
        </is>
      </c>
      <c r="AS146" s="30">
        <f>IF(AR146="Fully Annuity",10,IF(AR146="Higher Annuity, Lower One Time",5,IF(AR146="Higher One Time, Lower Annuity",3,0)))</f>
        <v/>
      </c>
      <c r="AT146" s="30" t="inlineStr">
        <is>
          <t>Good</t>
        </is>
      </c>
      <c r="AU146" s="30">
        <f>IF(AT146="Good",10,0)</f>
        <v/>
      </c>
      <c r="AV146" s="30" t="inlineStr">
        <is>
          <t>Yes for more than 2 years</t>
        </is>
      </c>
      <c r="AW146" s="30">
        <f>IF(AV146="Yes for more than 2 years",10,IF(AV146="Yes only for next 1 to 2 years",5,0))</f>
        <v/>
      </c>
      <c r="AX146" s="30" t="inlineStr">
        <is>
          <t>20 to 40</t>
        </is>
      </c>
      <c r="AY146" s="30">
        <f>IF(AX146="Above 40",20,IF(AX146="20 to 40",10,IF(AX146="0 to 20",-5,0)))</f>
        <v/>
      </c>
      <c r="AZ146" s="30" t="inlineStr">
        <is>
          <t>Between 50 to 75</t>
        </is>
      </c>
      <c r="BA146" s="30">
        <f>IF(AZ146="Between 50 to 75",10,IF(AZ146="Above 75",0,0))</f>
        <v/>
      </c>
      <c r="BB146" s="30" t="inlineStr">
        <is>
          <t>Stage 2</t>
        </is>
      </c>
      <c r="BC146" s="30">
        <f>IF(BB146="Stage 2",20,IF(BB146="Stage 1",0,IF(BB146="Stage 3",5,IF(BB146="Stage 4",-5,0))))</f>
        <v/>
      </c>
      <c r="BD146" s="30" t="inlineStr">
        <is>
          <t>Positive Trend</t>
        </is>
      </c>
      <c r="BE146" s="30">
        <f>IF(BD146="Positive Trend",20,IF(BD146="Negative Trend",-10,0))</f>
        <v/>
      </c>
      <c r="BF146" s="30" t="inlineStr">
        <is>
          <t>Uptrend</t>
        </is>
      </c>
      <c r="BG146" s="30">
        <f>IF(BF146="Uptrend",10,IF(BF146="Sideways",5,0))</f>
        <v/>
      </c>
      <c r="BH146" s="30" t="inlineStr">
        <is>
          <t>Uptrend</t>
        </is>
      </c>
      <c r="BI146" s="30">
        <f>IF(BH146="Uptrend",10,IF(BH146="Sideways",5,0))</f>
        <v/>
      </c>
      <c r="BJ146" s="30" t="inlineStr">
        <is>
          <t>Close to 52 week high or retracement</t>
        </is>
      </c>
      <c r="BK146" s="30">
        <f>IF(BJ146="Overhead supply in last 2 years in last 2 years",-5,IF(BJ146="Close to 52 week high or retracement",5,IF(BJ146="Blue sky scenario",10,IF(BJ146="Long term Downtrend",-10,0))))</f>
        <v/>
      </c>
      <c r="BL146" s="30" t="inlineStr">
        <is>
          <t>Yes</t>
        </is>
      </c>
      <c r="BM146" s="30">
        <f>IF(BL146="Yes",10,0)</f>
        <v/>
      </c>
      <c r="BN146" s="30" t="inlineStr">
        <is>
          <t>More than 20%</t>
        </is>
      </c>
      <c r="BO146" s="30">
        <f>IF(BN146="More than 20%",10,IF(BN146="Between 12 to 20%",5,IF(BN146="Less than 12%",0,0)))</f>
        <v/>
      </c>
      <c r="BP146" s="30" t="inlineStr">
        <is>
          <t>No</t>
        </is>
      </c>
      <c r="BQ146" s="30">
        <f>IF(BP146="No",10,0)</f>
        <v/>
      </c>
      <c r="BR146" s="30" t="inlineStr">
        <is>
          <t>No</t>
        </is>
      </c>
      <c r="BS146" s="30">
        <f>IF(BR146="NO",5,0)</f>
        <v/>
      </c>
      <c r="BT146" s="30" t="inlineStr">
        <is>
          <t>Less than 1.5</t>
        </is>
      </c>
      <c r="BU146" s="30">
        <f>IF(BT146="Above 2",0,IF(BT146="Between 1.5 to 2",5,IF(BT146="Less than 1.5",10,0)))</f>
        <v/>
      </c>
      <c r="BV146" s="30" t="inlineStr">
        <is>
          <t>Above 70%</t>
        </is>
      </c>
      <c r="BW146" s="30">
        <f>IF(BV146="Above 70%",10,IF(BV146="Between 50% to 70%",5,IF(BV146="Less than 50%",0,IF(BV146="Negative",-10,IF(BV146="Less than 50% and Borrowings are increasing",-5,0)))))</f>
        <v/>
      </c>
      <c r="BX146" s="30" t="inlineStr">
        <is>
          <t>Less than 0.7</t>
        </is>
      </c>
      <c r="BY146" s="30">
        <f>IF(BX146="More than 1.2",-10,IF(BX146="Between 0.7 to 1.2",0,IF(BX146="Less than 0.7",10,0)))</f>
        <v/>
      </c>
      <c r="BZ146" s="30" t="inlineStr">
        <is>
          <t>No</t>
        </is>
      </c>
      <c r="CA146" s="30">
        <f>IF(BZ146="Yes",-10,0)</f>
        <v/>
      </c>
      <c r="CB146" s="30" t="inlineStr">
        <is>
          <t>Less than 15%</t>
        </is>
      </c>
      <c r="CC146" s="30">
        <f>IF(CB146="More than 15%",-10,IF(CB146="Less than 15%",10,0))</f>
        <v/>
      </c>
      <c r="CD146" s="30" t="inlineStr">
        <is>
          <t>No</t>
        </is>
      </c>
      <c r="CE146" s="30">
        <f>IF(CD146="Yes, more than 10%",-10,IF(CD146="No",10,0))</f>
        <v/>
      </c>
    </row>
    <row r="147">
      <c r="A147" s="30">
        <f>IF(B147=0,"",RANK(B147,$B$2:$B$331,0))</f>
        <v/>
      </c>
      <c r="B147" s="31">
        <f>SUM(N147,Y147,AA147,AC147,AE147,AG147,AI147,AK147,AM147,AO147,AQ147,AS147,AU147,AW147,AY147,BA147,BC147,BE147,BG147,BI147,BK147,BM147,BO147,BQ147,BS147,BU147,BW147,BY147,CA147,CC147,CE147)</f>
        <v/>
      </c>
      <c r="C147" s="30" t="inlineStr">
        <is>
          <t>AEGISVOPAK</t>
        </is>
      </c>
      <c r="D147" s="30" t="inlineStr">
        <is>
          <t>Aegis Vopak Terminals Ltd</t>
        </is>
      </c>
      <c r="E147" s="30" t="inlineStr">
        <is>
          <t>transportation</t>
        </is>
      </c>
      <c r="F147" s="30" t="inlineStr">
        <is>
          <t>miscellaneous</t>
        </is>
      </c>
      <c r="G147" s="30" t="inlineStr">
        <is>
          <t>largecap</t>
        </is>
      </c>
      <c r="H147" s="31" t="n">
        <v>32979.37</v>
      </c>
      <c r="I147" s="31" t="n">
        <v>291.85</v>
      </c>
      <c r="J147" s="31" t="n">
        <v>-1.95</v>
      </c>
      <c r="K147" s="31" t="n">
        <v>693995</v>
      </c>
      <c r="L147" s="30" t="n">
        <v>38</v>
      </c>
      <c r="M147" s="30" t="inlineStr">
        <is>
          <t>Outperforming</t>
        </is>
      </c>
      <c r="N147" s="31">
        <f>IF(M147="Underperforming",-5,IF(L147&gt;=95,15,IF(L147&gt;=90,10,IF(L147&gt;=80,5,0))))</f>
        <v/>
      </c>
      <c r="O147" s="31" t="n">
        <v>62.15</v>
      </c>
      <c r="P147" s="31" t="n">
        <v>43</v>
      </c>
      <c r="Q147" s="31" t="n">
        <v>213.58</v>
      </c>
      <c r="R147" s="30" t="inlineStr">
        <is>
          <t>Near 52W High Breakout</t>
        </is>
      </c>
      <c r="S147" s="30" t="inlineStr">
        <is>
          <t>Nifty 50</t>
        </is>
      </c>
      <c r="T147" s="31" t="n">
        <v>-6.52</v>
      </c>
      <c r="U147" s="31" t="n">
        <v>18.2</v>
      </c>
      <c r="V147" s="31" t="n">
        <v>26.44</v>
      </c>
      <c r="W147" s="31" t="n">
        <v>11.88</v>
      </c>
      <c r="X147" s="30" t="inlineStr">
        <is>
          <t>Growing Industry</t>
        </is>
      </c>
      <c r="Y147" s="30">
        <f>IF(X147="Growing Industry",10,IF(X147="Cyclical in an Upturn",5,0))</f>
        <v/>
      </c>
      <c r="Z147" s="30" t="inlineStr">
        <is>
          <t>Too Many Players with High ROCE</t>
        </is>
      </c>
      <c r="AA147" s="30">
        <f>IF(Z147="Monopoly",10,IF(Z147="Oligopoly",5,IF(Z147="Duopoly that cooperate",10,IF(Z147="Duopoly that compete",5,IF(Z147="Too many players with High ROCE",5,0)))))</f>
        <v/>
      </c>
      <c r="AB147" s="30" t="inlineStr">
        <is>
          <t>No</t>
        </is>
      </c>
      <c r="AC147" s="30">
        <f>IF(AB147="No",5,0)</f>
        <v/>
      </c>
      <c r="AD147" s="30" t="inlineStr">
        <is>
          <t>Tailwind</t>
        </is>
      </c>
      <c r="AE147" s="30">
        <f>IF(AD147="Tailwind",10,0)</f>
        <v/>
      </c>
      <c r="AF147" s="30" t="inlineStr">
        <is>
          <t>Structural (10 Years Consistency)</t>
        </is>
      </c>
      <c r="AG147" s="30">
        <f>IF(AF147="Structural (10 Years Consistency)",10,IF(AF147="Shallow Cyclical (2 to 3 years growth)",5,0))</f>
        <v/>
      </c>
      <c r="AH147" s="30" t="inlineStr">
        <is>
          <t>No</t>
        </is>
      </c>
      <c r="AI147" s="30">
        <f>IF(AH147="Yes due to Product Mix change or Operating Leverage",10,IF(AH147="Yes, these are peak margins",-5,IF(AH147="No",5,0)))</f>
        <v/>
      </c>
      <c r="AJ147" s="30" t="inlineStr">
        <is>
          <t>Stable</t>
        </is>
      </c>
      <c r="AK147" s="30">
        <f>IF(AJ147="Stable",10,0)</f>
        <v/>
      </c>
      <c r="AL147" s="30" t="inlineStr">
        <is>
          <t>Yes</t>
        </is>
      </c>
      <c r="AM147" s="30">
        <f>IF(AL147="Yes",10,0)</f>
        <v/>
      </c>
      <c r="AN147" s="30" t="inlineStr">
        <is>
          <t>B2B</t>
        </is>
      </c>
      <c r="AO147" s="30">
        <f>IF(AN147="B2C",10,IF(AN147="B2B",5,0))</f>
        <v/>
      </c>
      <c r="AP147" s="30" t="inlineStr">
        <is>
          <t>Yes</t>
        </is>
      </c>
      <c r="AQ147" s="30">
        <f>IF(AP147="Yes",10,0)</f>
        <v/>
      </c>
      <c r="AR147" s="30" t="inlineStr">
        <is>
          <t>Higher One Time, Lower Annuity</t>
        </is>
      </c>
      <c r="AS147" s="30">
        <f>IF(AR147="Fully Annuity",10,IF(AR147="Higher Annuity, Lower One Time",5,IF(AR147="Higher One Time, Lower Annuity",3,0)))</f>
        <v/>
      </c>
      <c r="AT147" s="30" t="inlineStr">
        <is>
          <t>Good</t>
        </is>
      </c>
      <c r="AU147" s="30">
        <f>IF(AT147="Good",10,0)</f>
        <v/>
      </c>
      <c r="AV147" s="30" t="inlineStr">
        <is>
          <t>Yes for more than 2 years</t>
        </is>
      </c>
      <c r="AW147" s="30">
        <f>IF(AV147="Yes for more than 2 years",10,IF(AV147="Yes only for next 1 to 2 years",5,0))</f>
        <v/>
      </c>
      <c r="AX147" s="30" t="inlineStr">
        <is>
          <t>Above 40</t>
        </is>
      </c>
      <c r="AY147" s="30">
        <f>IF(AX147="Above 40",20,IF(AX147="20 to 40",10,IF(AX147="0 to 20",-5,0)))</f>
        <v/>
      </c>
      <c r="AZ147" s="30" t="inlineStr">
        <is>
          <t>Between 50 to 75</t>
        </is>
      </c>
      <c r="BA147" s="30">
        <f>IF(AZ147="Between 50 to 75",10,IF(AZ147="Above 75",0,0))</f>
        <v/>
      </c>
      <c r="BB147" s="30" t="inlineStr">
        <is>
          <t>Stage 2</t>
        </is>
      </c>
      <c r="BC147" s="30">
        <f>IF(BB147="Stage 2",20,IF(BB147="Stage 1",0,IF(BB147="Stage 3",5,IF(BB147="Stage 4",-5,0))))</f>
        <v/>
      </c>
      <c r="BD147" s="30" t="inlineStr">
        <is>
          <t>Positive Trend</t>
        </is>
      </c>
      <c r="BE147" s="30">
        <f>IF(BD147="Positive Trend",20,IF(BD147="Negative Trend",-10,0))</f>
        <v/>
      </c>
      <c r="BF147" s="30" t="inlineStr">
        <is>
          <t>Uptrend</t>
        </is>
      </c>
      <c r="BG147" s="30">
        <f>IF(BF147="Uptrend",10,IF(BF147="Sideways",5,0))</f>
        <v/>
      </c>
      <c r="BH147" s="30" t="inlineStr">
        <is>
          <t>Uptrend</t>
        </is>
      </c>
      <c r="BI147" s="30">
        <f>IF(BH147="Uptrend",10,IF(BH147="Sideways",5,0))</f>
        <v/>
      </c>
      <c r="BJ147" s="30" t="inlineStr">
        <is>
          <t>Blue sky scenario</t>
        </is>
      </c>
      <c r="BK147" s="30">
        <f>IF(BJ147="Overhead supply in last 2 years in last 2 years",-5,IF(BJ147="Close to 52 week high or retracement",5,IF(BJ147="Blue sky scenario",10,IF(BJ147="Long term Downtrend",-10,0))))</f>
        <v/>
      </c>
      <c r="BL147" s="30" t="inlineStr">
        <is>
          <t>Yes</t>
        </is>
      </c>
      <c r="BM147" s="30">
        <f>IF(BL147="Yes",10,0)</f>
        <v/>
      </c>
      <c r="BN147" s="30" t="inlineStr">
        <is>
          <t>More than 20%</t>
        </is>
      </c>
      <c r="BO147" s="30">
        <f>IF(BN147="More than 20%",10,IF(BN147="Between 12 to 20%",5,IF(BN147="Less than 12%",0,0)))</f>
        <v/>
      </c>
      <c r="BP147" s="30" t="inlineStr">
        <is>
          <t>No</t>
        </is>
      </c>
      <c r="BQ147" s="30">
        <f>IF(BP147="No",10,0)</f>
        <v/>
      </c>
      <c r="BR147" s="30" t="inlineStr">
        <is>
          <t>Yes</t>
        </is>
      </c>
      <c r="BS147" s="30">
        <f>IF(BR147="NO",5,0)</f>
        <v/>
      </c>
      <c r="BT147" s="30" t="inlineStr">
        <is>
          <t>Above 2</t>
        </is>
      </c>
      <c r="BU147" s="30">
        <f>IF(BT147="Above 2",0,IF(BT147="Between 1.5 to 2",5,IF(BT147="Less than 1.5",10,0)))</f>
        <v/>
      </c>
      <c r="BV147" s="30" t="inlineStr">
        <is>
          <t>Above 70%</t>
        </is>
      </c>
      <c r="BW147" s="30">
        <f>IF(BV147="Above 70%",10,IF(BV147="Between 50% to 70%",5,IF(BV147="Less than 50%",0,IF(BV147="Negative",-10,IF(BV147="Less than 50% and Borrowings are increasing",-5,0)))))</f>
        <v/>
      </c>
      <c r="BX147" s="30" t="inlineStr">
        <is>
          <t>Between 0.7 to 1.2</t>
        </is>
      </c>
      <c r="BY147" s="30">
        <f>IF(BX147="More than 1.2",-10,IF(BX147="Between 0.7 to 1.2",0,IF(BX147="Less than 0.7",10,0)))</f>
        <v/>
      </c>
      <c r="BZ147" s="30" t="inlineStr">
        <is>
          <t>No</t>
        </is>
      </c>
      <c r="CA147" s="30">
        <f>IF(BZ147="Yes",-10,0)</f>
        <v/>
      </c>
      <c r="CB147" s="30" t="inlineStr">
        <is>
          <t>Less than 15%</t>
        </is>
      </c>
      <c r="CC147" s="30">
        <f>IF(CB147="More than 15%",-10,IF(CB147="Less than 15%",10,0))</f>
        <v/>
      </c>
      <c r="CD147" s="30" t="inlineStr">
        <is>
          <t>No</t>
        </is>
      </c>
      <c r="CE147" s="30">
        <f>IF(CD147="Yes, more than 10%",-10,IF(CD147="No",10,0))</f>
        <v/>
      </c>
    </row>
    <row r="148">
      <c r="A148" s="30">
        <f>IF(B148=0,"",RANK(B148,$B$2:$B$331,0))</f>
        <v/>
      </c>
      <c r="B148" s="31">
        <f>SUM(N148,Y148,AA148,AC148,AE148,AG148,AI148,AK148,AM148,AO148,AQ148,AS148,AU148,AW148,AY148,BA148,BC148,BE148,BG148,BI148,BK148,BM148,BO148,BQ148,BS148,BU148,BW148,BY148,CA148,CC148,CE148)</f>
        <v/>
      </c>
      <c r="C148" s="30" t="inlineStr">
        <is>
          <t>BLUESTONE</t>
        </is>
      </c>
      <c r="D148" s="30" t="inlineStr">
        <is>
          <t>Bluestone Jewellery and Lifestyle Ltd</t>
        </is>
      </c>
      <c r="E148" s="30" t="inlineStr">
        <is>
          <t>consumer discretionary</t>
        </is>
      </c>
      <c r="F148" s="30" t="inlineStr">
        <is>
          <t>diamond cutting / jewellery</t>
        </is>
      </c>
      <c r="G148" s="30" t="inlineStr">
        <is>
          <t>midcap</t>
        </is>
      </c>
      <c r="H148" s="31" t="n">
        <v>13326.01</v>
      </c>
      <c r="I148" s="31" t="n">
        <v>855.15</v>
      </c>
      <c r="J148" s="31" t="n">
        <v>-2.2</v>
      </c>
      <c r="K148" s="31" t="n">
        <v>402544</v>
      </c>
      <c r="L148" s="30" t="n">
        <v>68</v>
      </c>
      <c r="M148" s="30" t="inlineStr">
        <is>
          <t>Outperforming</t>
        </is>
      </c>
      <c r="N148" s="31">
        <f>IF(M148="Underperforming",-5,IF(L148&gt;=95,15,IF(L148&gt;=90,10,IF(L148&gt;=80,5,0))))</f>
        <v/>
      </c>
      <c r="O148" s="31" t="n">
        <v>72.89</v>
      </c>
      <c r="P148" s="31" t="n">
        <v>48.99</v>
      </c>
      <c r="Q148" s="31" t="n">
        <v>634.6799999999999</v>
      </c>
      <c r="R148" s="30" t="inlineStr">
        <is>
          <t>Near 52W High Breakout</t>
        </is>
      </c>
      <c r="S148" s="30" t="inlineStr">
        <is>
          <t>Nifty 50</t>
        </is>
      </c>
      <c r="T148" s="31" t="n">
        <v>-6.52</v>
      </c>
      <c r="U148" s="31" t="n">
        <v>33.18</v>
      </c>
      <c r="V148" s="31" t="n">
        <v>42.46</v>
      </c>
      <c r="W148" s="31" t="n">
        <v>21.88</v>
      </c>
      <c r="X148" s="30" t="inlineStr">
        <is>
          <t>Growing Industry</t>
        </is>
      </c>
      <c r="Y148" s="30">
        <f>IF(X148="Growing Industry",10,IF(X148="Cyclical in an Upturn",5,0))</f>
        <v/>
      </c>
      <c r="Z148" s="30" t="inlineStr">
        <is>
          <t>Too Many Players with High ROCE</t>
        </is>
      </c>
      <c r="AA148" s="30">
        <f>IF(Z148="Monopoly",10,IF(Z148="Oligopoly",5,IF(Z148="Duopoly that cooperate",10,IF(Z148="Duopoly that compete",5,IF(Z148="Too many players with High ROCE",5,0)))))</f>
        <v/>
      </c>
      <c r="AB148" s="30" t="inlineStr">
        <is>
          <t>No</t>
        </is>
      </c>
      <c r="AC148" s="30">
        <f>IF(AB148="No",5,0)</f>
        <v/>
      </c>
      <c r="AD148" s="30" t="inlineStr">
        <is>
          <t>Tailwind</t>
        </is>
      </c>
      <c r="AE148" s="30">
        <f>IF(AD148="Tailwind",10,0)</f>
        <v/>
      </c>
      <c r="AF148" s="30" t="inlineStr">
        <is>
          <t>Structural (10 Years Consistency)</t>
        </is>
      </c>
      <c r="AG148" s="30">
        <f>IF(AF148="Structural (10 Years Consistency)",10,IF(AF148="Shallow Cyclical (2 to 3 years growth)",5,0))</f>
        <v/>
      </c>
      <c r="AH148" s="30" t="inlineStr">
        <is>
          <t>No</t>
        </is>
      </c>
      <c r="AI148" s="30">
        <f>IF(AH148="Yes due to Product Mix change or Operating Leverage",10,IF(AH148="Yes, these are peak margins",-5,IF(AH148="No",5,0)))</f>
        <v/>
      </c>
      <c r="AJ148" s="30" t="inlineStr">
        <is>
          <t>Stable</t>
        </is>
      </c>
      <c r="AK148" s="30">
        <f>IF(AJ148="Stable",10,0)</f>
        <v/>
      </c>
      <c r="AL148" s="30" t="inlineStr">
        <is>
          <t>Yes</t>
        </is>
      </c>
      <c r="AM148" s="30">
        <f>IF(AL148="Yes",10,0)</f>
        <v/>
      </c>
      <c r="AN148" s="30" t="inlineStr">
        <is>
          <t>B2B</t>
        </is>
      </c>
      <c r="AO148" s="30">
        <f>IF(AN148="B2C",10,IF(AN148="B2B",5,0))</f>
        <v/>
      </c>
      <c r="AP148" s="30" t="inlineStr">
        <is>
          <t>Yes</t>
        </is>
      </c>
      <c r="AQ148" s="30">
        <f>IF(AP148="Yes",10,0)</f>
        <v/>
      </c>
      <c r="AR148" s="30" t="inlineStr">
        <is>
          <t>Higher One Time, Lower Annuity</t>
        </is>
      </c>
      <c r="AS148" s="30">
        <f>IF(AR148="Fully Annuity",10,IF(AR148="Higher Annuity, Lower One Time",5,IF(AR148="Higher One Time, Lower Annuity",3,0)))</f>
        <v/>
      </c>
      <c r="AT148" s="30" t="inlineStr">
        <is>
          <t>Good</t>
        </is>
      </c>
      <c r="AU148" s="30">
        <f>IF(AT148="Good",10,0)</f>
        <v/>
      </c>
      <c r="AV148" s="30" t="inlineStr">
        <is>
          <t>Yes for more than 2 years</t>
        </is>
      </c>
      <c r="AW148" s="30">
        <f>IF(AV148="Yes for more than 2 years",10,IF(AV148="Yes only for next 1 to 2 years",5,0))</f>
        <v/>
      </c>
      <c r="AX148" s="30" t="inlineStr">
        <is>
          <t>Above 40</t>
        </is>
      </c>
      <c r="AY148" s="30">
        <f>IF(AX148="Above 40",20,IF(AX148="20 to 40",10,IF(AX148="0 to 20",-5,0)))</f>
        <v/>
      </c>
      <c r="AZ148" s="30" t="inlineStr">
        <is>
          <t>Between 50 to 75</t>
        </is>
      </c>
      <c r="BA148" s="30">
        <f>IF(AZ148="Between 50 to 75",10,IF(AZ148="Above 75",0,0))</f>
        <v/>
      </c>
      <c r="BB148" s="30" t="inlineStr">
        <is>
          <t>Stage 2</t>
        </is>
      </c>
      <c r="BC148" s="30">
        <f>IF(BB148="Stage 2",20,IF(BB148="Stage 1",0,IF(BB148="Stage 3",5,IF(BB148="Stage 4",-5,0))))</f>
        <v/>
      </c>
      <c r="BD148" s="30" t="inlineStr">
        <is>
          <t>Positive Trend</t>
        </is>
      </c>
      <c r="BE148" s="30">
        <f>IF(BD148="Positive Trend",20,IF(BD148="Negative Trend",-10,0))</f>
        <v/>
      </c>
      <c r="BF148" s="30" t="inlineStr">
        <is>
          <t>Uptrend</t>
        </is>
      </c>
      <c r="BG148" s="30">
        <f>IF(BF148="Uptrend",10,IF(BF148="Sideways",5,0))</f>
        <v/>
      </c>
      <c r="BH148" s="30" t="inlineStr">
        <is>
          <t>Uptrend</t>
        </is>
      </c>
      <c r="BI148" s="30">
        <f>IF(BH148="Uptrend",10,IF(BH148="Sideways",5,0))</f>
        <v/>
      </c>
      <c r="BJ148" s="30" t="inlineStr">
        <is>
          <t>Blue sky scenario</t>
        </is>
      </c>
      <c r="BK148" s="30">
        <f>IF(BJ148="Overhead supply in last 2 years in last 2 years",-5,IF(BJ148="Close to 52 week high or retracement",5,IF(BJ148="Blue sky scenario",10,IF(BJ148="Long term Downtrend",-10,0))))</f>
        <v/>
      </c>
      <c r="BL148" s="30" t="inlineStr">
        <is>
          <t>Yes</t>
        </is>
      </c>
      <c r="BM148" s="30">
        <f>IF(BL148="Yes",10,0)</f>
        <v/>
      </c>
      <c r="BN148" s="30" t="inlineStr">
        <is>
          <t>More than 20%</t>
        </is>
      </c>
      <c r="BO148" s="30">
        <f>IF(BN148="More than 20%",10,IF(BN148="Between 12 to 20%",5,IF(BN148="Less than 12%",0,0)))</f>
        <v/>
      </c>
      <c r="BP148" s="30" t="inlineStr">
        <is>
          <t>No</t>
        </is>
      </c>
      <c r="BQ148" s="30">
        <f>IF(BP148="No",10,0)</f>
        <v/>
      </c>
      <c r="BR148" s="30" t="inlineStr">
        <is>
          <t>Yes</t>
        </is>
      </c>
      <c r="BS148" s="30">
        <f>IF(BR148="NO",5,0)</f>
        <v/>
      </c>
      <c r="BT148" s="30" t="inlineStr">
        <is>
          <t>Above 2</t>
        </is>
      </c>
      <c r="BU148" s="30">
        <f>IF(BT148="Above 2",0,IF(BT148="Between 1.5 to 2",5,IF(BT148="Less than 1.5",10,0)))</f>
        <v/>
      </c>
      <c r="BV148" s="30" t="inlineStr">
        <is>
          <t>Above 70%</t>
        </is>
      </c>
      <c r="BW148" s="30">
        <f>IF(BV148="Above 70%",10,IF(BV148="Between 50% to 70%",5,IF(BV148="Less than 50%",0,IF(BV148="Negative",-10,IF(BV148="Less than 50% and Borrowings are increasing",-5,0)))))</f>
        <v/>
      </c>
      <c r="BX148" s="30" t="inlineStr">
        <is>
          <t>Between 0.7 to 1.2</t>
        </is>
      </c>
      <c r="BY148" s="30">
        <f>IF(BX148="More than 1.2",-10,IF(BX148="Between 0.7 to 1.2",0,IF(BX148="Less than 0.7",10,0)))</f>
        <v/>
      </c>
      <c r="BZ148" s="30" t="inlineStr">
        <is>
          <t>No</t>
        </is>
      </c>
      <c r="CA148" s="30">
        <f>IF(BZ148="Yes",-10,0)</f>
        <v/>
      </c>
      <c r="CB148" s="30" t="inlineStr">
        <is>
          <t>Less than 15%</t>
        </is>
      </c>
      <c r="CC148" s="30">
        <f>IF(CB148="More than 15%",-10,IF(CB148="Less than 15%",10,0))</f>
        <v/>
      </c>
      <c r="CD148" s="30" t="inlineStr">
        <is>
          <t>No</t>
        </is>
      </c>
      <c r="CE148" s="30">
        <f>IF(CD148="Yes, more than 10%",-10,IF(CD148="No",10,0))</f>
        <v/>
      </c>
    </row>
    <row r="149">
      <c r="A149" s="30">
        <f>IF(B149=0,"",RANK(B149,$B$2:$B$331,0))</f>
        <v/>
      </c>
      <c r="B149" s="31">
        <f>SUM(N149,Y149,AA149,AC149,AE149,AG149,AI149,AK149,AM149,AO149,AQ149,AS149,AU149,AW149,AY149,BA149,BC149,BE149,BG149,BI149,BK149,BM149,BO149,BQ149,BS149,BU149,BW149,BY149,CA149,CC149,CE149)</f>
        <v/>
      </c>
      <c r="C149" s="30" t="inlineStr">
        <is>
          <t>AVALON</t>
        </is>
      </c>
      <c r="D149" s="30" t="inlineStr">
        <is>
          <t>Avalon Technologies Ltd</t>
        </is>
      </c>
      <c r="E149" s="30" t="inlineStr">
        <is>
          <t>consumer discretionary</t>
        </is>
      </c>
      <c r="F149" s="30" t="inlineStr">
        <is>
          <t>electronics - components</t>
        </is>
      </c>
      <c r="G149" s="30" t="inlineStr">
        <is>
          <t>midcap</t>
        </is>
      </c>
      <c r="H149" s="31" t="n">
        <v>15323.94</v>
      </c>
      <c r="I149" s="31" t="n">
        <v>2227</v>
      </c>
      <c r="J149" s="31" t="n">
        <v>-2.9</v>
      </c>
      <c r="K149" s="31" t="n">
        <v>280040</v>
      </c>
      <c r="L149" s="30" t="n">
        <v>78</v>
      </c>
      <c r="M149" s="30" t="inlineStr">
        <is>
          <t>Outperforming</t>
        </is>
      </c>
      <c r="N149" s="31">
        <f>IF(M149="Underperforming",-5,IF(L149&gt;=95,15,IF(L149&gt;=90,10,IF(L149&gt;=80,5,0))))</f>
        <v/>
      </c>
      <c r="O149" s="31" t="n">
        <v>81.17</v>
      </c>
      <c r="P149" s="31" t="n">
        <v>59.92</v>
      </c>
      <c r="Q149" s="31" t="n">
        <v>1689.24</v>
      </c>
      <c r="R149" s="30" t="inlineStr">
        <is>
          <t>Near 52W High Breakout</t>
        </is>
      </c>
      <c r="S149" s="30" t="inlineStr">
        <is>
          <t>Nifty 50</t>
        </is>
      </c>
      <c r="T149" s="31" t="n">
        <v>-6.52</v>
      </c>
      <c r="U149" s="31" t="n">
        <v>129.8</v>
      </c>
      <c r="V149" s="31" t="n">
        <v>145.82</v>
      </c>
      <c r="W149" s="31" t="n">
        <v>29.34</v>
      </c>
      <c r="X149" s="30" t="inlineStr">
        <is>
          <t>Growing Industry</t>
        </is>
      </c>
      <c r="Y149" s="30">
        <f>IF(X149="Growing Industry",10,IF(X149="Cyclical in an Upturn",5,0))</f>
        <v/>
      </c>
      <c r="Z149" s="30" t="inlineStr">
        <is>
          <t>Too Many Players with High ROCE</t>
        </is>
      </c>
      <c r="AA149" s="30">
        <f>IF(Z149="Monopoly",10,IF(Z149="Oligopoly",5,IF(Z149="Duopoly that cooperate",10,IF(Z149="Duopoly that compete",5,IF(Z149="Too many players with High ROCE",5,0)))))</f>
        <v/>
      </c>
      <c r="AB149" s="30" t="inlineStr">
        <is>
          <t>No</t>
        </is>
      </c>
      <c r="AC149" s="30">
        <f>IF(AB149="No",5,0)</f>
        <v/>
      </c>
      <c r="AD149" s="30" t="inlineStr">
        <is>
          <t>Tailwind</t>
        </is>
      </c>
      <c r="AE149" s="30">
        <f>IF(AD149="Tailwind",10,0)</f>
        <v/>
      </c>
      <c r="AF149" s="30" t="inlineStr">
        <is>
          <t>Structural (10 Years Consistency)</t>
        </is>
      </c>
      <c r="AG149" s="30">
        <f>IF(AF149="Structural (10 Years Consistency)",10,IF(AF149="Shallow Cyclical (2 to 3 years growth)",5,0))</f>
        <v/>
      </c>
      <c r="AH149" s="30" t="inlineStr">
        <is>
          <t>No</t>
        </is>
      </c>
      <c r="AI149" s="30">
        <f>IF(AH149="Yes due to Product Mix change or Operating Leverage",10,IF(AH149="Yes, these are peak margins",-5,IF(AH149="No",5,0)))</f>
        <v/>
      </c>
      <c r="AJ149" s="30" t="inlineStr">
        <is>
          <t>Stable</t>
        </is>
      </c>
      <c r="AK149" s="30">
        <f>IF(AJ149="Stable",10,0)</f>
        <v/>
      </c>
      <c r="AL149" s="30" t="inlineStr">
        <is>
          <t>Yes</t>
        </is>
      </c>
      <c r="AM149" s="30">
        <f>IF(AL149="Yes",10,0)</f>
        <v/>
      </c>
      <c r="AN149" s="30" t="inlineStr">
        <is>
          <t>B2B</t>
        </is>
      </c>
      <c r="AO149" s="30">
        <f>IF(AN149="B2C",10,IF(AN149="B2B",5,0))</f>
        <v/>
      </c>
      <c r="AP149" s="30" t="inlineStr">
        <is>
          <t>Yes</t>
        </is>
      </c>
      <c r="AQ149" s="30">
        <f>IF(AP149="Yes",10,0)</f>
        <v/>
      </c>
      <c r="AR149" s="30" t="inlineStr">
        <is>
          <t>Higher One Time, Lower Annuity</t>
        </is>
      </c>
      <c r="AS149" s="30">
        <f>IF(AR149="Fully Annuity",10,IF(AR149="Higher Annuity, Lower One Time",5,IF(AR149="Higher One Time, Lower Annuity",3,0)))</f>
        <v/>
      </c>
      <c r="AT149" s="30" t="inlineStr">
        <is>
          <t>Good</t>
        </is>
      </c>
      <c r="AU149" s="30">
        <f>IF(AT149="Good",10,0)</f>
        <v/>
      </c>
      <c r="AV149" s="30" t="inlineStr">
        <is>
          <t>Yes for more than 2 years</t>
        </is>
      </c>
      <c r="AW149" s="30">
        <f>IF(AV149="Yes for more than 2 years",10,IF(AV149="Yes only for next 1 to 2 years",5,0))</f>
        <v/>
      </c>
      <c r="AX149" s="30" t="inlineStr">
        <is>
          <t>Above 40</t>
        </is>
      </c>
      <c r="AY149" s="30">
        <f>IF(AX149="Above 40",20,IF(AX149="20 to 40",10,IF(AX149="0 to 20",-5,0)))</f>
        <v/>
      </c>
      <c r="AZ149" s="30" t="inlineStr">
        <is>
          <t>Above 75</t>
        </is>
      </c>
      <c r="BA149" s="30">
        <f>IF(AZ149="Between 50 to 75",10,IF(AZ149="Above 75",0,0))</f>
        <v/>
      </c>
      <c r="BB149" s="30" t="inlineStr">
        <is>
          <t>Stage 2</t>
        </is>
      </c>
      <c r="BC149" s="30">
        <f>IF(BB149="Stage 2",20,IF(BB149="Stage 1",0,IF(BB149="Stage 3",5,IF(BB149="Stage 4",-5,0))))</f>
        <v/>
      </c>
      <c r="BD149" s="30" t="inlineStr">
        <is>
          <t>Positive Trend</t>
        </is>
      </c>
      <c r="BE149" s="30">
        <f>IF(BD149="Positive Trend",20,IF(BD149="Negative Trend",-10,0))</f>
        <v/>
      </c>
      <c r="BF149" s="30" t="inlineStr">
        <is>
          <t>Uptrend</t>
        </is>
      </c>
      <c r="BG149" s="30">
        <f>IF(BF149="Uptrend",10,IF(BF149="Sideways",5,0))</f>
        <v/>
      </c>
      <c r="BH149" s="30" t="inlineStr">
        <is>
          <t>Uptrend</t>
        </is>
      </c>
      <c r="BI149" s="30">
        <f>IF(BH149="Uptrend",10,IF(BH149="Sideways",5,0))</f>
        <v/>
      </c>
      <c r="BJ149" s="30" t="inlineStr">
        <is>
          <t>Blue sky scenario</t>
        </is>
      </c>
      <c r="BK149" s="30">
        <f>IF(BJ149="Overhead supply in last 2 years in last 2 years",-5,IF(BJ149="Close to 52 week high or retracement",5,IF(BJ149="Blue sky scenario",10,IF(BJ149="Long term Downtrend",-10,0))))</f>
        <v/>
      </c>
      <c r="BL149" s="30" t="inlineStr">
        <is>
          <t>Yes</t>
        </is>
      </c>
      <c r="BM149" s="30">
        <f>IF(BL149="Yes",10,0)</f>
        <v/>
      </c>
      <c r="BN149" s="30" t="inlineStr">
        <is>
          <t>More than 20%</t>
        </is>
      </c>
      <c r="BO149" s="30">
        <f>IF(BN149="More than 20%",10,IF(BN149="Between 12 to 20%",5,IF(BN149="Less than 12%",0,0)))</f>
        <v/>
      </c>
      <c r="BP149" s="30" t="inlineStr">
        <is>
          <t>No</t>
        </is>
      </c>
      <c r="BQ149" s="30">
        <f>IF(BP149="No",10,0)</f>
        <v/>
      </c>
      <c r="BR149" s="30" t="inlineStr">
        <is>
          <t>Yes</t>
        </is>
      </c>
      <c r="BS149" s="30">
        <f>IF(BR149="NO",5,0)</f>
        <v/>
      </c>
      <c r="BT149" s="30" t="inlineStr">
        <is>
          <t>Above 2</t>
        </is>
      </c>
      <c r="BU149" s="30">
        <f>IF(BT149="Above 2",0,IF(BT149="Between 1.5 to 2",5,IF(BT149="Less than 1.5",10,0)))</f>
        <v/>
      </c>
      <c r="BV149" s="30" t="inlineStr">
        <is>
          <t>Above 70%</t>
        </is>
      </c>
      <c r="BW149" s="30">
        <f>IF(BV149="Above 70%",10,IF(BV149="Between 50% to 70%",5,IF(BV149="Less than 50%",0,IF(BV149="Negative",-10,IF(BV149="Less than 50% and Borrowings are increasing",-5,0)))))</f>
        <v/>
      </c>
      <c r="BX149" s="30" t="inlineStr">
        <is>
          <t>Less than 0.7</t>
        </is>
      </c>
      <c r="BY149" s="30">
        <f>IF(BX149="More than 1.2",-10,IF(BX149="Between 0.7 to 1.2",0,IF(BX149="Less than 0.7",10,0)))</f>
        <v/>
      </c>
      <c r="BZ149" s="30" t="inlineStr">
        <is>
          <t>No</t>
        </is>
      </c>
      <c r="CA149" s="30">
        <f>IF(BZ149="Yes",-10,0)</f>
        <v/>
      </c>
      <c r="CB149" s="30" t="inlineStr">
        <is>
          <t>Less than 15%</t>
        </is>
      </c>
      <c r="CC149" s="30">
        <f>IF(CB149="More than 15%",-10,IF(CB149="Less than 15%",10,0))</f>
        <v/>
      </c>
      <c r="CD149" s="30" t="inlineStr">
        <is>
          <t>No</t>
        </is>
      </c>
      <c r="CE149" s="30">
        <f>IF(CD149="Yes, more than 10%",-10,IF(CD149="No",10,0))</f>
        <v/>
      </c>
    </row>
    <row r="150">
      <c r="A150" s="30">
        <f>IF(B150=0,"",RANK(B150,$B$2:$B$331,0))</f>
        <v/>
      </c>
      <c r="B150" s="31">
        <f>SUM(N150,Y150,AA150,AC150,AE150,AG150,AI150,AK150,AM150,AO150,AQ150,AS150,AU150,AW150,AY150,BA150,BC150,BE150,BG150,BI150,BK150,BM150,BO150,BQ150,BS150,BU150,BW150,BY150,CA150,CC150,CE150)</f>
        <v/>
      </c>
      <c r="C150" s="30" t="inlineStr">
        <is>
          <t>MARINE</t>
        </is>
      </c>
      <c r="D150" s="30" t="inlineStr">
        <is>
          <t>Marine Electricals (India) Ltd</t>
        </is>
      </c>
      <c r="E150" s="30" t="inlineStr">
        <is>
          <t>industrials</t>
        </is>
      </c>
      <c r="F150" s="30" t="inlineStr">
        <is>
          <t>electric equipment</t>
        </is>
      </c>
      <c r="G150" s="30" t="inlineStr">
        <is>
          <t>midcap</t>
        </is>
      </c>
      <c r="H150" s="31" t="n">
        <v>5892.36</v>
      </c>
      <c r="I150" s="31" t="n">
        <v>408.85</v>
      </c>
      <c r="J150" s="31" t="n">
        <v>-2.9</v>
      </c>
      <c r="K150" s="31" t="n">
        <v>475404</v>
      </c>
      <c r="L150" s="30" t="n">
        <v>83</v>
      </c>
      <c r="M150" s="30" t="inlineStr">
        <is>
          <t>Outperforming</t>
        </is>
      </c>
      <c r="N150" s="31">
        <f>IF(M150="Underperforming",-5,IF(L150&gt;=95,15,IF(L150&gt;=90,10,IF(L150&gt;=80,5,0))))</f>
        <v/>
      </c>
      <c r="O150" s="31" t="n">
        <v>73.89</v>
      </c>
      <c r="P150" s="31" t="n">
        <v>46.18</v>
      </c>
      <c r="Q150" s="31" t="n">
        <v>326.64</v>
      </c>
      <c r="R150" s="30" t="inlineStr">
        <is>
          <t>Earnings / Momentum Support</t>
        </is>
      </c>
      <c r="S150" s="30" t="inlineStr">
        <is>
          <t>Nifty 50</t>
        </is>
      </c>
      <c r="T150" s="31" t="n">
        <v>-6.52</v>
      </c>
      <c r="U150" s="31" t="n">
        <v>107.74</v>
      </c>
      <c r="V150" s="31" t="n">
        <v>122.22</v>
      </c>
      <c r="W150" s="31" t="n">
        <v>32.75</v>
      </c>
      <c r="X150" s="30" t="inlineStr">
        <is>
          <t>Cyclical in an Upturn</t>
        </is>
      </c>
      <c r="Y150" s="30">
        <f>IF(X150="Growing Industry",10,IF(X150="Cyclical in an Upturn",5,0))</f>
        <v/>
      </c>
      <c r="Z150" s="30" t="inlineStr">
        <is>
          <t>Too Many Players with High ROCE</t>
        </is>
      </c>
      <c r="AA150" s="30">
        <f>IF(Z150="Monopoly",10,IF(Z150="Oligopoly",5,IF(Z150="Duopoly that cooperate",10,IF(Z150="Duopoly that compete",5,IF(Z150="Too many players with High ROCE",5,0)))))</f>
        <v/>
      </c>
      <c r="AB150" s="30" t="inlineStr">
        <is>
          <t>No</t>
        </is>
      </c>
      <c r="AC150" s="30">
        <f>IF(AB150="No",5,0)</f>
        <v/>
      </c>
      <c r="AD150" s="30" t="inlineStr">
        <is>
          <t>Tailwind</t>
        </is>
      </c>
      <c r="AE150" s="30">
        <f>IF(AD150="Tailwind",10,0)</f>
        <v/>
      </c>
      <c r="AF150" s="30" t="inlineStr">
        <is>
          <t>Structural (10 Years Consistency)</t>
        </is>
      </c>
      <c r="AG150" s="30">
        <f>IF(AF150="Structural (10 Years Consistency)",10,IF(AF150="Shallow Cyclical (2 to 3 years growth)",5,0))</f>
        <v/>
      </c>
      <c r="AH150" s="30" t="inlineStr">
        <is>
          <t>No</t>
        </is>
      </c>
      <c r="AI150" s="30">
        <f>IF(AH150="Yes due to Product Mix change or Operating Leverage",10,IF(AH150="Yes, these are peak margins",-5,IF(AH150="No",5,0)))</f>
        <v/>
      </c>
      <c r="AJ150" s="30" t="inlineStr">
        <is>
          <t>Stable</t>
        </is>
      </c>
      <c r="AK150" s="30">
        <f>IF(AJ150="Stable",10,0)</f>
        <v/>
      </c>
      <c r="AL150" s="30" t="inlineStr">
        <is>
          <t>Yes</t>
        </is>
      </c>
      <c r="AM150" s="30">
        <f>IF(AL150="Yes",10,0)</f>
        <v/>
      </c>
      <c r="AN150" s="30" t="inlineStr">
        <is>
          <t>B2B</t>
        </is>
      </c>
      <c r="AO150" s="30">
        <f>IF(AN150="B2C",10,IF(AN150="B2B",5,0))</f>
        <v/>
      </c>
      <c r="AP150" s="30" t="inlineStr">
        <is>
          <t>No</t>
        </is>
      </c>
      <c r="AQ150" s="30">
        <f>IF(AP150="Yes",10,0)</f>
        <v/>
      </c>
      <c r="AR150" s="30" t="inlineStr">
        <is>
          <t>Higher One Time, Lower Annuity</t>
        </is>
      </c>
      <c r="AS150" s="30">
        <f>IF(AR150="Fully Annuity",10,IF(AR150="Higher Annuity, Lower One Time",5,IF(AR150="Higher One Time, Lower Annuity",3,0)))</f>
        <v/>
      </c>
      <c r="AT150" s="30" t="inlineStr">
        <is>
          <t>Good</t>
        </is>
      </c>
      <c r="AU150" s="30">
        <f>IF(AT150="Good",10,0)</f>
        <v/>
      </c>
      <c r="AV150" s="30" t="inlineStr">
        <is>
          <t>Yes for more than 2 years</t>
        </is>
      </c>
      <c r="AW150" s="30">
        <f>IF(AV150="Yes for more than 2 years",10,IF(AV150="Yes only for next 1 to 2 years",5,0))</f>
        <v/>
      </c>
      <c r="AX150" s="30" t="inlineStr">
        <is>
          <t>Above 40</t>
        </is>
      </c>
      <c r="AY150" s="30">
        <f>IF(AX150="Above 40",20,IF(AX150="20 to 40",10,IF(AX150="0 to 20",-5,0)))</f>
        <v/>
      </c>
      <c r="AZ150" s="30" t="inlineStr">
        <is>
          <t>Between 50 to 75</t>
        </is>
      </c>
      <c r="BA150" s="30">
        <f>IF(AZ150="Between 50 to 75",10,IF(AZ150="Above 75",0,0))</f>
        <v/>
      </c>
      <c r="BB150" s="30" t="inlineStr">
        <is>
          <t>Stage 2</t>
        </is>
      </c>
      <c r="BC150" s="30">
        <f>IF(BB150="Stage 2",20,IF(BB150="Stage 1",0,IF(BB150="Stage 3",5,IF(BB150="Stage 4",-5,0))))</f>
        <v/>
      </c>
      <c r="BD150" s="30" t="inlineStr">
        <is>
          <t>Positive Trend</t>
        </is>
      </c>
      <c r="BE150" s="30">
        <f>IF(BD150="Positive Trend",20,IF(BD150="Negative Trend",-10,0))</f>
        <v/>
      </c>
      <c r="BF150" s="30" t="inlineStr">
        <is>
          <t>Uptrend</t>
        </is>
      </c>
      <c r="BG150" s="30">
        <f>IF(BF150="Uptrend",10,IF(BF150="Sideways",5,0))</f>
        <v/>
      </c>
      <c r="BH150" s="30" t="inlineStr">
        <is>
          <t>Uptrend</t>
        </is>
      </c>
      <c r="BI150" s="30">
        <f>IF(BH150="Uptrend",10,IF(BH150="Sideways",5,0))</f>
        <v/>
      </c>
      <c r="BJ150" s="30" t="inlineStr">
        <is>
          <t>Close to 52 week high or retracement</t>
        </is>
      </c>
      <c r="BK150" s="30">
        <f>IF(BJ150="Overhead supply in last 2 years in last 2 years",-5,IF(BJ150="Close to 52 week high or retracement",5,IF(BJ150="Blue sky scenario",10,IF(BJ150="Long term Downtrend",-10,0))))</f>
        <v/>
      </c>
      <c r="BL150" s="30" t="inlineStr">
        <is>
          <t>Yes</t>
        </is>
      </c>
      <c r="BM150" s="30">
        <f>IF(BL150="Yes",10,0)</f>
        <v/>
      </c>
      <c r="BN150" s="30" t="inlineStr">
        <is>
          <t>More than 20%</t>
        </is>
      </c>
      <c r="BO150" s="30">
        <f>IF(BN150="More than 20%",10,IF(BN150="Between 12 to 20%",5,IF(BN150="Less than 12%",0,0)))</f>
        <v/>
      </c>
      <c r="BP150" s="30" t="inlineStr">
        <is>
          <t>No</t>
        </is>
      </c>
      <c r="BQ150" s="30">
        <f>IF(BP150="No",10,0)</f>
        <v/>
      </c>
      <c r="BR150" s="30" t="inlineStr">
        <is>
          <t>Yes</t>
        </is>
      </c>
      <c r="BS150" s="30">
        <f>IF(BR150="NO",5,0)</f>
        <v/>
      </c>
      <c r="BT150" s="30" t="inlineStr">
        <is>
          <t>Between 1.5 to 2</t>
        </is>
      </c>
      <c r="BU150" s="30">
        <f>IF(BT150="Above 2",0,IF(BT150="Between 1.5 to 2",5,IF(BT150="Less than 1.5",10,0)))</f>
        <v/>
      </c>
      <c r="BV150" s="30" t="inlineStr">
        <is>
          <t>Above 70%</t>
        </is>
      </c>
      <c r="BW150" s="30">
        <f>IF(BV150="Above 70%",10,IF(BV150="Between 50% to 70%",5,IF(BV150="Less than 50%",0,IF(BV150="Negative",-10,IF(BV150="Less than 50% and Borrowings are increasing",-5,0)))))</f>
        <v/>
      </c>
      <c r="BX150" s="30" t="inlineStr">
        <is>
          <t>Less than 0.7</t>
        </is>
      </c>
      <c r="BY150" s="30">
        <f>IF(BX150="More than 1.2",-10,IF(BX150="Between 0.7 to 1.2",0,IF(BX150="Less than 0.7",10,0)))</f>
        <v/>
      </c>
      <c r="BZ150" s="30" t="inlineStr">
        <is>
          <t>No</t>
        </is>
      </c>
      <c r="CA150" s="30">
        <f>IF(BZ150="Yes",-10,0)</f>
        <v/>
      </c>
      <c r="CB150" s="30" t="inlineStr">
        <is>
          <t>Less than 15%</t>
        </is>
      </c>
      <c r="CC150" s="30">
        <f>IF(CB150="More than 15%",-10,IF(CB150="Less than 15%",10,0))</f>
        <v/>
      </c>
      <c r="CD150" s="30" t="inlineStr">
        <is>
          <t>No</t>
        </is>
      </c>
      <c r="CE150" s="30">
        <f>IF(CD150="Yes, more than 10%",-10,IF(CD150="No",10,0))</f>
        <v/>
      </c>
    </row>
    <row r="151">
      <c r="A151" s="30">
        <f>IF(B151=0,"",RANK(B151,$B$2:$B$331,0))</f>
        <v/>
      </c>
      <c r="B151" s="31">
        <f>SUM(N151,Y151,AA151,AC151,AE151,AG151,AI151,AK151,AM151,AO151,AQ151,AS151,AU151,AW151,AY151,BA151,BC151,BE151,BG151,BI151,BK151,BM151,BO151,BQ151,BS151,BU151,BW151,BY151,CA151,CC151,CE151)</f>
        <v/>
      </c>
      <c r="C151" s="30" t="inlineStr">
        <is>
          <t>ARIES</t>
        </is>
      </c>
      <c r="D151" s="30" t="inlineStr">
        <is>
          <t>Aries Agro Limited</t>
        </is>
      </c>
      <c r="E151" s="30" t="inlineStr">
        <is>
          <t>chemicals</t>
        </is>
      </c>
      <c r="F151" s="30" t="inlineStr">
        <is>
          <t>fertilizers</t>
        </is>
      </c>
      <c r="G151" s="30" t="inlineStr">
        <is>
          <t>smallcap</t>
        </is>
      </c>
      <c r="H151" s="31" t="n">
        <v>632.21</v>
      </c>
      <c r="I151" s="31" t="n">
        <v>468.6</v>
      </c>
      <c r="J151" s="31" t="n">
        <v>-3.61</v>
      </c>
      <c r="K151" s="31" t="n">
        <v>18982</v>
      </c>
      <c r="L151" s="30" t="n">
        <v>39</v>
      </c>
      <c r="M151" s="30" t="inlineStr">
        <is>
          <t>Outperforming</t>
        </is>
      </c>
      <c r="N151" s="31">
        <f>IF(M151="Underperforming",-5,IF(L151&gt;=95,15,IF(L151&gt;=90,10,IF(L151&gt;=80,5,0))))</f>
        <v/>
      </c>
      <c r="O151" s="31" t="n">
        <v>69.42</v>
      </c>
      <c r="P151" s="31" t="n">
        <v>24.69</v>
      </c>
      <c r="Q151" s="31" t="n">
        <v>389.39</v>
      </c>
      <c r="R151" s="30" t="inlineStr">
        <is>
          <t>Earnings / Momentum Support</t>
        </is>
      </c>
      <c r="S151" s="30" t="inlineStr">
        <is>
          <t>Nifty 50</t>
        </is>
      </c>
      <c r="T151" s="31" t="n">
        <v>-6.52</v>
      </c>
      <c r="U151" s="31" t="n">
        <v>12.18</v>
      </c>
      <c r="V151" s="31" t="n">
        <v>20</v>
      </c>
      <c r="W151" s="31" t="n">
        <v>12.02</v>
      </c>
      <c r="X151" s="30" t="inlineStr">
        <is>
          <t>Growing Industry</t>
        </is>
      </c>
      <c r="Y151" s="30">
        <f>IF(X151="Growing Industry",10,IF(X151="Cyclical in an Upturn",5,0))</f>
        <v/>
      </c>
      <c r="Z151" s="30" t="inlineStr">
        <is>
          <t>Too Many Players with High ROCE</t>
        </is>
      </c>
      <c r="AA151" s="30">
        <f>IF(Z151="Monopoly",10,IF(Z151="Oligopoly",5,IF(Z151="Duopoly that cooperate",10,IF(Z151="Duopoly that compete",5,IF(Z151="Too many players with High ROCE",5,0)))))</f>
        <v/>
      </c>
      <c r="AB151" s="30" t="inlineStr">
        <is>
          <t>No</t>
        </is>
      </c>
      <c r="AC151" s="30">
        <f>IF(AB151="No",5,0)</f>
        <v/>
      </c>
      <c r="AD151" s="30" t="inlineStr">
        <is>
          <t>Tailwind</t>
        </is>
      </c>
      <c r="AE151" s="30">
        <f>IF(AD151="Tailwind",10,0)</f>
        <v/>
      </c>
      <c r="AF151" s="30" t="inlineStr">
        <is>
          <t>Structural (10 Years Consistency)</t>
        </is>
      </c>
      <c r="AG151" s="30">
        <f>IF(AF151="Structural (10 Years Consistency)",10,IF(AF151="Shallow Cyclical (2 to 3 years growth)",5,0))</f>
        <v/>
      </c>
      <c r="AH151" s="30" t="inlineStr">
        <is>
          <t>No</t>
        </is>
      </c>
      <c r="AI151" s="30">
        <f>IF(AH151="Yes due to Product Mix change or Operating Leverage",10,IF(AH151="Yes, these are peak margins",-5,IF(AH151="No",5,0)))</f>
        <v/>
      </c>
      <c r="AJ151" s="30" t="inlineStr">
        <is>
          <t>Stable</t>
        </is>
      </c>
      <c r="AK151" s="30">
        <f>IF(AJ151="Stable",10,0)</f>
        <v/>
      </c>
      <c r="AL151" s="30" t="inlineStr">
        <is>
          <t>Yes</t>
        </is>
      </c>
      <c r="AM151" s="30">
        <f>IF(AL151="Yes",10,0)</f>
        <v/>
      </c>
      <c r="AN151" s="30" t="inlineStr">
        <is>
          <t>B2B</t>
        </is>
      </c>
      <c r="AO151" s="30">
        <f>IF(AN151="B2C",10,IF(AN151="B2B",5,0))</f>
        <v/>
      </c>
      <c r="AP151" s="30" t="inlineStr">
        <is>
          <t>No</t>
        </is>
      </c>
      <c r="AQ151" s="30">
        <f>IF(AP151="Yes",10,0)</f>
        <v/>
      </c>
      <c r="AR151" s="30" t="inlineStr">
        <is>
          <t>Higher One Time, Lower Annuity</t>
        </is>
      </c>
      <c r="AS151" s="30">
        <f>IF(AR151="Fully Annuity",10,IF(AR151="Higher Annuity, Lower One Time",5,IF(AR151="Higher One Time, Lower Annuity",3,0)))</f>
        <v/>
      </c>
      <c r="AT151" s="30" t="inlineStr">
        <is>
          <t>Good</t>
        </is>
      </c>
      <c r="AU151" s="30">
        <f>IF(AT151="Good",10,0)</f>
        <v/>
      </c>
      <c r="AV151" s="30" t="inlineStr">
        <is>
          <t>Yes for more than 2 years</t>
        </is>
      </c>
      <c r="AW151" s="30">
        <f>IF(AV151="Yes for more than 2 years",10,IF(AV151="Yes only for next 1 to 2 years",5,0))</f>
        <v/>
      </c>
      <c r="AX151" s="30" t="inlineStr">
        <is>
          <t>20 to 40</t>
        </is>
      </c>
      <c r="AY151" s="30">
        <f>IF(AX151="Above 40",20,IF(AX151="20 to 40",10,IF(AX151="0 to 20",-5,0)))</f>
        <v/>
      </c>
      <c r="AZ151" s="30" t="inlineStr">
        <is>
          <t>Between 50 to 75</t>
        </is>
      </c>
      <c r="BA151" s="30">
        <f>IF(AZ151="Between 50 to 75",10,IF(AZ151="Above 75",0,0))</f>
        <v/>
      </c>
      <c r="BB151" s="30" t="inlineStr">
        <is>
          <t>Stage 2</t>
        </is>
      </c>
      <c r="BC151" s="30">
        <f>IF(BB151="Stage 2",20,IF(BB151="Stage 1",0,IF(BB151="Stage 3",5,IF(BB151="Stage 4",-5,0))))</f>
        <v/>
      </c>
      <c r="BD151" s="30" t="inlineStr">
        <is>
          <t>Positive Trend</t>
        </is>
      </c>
      <c r="BE151" s="30">
        <f>IF(BD151="Positive Trend",20,IF(BD151="Negative Trend",-10,0))</f>
        <v/>
      </c>
      <c r="BF151" s="30" t="inlineStr">
        <is>
          <t>Uptrend</t>
        </is>
      </c>
      <c r="BG151" s="30">
        <f>IF(BF151="Uptrend",10,IF(BF151="Sideways",5,0))</f>
        <v/>
      </c>
      <c r="BH151" s="30" t="inlineStr">
        <is>
          <t>Uptrend</t>
        </is>
      </c>
      <c r="BI151" s="30">
        <f>IF(BH151="Uptrend",10,IF(BH151="Sideways",5,0))</f>
        <v/>
      </c>
      <c r="BJ151" s="30" t="inlineStr">
        <is>
          <t>Close to 52 week high or retracement</t>
        </is>
      </c>
      <c r="BK151" s="30">
        <f>IF(BJ151="Overhead supply in last 2 years in last 2 years",-5,IF(BJ151="Close to 52 week high or retracement",5,IF(BJ151="Blue sky scenario",10,IF(BJ151="Long term Downtrend",-10,0))))</f>
        <v/>
      </c>
      <c r="BL151" s="30" t="inlineStr">
        <is>
          <t>Yes</t>
        </is>
      </c>
      <c r="BM151" s="30">
        <f>IF(BL151="Yes",10,0)</f>
        <v/>
      </c>
      <c r="BN151" s="30" t="inlineStr">
        <is>
          <t>More than 20%</t>
        </is>
      </c>
      <c r="BO151" s="30">
        <f>IF(BN151="More than 20%",10,IF(BN151="Between 12 to 20%",5,IF(BN151="Less than 12%",0,0)))</f>
        <v/>
      </c>
      <c r="BP151" s="30" t="inlineStr">
        <is>
          <t>No</t>
        </is>
      </c>
      <c r="BQ151" s="30">
        <f>IF(BP151="No",10,0)</f>
        <v/>
      </c>
      <c r="BR151" s="30" t="inlineStr">
        <is>
          <t>No</t>
        </is>
      </c>
      <c r="BS151" s="30">
        <f>IF(BR151="NO",5,0)</f>
        <v/>
      </c>
      <c r="BT151" s="30" t="inlineStr">
        <is>
          <t>Less than 1.5</t>
        </is>
      </c>
      <c r="BU151" s="30">
        <f>IF(BT151="Above 2",0,IF(BT151="Between 1.5 to 2",5,IF(BT151="Less than 1.5",10,0)))</f>
        <v/>
      </c>
      <c r="BV151" s="30" t="inlineStr">
        <is>
          <t>Above 70%</t>
        </is>
      </c>
      <c r="BW151" s="30">
        <f>IF(BV151="Above 70%",10,IF(BV151="Between 50% to 70%",5,IF(BV151="Less than 50%",0,IF(BV151="Negative",-10,IF(BV151="Less than 50% and Borrowings are increasing",-5,0)))))</f>
        <v/>
      </c>
      <c r="BX151" s="30" t="inlineStr">
        <is>
          <t>Less than 0.7</t>
        </is>
      </c>
      <c r="BY151" s="30">
        <f>IF(BX151="More than 1.2",-10,IF(BX151="Between 0.7 to 1.2",0,IF(BX151="Less than 0.7",10,0)))</f>
        <v/>
      </c>
      <c r="BZ151" s="30" t="inlineStr">
        <is>
          <t>No</t>
        </is>
      </c>
      <c r="CA151" s="30">
        <f>IF(BZ151="Yes",-10,0)</f>
        <v/>
      </c>
      <c r="CB151" s="30" t="inlineStr">
        <is>
          <t>Less than 15%</t>
        </is>
      </c>
      <c r="CC151" s="30">
        <f>IF(CB151="More than 15%",-10,IF(CB151="Less than 15%",10,0))</f>
        <v/>
      </c>
      <c r="CD151" s="30" t="inlineStr">
        <is>
          <t>No</t>
        </is>
      </c>
      <c r="CE151" s="30">
        <f>IF(CD151="Yes, more than 10%",-10,IF(CD151="No",10,0))</f>
        <v/>
      </c>
    </row>
    <row r="152">
      <c r="A152" s="30">
        <f>IF(B152=0,"",RANK(B152,$B$2:$B$331,0))</f>
        <v/>
      </c>
      <c r="B152" s="31">
        <f>SUM(N152,Y152,AA152,AC152,AE152,AG152,AI152,AK152,AM152,AO152,AQ152,AS152,AU152,AW152,AY152,BA152,BC152,BE152,BG152,BI152,BK152,BM152,BO152,BQ152,BS152,BU152,BW152,BY152,CA152,CC152,CE152)</f>
        <v/>
      </c>
      <c r="C152" s="30" t="inlineStr">
        <is>
          <t>INDORAMA</t>
        </is>
      </c>
      <c r="D152" s="30" t="inlineStr">
        <is>
          <t>Indo Rama Synthetics (india) Limited</t>
        </is>
      </c>
      <c r="E152" s="30" t="inlineStr">
        <is>
          <t>textiles</t>
        </is>
      </c>
      <c r="F152" s="30" t="inlineStr">
        <is>
          <t>textiles - manmade</t>
        </is>
      </c>
      <c r="G152" s="30" t="inlineStr">
        <is>
          <t>smallcap</t>
        </is>
      </c>
      <c r="H152" s="31" t="n">
        <v>2248.97</v>
      </c>
      <c r="I152" s="31" t="n">
        <v>82.93000000000001</v>
      </c>
      <c r="J152" s="31" t="n">
        <v>-3.72</v>
      </c>
      <c r="K152" s="31" t="n">
        <v>3197552</v>
      </c>
      <c r="L152" s="30" t="n">
        <v>82</v>
      </c>
      <c r="M152" s="30" t="inlineStr">
        <is>
          <t>Outperforming</t>
        </is>
      </c>
      <c r="N152" s="31">
        <f>IF(M152="Underperforming",-5,IF(L152&gt;=95,15,IF(L152&gt;=90,10,IF(L152&gt;=80,5,0))))</f>
        <v/>
      </c>
      <c r="O152" s="31" t="n">
        <v>81.29000000000001</v>
      </c>
      <c r="P152" s="31" t="n">
        <v>52.82</v>
      </c>
      <c r="Q152" s="31" t="n">
        <v>60.45</v>
      </c>
      <c r="R152" s="30" t="inlineStr">
        <is>
          <t>Volume Spike &amp; Near 52W High Breakout</t>
        </is>
      </c>
      <c r="S152" s="30" t="inlineStr">
        <is>
          <t>Nifty 50</t>
        </is>
      </c>
      <c r="T152" s="31" t="n">
        <v>-6.52</v>
      </c>
      <c r="U152" s="31" t="n">
        <v>54.52</v>
      </c>
      <c r="V152" s="31" t="n">
        <v>65.29000000000001</v>
      </c>
      <c r="W152" s="31" t="n">
        <v>32.36</v>
      </c>
      <c r="X152" s="30" t="inlineStr">
        <is>
          <t>Growing Industry</t>
        </is>
      </c>
      <c r="Y152" s="30">
        <f>IF(X152="Growing Industry",10,IF(X152="Cyclical in an Upturn",5,0))</f>
        <v/>
      </c>
      <c r="Z152" s="30" t="inlineStr">
        <is>
          <t>Too Many Players with High ROCE</t>
        </is>
      </c>
      <c r="AA152" s="30">
        <f>IF(Z152="Monopoly",10,IF(Z152="Oligopoly",5,IF(Z152="Duopoly that cooperate",10,IF(Z152="Duopoly that compete",5,IF(Z152="Too many players with High ROCE",5,0)))))</f>
        <v/>
      </c>
      <c r="AB152" s="30" t="inlineStr">
        <is>
          <t>No</t>
        </is>
      </c>
      <c r="AC152" s="30">
        <f>IF(AB152="No",5,0)</f>
        <v/>
      </c>
      <c r="AD152" s="30" t="inlineStr">
        <is>
          <t>Tailwind</t>
        </is>
      </c>
      <c r="AE152" s="30">
        <f>IF(AD152="Tailwind",10,0)</f>
        <v/>
      </c>
      <c r="AF152" s="30" t="inlineStr">
        <is>
          <t>Structural (10 Years Consistency)</t>
        </is>
      </c>
      <c r="AG152" s="30">
        <f>IF(AF152="Structural (10 Years Consistency)",10,IF(AF152="Shallow Cyclical (2 to 3 years growth)",5,0))</f>
        <v/>
      </c>
      <c r="AH152" s="30" t="inlineStr">
        <is>
          <t>No</t>
        </is>
      </c>
      <c r="AI152" s="30">
        <f>IF(AH152="Yes due to Product Mix change or Operating Leverage",10,IF(AH152="Yes, these are peak margins",-5,IF(AH152="No",5,0)))</f>
        <v/>
      </c>
      <c r="AJ152" s="30" t="inlineStr">
        <is>
          <t>Stable</t>
        </is>
      </c>
      <c r="AK152" s="30">
        <f>IF(AJ152="Stable",10,0)</f>
        <v/>
      </c>
      <c r="AL152" s="30" t="inlineStr">
        <is>
          <t>Yes</t>
        </is>
      </c>
      <c r="AM152" s="30">
        <f>IF(AL152="Yes",10,0)</f>
        <v/>
      </c>
      <c r="AN152" s="30" t="inlineStr">
        <is>
          <t>B2B</t>
        </is>
      </c>
      <c r="AO152" s="30">
        <f>IF(AN152="B2C",10,IF(AN152="B2B",5,0))</f>
        <v/>
      </c>
      <c r="AP152" s="30" t="inlineStr">
        <is>
          <t>Yes</t>
        </is>
      </c>
      <c r="AQ152" s="30">
        <f>IF(AP152="Yes",10,0)</f>
        <v/>
      </c>
      <c r="AR152" s="30" t="inlineStr">
        <is>
          <t>Higher One Time, Lower Annuity</t>
        </is>
      </c>
      <c r="AS152" s="30">
        <f>IF(AR152="Fully Annuity",10,IF(AR152="Higher Annuity, Lower One Time",5,IF(AR152="Higher One Time, Lower Annuity",3,0)))</f>
        <v/>
      </c>
      <c r="AT152" s="30" t="inlineStr">
        <is>
          <t>Good</t>
        </is>
      </c>
      <c r="AU152" s="30">
        <f>IF(AT152="Good",10,0)</f>
        <v/>
      </c>
      <c r="AV152" s="30" t="inlineStr">
        <is>
          <t>Yes for more than 2 years</t>
        </is>
      </c>
      <c r="AW152" s="30">
        <f>IF(AV152="Yes for more than 2 years",10,IF(AV152="Yes only for next 1 to 2 years",5,0))</f>
        <v/>
      </c>
      <c r="AX152" s="30" t="inlineStr">
        <is>
          <t>Above 40</t>
        </is>
      </c>
      <c r="AY152" s="30">
        <f>IF(AX152="Above 40",20,IF(AX152="20 to 40",10,IF(AX152="0 to 20",-5,0)))</f>
        <v/>
      </c>
      <c r="AZ152" s="30" t="inlineStr">
        <is>
          <t>Above 75</t>
        </is>
      </c>
      <c r="BA152" s="30">
        <f>IF(AZ152="Between 50 to 75",10,IF(AZ152="Above 75",0,0))</f>
        <v/>
      </c>
      <c r="BB152" s="30" t="inlineStr">
        <is>
          <t>Stage 2</t>
        </is>
      </c>
      <c r="BC152" s="30">
        <f>IF(BB152="Stage 2",20,IF(BB152="Stage 1",0,IF(BB152="Stage 3",5,IF(BB152="Stage 4",-5,0))))</f>
        <v/>
      </c>
      <c r="BD152" s="30" t="inlineStr">
        <is>
          <t>Positive Trend</t>
        </is>
      </c>
      <c r="BE152" s="30">
        <f>IF(BD152="Positive Trend",20,IF(BD152="Negative Trend",-10,0))</f>
        <v/>
      </c>
      <c r="BF152" s="30" t="inlineStr">
        <is>
          <t>Uptrend</t>
        </is>
      </c>
      <c r="BG152" s="30">
        <f>IF(BF152="Uptrend",10,IF(BF152="Sideways",5,0))</f>
        <v/>
      </c>
      <c r="BH152" s="30" t="inlineStr">
        <is>
          <t>Uptrend</t>
        </is>
      </c>
      <c r="BI152" s="30">
        <f>IF(BH152="Uptrend",10,IF(BH152="Sideways",5,0))</f>
        <v/>
      </c>
      <c r="BJ152" s="30" t="inlineStr">
        <is>
          <t>Blue sky scenario</t>
        </is>
      </c>
      <c r="BK152" s="30">
        <f>IF(BJ152="Overhead supply in last 2 years in last 2 years",-5,IF(BJ152="Close to 52 week high or retracement",5,IF(BJ152="Blue sky scenario",10,IF(BJ152="Long term Downtrend",-10,0))))</f>
        <v/>
      </c>
      <c r="BL152" s="30" t="inlineStr">
        <is>
          <t>Yes</t>
        </is>
      </c>
      <c r="BM152" s="30">
        <f>IF(BL152="Yes",10,0)</f>
        <v/>
      </c>
      <c r="BN152" s="30" t="inlineStr">
        <is>
          <t>More than 20%</t>
        </is>
      </c>
      <c r="BO152" s="30">
        <f>IF(BN152="More than 20%",10,IF(BN152="Between 12 to 20%",5,IF(BN152="Less than 12%",0,0)))</f>
        <v/>
      </c>
      <c r="BP152" s="30" t="inlineStr">
        <is>
          <t>No</t>
        </is>
      </c>
      <c r="BQ152" s="30">
        <f>IF(BP152="No",10,0)</f>
        <v/>
      </c>
      <c r="BR152" s="30" t="inlineStr">
        <is>
          <t>No</t>
        </is>
      </c>
      <c r="BS152" s="30">
        <f>IF(BR152="NO",5,0)</f>
        <v/>
      </c>
      <c r="BT152" s="30" t="inlineStr">
        <is>
          <t>Less than 1.5</t>
        </is>
      </c>
      <c r="BU152" s="30">
        <f>IF(BT152="Above 2",0,IF(BT152="Between 1.5 to 2",5,IF(BT152="Less than 1.5",10,0)))</f>
        <v/>
      </c>
      <c r="BV152" s="30" t="inlineStr">
        <is>
          <t>Above 70%</t>
        </is>
      </c>
      <c r="BW152" s="30">
        <f>IF(BV152="Above 70%",10,IF(BV152="Between 50% to 70%",5,IF(BV152="Less than 50%",0,IF(BV152="Negative",-10,IF(BV152="Less than 50% and Borrowings are increasing",-5,0)))))</f>
        <v/>
      </c>
      <c r="BX152" s="30" t="inlineStr">
        <is>
          <t>More than 1.2</t>
        </is>
      </c>
      <c r="BY152" s="30">
        <f>IF(BX152="More than 1.2",-10,IF(BX152="Between 0.7 to 1.2",0,IF(BX152="Less than 0.7",10,0)))</f>
        <v/>
      </c>
      <c r="BZ152" s="30" t="inlineStr">
        <is>
          <t>No</t>
        </is>
      </c>
      <c r="CA152" s="30">
        <f>IF(BZ152="Yes",-10,0)</f>
        <v/>
      </c>
      <c r="CB152" s="30" t="inlineStr">
        <is>
          <t>Less than 15%</t>
        </is>
      </c>
      <c r="CC152" s="30">
        <f>IF(CB152="More than 15%",-10,IF(CB152="Less than 15%",10,0))</f>
        <v/>
      </c>
      <c r="CD152" s="30" t="inlineStr">
        <is>
          <t>No</t>
        </is>
      </c>
      <c r="CE152" s="30">
        <f>IF(CD152="Yes, more than 10%",-10,IF(CD152="No",10,0))</f>
        <v/>
      </c>
    </row>
    <row r="153">
      <c r="A153" s="30">
        <f>IF(B153=0,"",RANK(B153,$B$2:$B$331,0))</f>
        <v/>
      </c>
      <c r="B153" s="31">
        <f>SUM(N153,Y153,AA153,AC153,AE153,AG153,AI153,AK153,AM153,AO153,AQ153,AS153,AU153,AW153,AY153,BA153,BC153,BE153,BG153,BI153,BK153,BM153,BO153,BQ153,BS153,BU153,BW153,BY153,CA153,CC153,CE153)</f>
        <v/>
      </c>
      <c r="C153" s="30" t="inlineStr">
        <is>
          <t>BODALCHEM</t>
        </is>
      </c>
      <c r="D153" s="30" t="inlineStr">
        <is>
          <t>Bodal Chemicals Limited</t>
        </is>
      </c>
      <c r="E153" s="30" t="inlineStr">
        <is>
          <t>chemicals</t>
        </is>
      </c>
      <c r="F153" s="30" t="inlineStr">
        <is>
          <t>dyes and pigments</t>
        </is>
      </c>
      <c r="G153" s="30" t="inlineStr">
        <is>
          <t>smallcap</t>
        </is>
      </c>
      <c r="H153" s="31" t="n">
        <v>2202.13</v>
      </c>
      <c r="I153" s="31" t="n">
        <v>166.11</v>
      </c>
      <c r="J153" s="31" t="n">
        <v>-5</v>
      </c>
      <c r="K153" s="31" t="n">
        <v>2774629</v>
      </c>
      <c r="L153" s="30" t="n">
        <v>96</v>
      </c>
      <c r="M153" s="30" t="inlineStr">
        <is>
          <t>Outperforming</t>
        </is>
      </c>
      <c r="N153" s="31">
        <f>IF(M153="Underperforming",-5,IF(L153&gt;=95,15,IF(L153&gt;=90,10,IF(L153&gt;=80,5,0))))</f>
        <v/>
      </c>
      <c r="O153" s="31" t="n">
        <v>88.23</v>
      </c>
      <c r="P153" s="31" t="n">
        <v>37.83</v>
      </c>
      <c r="Q153" s="31" t="n">
        <v>126.54</v>
      </c>
      <c r="R153" s="30" t="inlineStr">
        <is>
          <t>Near 52W High Breakout</t>
        </is>
      </c>
      <c r="S153" s="30" t="inlineStr">
        <is>
          <t>Nifty 50</t>
        </is>
      </c>
      <c r="T153" s="31" t="n">
        <v>-6.52</v>
      </c>
      <c r="U153" s="31" t="n">
        <v>153.53</v>
      </c>
      <c r="V153" s="31" t="n">
        <v>171.19</v>
      </c>
      <c r="W153" s="31" t="n">
        <v>61.29</v>
      </c>
      <c r="X153" s="30" t="inlineStr">
        <is>
          <t>Growing Industry</t>
        </is>
      </c>
      <c r="Y153" s="30">
        <f>IF(X153="Growing Industry",10,IF(X153="Cyclical in an Upturn",5,0))</f>
        <v/>
      </c>
      <c r="Z153" s="30" t="inlineStr">
        <is>
          <t>Too Many Players with High ROCE</t>
        </is>
      </c>
      <c r="AA153" s="30">
        <f>IF(Z153="Monopoly",10,IF(Z153="Oligopoly",5,IF(Z153="Duopoly that cooperate",10,IF(Z153="Duopoly that compete",5,IF(Z153="Too many players with High ROCE",5,0)))))</f>
        <v/>
      </c>
      <c r="AB153" s="30" t="inlineStr">
        <is>
          <t>No</t>
        </is>
      </c>
      <c r="AC153" s="30">
        <f>IF(AB153="No",5,0)</f>
        <v/>
      </c>
      <c r="AD153" s="30" t="inlineStr">
        <is>
          <t>Tailwind</t>
        </is>
      </c>
      <c r="AE153" s="30">
        <f>IF(AD153="Tailwind",10,0)</f>
        <v/>
      </c>
      <c r="AF153" s="30" t="inlineStr">
        <is>
          <t>Structural (10 Years Consistency)</t>
        </is>
      </c>
      <c r="AG153" s="30">
        <f>IF(AF153="Structural (10 Years Consistency)",10,IF(AF153="Shallow Cyclical (2 to 3 years growth)",5,0))</f>
        <v/>
      </c>
      <c r="AH153" s="30" t="inlineStr">
        <is>
          <t>No</t>
        </is>
      </c>
      <c r="AI153" s="30">
        <f>IF(AH153="Yes due to Product Mix change or Operating Leverage",10,IF(AH153="Yes, these are peak margins",-5,IF(AH153="No",5,0)))</f>
        <v/>
      </c>
      <c r="AJ153" s="30" t="inlineStr">
        <is>
          <t>Stable</t>
        </is>
      </c>
      <c r="AK153" s="30">
        <f>IF(AJ153="Stable",10,0)</f>
        <v/>
      </c>
      <c r="AL153" s="30" t="inlineStr">
        <is>
          <t>Yes</t>
        </is>
      </c>
      <c r="AM153" s="30">
        <f>IF(AL153="Yes",10,0)</f>
        <v/>
      </c>
      <c r="AN153" s="30" t="inlineStr">
        <is>
          <t>B2B</t>
        </is>
      </c>
      <c r="AO153" s="30">
        <f>IF(AN153="B2C",10,IF(AN153="B2B",5,0))</f>
        <v/>
      </c>
      <c r="AP153" s="30" t="inlineStr">
        <is>
          <t>Yes</t>
        </is>
      </c>
      <c r="AQ153" s="30">
        <f>IF(AP153="Yes",10,0)</f>
        <v/>
      </c>
      <c r="AR153" s="30" t="inlineStr">
        <is>
          <t>Higher One Time, Lower Annuity</t>
        </is>
      </c>
      <c r="AS153" s="30">
        <f>IF(AR153="Fully Annuity",10,IF(AR153="Higher Annuity, Lower One Time",5,IF(AR153="Higher One Time, Lower Annuity",3,0)))</f>
        <v/>
      </c>
      <c r="AT153" s="30" t="inlineStr">
        <is>
          <t>Good</t>
        </is>
      </c>
      <c r="AU153" s="30">
        <f>IF(AT153="Good",10,0)</f>
        <v/>
      </c>
      <c r="AV153" s="30" t="inlineStr">
        <is>
          <t>Yes for more than 2 years</t>
        </is>
      </c>
      <c r="AW153" s="30">
        <f>IF(AV153="Yes for more than 2 years",10,IF(AV153="Yes only for next 1 to 2 years",5,0))</f>
        <v/>
      </c>
      <c r="AX153" s="30" t="inlineStr">
        <is>
          <t>20 to 40</t>
        </is>
      </c>
      <c r="AY153" s="30">
        <f>IF(AX153="Above 40",20,IF(AX153="20 to 40",10,IF(AX153="0 to 20",-5,0)))</f>
        <v/>
      </c>
      <c r="AZ153" s="30" t="inlineStr">
        <is>
          <t>Above 75</t>
        </is>
      </c>
      <c r="BA153" s="30">
        <f>IF(AZ153="Between 50 to 75",10,IF(AZ153="Above 75",0,0))</f>
        <v/>
      </c>
      <c r="BB153" s="30" t="inlineStr">
        <is>
          <t>Stage 2</t>
        </is>
      </c>
      <c r="BC153" s="30">
        <f>IF(BB153="Stage 2",20,IF(BB153="Stage 1",0,IF(BB153="Stage 3",5,IF(BB153="Stage 4",-5,0))))</f>
        <v/>
      </c>
      <c r="BD153" s="30" t="inlineStr">
        <is>
          <t>Positive Trend</t>
        </is>
      </c>
      <c r="BE153" s="30">
        <f>IF(BD153="Positive Trend",20,IF(BD153="Negative Trend",-10,0))</f>
        <v/>
      </c>
      <c r="BF153" s="30" t="inlineStr">
        <is>
          <t>Uptrend</t>
        </is>
      </c>
      <c r="BG153" s="30">
        <f>IF(BF153="Uptrend",10,IF(BF153="Sideways",5,0))</f>
        <v/>
      </c>
      <c r="BH153" s="30" t="inlineStr">
        <is>
          <t>Uptrend</t>
        </is>
      </c>
      <c r="BI153" s="30">
        <f>IF(BH153="Uptrend",10,IF(BH153="Sideways",5,0))</f>
        <v/>
      </c>
      <c r="BJ153" s="30" t="inlineStr">
        <is>
          <t>Blue sky scenario</t>
        </is>
      </c>
      <c r="BK153" s="30">
        <f>IF(BJ153="Overhead supply in last 2 years in last 2 years",-5,IF(BJ153="Close to 52 week high or retracement",5,IF(BJ153="Blue sky scenario",10,IF(BJ153="Long term Downtrend",-10,0))))</f>
        <v/>
      </c>
      <c r="BL153" s="30" t="inlineStr">
        <is>
          <t>Yes</t>
        </is>
      </c>
      <c r="BM153" s="30">
        <f>IF(BL153="Yes",10,0)</f>
        <v/>
      </c>
      <c r="BN153" s="30" t="inlineStr">
        <is>
          <t>More than 20%</t>
        </is>
      </c>
      <c r="BO153" s="30">
        <f>IF(BN153="More than 20%",10,IF(BN153="Between 12 to 20%",5,IF(BN153="Less than 12%",0,0)))</f>
        <v/>
      </c>
      <c r="BP153" s="30" t="inlineStr">
        <is>
          <t>No</t>
        </is>
      </c>
      <c r="BQ153" s="30">
        <f>IF(BP153="No",10,0)</f>
        <v/>
      </c>
      <c r="BR153" s="30" t="inlineStr">
        <is>
          <t>No</t>
        </is>
      </c>
      <c r="BS153" s="30">
        <f>IF(BR153="NO",5,0)</f>
        <v/>
      </c>
      <c r="BT153" s="30" t="inlineStr">
        <is>
          <t>Above 2</t>
        </is>
      </c>
      <c r="BU153" s="30">
        <f>IF(BT153="Above 2",0,IF(BT153="Between 1.5 to 2",5,IF(BT153="Less than 1.5",10,0)))</f>
        <v/>
      </c>
      <c r="BV153" s="30" t="inlineStr">
        <is>
          <t>Above 70%</t>
        </is>
      </c>
      <c r="BW153" s="30">
        <f>IF(BV153="Above 70%",10,IF(BV153="Between 50% to 70%",5,IF(BV153="Less than 50%",0,IF(BV153="Negative",-10,IF(BV153="Less than 50% and Borrowings are increasing",-5,0)))))</f>
        <v/>
      </c>
      <c r="BX153" s="30" t="inlineStr">
        <is>
          <t>Between 0.7 to 1.2</t>
        </is>
      </c>
      <c r="BY153" s="30">
        <f>IF(BX153="More than 1.2",-10,IF(BX153="Between 0.7 to 1.2",0,IF(BX153="Less than 0.7",10,0)))</f>
        <v/>
      </c>
      <c r="BZ153" s="30" t="inlineStr">
        <is>
          <t>No</t>
        </is>
      </c>
      <c r="CA153" s="30">
        <f>IF(BZ153="Yes",-10,0)</f>
        <v/>
      </c>
      <c r="CB153" s="30" t="inlineStr">
        <is>
          <t>Less than 15%</t>
        </is>
      </c>
      <c r="CC153" s="30">
        <f>IF(CB153="More than 15%",-10,IF(CB153="Less than 15%",10,0))</f>
        <v/>
      </c>
      <c r="CD153" s="30" t="inlineStr">
        <is>
          <t>No</t>
        </is>
      </c>
      <c r="CE153" s="30">
        <f>IF(CD153="Yes, more than 10%",-10,IF(CD153="No",10,0))</f>
        <v/>
      </c>
    </row>
    <row r="154">
      <c r="A154" s="30">
        <f>IF(B154=0,"",RANK(B154,$B$2:$B$331,0))</f>
        <v/>
      </c>
      <c r="B154" s="31">
        <f>SUM(N154,Y154,AA154,AC154,AE154,AG154,AI154,AK154,AM154,AO154,AQ154,AS154,AU154,AW154,AY154,BA154,BC154,BE154,BG154,BI154,BK154,BM154,BO154,BQ154,BS154,BU154,BW154,BY154,CA154,CC154,CE154)</f>
        <v/>
      </c>
      <c r="C154" s="30" t="inlineStr">
        <is>
          <t>NEULANDLAB</t>
        </is>
      </c>
      <c r="D154" s="30" t="inlineStr">
        <is>
          <t>Neuland Laboratories Limited</t>
        </is>
      </c>
      <c r="E154" s="30" t="inlineStr">
        <is>
          <t>healthcare</t>
        </is>
      </c>
      <c r="F154" s="30" t="inlineStr">
        <is>
          <t>pharmaceuticals - indian - bulk drugs</t>
        </is>
      </c>
      <c r="G154" s="30" t="inlineStr">
        <is>
          <t>largecap</t>
        </is>
      </c>
      <c r="H154" s="31" t="n">
        <v>29758.93</v>
      </c>
      <c r="I154" s="31" t="n">
        <v>23800</v>
      </c>
      <c r="J154" s="31" t="n">
        <v>2.61</v>
      </c>
      <c r="K154" s="31" t="n">
        <v>55257</v>
      </c>
      <c r="L154" s="30" t="n">
        <v>61</v>
      </c>
      <c r="M154" s="30" t="inlineStr">
        <is>
          <t>Outperforming</t>
        </is>
      </c>
      <c r="N154" s="31">
        <f>IF(M154="Underperforming",-5,IF(L154&gt;=95,15,IF(L154&gt;=90,10,IF(L154&gt;=80,5,0))))</f>
        <v/>
      </c>
      <c r="O154" s="31" t="n">
        <v>75.5</v>
      </c>
      <c r="P154" s="31" t="n">
        <v>58.51</v>
      </c>
      <c r="Q154" s="31" t="n">
        <v>19510.23</v>
      </c>
      <c r="R154" s="30" t="inlineStr">
        <is>
          <t>Near 52W High Breakout</t>
        </is>
      </c>
      <c r="S154" s="30" t="inlineStr">
        <is>
          <t>Nifty Pharma</t>
        </is>
      </c>
      <c r="T154" s="31" t="n">
        <v>18.86</v>
      </c>
      <c r="U154" s="31" t="n">
        <v>48.57</v>
      </c>
      <c r="V154" s="31" t="n">
        <v>24.99</v>
      </c>
      <c r="W154" s="31" t="n">
        <v>18.92</v>
      </c>
      <c r="X154" s="30" t="inlineStr">
        <is>
          <t>Growing Industry</t>
        </is>
      </c>
      <c r="Y154" s="30">
        <f>IF(X154="Growing Industry",10,IF(X154="Cyclical in an Upturn",5,0))</f>
        <v/>
      </c>
      <c r="Z154" s="30" t="inlineStr">
        <is>
          <t>Too Many Players with High ROCE</t>
        </is>
      </c>
      <c r="AA154" s="30">
        <f>IF(Z154="Monopoly",10,IF(Z154="Oligopoly",5,IF(Z154="Duopoly that cooperate",10,IF(Z154="Duopoly that compete",5,IF(Z154="Too many players with High ROCE",5,0)))))</f>
        <v/>
      </c>
      <c r="AB154" s="30" t="inlineStr">
        <is>
          <t>Yes</t>
        </is>
      </c>
      <c r="AC154" s="30">
        <f>IF(AB154="No",5,0)</f>
        <v/>
      </c>
      <c r="AD154" s="30" t="inlineStr">
        <is>
          <t>Tailwind</t>
        </is>
      </c>
      <c r="AE154" s="30">
        <f>IF(AD154="Tailwind",10,0)</f>
        <v/>
      </c>
      <c r="AF154" s="30" t="inlineStr">
        <is>
          <t>Structural (10 Years Consistency)</t>
        </is>
      </c>
      <c r="AG154" s="30">
        <f>IF(AF154="Structural (10 Years Consistency)",10,IF(AF154="Shallow Cyclical (2 to 3 years growth)",5,0))</f>
        <v/>
      </c>
      <c r="AH154" s="30" t="inlineStr">
        <is>
          <t>No</t>
        </is>
      </c>
      <c r="AI154" s="30">
        <f>IF(AH154="Yes due to Product Mix change or Operating Leverage",10,IF(AH154="Yes, these are peak margins",-5,IF(AH154="No",5,0)))</f>
        <v/>
      </c>
      <c r="AJ154" s="30" t="inlineStr">
        <is>
          <t>Stable</t>
        </is>
      </c>
      <c r="AK154" s="30">
        <f>IF(AJ154="Stable",10,0)</f>
        <v/>
      </c>
      <c r="AL154" s="30" t="inlineStr">
        <is>
          <t>Yes</t>
        </is>
      </c>
      <c r="AM154" s="30">
        <f>IF(AL154="Yes",10,0)</f>
        <v/>
      </c>
      <c r="AN154" s="30" t="inlineStr">
        <is>
          <t>B2B</t>
        </is>
      </c>
      <c r="AO154" s="30">
        <f>IF(AN154="B2C",10,IF(AN154="B2B",5,0))</f>
        <v/>
      </c>
      <c r="AP154" s="30" t="inlineStr">
        <is>
          <t>Yes</t>
        </is>
      </c>
      <c r="AQ154" s="30">
        <f>IF(AP154="Yes",10,0)</f>
        <v/>
      </c>
      <c r="AR154" s="30" t="inlineStr">
        <is>
          <t>Higher Annuity, Lower One Time</t>
        </is>
      </c>
      <c r="AS154" s="30">
        <f>IF(AR154="Fully Annuity",10,IF(AR154="Higher Annuity, Lower One Time",5,IF(AR154="Higher One Time, Lower Annuity",3,0)))</f>
        <v/>
      </c>
      <c r="AT154" s="30" t="inlineStr">
        <is>
          <t>Good</t>
        </is>
      </c>
      <c r="AU154" s="30">
        <f>IF(AT154="Good",10,0)</f>
        <v/>
      </c>
      <c r="AV154" s="30" t="inlineStr">
        <is>
          <t>Yes for more than 2 years</t>
        </is>
      </c>
      <c r="AW154" s="30">
        <f>IF(AV154="Yes for more than 2 years",10,IF(AV154="Yes only for next 1 to 2 years",5,0))</f>
        <v/>
      </c>
      <c r="AX154" s="30" t="inlineStr">
        <is>
          <t>Above 40</t>
        </is>
      </c>
      <c r="AY154" s="30">
        <f>IF(AX154="Above 40",20,IF(AX154="20 to 40",10,IF(AX154="0 to 20",-5,0)))</f>
        <v/>
      </c>
      <c r="AZ154" s="30" t="inlineStr">
        <is>
          <t>Above 75</t>
        </is>
      </c>
      <c r="BA154" s="30">
        <f>IF(AZ154="Between 50 to 75",10,IF(AZ154="Above 75",0,0))</f>
        <v/>
      </c>
      <c r="BB154" s="30" t="inlineStr">
        <is>
          <t>Stage 2</t>
        </is>
      </c>
      <c r="BC154" s="30">
        <f>IF(BB154="Stage 2",20,IF(BB154="Stage 1",0,IF(BB154="Stage 3",5,IF(BB154="Stage 4",-5,0))))</f>
        <v/>
      </c>
      <c r="BD154" s="30" t="inlineStr">
        <is>
          <t>Positive Trend</t>
        </is>
      </c>
      <c r="BE154" s="30">
        <f>IF(BD154="Positive Trend",20,IF(BD154="Negative Trend",-10,0))</f>
        <v/>
      </c>
      <c r="BF154" s="30" t="inlineStr">
        <is>
          <t>Uptrend</t>
        </is>
      </c>
      <c r="BG154" s="30">
        <f>IF(BF154="Uptrend",10,IF(BF154="Sideways",5,0))</f>
        <v/>
      </c>
      <c r="BH154" s="30" t="inlineStr">
        <is>
          <t>Uptrend</t>
        </is>
      </c>
      <c r="BI154" s="30">
        <f>IF(BH154="Uptrend",10,IF(BH154="Sideways",5,0))</f>
        <v/>
      </c>
      <c r="BJ154" s="30" t="inlineStr">
        <is>
          <t>Blue sky scenario</t>
        </is>
      </c>
      <c r="BK154" s="30">
        <f>IF(BJ154="Overhead supply in last 2 years in last 2 years",-5,IF(BJ154="Close to 52 week high or retracement",5,IF(BJ154="Blue sky scenario",10,IF(BJ154="Long term Downtrend",-10,0))))</f>
        <v/>
      </c>
      <c r="BL154" s="30" t="inlineStr">
        <is>
          <t>Yes</t>
        </is>
      </c>
      <c r="BM154" s="30">
        <f>IF(BL154="Yes",10,0)</f>
        <v/>
      </c>
      <c r="BN154" s="30" t="inlineStr">
        <is>
          <t>More than 20%</t>
        </is>
      </c>
      <c r="BO154" s="30">
        <f>IF(BN154="More than 20%",10,IF(BN154="Between 12 to 20%",5,IF(BN154="Less than 12%",0,0)))</f>
        <v/>
      </c>
      <c r="BP154" s="30" t="inlineStr">
        <is>
          <t>No</t>
        </is>
      </c>
      <c r="BQ154" s="30">
        <f>IF(BP154="No",10,0)</f>
        <v/>
      </c>
      <c r="BR154" s="30" t="inlineStr">
        <is>
          <t>Yes</t>
        </is>
      </c>
      <c r="BS154" s="30">
        <f>IF(BR154="NO",5,0)</f>
        <v/>
      </c>
      <c r="BT154" s="30" t="inlineStr">
        <is>
          <t>Above 2</t>
        </is>
      </c>
      <c r="BU154" s="30">
        <f>IF(BT154="Above 2",0,IF(BT154="Between 1.5 to 2",5,IF(BT154="Less than 1.5",10,0)))</f>
        <v/>
      </c>
      <c r="BV154" s="30" t="inlineStr">
        <is>
          <t>Above 70%</t>
        </is>
      </c>
      <c r="BW154" s="30">
        <f>IF(BV154="Above 70%",10,IF(BV154="Between 50% to 70%",5,IF(BV154="Less than 50%",0,IF(BV154="Negative",-10,IF(BV154="Less than 50% and Borrowings are increasing",-5,0)))))</f>
        <v/>
      </c>
      <c r="BX154" s="30" t="inlineStr">
        <is>
          <t>Less than 0.7</t>
        </is>
      </c>
      <c r="BY154" s="30">
        <f>IF(BX154="More than 1.2",-10,IF(BX154="Between 0.7 to 1.2",0,IF(BX154="Less than 0.7",10,0)))</f>
        <v/>
      </c>
      <c r="BZ154" s="30" t="inlineStr">
        <is>
          <t>No</t>
        </is>
      </c>
      <c r="CA154" s="30">
        <f>IF(BZ154="Yes",-10,0)</f>
        <v/>
      </c>
      <c r="CB154" s="30" t="inlineStr">
        <is>
          <t>Less than 15%</t>
        </is>
      </c>
      <c r="CC154" s="30">
        <f>IF(CB154="More than 15%",-10,IF(CB154="Less than 15%",10,0))</f>
        <v/>
      </c>
      <c r="CD154" s="30" t="inlineStr">
        <is>
          <t>No</t>
        </is>
      </c>
      <c r="CE154" s="30">
        <f>IF(CD154="Yes, more than 10%",-10,IF(CD154="No",10,0))</f>
        <v/>
      </c>
    </row>
    <row r="155">
      <c r="A155" s="30">
        <f>IF(B155=0,"",RANK(B155,$B$2:$B$331,0))</f>
        <v/>
      </c>
      <c r="B155" s="31">
        <f>SUM(N155,Y155,AA155,AC155,AE155,AG155,AI155,AK155,AM155,AO155,AQ155,AS155,AU155,AW155,AY155,BA155,BC155,BE155,BG155,BI155,BK155,BM155,BO155,BQ155,BS155,BU155,BW155,BY155,CA155,CC155,CE155)</f>
        <v/>
      </c>
      <c r="C155" s="30" t="inlineStr">
        <is>
          <t>LAURUSLABS</t>
        </is>
      </c>
      <c r="D155" s="30" t="inlineStr">
        <is>
          <t>Laurus Labs Limited</t>
        </is>
      </c>
      <c r="E155" s="30" t="inlineStr">
        <is>
          <t>healthcare</t>
        </is>
      </c>
      <c r="F155" s="30" t="inlineStr">
        <is>
          <t>pharmaceuticals - indian - bulk drugs &amp; formln</t>
        </is>
      </c>
      <c r="G155" s="30" t="inlineStr">
        <is>
          <t>largecap</t>
        </is>
      </c>
      <c r="H155" s="31" t="n">
        <v>104646.34</v>
      </c>
      <c r="I155" s="31" t="n">
        <v>1945</v>
      </c>
      <c r="J155" s="31" t="n">
        <v>0.41</v>
      </c>
      <c r="K155" s="31" t="n">
        <v>1067622</v>
      </c>
      <c r="L155" s="30" t="n">
        <v>75</v>
      </c>
      <c r="M155" s="30" t="inlineStr">
        <is>
          <t>Outperforming</t>
        </is>
      </c>
      <c r="N155" s="31">
        <f>IF(M155="Underperforming",-5,IF(L155&gt;=95,15,IF(L155&gt;=90,10,IF(L155&gt;=80,5,0))))</f>
        <v/>
      </c>
      <c r="O155" s="31" t="n">
        <v>76.75</v>
      </c>
      <c r="P155" s="31" t="n">
        <v>71.16</v>
      </c>
      <c r="Q155" s="31" t="n">
        <v>1658.18</v>
      </c>
      <c r="R155" s="30" t="inlineStr">
        <is>
          <t>Near 52W High Breakout</t>
        </is>
      </c>
      <c r="S155" s="30" t="inlineStr">
        <is>
          <t>Nifty Pharma</t>
        </is>
      </c>
      <c r="T155" s="31" t="n">
        <v>18.86</v>
      </c>
      <c r="U155" s="31" t="n">
        <v>117.46</v>
      </c>
      <c r="V155" s="31" t="n">
        <v>82.95</v>
      </c>
      <c r="W155" s="31" t="n">
        <v>26.06</v>
      </c>
      <c r="X155" s="30" t="inlineStr">
        <is>
          <t>Growing Industry</t>
        </is>
      </c>
      <c r="Y155" s="30">
        <f>IF(X155="Growing Industry",10,IF(X155="Cyclical in an Upturn",5,0))</f>
        <v/>
      </c>
      <c r="Z155" s="30" t="inlineStr">
        <is>
          <t>Too Many Players with High ROCE</t>
        </is>
      </c>
      <c r="AA155" s="30">
        <f>IF(Z155="Monopoly",10,IF(Z155="Oligopoly",5,IF(Z155="Duopoly that cooperate",10,IF(Z155="Duopoly that compete",5,IF(Z155="Too many players with High ROCE",5,0)))))</f>
        <v/>
      </c>
      <c r="AB155" s="30" t="inlineStr">
        <is>
          <t>Yes</t>
        </is>
      </c>
      <c r="AC155" s="30">
        <f>IF(AB155="No",5,0)</f>
        <v/>
      </c>
      <c r="AD155" s="30" t="inlineStr">
        <is>
          <t>Tailwind</t>
        </is>
      </c>
      <c r="AE155" s="30">
        <f>IF(AD155="Tailwind",10,0)</f>
        <v/>
      </c>
      <c r="AF155" s="30" t="inlineStr">
        <is>
          <t>Structural (10 Years Consistency)</t>
        </is>
      </c>
      <c r="AG155" s="30">
        <f>IF(AF155="Structural (10 Years Consistency)",10,IF(AF155="Shallow Cyclical (2 to 3 years growth)",5,0))</f>
        <v/>
      </c>
      <c r="AH155" s="30" t="inlineStr">
        <is>
          <t>No</t>
        </is>
      </c>
      <c r="AI155" s="30">
        <f>IF(AH155="Yes due to Product Mix change or Operating Leverage",10,IF(AH155="Yes, these are peak margins",-5,IF(AH155="No",5,0)))</f>
        <v/>
      </c>
      <c r="AJ155" s="30" t="inlineStr">
        <is>
          <t>Stable</t>
        </is>
      </c>
      <c r="AK155" s="30">
        <f>IF(AJ155="Stable",10,0)</f>
        <v/>
      </c>
      <c r="AL155" s="30" t="inlineStr">
        <is>
          <t>Yes</t>
        </is>
      </c>
      <c r="AM155" s="30">
        <f>IF(AL155="Yes",10,0)</f>
        <v/>
      </c>
      <c r="AN155" s="30" t="inlineStr">
        <is>
          <t>B2B</t>
        </is>
      </c>
      <c r="AO155" s="30">
        <f>IF(AN155="B2C",10,IF(AN155="B2B",5,0))</f>
        <v/>
      </c>
      <c r="AP155" s="30" t="inlineStr">
        <is>
          <t>Yes</t>
        </is>
      </c>
      <c r="AQ155" s="30">
        <f>IF(AP155="Yes",10,0)</f>
        <v/>
      </c>
      <c r="AR155" s="30" t="inlineStr">
        <is>
          <t>Higher Annuity, Lower One Time</t>
        </is>
      </c>
      <c r="AS155" s="30">
        <f>IF(AR155="Fully Annuity",10,IF(AR155="Higher Annuity, Lower One Time",5,IF(AR155="Higher One Time, Lower Annuity",3,0)))</f>
        <v/>
      </c>
      <c r="AT155" s="30" t="inlineStr">
        <is>
          <t>Good</t>
        </is>
      </c>
      <c r="AU155" s="30">
        <f>IF(AT155="Good",10,0)</f>
        <v/>
      </c>
      <c r="AV155" s="30" t="inlineStr">
        <is>
          <t>Yes for more than 2 years</t>
        </is>
      </c>
      <c r="AW155" s="30">
        <f>IF(AV155="Yes for more than 2 years",10,IF(AV155="Yes only for next 1 to 2 years",5,0))</f>
        <v/>
      </c>
      <c r="AX155" s="30" t="inlineStr">
        <is>
          <t>Above 40</t>
        </is>
      </c>
      <c r="AY155" s="30">
        <f>IF(AX155="Above 40",20,IF(AX155="20 to 40",10,IF(AX155="0 to 20",-5,0)))</f>
        <v/>
      </c>
      <c r="AZ155" s="30" t="inlineStr">
        <is>
          <t>Above 75</t>
        </is>
      </c>
      <c r="BA155" s="30">
        <f>IF(AZ155="Between 50 to 75",10,IF(AZ155="Above 75",0,0))</f>
        <v/>
      </c>
      <c r="BB155" s="30" t="inlineStr">
        <is>
          <t>Stage 2</t>
        </is>
      </c>
      <c r="BC155" s="30">
        <f>IF(BB155="Stage 2",20,IF(BB155="Stage 1",0,IF(BB155="Stage 3",5,IF(BB155="Stage 4",-5,0))))</f>
        <v/>
      </c>
      <c r="BD155" s="30" t="inlineStr">
        <is>
          <t>Positive Trend</t>
        </is>
      </c>
      <c r="BE155" s="30">
        <f>IF(BD155="Positive Trend",20,IF(BD155="Negative Trend",-10,0))</f>
        <v/>
      </c>
      <c r="BF155" s="30" t="inlineStr">
        <is>
          <t>Uptrend</t>
        </is>
      </c>
      <c r="BG155" s="30">
        <f>IF(BF155="Uptrend",10,IF(BF155="Sideways",5,0))</f>
        <v/>
      </c>
      <c r="BH155" s="30" t="inlineStr">
        <is>
          <t>Uptrend</t>
        </is>
      </c>
      <c r="BI155" s="30">
        <f>IF(BH155="Uptrend",10,IF(BH155="Sideways",5,0))</f>
        <v/>
      </c>
      <c r="BJ155" s="30" t="inlineStr">
        <is>
          <t>Blue sky scenario</t>
        </is>
      </c>
      <c r="BK155" s="30">
        <f>IF(BJ155="Overhead supply in last 2 years in last 2 years",-5,IF(BJ155="Close to 52 week high or retracement",5,IF(BJ155="Blue sky scenario",10,IF(BJ155="Long term Downtrend",-10,0))))</f>
        <v/>
      </c>
      <c r="BL155" s="30" t="inlineStr">
        <is>
          <t>Yes</t>
        </is>
      </c>
      <c r="BM155" s="30">
        <f>IF(BL155="Yes",10,0)</f>
        <v/>
      </c>
      <c r="BN155" s="30" t="inlineStr">
        <is>
          <t>More than 20%</t>
        </is>
      </c>
      <c r="BO155" s="30">
        <f>IF(BN155="More than 20%",10,IF(BN155="Between 12 to 20%",5,IF(BN155="Less than 12%",0,0)))</f>
        <v/>
      </c>
      <c r="BP155" s="30" t="inlineStr">
        <is>
          <t>No</t>
        </is>
      </c>
      <c r="BQ155" s="30">
        <f>IF(BP155="No",10,0)</f>
        <v/>
      </c>
      <c r="BR155" s="30" t="inlineStr">
        <is>
          <t>Yes</t>
        </is>
      </c>
      <c r="BS155" s="30">
        <f>IF(BR155="NO",5,0)</f>
        <v/>
      </c>
      <c r="BT155" s="30" t="inlineStr">
        <is>
          <t>Above 2</t>
        </is>
      </c>
      <c r="BU155" s="30">
        <f>IF(BT155="Above 2",0,IF(BT155="Between 1.5 to 2",5,IF(BT155="Less than 1.5",10,0)))</f>
        <v/>
      </c>
      <c r="BV155" s="30" t="inlineStr">
        <is>
          <t>Above 70%</t>
        </is>
      </c>
      <c r="BW155" s="30">
        <f>IF(BV155="Above 70%",10,IF(BV155="Between 50% to 70%",5,IF(BV155="Less than 50%",0,IF(BV155="Negative",-10,IF(BV155="Less than 50% and Borrowings are increasing",-5,0)))))</f>
        <v/>
      </c>
      <c r="BX155" s="30" t="inlineStr">
        <is>
          <t>Less than 0.7</t>
        </is>
      </c>
      <c r="BY155" s="30">
        <f>IF(BX155="More than 1.2",-10,IF(BX155="Between 0.7 to 1.2",0,IF(BX155="Less than 0.7",10,0)))</f>
        <v/>
      </c>
      <c r="BZ155" s="30" t="inlineStr">
        <is>
          <t>No</t>
        </is>
      </c>
      <c r="CA155" s="30">
        <f>IF(BZ155="Yes",-10,0)</f>
        <v/>
      </c>
      <c r="CB155" s="30" t="inlineStr">
        <is>
          <t>Less than 15%</t>
        </is>
      </c>
      <c r="CC155" s="30">
        <f>IF(CB155="More than 15%",-10,IF(CB155="Less than 15%",10,0))</f>
        <v/>
      </c>
      <c r="CD155" s="30" t="inlineStr">
        <is>
          <t>No</t>
        </is>
      </c>
      <c r="CE155" s="30">
        <f>IF(CD155="Yes, more than 10%",-10,IF(CD155="No",10,0))</f>
        <v/>
      </c>
    </row>
    <row r="156">
      <c r="A156" s="30">
        <f>IF(B156=0,"",RANK(B156,$B$2:$B$331,0))</f>
        <v/>
      </c>
      <c r="B156" s="31">
        <f>SUM(N156,Y156,AA156,AC156,AE156,AG156,AI156,AK156,AM156,AO156,AQ156,AS156,AU156,AW156,AY156,BA156,BC156,BE156,BG156,BI156,BK156,BM156,BO156,BQ156,BS156,BU156,BW156,BY156,CA156,CC156,CE156)</f>
        <v/>
      </c>
      <c r="C156" s="32" t="inlineStr">
        <is>
          <t>METROPOLIS</t>
        </is>
      </c>
      <c r="D156" s="32" t="inlineStr">
        <is>
          <t>Metropolis Healthcare Ltd</t>
        </is>
      </c>
      <c r="E156" s="30" t="inlineStr">
        <is>
          <t>healthcare</t>
        </is>
      </c>
      <c r="F156" s="30" t="inlineStr">
        <is>
          <t>healthcare</t>
        </is>
      </c>
      <c r="G156" s="30" t="inlineStr">
        <is>
          <t>midcap</t>
        </is>
      </c>
      <c r="H156" s="31" t="n">
        <v>12483.46</v>
      </c>
      <c r="I156" s="31" t="n">
        <v>595.65</v>
      </c>
      <c r="J156" s="31" t="n">
        <v>-1.07</v>
      </c>
      <c r="K156" s="31" t="n">
        <v>291883</v>
      </c>
      <c r="L156" s="30" t="n">
        <v>18</v>
      </c>
      <c r="M156" s="30" t="inlineStr">
        <is>
          <t>Underperforming</t>
        </is>
      </c>
      <c r="N156" s="31">
        <f>IF(M156="Underperforming",-5,IF(L156&gt;=95,15,IF(L156&gt;=90,10,IF(L156&gt;=80,5,0))))</f>
        <v/>
      </c>
      <c r="O156" s="31" t="n">
        <v>63.53</v>
      </c>
      <c r="P156" s="31" t="n">
        <v>42.17</v>
      </c>
      <c r="Q156" s="31" t="n">
        <v>479.38</v>
      </c>
      <c r="R156" s="30" t="inlineStr">
        <is>
          <t>Near 52W High Breakout</t>
        </is>
      </c>
      <c r="S156" s="30" t="inlineStr">
        <is>
          <t>Nifty Pharma</t>
        </is>
      </c>
      <c r="T156" s="31" t="n">
        <v>18.86</v>
      </c>
      <c r="U156" s="31" t="n">
        <v>15.96</v>
      </c>
      <c r="V156" s="31" t="n">
        <v>-2.44</v>
      </c>
      <c r="W156" s="31" t="n">
        <v>5.91</v>
      </c>
      <c r="X156" s="30" t="inlineStr">
        <is>
          <t>Growing Industry</t>
        </is>
      </c>
      <c r="Y156" s="30">
        <f>IF(X156="Growing Industry",10,IF(X156="Cyclical in an Upturn",5,0))</f>
        <v/>
      </c>
      <c r="Z156" s="30" t="inlineStr">
        <is>
          <t>Too Many Players with High ROCE</t>
        </is>
      </c>
      <c r="AA156" s="30">
        <f>IF(Z156="Monopoly",10,IF(Z156="Oligopoly",5,IF(Z156="Duopoly that cooperate",10,IF(Z156="Duopoly that compete",5,IF(Z156="Too many players with High ROCE",5,0)))))</f>
        <v/>
      </c>
      <c r="AB156" s="30" t="inlineStr">
        <is>
          <t>Yes</t>
        </is>
      </c>
      <c r="AC156" s="30">
        <f>IF(AB156="No",5,0)</f>
        <v/>
      </c>
      <c r="AD156" s="30" t="inlineStr">
        <is>
          <t>Tailwind</t>
        </is>
      </c>
      <c r="AE156" s="30">
        <f>IF(AD156="Tailwind",10,0)</f>
        <v/>
      </c>
      <c r="AF156" s="30" t="inlineStr">
        <is>
          <t>Structural (10 Years Consistency)</t>
        </is>
      </c>
      <c r="AG156" s="30">
        <f>IF(AF156="Structural (10 Years Consistency)",10,IF(AF156="Shallow Cyclical (2 to 3 years growth)",5,0))</f>
        <v/>
      </c>
      <c r="AH156" s="30" t="inlineStr">
        <is>
          <t>No</t>
        </is>
      </c>
      <c r="AI156" s="30">
        <f>IF(AH156="Yes due to Product Mix change or Operating Leverage",10,IF(AH156="Yes, these are peak margins",-5,IF(AH156="No",5,0)))</f>
        <v/>
      </c>
      <c r="AJ156" s="30" t="inlineStr">
        <is>
          <t>Stable</t>
        </is>
      </c>
      <c r="AK156" s="30">
        <f>IF(AJ156="Stable",10,0)</f>
        <v/>
      </c>
      <c r="AL156" s="30" t="inlineStr">
        <is>
          <t>Yes</t>
        </is>
      </c>
      <c r="AM156" s="30">
        <f>IF(AL156="Yes",10,0)</f>
        <v/>
      </c>
      <c r="AN156" s="30" t="inlineStr">
        <is>
          <t>B2B</t>
        </is>
      </c>
      <c r="AO156" s="30">
        <f>IF(AN156="B2C",10,IF(AN156="B2B",5,0))</f>
        <v/>
      </c>
      <c r="AP156" s="30" t="inlineStr">
        <is>
          <t>Yes</t>
        </is>
      </c>
      <c r="AQ156" s="30">
        <f>IF(AP156="Yes",10,0)</f>
        <v/>
      </c>
      <c r="AR156" s="30" t="inlineStr">
        <is>
          <t>Higher Annuity, Lower One Time</t>
        </is>
      </c>
      <c r="AS156" s="30">
        <f>IF(AR156="Fully Annuity",10,IF(AR156="Higher Annuity, Lower One Time",5,IF(AR156="Higher One Time, Lower Annuity",3,0)))</f>
        <v/>
      </c>
      <c r="AT156" s="30" t="inlineStr">
        <is>
          <t>Good</t>
        </is>
      </c>
      <c r="AU156" s="30">
        <f>IF(AT156="Good",10,0)</f>
        <v/>
      </c>
      <c r="AV156" s="30" t="inlineStr">
        <is>
          <t>Yes for more than 2 years</t>
        </is>
      </c>
      <c r="AW156" s="30">
        <f>IF(AV156="Yes for more than 2 years",10,IF(AV156="Yes only for next 1 to 2 years",5,0))</f>
        <v/>
      </c>
      <c r="AX156" s="30" t="inlineStr">
        <is>
          <t>Above 40</t>
        </is>
      </c>
      <c r="AY156" s="30">
        <f>IF(AX156="Above 40",20,IF(AX156="20 to 40",10,IF(AX156="0 to 20",-5,0)))</f>
        <v/>
      </c>
      <c r="AZ156" s="30" t="inlineStr">
        <is>
          <t>Between 50 to 75</t>
        </is>
      </c>
      <c r="BA156" s="30">
        <f>IF(AZ156="Between 50 to 75",10,IF(AZ156="Above 75",0,0))</f>
        <v/>
      </c>
      <c r="BB156" s="30" t="inlineStr">
        <is>
          <t>Stage 2</t>
        </is>
      </c>
      <c r="BC156" s="30">
        <f>IF(BB156="Stage 2",20,IF(BB156="Stage 1",0,IF(BB156="Stage 3",5,IF(BB156="Stage 4",-5,0))))</f>
        <v/>
      </c>
      <c r="BD156" s="30" t="inlineStr">
        <is>
          <t>Positive Trend</t>
        </is>
      </c>
      <c r="BE156" s="30">
        <f>IF(BD156="Positive Trend",20,IF(BD156="Negative Trend",-10,0))</f>
        <v/>
      </c>
      <c r="BF156" s="30" t="inlineStr">
        <is>
          <t>Uptrend</t>
        </is>
      </c>
      <c r="BG156" s="30">
        <f>IF(BF156="Uptrend",10,IF(BF156="Sideways",5,0))</f>
        <v/>
      </c>
      <c r="BH156" s="30" t="inlineStr">
        <is>
          <t>Uptrend</t>
        </is>
      </c>
      <c r="BI156" s="30">
        <f>IF(BH156="Uptrend",10,IF(BH156="Sideways",5,0))</f>
        <v/>
      </c>
      <c r="BJ156" s="30" t="inlineStr">
        <is>
          <t>Blue sky scenario</t>
        </is>
      </c>
      <c r="BK156" s="30">
        <f>IF(BJ156="Overhead supply in last 2 years in last 2 years",-5,IF(BJ156="Close to 52 week high or retracement",5,IF(BJ156="Blue sky scenario",10,IF(BJ156="Long term Downtrend",-10,0))))</f>
        <v/>
      </c>
      <c r="BL156" s="30" t="inlineStr">
        <is>
          <t>Yes</t>
        </is>
      </c>
      <c r="BM156" s="30">
        <f>IF(BL156="Yes",10,0)</f>
        <v/>
      </c>
      <c r="BN156" s="30" t="inlineStr">
        <is>
          <t>Between 12 to 20%</t>
        </is>
      </c>
      <c r="BO156" s="30">
        <f>IF(BN156="More than 20%",10,IF(BN156="Between 12 to 20%",5,IF(BN156="Less than 12%",0,0)))</f>
        <v/>
      </c>
      <c r="BP156" s="30" t="inlineStr">
        <is>
          <t>No</t>
        </is>
      </c>
      <c r="BQ156" s="30">
        <f>IF(BP156="No",10,0)</f>
        <v/>
      </c>
      <c r="BR156" s="30" t="inlineStr">
        <is>
          <t>Yes</t>
        </is>
      </c>
      <c r="BS156" s="30">
        <f>IF(BR156="NO",5,0)</f>
        <v/>
      </c>
      <c r="BT156" s="30" t="inlineStr">
        <is>
          <t>Above 2</t>
        </is>
      </c>
      <c r="BU156" s="30">
        <f>IF(BT156="Above 2",0,IF(BT156="Between 1.5 to 2",5,IF(BT156="Less than 1.5",10,0)))</f>
        <v/>
      </c>
      <c r="BV156" s="30" t="inlineStr">
        <is>
          <t>Above 70%</t>
        </is>
      </c>
      <c r="BW156" s="30">
        <f>IF(BV156="Above 70%",10,IF(BV156="Between 50% to 70%",5,IF(BV156="Less than 50%",0,IF(BV156="Negative",-10,IF(BV156="Less than 50% and Borrowings are increasing",-5,0)))))</f>
        <v/>
      </c>
      <c r="BX156" s="30" t="inlineStr">
        <is>
          <t>Less than 0.7</t>
        </is>
      </c>
      <c r="BY156" s="30">
        <f>IF(BX156="More than 1.2",-10,IF(BX156="Between 0.7 to 1.2",0,IF(BX156="Less than 0.7",10,0)))</f>
        <v/>
      </c>
      <c r="BZ156" s="30" t="inlineStr">
        <is>
          <t>No</t>
        </is>
      </c>
      <c r="CA156" s="30">
        <f>IF(BZ156="Yes",-10,0)</f>
        <v/>
      </c>
      <c r="CB156" s="30" t="inlineStr">
        <is>
          <t>Less than 15%</t>
        </is>
      </c>
      <c r="CC156" s="30">
        <f>IF(CB156="More than 15%",-10,IF(CB156="Less than 15%",10,0))</f>
        <v/>
      </c>
      <c r="CD156" s="30" t="inlineStr">
        <is>
          <t>No</t>
        </is>
      </c>
      <c r="CE156" s="30">
        <f>IF(CD156="Yes, more than 10%",-10,IF(CD156="No",10,0))</f>
        <v/>
      </c>
    </row>
    <row r="157">
      <c r="A157" s="30">
        <f>IF(B157=0,"",RANK(B157,$B$2:$B$331,0))</f>
        <v/>
      </c>
      <c r="B157" s="31">
        <f>SUM(N157,Y157,AA157,AC157,AE157,AG157,AI157,AK157,AM157,AO157,AQ157,AS157,AU157,AW157,AY157,BA157,BC157,BE157,BG157,BI157,BK157,BM157,BO157,BQ157,BS157,BU157,BW157,BY157,CA157,CC157,CE157)</f>
        <v/>
      </c>
      <c r="C157" s="30" t="inlineStr">
        <is>
          <t>YATHARTH</t>
        </is>
      </c>
      <c r="D157" s="30" t="inlineStr">
        <is>
          <t>Yatharth Hospital &amp; Trauma Care Services Ltd</t>
        </is>
      </c>
      <c r="E157" s="30" t="inlineStr">
        <is>
          <t>healthcare</t>
        </is>
      </c>
      <c r="F157" s="30" t="inlineStr">
        <is>
          <t>healthcare</t>
        </is>
      </c>
      <c r="G157" s="30" t="inlineStr">
        <is>
          <t>midcap</t>
        </is>
      </c>
      <c r="H157" s="31" t="n">
        <v>9536.190000000001</v>
      </c>
      <c r="I157" s="31" t="n">
        <v>977.2</v>
      </c>
      <c r="J157" s="31" t="n">
        <v>-1.26</v>
      </c>
      <c r="K157" s="31" t="n">
        <v>249886</v>
      </c>
      <c r="L157" s="30" t="n">
        <v>29</v>
      </c>
      <c r="M157" s="30" t="inlineStr">
        <is>
          <t>Outperforming</t>
        </is>
      </c>
      <c r="N157" s="31">
        <f>IF(M157="Underperforming",-5,IF(L157&gt;=95,15,IF(L157&gt;=90,10,IF(L157&gt;=80,5,0))))</f>
        <v/>
      </c>
      <c r="O157" s="31" t="n">
        <v>67.31999999999999</v>
      </c>
      <c r="P157" s="31" t="n">
        <v>40.4</v>
      </c>
      <c r="Q157" s="31" t="n">
        <v>792.55</v>
      </c>
      <c r="R157" s="30" t="inlineStr">
        <is>
          <t>Near 52W High Breakout</t>
        </is>
      </c>
      <c r="S157" s="30" t="inlineStr">
        <is>
          <t>Nifty Pharma</t>
        </is>
      </c>
      <c r="T157" s="31" t="n">
        <v>18.86</v>
      </c>
      <c r="U157" s="31" t="n">
        <v>26.94</v>
      </c>
      <c r="V157" s="31" t="n">
        <v>6.8</v>
      </c>
      <c r="W157" s="31" t="n">
        <v>9.07</v>
      </c>
      <c r="X157" s="30" t="inlineStr">
        <is>
          <t>Growing Industry</t>
        </is>
      </c>
      <c r="Y157" s="30">
        <f>IF(X157="Growing Industry",10,IF(X157="Cyclical in an Upturn",5,0))</f>
        <v/>
      </c>
      <c r="Z157" s="30" t="inlineStr">
        <is>
          <t>Too Many Players with High ROCE</t>
        </is>
      </c>
      <c r="AA157" s="30">
        <f>IF(Z157="Monopoly",10,IF(Z157="Oligopoly",5,IF(Z157="Duopoly that cooperate",10,IF(Z157="Duopoly that compete",5,IF(Z157="Too many players with High ROCE",5,0)))))</f>
        <v/>
      </c>
      <c r="AB157" s="30" t="inlineStr">
        <is>
          <t>Yes</t>
        </is>
      </c>
      <c r="AC157" s="30">
        <f>IF(AB157="No",5,0)</f>
        <v/>
      </c>
      <c r="AD157" s="30" t="inlineStr">
        <is>
          <t>Tailwind</t>
        </is>
      </c>
      <c r="AE157" s="30">
        <f>IF(AD157="Tailwind",10,0)</f>
        <v/>
      </c>
      <c r="AF157" s="30" t="inlineStr">
        <is>
          <t>Structural (10 Years Consistency)</t>
        </is>
      </c>
      <c r="AG157" s="30">
        <f>IF(AF157="Structural (10 Years Consistency)",10,IF(AF157="Shallow Cyclical (2 to 3 years growth)",5,0))</f>
        <v/>
      </c>
      <c r="AH157" s="30" t="inlineStr">
        <is>
          <t>No</t>
        </is>
      </c>
      <c r="AI157" s="30">
        <f>IF(AH157="Yes due to Product Mix change or Operating Leverage",10,IF(AH157="Yes, these are peak margins",-5,IF(AH157="No",5,0)))</f>
        <v/>
      </c>
      <c r="AJ157" s="30" t="inlineStr">
        <is>
          <t>Stable</t>
        </is>
      </c>
      <c r="AK157" s="30">
        <f>IF(AJ157="Stable",10,0)</f>
        <v/>
      </c>
      <c r="AL157" s="30" t="inlineStr">
        <is>
          <t>Yes</t>
        </is>
      </c>
      <c r="AM157" s="30">
        <f>IF(AL157="Yes",10,0)</f>
        <v/>
      </c>
      <c r="AN157" s="30" t="inlineStr">
        <is>
          <t>B2B</t>
        </is>
      </c>
      <c r="AO157" s="30">
        <f>IF(AN157="B2C",10,IF(AN157="B2B",5,0))</f>
        <v/>
      </c>
      <c r="AP157" s="30" t="inlineStr">
        <is>
          <t>Yes</t>
        </is>
      </c>
      <c r="AQ157" s="30">
        <f>IF(AP157="Yes",10,0)</f>
        <v/>
      </c>
      <c r="AR157" s="30" t="inlineStr">
        <is>
          <t>Higher Annuity, Lower One Time</t>
        </is>
      </c>
      <c r="AS157" s="30">
        <f>IF(AR157="Fully Annuity",10,IF(AR157="Higher Annuity, Lower One Time",5,IF(AR157="Higher One Time, Lower Annuity",3,0)))</f>
        <v/>
      </c>
      <c r="AT157" s="30" t="inlineStr">
        <is>
          <t>Good</t>
        </is>
      </c>
      <c r="AU157" s="30">
        <f>IF(AT157="Good",10,0)</f>
        <v/>
      </c>
      <c r="AV157" s="30" t="inlineStr">
        <is>
          <t>Yes for more than 2 years</t>
        </is>
      </c>
      <c r="AW157" s="30">
        <f>IF(AV157="Yes for more than 2 years",10,IF(AV157="Yes only for next 1 to 2 years",5,0))</f>
        <v/>
      </c>
      <c r="AX157" s="30" t="inlineStr">
        <is>
          <t>Above 40</t>
        </is>
      </c>
      <c r="AY157" s="30">
        <f>IF(AX157="Above 40",20,IF(AX157="20 to 40",10,IF(AX157="0 to 20",-5,0)))</f>
        <v/>
      </c>
      <c r="AZ157" s="30" t="inlineStr">
        <is>
          <t>Between 50 to 75</t>
        </is>
      </c>
      <c r="BA157" s="30">
        <f>IF(AZ157="Between 50 to 75",10,IF(AZ157="Above 75",0,0))</f>
        <v/>
      </c>
      <c r="BB157" s="30" t="inlineStr">
        <is>
          <t>Stage 2</t>
        </is>
      </c>
      <c r="BC157" s="30">
        <f>IF(BB157="Stage 2",20,IF(BB157="Stage 1",0,IF(BB157="Stage 3",5,IF(BB157="Stage 4",-5,0))))</f>
        <v/>
      </c>
      <c r="BD157" s="30" t="inlineStr">
        <is>
          <t>Positive Trend</t>
        </is>
      </c>
      <c r="BE157" s="30">
        <f>IF(BD157="Positive Trend",20,IF(BD157="Negative Trend",-10,0))</f>
        <v/>
      </c>
      <c r="BF157" s="30" t="inlineStr">
        <is>
          <t>Uptrend</t>
        </is>
      </c>
      <c r="BG157" s="30">
        <f>IF(BF157="Uptrend",10,IF(BF157="Sideways",5,0))</f>
        <v/>
      </c>
      <c r="BH157" s="30" t="inlineStr">
        <is>
          <t>Uptrend</t>
        </is>
      </c>
      <c r="BI157" s="30">
        <f>IF(BH157="Uptrend",10,IF(BH157="Sideways",5,0))</f>
        <v/>
      </c>
      <c r="BJ157" s="30" t="inlineStr">
        <is>
          <t>Blue sky scenario</t>
        </is>
      </c>
      <c r="BK157" s="30">
        <f>IF(BJ157="Overhead supply in last 2 years in last 2 years",-5,IF(BJ157="Close to 52 week high or retracement",5,IF(BJ157="Blue sky scenario",10,IF(BJ157="Long term Downtrend",-10,0))))</f>
        <v/>
      </c>
      <c r="BL157" s="30" t="inlineStr">
        <is>
          <t>Yes</t>
        </is>
      </c>
      <c r="BM157" s="30">
        <f>IF(BL157="Yes",10,0)</f>
        <v/>
      </c>
      <c r="BN157" s="30" t="inlineStr">
        <is>
          <t>Less than 12%</t>
        </is>
      </c>
      <c r="BO157" s="30">
        <f>IF(BN157="More than 20%",10,IF(BN157="Between 12 to 20%",5,IF(BN157="Less than 12%",0,0)))</f>
        <v/>
      </c>
      <c r="BP157" s="30" t="inlineStr">
        <is>
          <t>No</t>
        </is>
      </c>
      <c r="BQ157" s="30">
        <f>IF(BP157="No",10,0)</f>
        <v/>
      </c>
      <c r="BR157" s="30" t="inlineStr">
        <is>
          <t>Yes</t>
        </is>
      </c>
      <c r="BS157" s="30">
        <f>IF(BR157="NO",5,0)</f>
        <v/>
      </c>
      <c r="BT157" s="30" t="inlineStr">
        <is>
          <t>Above 2</t>
        </is>
      </c>
      <c r="BU157" s="30">
        <f>IF(BT157="Above 2",0,IF(BT157="Between 1.5 to 2",5,IF(BT157="Less than 1.5",10,0)))</f>
        <v/>
      </c>
      <c r="BV157" s="30" t="inlineStr">
        <is>
          <t>Above 70%</t>
        </is>
      </c>
      <c r="BW157" s="30">
        <f>IF(BV157="Above 70%",10,IF(BV157="Between 50% to 70%",5,IF(BV157="Less than 50%",0,IF(BV157="Negative",-10,IF(BV157="Less than 50% and Borrowings are increasing",-5,0)))))</f>
        <v/>
      </c>
      <c r="BX157" s="30" t="inlineStr">
        <is>
          <t>Less than 0.7</t>
        </is>
      </c>
      <c r="BY157" s="30">
        <f>IF(BX157="More than 1.2",-10,IF(BX157="Between 0.7 to 1.2",0,IF(BX157="Less than 0.7",10,0)))</f>
        <v/>
      </c>
      <c r="BZ157" s="30" t="inlineStr">
        <is>
          <t>No</t>
        </is>
      </c>
      <c r="CA157" s="30">
        <f>IF(BZ157="Yes",-10,0)</f>
        <v/>
      </c>
      <c r="CB157" s="30" t="inlineStr">
        <is>
          <t>Less than 15%</t>
        </is>
      </c>
      <c r="CC157" s="30">
        <f>IF(CB157="More than 15%",-10,IF(CB157="Less than 15%",10,0))</f>
        <v/>
      </c>
      <c r="CD157" s="30" t="inlineStr">
        <is>
          <t>No</t>
        </is>
      </c>
      <c r="CE157" s="30">
        <f>IF(CD157="Yes, more than 10%",-10,IF(CD157="No",10,0))</f>
        <v/>
      </c>
    </row>
    <row r="158">
      <c r="A158" s="30">
        <f>IF(B158=0,"",RANK(B158,$B$2:$B$331,0))</f>
        <v/>
      </c>
      <c r="B158" s="31">
        <f>SUM(N158,Y158,AA158,AC158,AE158,AG158,AI158,AK158,AM158,AO158,AQ158,AS158,AU158,AW158,AY158,BA158,BC158,BE158,BG158,BI158,BK158,BM158,BO158,BQ158,BS158,BU158,BW158,BY158,CA158,CC158,CE158)</f>
        <v/>
      </c>
      <c r="C158" s="30" t="inlineStr">
        <is>
          <t>SAILIFE</t>
        </is>
      </c>
      <c r="D158" s="30" t="inlineStr">
        <is>
          <t>Sai Life Sciences Ltd</t>
        </is>
      </c>
      <c r="E158" s="30" t="inlineStr">
        <is>
          <t>healthcare</t>
        </is>
      </c>
      <c r="F158" s="30" t="inlineStr">
        <is>
          <t>pharmaceuticals - indian - bulk drugs &amp; formln</t>
        </is>
      </c>
      <c r="G158" s="30" t="inlineStr">
        <is>
          <t>largecap</t>
        </is>
      </c>
      <c r="H158" s="31" t="n">
        <v>35566.4</v>
      </c>
      <c r="I158" s="31" t="n">
        <v>1591.1</v>
      </c>
      <c r="J158" s="31" t="n">
        <v>-5.03</v>
      </c>
      <c r="K158" s="31" t="n">
        <v>1174342</v>
      </c>
      <c r="L158" s="30" t="n">
        <v>64</v>
      </c>
      <c r="M158" s="30" t="inlineStr">
        <is>
          <t>Outperforming</t>
        </is>
      </c>
      <c r="N158" s="31">
        <f>IF(M158="Underperforming",-5,IF(L158&gt;=95,15,IF(L158&gt;=90,10,IF(L158&gt;=80,5,0))))</f>
        <v/>
      </c>
      <c r="O158" s="31" t="n">
        <v>85.17</v>
      </c>
      <c r="P158" s="31" t="n">
        <v>44.57</v>
      </c>
      <c r="Q158" s="31" t="n">
        <v>1310.03</v>
      </c>
      <c r="R158" s="30" t="inlineStr">
        <is>
          <t>Near 52W High Breakout</t>
        </is>
      </c>
      <c r="S158" s="30" t="inlineStr">
        <is>
          <t>Nifty Pharma</t>
        </is>
      </c>
      <c r="T158" s="31" t="n">
        <v>18.86</v>
      </c>
      <c r="U158" s="31" t="n">
        <v>82.31999999999999</v>
      </c>
      <c r="V158" s="31" t="n">
        <v>53.38</v>
      </c>
      <c r="W158" s="31" t="n">
        <v>19.62</v>
      </c>
      <c r="X158" s="30" t="inlineStr">
        <is>
          <t>Growing Industry</t>
        </is>
      </c>
      <c r="Y158" s="30">
        <f>IF(X158="Growing Industry",10,IF(X158="Cyclical in an Upturn",5,0))</f>
        <v/>
      </c>
      <c r="Z158" s="30" t="inlineStr">
        <is>
          <t>Too Many Players with High ROCE</t>
        </is>
      </c>
      <c r="AA158" s="30">
        <f>IF(Z158="Monopoly",10,IF(Z158="Oligopoly",5,IF(Z158="Duopoly that cooperate",10,IF(Z158="Duopoly that compete",5,IF(Z158="Too many players with High ROCE",5,0)))))</f>
        <v/>
      </c>
      <c r="AB158" s="30" t="inlineStr">
        <is>
          <t>Yes</t>
        </is>
      </c>
      <c r="AC158" s="30">
        <f>IF(AB158="No",5,0)</f>
        <v/>
      </c>
      <c r="AD158" s="30" t="inlineStr">
        <is>
          <t>Tailwind</t>
        </is>
      </c>
      <c r="AE158" s="30">
        <f>IF(AD158="Tailwind",10,0)</f>
        <v/>
      </c>
      <c r="AF158" s="30" t="inlineStr">
        <is>
          <t>Structural (10 Years Consistency)</t>
        </is>
      </c>
      <c r="AG158" s="30">
        <f>IF(AF158="Structural (10 Years Consistency)",10,IF(AF158="Shallow Cyclical (2 to 3 years growth)",5,0))</f>
        <v/>
      </c>
      <c r="AH158" s="30" t="inlineStr">
        <is>
          <t>No</t>
        </is>
      </c>
      <c r="AI158" s="30">
        <f>IF(AH158="Yes due to Product Mix change or Operating Leverage",10,IF(AH158="Yes, these are peak margins",-5,IF(AH158="No",5,0)))</f>
        <v/>
      </c>
      <c r="AJ158" s="30" t="inlineStr">
        <is>
          <t>Stable</t>
        </is>
      </c>
      <c r="AK158" s="30">
        <f>IF(AJ158="Stable",10,0)</f>
        <v/>
      </c>
      <c r="AL158" s="30" t="inlineStr">
        <is>
          <t>Yes</t>
        </is>
      </c>
      <c r="AM158" s="30">
        <f>IF(AL158="Yes",10,0)</f>
        <v/>
      </c>
      <c r="AN158" s="30" t="inlineStr">
        <is>
          <t>B2B</t>
        </is>
      </c>
      <c r="AO158" s="30">
        <f>IF(AN158="B2C",10,IF(AN158="B2B",5,0))</f>
        <v/>
      </c>
      <c r="AP158" s="30" t="inlineStr">
        <is>
          <t>Yes</t>
        </is>
      </c>
      <c r="AQ158" s="30">
        <f>IF(AP158="Yes",10,0)</f>
        <v/>
      </c>
      <c r="AR158" s="30" t="inlineStr">
        <is>
          <t>Higher Annuity, Lower One Time</t>
        </is>
      </c>
      <c r="AS158" s="30">
        <f>IF(AR158="Fully Annuity",10,IF(AR158="Higher Annuity, Lower One Time",5,IF(AR158="Higher One Time, Lower Annuity",3,0)))</f>
        <v/>
      </c>
      <c r="AT158" s="30" t="inlineStr">
        <is>
          <t>Good</t>
        </is>
      </c>
      <c r="AU158" s="30">
        <f>IF(AT158="Good",10,0)</f>
        <v/>
      </c>
      <c r="AV158" s="30" t="inlineStr">
        <is>
          <t>Yes for more than 2 years</t>
        </is>
      </c>
      <c r="AW158" s="30">
        <f>IF(AV158="Yes for more than 2 years",10,IF(AV158="Yes only for next 1 to 2 years",5,0))</f>
        <v/>
      </c>
      <c r="AX158" s="30" t="inlineStr">
        <is>
          <t>Above 40</t>
        </is>
      </c>
      <c r="AY158" s="30">
        <f>IF(AX158="Above 40",20,IF(AX158="20 to 40",10,IF(AX158="0 to 20",-5,0)))</f>
        <v/>
      </c>
      <c r="AZ158" s="30" t="inlineStr">
        <is>
          <t>Above 75</t>
        </is>
      </c>
      <c r="BA158" s="30">
        <f>IF(AZ158="Between 50 to 75",10,IF(AZ158="Above 75",0,0))</f>
        <v/>
      </c>
      <c r="BB158" s="30" t="inlineStr">
        <is>
          <t>Stage 2</t>
        </is>
      </c>
      <c r="BC158" s="30">
        <f>IF(BB158="Stage 2",20,IF(BB158="Stage 1",0,IF(BB158="Stage 3",5,IF(BB158="Stage 4",-5,0))))</f>
        <v/>
      </c>
      <c r="BD158" s="30" t="inlineStr">
        <is>
          <t>Positive Trend</t>
        </is>
      </c>
      <c r="BE158" s="30">
        <f>IF(BD158="Positive Trend",20,IF(BD158="Negative Trend",-10,0))</f>
        <v/>
      </c>
      <c r="BF158" s="30" t="inlineStr">
        <is>
          <t>Uptrend</t>
        </is>
      </c>
      <c r="BG158" s="30">
        <f>IF(BF158="Uptrend",10,IF(BF158="Sideways",5,0))</f>
        <v/>
      </c>
      <c r="BH158" s="30" t="inlineStr">
        <is>
          <t>Uptrend</t>
        </is>
      </c>
      <c r="BI158" s="30">
        <f>IF(BH158="Uptrend",10,IF(BH158="Sideways",5,0))</f>
        <v/>
      </c>
      <c r="BJ158" s="30" t="inlineStr">
        <is>
          <t>Blue sky scenario</t>
        </is>
      </c>
      <c r="BK158" s="30">
        <f>IF(BJ158="Overhead supply in last 2 years in last 2 years",-5,IF(BJ158="Close to 52 week high or retracement",5,IF(BJ158="Blue sky scenario",10,IF(BJ158="Long term Downtrend",-10,0))))</f>
        <v/>
      </c>
      <c r="BL158" s="30" t="inlineStr">
        <is>
          <t>Yes</t>
        </is>
      </c>
      <c r="BM158" s="30">
        <f>IF(BL158="Yes",10,0)</f>
        <v/>
      </c>
      <c r="BN158" s="30" t="inlineStr">
        <is>
          <t>More than 20%</t>
        </is>
      </c>
      <c r="BO158" s="30">
        <f>IF(BN158="More than 20%",10,IF(BN158="Between 12 to 20%",5,IF(BN158="Less than 12%",0,0)))</f>
        <v/>
      </c>
      <c r="BP158" s="30" t="inlineStr">
        <is>
          <t>No</t>
        </is>
      </c>
      <c r="BQ158" s="30">
        <f>IF(BP158="No",10,0)</f>
        <v/>
      </c>
      <c r="BR158" s="30" t="inlineStr">
        <is>
          <t>Yes</t>
        </is>
      </c>
      <c r="BS158" s="30">
        <f>IF(BR158="NO",5,0)</f>
        <v/>
      </c>
      <c r="BT158" s="30" t="inlineStr">
        <is>
          <t>Above 2</t>
        </is>
      </c>
      <c r="BU158" s="30">
        <f>IF(BT158="Above 2",0,IF(BT158="Between 1.5 to 2",5,IF(BT158="Less than 1.5",10,0)))</f>
        <v/>
      </c>
      <c r="BV158" s="30" t="inlineStr">
        <is>
          <t>Above 70%</t>
        </is>
      </c>
      <c r="BW158" s="30">
        <f>IF(BV158="Above 70%",10,IF(BV158="Between 50% to 70%",5,IF(BV158="Less than 50%",0,IF(BV158="Negative",-10,IF(BV158="Less than 50% and Borrowings are increasing",-5,0)))))</f>
        <v/>
      </c>
      <c r="BX158" s="30" t="inlineStr">
        <is>
          <t>Less than 0.7</t>
        </is>
      </c>
      <c r="BY158" s="30">
        <f>IF(BX158="More than 1.2",-10,IF(BX158="Between 0.7 to 1.2",0,IF(BX158="Less than 0.7",10,0)))</f>
        <v/>
      </c>
      <c r="BZ158" s="30" t="inlineStr">
        <is>
          <t>No</t>
        </is>
      </c>
      <c r="CA158" s="30">
        <f>IF(BZ158="Yes",-10,0)</f>
        <v/>
      </c>
      <c r="CB158" s="30" t="inlineStr">
        <is>
          <t>Less than 15%</t>
        </is>
      </c>
      <c r="CC158" s="30">
        <f>IF(CB158="More than 15%",-10,IF(CB158="Less than 15%",10,0))</f>
        <v/>
      </c>
      <c r="CD158" s="30" t="inlineStr">
        <is>
          <t>No</t>
        </is>
      </c>
      <c r="CE158" s="30">
        <f>IF(CD158="Yes, more than 10%",-10,IF(CD158="No",10,0))</f>
        <v/>
      </c>
    </row>
    <row r="159">
      <c r="A159" s="30">
        <f>IF(B159=0,"",RANK(B159,$B$2:$B$331,0))</f>
        <v/>
      </c>
      <c r="B159" s="31">
        <f>SUM(N159,Y159,AA159,AC159,AE159,AG159,AI159,AK159,AM159,AO159,AQ159,AS159,AU159,AW159,AY159,BA159,BC159,BE159,BG159,BI159,BK159,BM159,BO159,BQ159,BS159,BU159,BW159,BY159,CA159,CC159,CE159)</f>
        <v/>
      </c>
      <c r="C159" s="30" t="inlineStr">
        <is>
          <t>SIGMAADV</t>
        </is>
      </c>
      <c r="D159" s="30" t="inlineStr">
        <is>
          <t>Sigma Advanced System Ltd</t>
        </is>
      </c>
      <c r="E159" s="30" t="inlineStr">
        <is>
          <t>aerospace &amp; defence</t>
        </is>
      </c>
      <c r="F159" s="30" t="inlineStr">
        <is>
          <t>electronics - components</t>
        </is>
      </c>
      <c r="G159" s="30" t="inlineStr">
        <is>
          <t>midcap</t>
        </is>
      </c>
      <c r="H159" s="31" t="n">
        <v>14308.86</v>
      </c>
      <c r="I159" s="31" t="n">
        <v>792.85</v>
      </c>
      <c r="J159" s="31" t="n">
        <v>5</v>
      </c>
      <c r="K159" s="31" t="n">
        <v>250035</v>
      </c>
      <c r="L159" s="30" t="n">
        <v>98</v>
      </c>
      <c r="M159" s="30" t="inlineStr">
        <is>
          <t>Outperforming</t>
        </is>
      </c>
      <c r="N159" s="31">
        <f>IF(M159="Underperforming",-5,IF(L159&gt;=95,15,IF(L159&gt;=90,10,IF(L159&gt;=80,5,0))))</f>
        <v/>
      </c>
      <c r="O159" s="31" t="n">
        <v>77.18000000000001</v>
      </c>
      <c r="P159" s="31" t="n">
        <v>64.25</v>
      </c>
      <c r="Q159" s="31" t="n">
        <v>588.17</v>
      </c>
      <c r="R159" s="30" t="inlineStr">
        <is>
          <t>Near 52W High Breakout</t>
        </is>
      </c>
      <c r="S159" s="30" t="inlineStr">
        <is>
          <t>Nifty 50</t>
        </is>
      </c>
      <c r="T159" s="31" t="n">
        <v>-6.52</v>
      </c>
      <c r="U159" s="31" t="n">
        <v>404.1</v>
      </c>
      <c r="V159" s="31" t="n">
        <v>439.23</v>
      </c>
      <c r="W159" s="31" t="n">
        <v>71.33</v>
      </c>
      <c r="X159" s="30" t="inlineStr">
        <is>
          <t>Growing Industry</t>
        </is>
      </c>
      <c r="Y159" s="30">
        <f>IF(X159="Growing Industry",10,IF(X159="Cyclical in an Upturn",5,0))</f>
        <v/>
      </c>
      <c r="Z159" s="30" t="inlineStr">
        <is>
          <t>Too Many Players with High ROCE</t>
        </is>
      </c>
      <c r="AA159" s="30">
        <f>IF(Z159="Monopoly",10,IF(Z159="Oligopoly",5,IF(Z159="Duopoly that cooperate",10,IF(Z159="Duopoly that compete",5,IF(Z159="Too many players with High ROCE",5,0)))))</f>
        <v/>
      </c>
      <c r="AB159" s="30" t="inlineStr">
        <is>
          <t>No</t>
        </is>
      </c>
      <c r="AC159" s="30">
        <f>IF(AB159="No",5,0)</f>
        <v/>
      </c>
      <c r="AD159" s="30" t="inlineStr">
        <is>
          <t>Tailwind</t>
        </is>
      </c>
      <c r="AE159" s="30">
        <f>IF(AD159="Tailwind",10,0)</f>
        <v/>
      </c>
      <c r="AF159" s="30" t="inlineStr">
        <is>
          <t>Structural (10 Years Consistency)</t>
        </is>
      </c>
      <c r="AG159" s="30">
        <f>IF(AF159="Structural (10 Years Consistency)",10,IF(AF159="Shallow Cyclical (2 to 3 years growth)",5,0))</f>
        <v/>
      </c>
      <c r="AH159" s="30" t="inlineStr">
        <is>
          <t>No</t>
        </is>
      </c>
      <c r="AI159" s="30">
        <f>IF(AH159="Yes due to Product Mix change or Operating Leverage",10,IF(AH159="Yes, these are peak margins",-5,IF(AH159="No",5,0)))</f>
        <v/>
      </c>
      <c r="AJ159" s="30" t="inlineStr">
        <is>
          <t>Stable</t>
        </is>
      </c>
      <c r="AK159" s="30">
        <f>IF(AJ159="Stable",10,0)</f>
        <v/>
      </c>
      <c r="AL159" s="30" t="inlineStr">
        <is>
          <t>Yes</t>
        </is>
      </c>
      <c r="AM159" s="30">
        <f>IF(AL159="Yes",10,0)</f>
        <v/>
      </c>
      <c r="AN159" s="30" t="inlineStr">
        <is>
          <t>B2B</t>
        </is>
      </c>
      <c r="AO159" s="30">
        <f>IF(AN159="B2C",10,IF(AN159="B2B",5,0))</f>
        <v/>
      </c>
      <c r="AP159" s="30" t="inlineStr">
        <is>
          <t>Yes</t>
        </is>
      </c>
      <c r="AQ159" s="30">
        <f>IF(AP159="Yes",10,0)</f>
        <v/>
      </c>
      <c r="AR159" s="30" t="inlineStr">
        <is>
          <t>Higher One Time, Lower Annuity</t>
        </is>
      </c>
      <c r="AS159" s="30">
        <f>IF(AR159="Fully Annuity",10,IF(AR159="Higher Annuity, Lower One Time",5,IF(AR159="Higher One Time, Lower Annuity",3,0)))</f>
        <v/>
      </c>
      <c r="AT159" s="30" t="inlineStr">
        <is>
          <t>Good</t>
        </is>
      </c>
      <c r="AU159" s="30">
        <f>IF(AT159="Good",10,0)</f>
        <v/>
      </c>
      <c r="AV159" s="30" t="inlineStr">
        <is>
          <t>Yes for more than 2 years</t>
        </is>
      </c>
      <c r="AW159" s="30">
        <f>IF(AV159="Yes for more than 2 years",10,IF(AV159="Yes only for next 1 to 2 years",5,0))</f>
        <v/>
      </c>
      <c r="AX159" s="30" t="inlineStr">
        <is>
          <t>Above 40</t>
        </is>
      </c>
      <c r="AY159" s="30">
        <f>IF(AX159="Above 40",20,IF(AX159="20 to 40",10,IF(AX159="0 to 20",-5,0)))</f>
        <v/>
      </c>
      <c r="AZ159" s="30" t="inlineStr">
        <is>
          <t>Above 75</t>
        </is>
      </c>
      <c r="BA159" s="30">
        <f>IF(AZ159="Between 50 to 75",10,IF(AZ159="Above 75",0,0))</f>
        <v/>
      </c>
      <c r="BB159" s="30" t="inlineStr">
        <is>
          <t>Stage 2</t>
        </is>
      </c>
      <c r="BC159" s="30">
        <f>IF(BB159="Stage 2",20,IF(BB159="Stage 1",0,IF(BB159="Stage 3",5,IF(BB159="Stage 4",-5,0))))</f>
        <v/>
      </c>
      <c r="BD159" s="30" t="inlineStr">
        <is>
          <t>Positive Trend</t>
        </is>
      </c>
      <c r="BE159" s="30">
        <f>IF(BD159="Positive Trend",20,IF(BD159="Negative Trend",-10,0))</f>
        <v/>
      </c>
      <c r="BF159" s="30" t="inlineStr">
        <is>
          <t>Uptrend</t>
        </is>
      </c>
      <c r="BG159" s="30">
        <f>IF(BF159="Uptrend",10,IF(BF159="Sideways",5,0))</f>
        <v/>
      </c>
      <c r="BH159" s="30" t="inlineStr">
        <is>
          <t>Uptrend</t>
        </is>
      </c>
      <c r="BI159" s="30">
        <f>IF(BH159="Uptrend",10,IF(BH159="Sideways",5,0))</f>
        <v/>
      </c>
      <c r="BJ159" s="30" t="inlineStr">
        <is>
          <t>Blue sky scenario</t>
        </is>
      </c>
      <c r="BK159" s="30">
        <f>IF(BJ159="Overhead supply in last 2 years in last 2 years",-5,IF(BJ159="Close to 52 week high or retracement",5,IF(BJ159="Blue sky scenario",10,IF(BJ159="Long term Downtrend",-10,0))))</f>
        <v/>
      </c>
      <c r="BL159" s="30" t="inlineStr">
        <is>
          <t>Yes</t>
        </is>
      </c>
      <c r="BM159" s="30">
        <f>IF(BL159="Yes",10,0)</f>
        <v/>
      </c>
      <c r="BN159" s="30" t="inlineStr">
        <is>
          <t>Less than 12%</t>
        </is>
      </c>
      <c r="BO159" s="30">
        <f>IF(BN159="More than 20%",10,IF(BN159="Between 12 to 20%",5,IF(BN159="Less than 12%",0,0)))</f>
        <v/>
      </c>
      <c r="BP159" s="30" t="inlineStr">
        <is>
          <t>No</t>
        </is>
      </c>
      <c r="BQ159" s="30">
        <f>IF(BP159="No",10,0)</f>
        <v/>
      </c>
      <c r="BR159" s="30" t="inlineStr">
        <is>
          <t>Yes</t>
        </is>
      </c>
      <c r="BS159" s="30">
        <f>IF(BR159="NO",5,0)</f>
        <v/>
      </c>
      <c r="BT159" s="30" t="inlineStr">
        <is>
          <t>Above 2</t>
        </is>
      </c>
      <c r="BU159" s="30">
        <f>IF(BT159="Above 2",0,IF(BT159="Between 1.5 to 2",5,IF(BT159="Less than 1.5",10,0)))</f>
        <v/>
      </c>
      <c r="BV159" s="30" t="inlineStr">
        <is>
          <t>Above 70%</t>
        </is>
      </c>
      <c r="BW159" s="30">
        <f>IF(BV159="Above 70%",10,IF(BV159="Between 50% to 70%",5,IF(BV159="Less than 50%",0,IF(BV159="Negative",-10,IF(BV159="Less than 50% and Borrowings are increasing",-5,0)))))</f>
        <v/>
      </c>
      <c r="BX159" s="30" t="inlineStr">
        <is>
          <t>Between 0.7 to 1.2</t>
        </is>
      </c>
      <c r="BY159" s="30">
        <f>IF(BX159="More than 1.2",-10,IF(BX159="Between 0.7 to 1.2",0,IF(BX159="Less than 0.7",10,0)))</f>
        <v/>
      </c>
      <c r="BZ159" s="30" t="inlineStr">
        <is>
          <t>No</t>
        </is>
      </c>
      <c r="CA159" s="30">
        <f>IF(BZ159="Yes",-10,0)</f>
        <v/>
      </c>
      <c r="CB159" s="30" t="inlineStr">
        <is>
          <t>Less than 15%</t>
        </is>
      </c>
      <c r="CC159" s="30">
        <f>IF(CB159="More than 15%",-10,IF(CB159="Less than 15%",10,0))</f>
        <v/>
      </c>
      <c r="CD159" s="30" t="inlineStr">
        <is>
          <t>No</t>
        </is>
      </c>
      <c r="CE159" s="30">
        <f>IF(CD159="Yes, more than 10%",-10,IF(CD159="No",10,0))</f>
        <v/>
      </c>
    </row>
    <row r="160">
      <c r="A160" s="30">
        <f>IF(B160=0,"",RANK(B160,$B$2:$B$331,0))</f>
        <v/>
      </c>
      <c r="B160" s="31">
        <f>SUM(N160,Y160,AA160,AC160,AE160,AG160,AI160,AK160,AM160,AO160,AQ160,AS160,AU160,AW160,AY160,BA160,BC160,BE160,BG160,BI160,BK160,BM160,BO160,BQ160,BS160,BU160,BW160,BY160,CA160,CC160,CE160)</f>
        <v/>
      </c>
      <c r="C160" s="30" t="inlineStr">
        <is>
          <t>PGIL</t>
        </is>
      </c>
      <c r="D160" s="30" t="inlineStr">
        <is>
          <t>Pearl Global Industries Limited</t>
        </is>
      </c>
      <c r="E160" s="30" t="inlineStr">
        <is>
          <t>consumer discretionary</t>
        </is>
      </c>
      <c r="F160" s="30" t="inlineStr">
        <is>
          <t>textiles - products</t>
        </is>
      </c>
      <c r="G160" s="30" t="inlineStr">
        <is>
          <t>midcap</t>
        </is>
      </c>
      <c r="H160" s="31" t="n">
        <v>10520.28</v>
      </c>
      <c r="I160" s="31" t="n">
        <v>2378.4</v>
      </c>
      <c r="J160" s="31" t="n">
        <v>4.41</v>
      </c>
      <c r="K160" s="31" t="n">
        <v>292926</v>
      </c>
      <c r="L160" s="30" t="n">
        <v>70</v>
      </c>
      <c r="M160" s="30" t="inlineStr">
        <is>
          <t>Outperforming</t>
        </is>
      </c>
      <c r="N160" s="31">
        <f>IF(M160="Underperforming",-5,IF(L160&gt;=95,15,IF(L160&gt;=90,10,IF(L160&gt;=80,5,0))))</f>
        <v/>
      </c>
      <c r="O160" s="31" t="n">
        <v>67.77</v>
      </c>
      <c r="P160" s="31" t="n">
        <v>58.32</v>
      </c>
      <c r="Q160" s="31" t="n">
        <v>1925.21</v>
      </c>
      <c r="R160" s="30" t="inlineStr">
        <is>
          <t>Near 52W High Breakout</t>
        </is>
      </c>
      <c r="S160" s="30" t="inlineStr">
        <is>
          <t>Nifty 50</t>
        </is>
      </c>
      <c r="T160" s="31" t="n">
        <v>-6.52</v>
      </c>
      <c r="U160" s="31" t="n">
        <v>79.40000000000001</v>
      </c>
      <c r="V160" s="31" t="n">
        <v>91.91</v>
      </c>
      <c r="W160" s="31" t="n">
        <v>23.01</v>
      </c>
      <c r="X160" s="30" t="inlineStr">
        <is>
          <t>Growing Industry</t>
        </is>
      </c>
      <c r="Y160" s="30">
        <f>IF(X160="Growing Industry",10,IF(X160="Cyclical in an Upturn",5,0))</f>
        <v/>
      </c>
      <c r="Z160" s="30" t="inlineStr">
        <is>
          <t>Too Many Players with High ROCE</t>
        </is>
      </c>
      <c r="AA160" s="30">
        <f>IF(Z160="Monopoly",10,IF(Z160="Oligopoly",5,IF(Z160="Duopoly that cooperate",10,IF(Z160="Duopoly that compete",5,IF(Z160="Too many players with High ROCE",5,0)))))</f>
        <v/>
      </c>
      <c r="AB160" s="30" t="inlineStr">
        <is>
          <t>No</t>
        </is>
      </c>
      <c r="AC160" s="30">
        <f>IF(AB160="No",5,0)</f>
        <v/>
      </c>
      <c r="AD160" s="30" t="inlineStr">
        <is>
          <t>Tailwind</t>
        </is>
      </c>
      <c r="AE160" s="30">
        <f>IF(AD160="Tailwind",10,0)</f>
        <v/>
      </c>
      <c r="AF160" s="30" t="inlineStr">
        <is>
          <t>Structural (10 Years Consistency)</t>
        </is>
      </c>
      <c r="AG160" s="30">
        <f>IF(AF160="Structural (10 Years Consistency)",10,IF(AF160="Shallow Cyclical (2 to 3 years growth)",5,0))</f>
        <v/>
      </c>
      <c r="AH160" s="30" t="inlineStr">
        <is>
          <t>No</t>
        </is>
      </c>
      <c r="AI160" s="30">
        <f>IF(AH160="Yes due to Product Mix change or Operating Leverage",10,IF(AH160="Yes, these are peak margins",-5,IF(AH160="No",5,0)))</f>
        <v/>
      </c>
      <c r="AJ160" s="30" t="inlineStr">
        <is>
          <t>Stable</t>
        </is>
      </c>
      <c r="AK160" s="30">
        <f>IF(AJ160="Stable",10,0)</f>
        <v/>
      </c>
      <c r="AL160" s="30" t="inlineStr">
        <is>
          <t>Yes</t>
        </is>
      </c>
      <c r="AM160" s="30">
        <f>IF(AL160="Yes",10,0)</f>
        <v/>
      </c>
      <c r="AN160" s="30" t="inlineStr">
        <is>
          <t>B2B</t>
        </is>
      </c>
      <c r="AO160" s="30">
        <f>IF(AN160="B2C",10,IF(AN160="B2B",5,0))</f>
        <v/>
      </c>
      <c r="AP160" s="30" t="inlineStr">
        <is>
          <t>Yes</t>
        </is>
      </c>
      <c r="AQ160" s="30">
        <f>IF(AP160="Yes",10,0)</f>
        <v/>
      </c>
      <c r="AR160" s="30" t="inlineStr">
        <is>
          <t>Higher One Time, Lower Annuity</t>
        </is>
      </c>
      <c r="AS160" s="30">
        <f>IF(AR160="Fully Annuity",10,IF(AR160="Higher Annuity, Lower One Time",5,IF(AR160="Higher One Time, Lower Annuity",3,0)))</f>
        <v/>
      </c>
      <c r="AT160" s="30" t="inlineStr">
        <is>
          <t>Good</t>
        </is>
      </c>
      <c r="AU160" s="30">
        <f>IF(AT160="Good",10,0)</f>
        <v/>
      </c>
      <c r="AV160" s="30" t="inlineStr">
        <is>
          <t>Yes for more than 2 years</t>
        </is>
      </c>
      <c r="AW160" s="30">
        <f>IF(AV160="Yes for more than 2 years",10,IF(AV160="Yes only for next 1 to 2 years",5,0))</f>
        <v/>
      </c>
      <c r="AX160" s="30" t="inlineStr">
        <is>
          <t>Above 40</t>
        </is>
      </c>
      <c r="AY160" s="30">
        <f>IF(AX160="Above 40",20,IF(AX160="20 to 40",10,IF(AX160="0 to 20",-5,0)))</f>
        <v/>
      </c>
      <c r="AZ160" s="30" t="inlineStr">
        <is>
          <t>Between 50 to 75</t>
        </is>
      </c>
      <c r="BA160" s="30">
        <f>IF(AZ160="Between 50 to 75",10,IF(AZ160="Above 75",0,0))</f>
        <v/>
      </c>
      <c r="BB160" s="30" t="inlineStr">
        <is>
          <t>Stage 2</t>
        </is>
      </c>
      <c r="BC160" s="30">
        <f>IF(BB160="Stage 2",20,IF(BB160="Stage 1",0,IF(BB160="Stage 3",5,IF(BB160="Stage 4",-5,0))))</f>
        <v/>
      </c>
      <c r="BD160" s="30" t="inlineStr">
        <is>
          <t>Negative Trend</t>
        </is>
      </c>
      <c r="BE160" s="30">
        <f>IF(BD160="Positive Trend",20,IF(BD160="Negative Trend",-10,0))</f>
        <v/>
      </c>
      <c r="BF160" s="30" t="inlineStr">
        <is>
          <t>Uptrend</t>
        </is>
      </c>
      <c r="BG160" s="30">
        <f>IF(BF160="Uptrend",10,IF(BF160="Sideways",5,0))</f>
        <v/>
      </c>
      <c r="BH160" s="30" t="inlineStr">
        <is>
          <t>Uptrend</t>
        </is>
      </c>
      <c r="BI160" s="30">
        <f>IF(BH160="Uptrend",10,IF(BH160="Sideways",5,0))</f>
        <v/>
      </c>
      <c r="BJ160" s="30" t="inlineStr">
        <is>
          <t>Blue sky scenario</t>
        </is>
      </c>
      <c r="BK160" s="30">
        <f>IF(BJ160="Overhead supply in last 2 years in last 2 years",-5,IF(BJ160="Close to 52 week high or retracement",5,IF(BJ160="Blue sky scenario",10,IF(BJ160="Long term Downtrend",-10,0))))</f>
        <v/>
      </c>
      <c r="BL160" s="30" t="inlineStr">
        <is>
          <t>Yes</t>
        </is>
      </c>
      <c r="BM160" s="30">
        <f>IF(BL160="Yes",10,0)</f>
        <v/>
      </c>
      <c r="BN160" s="30" t="inlineStr">
        <is>
          <t>More than 20%</t>
        </is>
      </c>
      <c r="BO160" s="30">
        <f>IF(BN160="More than 20%",10,IF(BN160="Between 12 to 20%",5,IF(BN160="Less than 12%",0,0)))</f>
        <v/>
      </c>
      <c r="BP160" s="30" t="inlineStr">
        <is>
          <t>No</t>
        </is>
      </c>
      <c r="BQ160" s="30">
        <f>IF(BP160="No",10,0)</f>
        <v/>
      </c>
      <c r="BR160" s="30" t="inlineStr">
        <is>
          <t>No</t>
        </is>
      </c>
      <c r="BS160" s="30">
        <f>IF(BR160="NO",5,0)</f>
        <v/>
      </c>
      <c r="BT160" s="30" t="inlineStr">
        <is>
          <t>Less than 1.5</t>
        </is>
      </c>
      <c r="BU160" s="30">
        <f>IF(BT160="Above 2",0,IF(BT160="Between 1.5 to 2",5,IF(BT160="Less than 1.5",10,0)))</f>
        <v/>
      </c>
      <c r="BV160" s="30" t="inlineStr">
        <is>
          <t>Above 70%</t>
        </is>
      </c>
      <c r="BW160" s="30">
        <f>IF(BV160="Above 70%",10,IF(BV160="Between 50% to 70%",5,IF(BV160="Less than 50%",0,IF(BV160="Negative",-10,IF(BV160="Less than 50% and Borrowings are increasing",-5,0)))))</f>
        <v/>
      </c>
      <c r="BX160" s="30" t="inlineStr">
        <is>
          <t>Less than 0.7</t>
        </is>
      </c>
      <c r="BY160" s="30">
        <f>IF(BX160="More than 1.2",-10,IF(BX160="Between 0.7 to 1.2",0,IF(BX160="Less than 0.7",10,0)))</f>
        <v/>
      </c>
      <c r="BZ160" s="30" t="inlineStr">
        <is>
          <t>No</t>
        </is>
      </c>
      <c r="CA160" s="30">
        <f>IF(BZ160="Yes",-10,0)</f>
        <v/>
      </c>
      <c r="CB160" s="30" t="inlineStr">
        <is>
          <t>Less than 15%</t>
        </is>
      </c>
      <c r="CC160" s="30">
        <f>IF(CB160="More than 15%",-10,IF(CB160="Less than 15%",10,0))</f>
        <v/>
      </c>
      <c r="CD160" s="30" t="inlineStr">
        <is>
          <t>No</t>
        </is>
      </c>
      <c r="CE160" s="30">
        <f>IF(CD160="Yes, more than 10%",-10,IF(CD160="No",10,0))</f>
        <v/>
      </c>
    </row>
    <row r="161">
      <c r="A161" s="30">
        <f>IF(B161=0,"",RANK(B161,$B$2:$B$331,0))</f>
        <v/>
      </c>
      <c r="B161" s="31">
        <f>SUM(N161,Y161,AA161,AC161,AE161,AG161,AI161,AK161,AM161,AO161,AQ161,AS161,AU161,AW161,AY161,BA161,BC161,BE161,BG161,BI161,BK161,BM161,BO161,BQ161,BS161,BU161,BW161,BY161,CA161,CC161,CE161)</f>
        <v/>
      </c>
      <c r="C161" s="30" t="inlineStr">
        <is>
          <t>EIMCOELECO</t>
        </is>
      </c>
      <c r="D161" s="30" t="inlineStr">
        <is>
          <t>Eimco Elecon (india) Limited</t>
        </is>
      </c>
      <c r="E161" s="30" t="inlineStr">
        <is>
          <t>industrials</t>
        </is>
      </c>
      <c r="F161" s="30" t="inlineStr">
        <is>
          <t>engineering</t>
        </is>
      </c>
      <c r="G161" s="30" t="inlineStr">
        <is>
          <t>smallcap</t>
        </is>
      </c>
      <c r="H161" s="31" t="n">
        <v>1281.5</v>
      </c>
      <c r="I161" s="31" t="n">
        <v>2291.4</v>
      </c>
      <c r="J161" s="31" t="n">
        <v>3.14</v>
      </c>
      <c r="K161" s="31" t="n">
        <v>45900</v>
      </c>
      <c r="L161" s="30" t="n">
        <v>45</v>
      </c>
      <c r="M161" s="30" t="inlineStr">
        <is>
          <t>Outperforming</t>
        </is>
      </c>
      <c r="N161" s="31">
        <f>IF(M161="Underperforming",-5,IF(L161&gt;=95,15,IF(L161&gt;=90,10,IF(L161&gt;=80,5,0))))</f>
        <v/>
      </c>
      <c r="O161" s="31" t="n">
        <v>74.42</v>
      </c>
      <c r="P161" s="31" t="n">
        <v>48.25</v>
      </c>
      <c r="Q161" s="31" t="n">
        <v>1781.68</v>
      </c>
      <c r="R161" s="30" t="inlineStr">
        <is>
          <t>Near 52W High Breakout</t>
        </is>
      </c>
      <c r="S161" s="30" t="inlineStr">
        <is>
          <t>Nifty 50</t>
        </is>
      </c>
      <c r="T161" s="31" t="n">
        <v>-6.52</v>
      </c>
      <c r="U161" s="31" t="n">
        <v>4.67</v>
      </c>
      <c r="V161" s="31" t="n">
        <v>11.97</v>
      </c>
      <c r="W161" s="31" t="n">
        <v>13.63</v>
      </c>
      <c r="X161" s="30" t="inlineStr">
        <is>
          <t>Cyclical in an Upturn</t>
        </is>
      </c>
      <c r="Y161" s="30">
        <f>IF(X161="Growing Industry",10,IF(X161="Cyclical in an Upturn",5,0))</f>
        <v/>
      </c>
      <c r="Z161" s="30" t="inlineStr">
        <is>
          <t>Too Many Players with High ROCE</t>
        </is>
      </c>
      <c r="AA161" s="30">
        <f>IF(Z161="Monopoly",10,IF(Z161="Oligopoly",5,IF(Z161="Duopoly that cooperate",10,IF(Z161="Duopoly that compete",5,IF(Z161="Too many players with High ROCE",5,0)))))</f>
        <v/>
      </c>
      <c r="AB161" s="30" t="inlineStr">
        <is>
          <t>No</t>
        </is>
      </c>
      <c r="AC161" s="30">
        <f>IF(AB161="No",5,0)</f>
        <v/>
      </c>
      <c r="AD161" s="30" t="inlineStr">
        <is>
          <t>Tailwind</t>
        </is>
      </c>
      <c r="AE161" s="30">
        <f>IF(AD161="Tailwind",10,0)</f>
        <v/>
      </c>
      <c r="AF161" s="30" t="inlineStr">
        <is>
          <t>Structural (10 Years Consistency)</t>
        </is>
      </c>
      <c r="AG161" s="30">
        <f>IF(AF161="Structural (10 Years Consistency)",10,IF(AF161="Shallow Cyclical (2 to 3 years growth)",5,0))</f>
        <v/>
      </c>
      <c r="AH161" s="30" t="inlineStr">
        <is>
          <t>No</t>
        </is>
      </c>
      <c r="AI161" s="30">
        <f>IF(AH161="Yes due to Product Mix change or Operating Leverage",10,IF(AH161="Yes, these are peak margins",-5,IF(AH161="No",5,0)))</f>
        <v/>
      </c>
      <c r="AJ161" s="30" t="inlineStr">
        <is>
          <t>Stable</t>
        </is>
      </c>
      <c r="AK161" s="30">
        <f>IF(AJ161="Stable",10,0)</f>
        <v/>
      </c>
      <c r="AL161" s="30" t="inlineStr">
        <is>
          <t>Yes</t>
        </is>
      </c>
      <c r="AM161" s="30">
        <f>IF(AL161="Yes",10,0)</f>
        <v/>
      </c>
      <c r="AN161" s="30" t="inlineStr">
        <is>
          <t>B2B</t>
        </is>
      </c>
      <c r="AO161" s="30">
        <f>IF(AN161="B2C",10,IF(AN161="B2B",5,0))</f>
        <v/>
      </c>
      <c r="AP161" s="30" t="inlineStr">
        <is>
          <t>Yes</t>
        </is>
      </c>
      <c r="AQ161" s="30">
        <f>IF(AP161="Yes",10,0)</f>
        <v/>
      </c>
      <c r="AR161" s="30" t="inlineStr">
        <is>
          <t>Higher One Time, Lower Annuity</t>
        </is>
      </c>
      <c r="AS161" s="30">
        <f>IF(AR161="Fully Annuity",10,IF(AR161="Higher Annuity, Lower One Time",5,IF(AR161="Higher One Time, Lower Annuity",3,0)))</f>
        <v/>
      </c>
      <c r="AT161" s="30" t="inlineStr">
        <is>
          <t>Good</t>
        </is>
      </c>
      <c r="AU161" s="30">
        <f>IF(AT161="Good",10,0)</f>
        <v/>
      </c>
      <c r="AV161" s="30" t="inlineStr">
        <is>
          <t>Yes for more than 2 years</t>
        </is>
      </c>
      <c r="AW161" s="30">
        <f>IF(AV161="Yes for more than 2 years",10,IF(AV161="Yes only for next 1 to 2 years",5,0))</f>
        <v/>
      </c>
      <c r="AX161" s="30" t="inlineStr">
        <is>
          <t>Above 40</t>
        </is>
      </c>
      <c r="AY161" s="30">
        <f>IF(AX161="Above 40",20,IF(AX161="20 to 40",10,IF(AX161="0 to 20",-5,0)))</f>
        <v/>
      </c>
      <c r="AZ161" s="30" t="inlineStr">
        <is>
          <t>Between 50 to 75</t>
        </is>
      </c>
      <c r="BA161" s="30">
        <f>IF(AZ161="Between 50 to 75",10,IF(AZ161="Above 75",0,0))</f>
        <v/>
      </c>
      <c r="BB161" s="30" t="inlineStr">
        <is>
          <t>Stage 2</t>
        </is>
      </c>
      <c r="BC161" s="30">
        <f>IF(BB161="Stage 2",20,IF(BB161="Stage 1",0,IF(BB161="Stage 3",5,IF(BB161="Stage 4",-5,0))))</f>
        <v/>
      </c>
      <c r="BD161" s="30" t="inlineStr">
        <is>
          <t>Positive Trend</t>
        </is>
      </c>
      <c r="BE161" s="30">
        <f>IF(BD161="Positive Trend",20,IF(BD161="Negative Trend",-10,0))</f>
        <v/>
      </c>
      <c r="BF161" s="30" t="inlineStr">
        <is>
          <t>Uptrend</t>
        </is>
      </c>
      <c r="BG161" s="30">
        <f>IF(BF161="Uptrend",10,IF(BF161="Sideways",5,0))</f>
        <v/>
      </c>
      <c r="BH161" s="30" t="inlineStr">
        <is>
          <t>Uptrend</t>
        </is>
      </c>
      <c r="BI161" s="30">
        <f>IF(BH161="Uptrend",10,IF(BH161="Sideways",5,0))</f>
        <v/>
      </c>
      <c r="BJ161" s="30" t="inlineStr">
        <is>
          <t>Close to 52 week high or retracement</t>
        </is>
      </c>
      <c r="BK161" s="30">
        <f>IF(BJ161="Overhead supply in last 2 years in last 2 years",-5,IF(BJ161="Close to 52 week high or retracement",5,IF(BJ161="Blue sky scenario",10,IF(BJ161="Long term Downtrend",-10,0))))</f>
        <v/>
      </c>
      <c r="BL161" s="30" t="inlineStr">
        <is>
          <t>Yes</t>
        </is>
      </c>
      <c r="BM161" s="30">
        <f>IF(BL161="Yes",10,0)</f>
        <v/>
      </c>
      <c r="BN161" s="30" t="inlineStr">
        <is>
          <t>Less than 12%</t>
        </is>
      </c>
      <c r="BO161" s="30">
        <f>IF(BN161="More than 20%",10,IF(BN161="Between 12 to 20%",5,IF(BN161="Less than 12%",0,0)))</f>
        <v/>
      </c>
      <c r="BP161" s="30" t="inlineStr">
        <is>
          <t>No</t>
        </is>
      </c>
      <c r="BQ161" s="30">
        <f>IF(BP161="No",10,0)</f>
        <v/>
      </c>
      <c r="BR161" s="30" t="inlineStr">
        <is>
          <t>No</t>
        </is>
      </c>
      <c r="BS161" s="30">
        <f>IF(BR161="NO",5,0)</f>
        <v/>
      </c>
      <c r="BT161" s="30" t="inlineStr">
        <is>
          <t>Above 2</t>
        </is>
      </c>
      <c r="BU161" s="30">
        <f>IF(BT161="Above 2",0,IF(BT161="Between 1.5 to 2",5,IF(BT161="Less than 1.5",10,0)))</f>
        <v/>
      </c>
      <c r="BV161" s="30" t="inlineStr">
        <is>
          <t>Above 70%</t>
        </is>
      </c>
      <c r="BW161" s="30">
        <f>IF(BV161="Above 70%",10,IF(BV161="Between 50% to 70%",5,IF(BV161="Less than 50%",0,IF(BV161="Negative",-10,IF(BV161="Less than 50% and Borrowings are increasing",-5,0)))))</f>
        <v/>
      </c>
      <c r="BX161" s="30" t="inlineStr">
        <is>
          <t>Less than 0.7</t>
        </is>
      </c>
      <c r="BY161" s="30">
        <f>IF(BX161="More than 1.2",-10,IF(BX161="Between 0.7 to 1.2",0,IF(BX161="Less than 0.7",10,0)))</f>
        <v/>
      </c>
      <c r="BZ161" s="30" t="inlineStr">
        <is>
          <t>No</t>
        </is>
      </c>
      <c r="CA161" s="30">
        <f>IF(BZ161="Yes",-10,0)</f>
        <v/>
      </c>
      <c r="CB161" s="30" t="inlineStr">
        <is>
          <t>Less than 15%</t>
        </is>
      </c>
      <c r="CC161" s="30">
        <f>IF(CB161="More than 15%",-10,IF(CB161="Less than 15%",10,0))</f>
        <v/>
      </c>
      <c r="CD161" s="30" t="inlineStr">
        <is>
          <t>No</t>
        </is>
      </c>
      <c r="CE161" s="30">
        <f>IF(CD161="Yes, more than 10%",-10,IF(CD161="No",10,0))</f>
        <v/>
      </c>
    </row>
    <row r="162">
      <c r="A162" s="30">
        <f>IF(B162=0,"",RANK(B162,$B$2:$B$331,0))</f>
        <v/>
      </c>
      <c r="B162" s="31">
        <f>SUM(N162,Y162,AA162,AC162,AE162,AG162,AI162,AK162,AM162,AO162,AQ162,AS162,AU162,AW162,AY162,BA162,BC162,BE162,BG162,BI162,BK162,BM162,BO162,BQ162,BS162,BU162,BW162,BY162,CA162,CC162,CE162)</f>
        <v/>
      </c>
      <c r="C162" s="30" t="inlineStr">
        <is>
          <t>JINDALSAW</t>
        </is>
      </c>
      <c r="D162" s="30" t="inlineStr">
        <is>
          <t>Jindal Saw Limited</t>
        </is>
      </c>
      <c r="E162" s="30" t="inlineStr">
        <is>
          <t>industrials</t>
        </is>
      </c>
      <c r="F162" s="30" t="inlineStr">
        <is>
          <t>steel - large</t>
        </is>
      </c>
      <c r="G162" s="30" t="inlineStr">
        <is>
          <t>midcap</t>
        </is>
      </c>
      <c r="H162" s="31" t="n">
        <v>19933.47</v>
      </c>
      <c r="I162" s="31" t="n">
        <v>317.5</v>
      </c>
      <c r="J162" s="31" t="n">
        <v>1.86</v>
      </c>
      <c r="K162" s="31" t="n">
        <v>3368101</v>
      </c>
      <c r="L162" s="30" t="n">
        <v>52</v>
      </c>
      <c r="M162" s="30" t="inlineStr">
        <is>
          <t>Outperforming</t>
        </is>
      </c>
      <c r="N162" s="31">
        <f>IF(M162="Underperforming",-5,IF(L162&gt;=95,15,IF(L162&gt;=90,10,IF(L162&gt;=80,5,0))))</f>
        <v/>
      </c>
      <c r="O162" s="31" t="n">
        <v>71.97</v>
      </c>
      <c r="P162" s="31" t="n">
        <v>47.37</v>
      </c>
      <c r="Q162" s="31" t="n">
        <v>249.6</v>
      </c>
      <c r="R162" s="30" t="inlineStr">
        <is>
          <t>Near 52W High Breakout</t>
        </is>
      </c>
      <c r="S162" s="30" t="inlineStr">
        <is>
          <t>Nifty Metal</t>
        </is>
      </c>
      <c r="T162" s="31" t="n">
        <v>41.17</v>
      </c>
      <c r="U162" s="31" t="n">
        <v>43.79</v>
      </c>
      <c r="V162" s="31" t="n">
        <v>1.86</v>
      </c>
      <c r="W162" s="31" t="n">
        <v>16.34</v>
      </c>
      <c r="X162" s="30" t="inlineStr">
        <is>
          <t>Cyclical in an Upturn</t>
        </is>
      </c>
      <c r="Y162" s="30">
        <f>IF(X162="Growing Industry",10,IF(X162="Cyclical in an Upturn",5,0))</f>
        <v/>
      </c>
      <c r="Z162" s="30" t="inlineStr">
        <is>
          <t>Too Many Players with High ROCE</t>
        </is>
      </c>
      <c r="AA162" s="30">
        <f>IF(Z162="Monopoly",10,IF(Z162="Oligopoly",5,IF(Z162="Duopoly that cooperate",10,IF(Z162="Duopoly that compete",5,IF(Z162="Too many players with High ROCE",5,0)))))</f>
        <v/>
      </c>
      <c r="AB162" s="30" t="inlineStr">
        <is>
          <t>No</t>
        </is>
      </c>
      <c r="AC162" s="30">
        <f>IF(AB162="No",5,0)</f>
        <v/>
      </c>
      <c r="AD162" s="30" t="inlineStr">
        <is>
          <t>Tailwind</t>
        </is>
      </c>
      <c r="AE162" s="30">
        <f>IF(AD162="Tailwind",10,0)</f>
        <v/>
      </c>
      <c r="AF162" s="30" t="inlineStr">
        <is>
          <t>Structural (10 Years Consistency)</t>
        </is>
      </c>
      <c r="AG162" s="30">
        <f>IF(AF162="Structural (10 Years Consistency)",10,IF(AF162="Shallow Cyclical (2 to 3 years growth)",5,0))</f>
        <v/>
      </c>
      <c r="AH162" s="30" t="inlineStr">
        <is>
          <t>No</t>
        </is>
      </c>
      <c r="AI162" s="30">
        <f>IF(AH162="Yes due to Product Mix change or Operating Leverage",10,IF(AH162="Yes, these are peak margins",-5,IF(AH162="No",5,0)))</f>
        <v/>
      </c>
      <c r="AJ162" s="30" t="inlineStr">
        <is>
          <t>Stable</t>
        </is>
      </c>
      <c r="AK162" s="30">
        <f>IF(AJ162="Stable",10,0)</f>
        <v/>
      </c>
      <c r="AL162" s="30" t="inlineStr">
        <is>
          <t>Yes</t>
        </is>
      </c>
      <c r="AM162" s="30">
        <f>IF(AL162="Yes",10,0)</f>
        <v/>
      </c>
      <c r="AN162" s="30" t="inlineStr">
        <is>
          <t>B2B</t>
        </is>
      </c>
      <c r="AO162" s="30">
        <f>IF(AN162="B2C",10,IF(AN162="B2B",5,0))</f>
        <v/>
      </c>
      <c r="AP162" s="30" t="inlineStr">
        <is>
          <t>Yes</t>
        </is>
      </c>
      <c r="AQ162" s="30">
        <f>IF(AP162="Yes",10,0)</f>
        <v/>
      </c>
      <c r="AR162" s="30" t="inlineStr">
        <is>
          <t>Higher One Time, Lower Annuity</t>
        </is>
      </c>
      <c r="AS162" s="30">
        <f>IF(AR162="Fully Annuity",10,IF(AR162="Higher Annuity, Lower One Time",5,IF(AR162="Higher One Time, Lower Annuity",3,0)))</f>
        <v/>
      </c>
      <c r="AT162" s="30" t="inlineStr">
        <is>
          <t>Good</t>
        </is>
      </c>
      <c r="AU162" s="30">
        <f>IF(AT162="Good",10,0)</f>
        <v/>
      </c>
      <c r="AV162" s="30" t="inlineStr">
        <is>
          <t>Yes for more than 2 years</t>
        </is>
      </c>
      <c r="AW162" s="30">
        <f>IF(AV162="Yes for more than 2 years",10,IF(AV162="Yes only for next 1 to 2 years",5,0))</f>
        <v/>
      </c>
      <c r="AX162" s="30" t="inlineStr">
        <is>
          <t>Above 40</t>
        </is>
      </c>
      <c r="AY162" s="30">
        <f>IF(AX162="Above 40",20,IF(AX162="20 to 40",10,IF(AX162="0 to 20",-5,0)))</f>
        <v/>
      </c>
      <c r="AZ162" s="30" t="inlineStr">
        <is>
          <t>Between 50 to 75</t>
        </is>
      </c>
      <c r="BA162" s="30">
        <f>IF(AZ162="Between 50 to 75",10,IF(AZ162="Above 75",0,0))</f>
        <v/>
      </c>
      <c r="BB162" s="30" t="inlineStr">
        <is>
          <t>Stage 2</t>
        </is>
      </c>
      <c r="BC162" s="30">
        <f>IF(BB162="Stage 2",20,IF(BB162="Stage 1",0,IF(BB162="Stage 3",5,IF(BB162="Stage 4",-5,0))))</f>
        <v/>
      </c>
      <c r="BD162" s="30" t="inlineStr">
        <is>
          <t>Positive Trend</t>
        </is>
      </c>
      <c r="BE162" s="30">
        <f>IF(BD162="Positive Trend",20,IF(BD162="Negative Trend",-10,0))</f>
        <v/>
      </c>
      <c r="BF162" s="30" t="inlineStr">
        <is>
          <t>Uptrend</t>
        </is>
      </c>
      <c r="BG162" s="30">
        <f>IF(BF162="Uptrend",10,IF(BF162="Sideways",5,0))</f>
        <v/>
      </c>
      <c r="BH162" s="30" t="inlineStr">
        <is>
          <t>Uptrend</t>
        </is>
      </c>
      <c r="BI162" s="30">
        <f>IF(BH162="Uptrend",10,IF(BH162="Sideways",5,0))</f>
        <v/>
      </c>
      <c r="BJ162" s="30" t="inlineStr">
        <is>
          <t>Close to 52 week high or retracement</t>
        </is>
      </c>
      <c r="BK162" s="30">
        <f>IF(BJ162="Overhead supply in last 2 years in last 2 years",-5,IF(BJ162="Close to 52 week high or retracement",5,IF(BJ162="Blue sky scenario",10,IF(BJ162="Long term Downtrend",-10,0))))</f>
        <v/>
      </c>
      <c r="BL162" s="30" t="inlineStr">
        <is>
          <t>Yes</t>
        </is>
      </c>
      <c r="BM162" s="30">
        <f>IF(BL162="Yes",10,0)</f>
        <v/>
      </c>
      <c r="BN162" s="30" t="inlineStr">
        <is>
          <t>Less than 12%</t>
        </is>
      </c>
      <c r="BO162" s="30">
        <f>IF(BN162="More than 20%",10,IF(BN162="Between 12 to 20%",5,IF(BN162="Less than 12%",0,0)))</f>
        <v/>
      </c>
      <c r="BP162" s="30" t="inlineStr">
        <is>
          <t>No</t>
        </is>
      </c>
      <c r="BQ162" s="30">
        <f>IF(BP162="No",10,0)</f>
        <v/>
      </c>
      <c r="BR162" s="30" t="inlineStr">
        <is>
          <t>No</t>
        </is>
      </c>
      <c r="BS162" s="30">
        <f>IF(BR162="NO",5,0)</f>
        <v/>
      </c>
      <c r="BT162" s="30" t="inlineStr">
        <is>
          <t>Above 2</t>
        </is>
      </c>
      <c r="BU162" s="30">
        <f>IF(BT162="Above 2",0,IF(BT162="Between 1.5 to 2",5,IF(BT162="Less than 1.5",10,0)))</f>
        <v/>
      </c>
      <c r="BV162" s="30" t="inlineStr">
        <is>
          <t>Above 70%</t>
        </is>
      </c>
      <c r="BW162" s="30">
        <f>IF(BV162="Above 70%",10,IF(BV162="Between 50% to 70%",5,IF(BV162="Less than 50%",0,IF(BV162="Negative",-10,IF(BV162="Less than 50% and Borrowings are increasing",-5,0)))))</f>
        <v/>
      </c>
      <c r="BX162" s="30" t="inlineStr">
        <is>
          <t>Less than 0.7</t>
        </is>
      </c>
      <c r="BY162" s="30">
        <f>IF(BX162="More than 1.2",-10,IF(BX162="Between 0.7 to 1.2",0,IF(BX162="Less than 0.7",10,0)))</f>
        <v/>
      </c>
      <c r="BZ162" s="30" t="inlineStr">
        <is>
          <t>No</t>
        </is>
      </c>
      <c r="CA162" s="30">
        <f>IF(BZ162="Yes",-10,0)</f>
        <v/>
      </c>
      <c r="CB162" s="30" t="inlineStr">
        <is>
          <t>Less than 15%</t>
        </is>
      </c>
      <c r="CC162" s="30">
        <f>IF(CB162="More than 15%",-10,IF(CB162="Less than 15%",10,0))</f>
        <v/>
      </c>
      <c r="CD162" s="30" t="inlineStr">
        <is>
          <t>No</t>
        </is>
      </c>
      <c r="CE162" s="30">
        <f>IF(CD162="Yes, more than 10%",-10,IF(CD162="No",10,0))</f>
        <v/>
      </c>
    </row>
    <row r="163">
      <c r="A163" s="30">
        <f>IF(B163=0,"",RANK(B163,$B$2:$B$331,0))</f>
        <v/>
      </c>
      <c r="B163" s="31">
        <f>SUM(N163,Y163,AA163,AC163,AE163,AG163,AI163,AK163,AM163,AO163,AQ163,AS163,AU163,AW163,AY163,BA163,BC163,BE163,BG163,BI163,BK163,BM163,BO163,BQ163,BS163,BU163,BW163,BY163,CA163,CC163,CE163)</f>
        <v/>
      </c>
      <c r="C163" s="30" t="inlineStr">
        <is>
          <t>KALYANKJIL</t>
        </is>
      </c>
      <c r="D163" s="30" t="inlineStr">
        <is>
          <t>Kalyan Jewellers India Ltd</t>
        </is>
      </c>
      <c r="E163" s="30" t="inlineStr">
        <is>
          <t>consumer discretionary</t>
        </is>
      </c>
      <c r="F163" s="30" t="inlineStr">
        <is>
          <t>diamond cutting / jewellery</t>
        </is>
      </c>
      <c r="G163" s="30" t="inlineStr">
        <is>
          <t>largecap</t>
        </is>
      </c>
      <c r="H163" s="31" t="n">
        <v>62749.3</v>
      </c>
      <c r="I163" s="31" t="n">
        <v>615.2</v>
      </c>
      <c r="J163" s="31" t="n">
        <v>1.25</v>
      </c>
      <c r="K163" s="31" t="n">
        <v>6066311</v>
      </c>
      <c r="L163" s="30" t="n">
        <v>73</v>
      </c>
      <c r="M163" s="30" t="inlineStr">
        <is>
          <t>Outperforming</t>
        </is>
      </c>
      <c r="N163" s="31">
        <f>IF(M163="Underperforming",-5,IF(L163&gt;=95,15,IF(L163&gt;=90,10,IF(L163&gt;=80,5,0))))</f>
        <v/>
      </c>
      <c r="O163" s="31" t="n">
        <v>69.72</v>
      </c>
      <c r="P163" s="31" t="n">
        <v>38</v>
      </c>
      <c r="Q163" s="31" t="n">
        <v>474.37</v>
      </c>
      <c r="R163" s="30" t="inlineStr">
        <is>
          <t>Near 52W High Breakout</t>
        </is>
      </c>
      <c r="S163" s="30" t="inlineStr">
        <is>
          <t>Nifty 50</t>
        </is>
      </c>
      <c r="T163" s="31" t="n">
        <v>-6.52</v>
      </c>
      <c r="U163" s="31" t="n">
        <v>22.37</v>
      </c>
      <c r="V163" s="31" t="n">
        <v>30.89</v>
      </c>
      <c r="W163" s="31" t="n">
        <v>24.45</v>
      </c>
      <c r="X163" s="30" t="inlineStr">
        <is>
          <t>Growing Industry</t>
        </is>
      </c>
      <c r="Y163" s="30">
        <f>IF(X163="Growing Industry",10,IF(X163="Cyclical in an Upturn",5,0))</f>
        <v/>
      </c>
      <c r="Z163" s="30" t="inlineStr">
        <is>
          <t>Too Many Players with High ROCE</t>
        </is>
      </c>
      <c r="AA163" s="30">
        <f>IF(Z163="Monopoly",10,IF(Z163="Oligopoly",5,IF(Z163="Duopoly that cooperate",10,IF(Z163="Duopoly that compete",5,IF(Z163="Too many players with High ROCE",5,0)))))</f>
        <v/>
      </c>
      <c r="AB163" s="30" t="inlineStr">
        <is>
          <t>No</t>
        </is>
      </c>
      <c r="AC163" s="30">
        <f>IF(AB163="No",5,0)</f>
        <v/>
      </c>
      <c r="AD163" s="30" t="inlineStr">
        <is>
          <t>Tailwind</t>
        </is>
      </c>
      <c r="AE163" s="30">
        <f>IF(AD163="Tailwind",10,0)</f>
        <v/>
      </c>
      <c r="AF163" s="30" t="inlineStr">
        <is>
          <t>Structural (10 Years Consistency)</t>
        </is>
      </c>
      <c r="AG163" s="30">
        <f>IF(AF163="Structural (10 Years Consistency)",10,IF(AF163="Shallow Cyclical (2 to 3 years growth)",5,0))</f>
        <v/>
      </c>
      <c r="AH163" s="30" t="inlineStr">
        <is>
          <t>No</t>
        </is>
      </c>
      <c r="AI163" s="30">
        <f>IF(AH163="Yes due to Product Mix change or Operating Leverage",10,IF(AH163="Yes, these are peak margins",-5,IF(AH163="No",5,0)))</f>
        <v/>
      </c>
      <c r="AJ163" s="30" t="inlineStr">
        <is>
          <t>Stable</t>
        </is>
      </c>
      <c r="AK163" s="30">
        <f>IF(AJ163="Stable",10,0)</f>
        <v/>
      </c>
      <c r="AL163" s="30" t="inlineStr">
        <is>
          <t>Yes</t>
        </is>
      </c>
      <c r="AM163" s="30">
        <f>IF(AL163="Yes",10,0)</f>
        <v/>
      </c>
      <c r="AN163" s="30" t="inlineStr">
        <is>
          <t>B2B</t>
        </is>
      </c>
      <c r="AO163" s="30">
        <f>IF(AN163="B2C",10,IF(AN163="B2B",5,0))</f>
        <v/>
      </c>
      <c r="AP163" s="30" t="inlineStr">
        <is>
          <t>Yes</t>
        </is>
      </c>
      <c r="AQ163" s="30">
        <f>IF(AP163="Yes",10,0)</f>
        <v/>
      </c>
      <c r="AR163" s="30" t="inlineStr">
        <is>
          <t>Higher One Time, Lower Annuity</t>
        </is>
      </c>
      <c r="AS163" s="30">
        <f>IF(AR163="Fully Annuity",10,IF(AR163="Higher Annuity, Lower One Time",5,IF(AR163="Higher One Time, Lower Annuity",3,0)))</f>
        <v/>
      </c>
      <c r="AT163" s="30" t="inlineStr">
        <is>
          <t>Good</t>
        </is>
      </c>
      <c r="AU163" s="30">
        <f>IF(AT163="Good",10,0)</f>
        <v/>
      </c>
      <c r="AV163" s="30" t="inlineStr">
        <is>
          <t>Yes for more than 2 years</t>
        </is>
      </c>
      <c r="AW163" s="30">
        <f>IF(AV163="Yes for more than 2 years",10,IF(AV163="Yes only for next 1 to 2 years",5,0))</f>
        <v/>
      </c>
      <c r="AX163" s="30" t="inlineStr">
        <is>
          <t>20 to 40</t>
        </is>
      </c>
      <c r="AY163" s="30">
        <f>IF(AX163="Above 40",20,IF(AX163="20 to 40",10,IF(AX163="0 to 20",-5,0)))</f>
        <v/>
      </c>
      <c r="AZ163" s="30" t="inlineStr">
        <is>
          <t>Between 50 to 75</t>
        </is>
      </c>
      <c r="BA163" s="30">
        <f>IF(AZ163="Between 50 to 75",10,IF(AZ163="Above 75",0,0))</f>
        <v/>
      </c>
      <c r="BB163" s="30" t="inlineStr">
        <is>
          <t>Stage 2</t>
        </is>
      </c>
      <c r="BC163" s="30">
        <f>IF(BB163="Stage 2",20,IF(BB163="Stage 1",0,IF(BB163="Stage 3",5,IF(BB163="Stage 4",-5,0))))</f>
        <v/>
      </c>
      <c r="BD163" s="30" t="inlineStr">
        <is>
          <t>Positive Trend</t>
        </is>
      </c>
      <c r="BE163" s="30">
        <f>IF(BD163="Positive Trend",20,IF(BD163="Negative Trend",-10,0))</f>
        <v/>
      </c>
      <c r="BF163" s="30" t="inlineStr">
        <is>
          <t>Uptrend</t>
        </is>
      </c>
      <c r="BG163" s="30">
        <f>IF(BF163="Uptrend",10,IF(BF163="Sideways",5,0))</f>
        <v/>
      </c>
      <c r="BH163" s="30" t="inlineStr">
        <is>
          <t>Uptrend</t>
        </is>
      </c>
      <c r="BI163" s="30">
        <f>IF(BH163="Uptrend",10,IF(BH163="Sideways",5,0))</f>
        <v/>
      </c>
      <c r="BJ163" s="30" t="inlineStr">
        <is>
          <t>Close to 52 week high or retracement</t>
        </is>
      </c>
      <c r="BK163" s="30">
        <f>IF(BJ163="Overhead supply in last 2 years in last 2 years",-5,IF(BJ163="Close to 52 week high or retracement",5,IF(BJ163="Blue sky scenario",10,IF(BJ163="Long term Downtrend",-10,0))))</f>
        <v/>
      </c>
      <c r="BL163" s="30" t="inlineStr">
        <is>
          <t>Yes</t>
        </is>
      </c>
      <c r="BM163" s="30">
        <f>IF(BL163="Yes",10,0)</f>
        <v/>
      </c>
      <c r="BN163" s="30" t="inlineStr">
        <is>
          <t>More than 20%</t>
        </is>
      </c>
      <c r="BO163" s="30">
        <f>IF(BN163="More than 20%",10,IF(BN163="Between 12 to 20%",5,IF(BN163="Less than 12%",0,0)))</f>
        <v/>
      </c>
      <c r="BP163" s="30" t="inlineStr">
        <is>
          <t>No</t>
        </is>
      </c>
      <c r="BQ163" s="30">
        <f>IF(BP163="No",10,0)</f>
        <v/>
      </c>
      <c r="BR163" s="30" t="inlineStr">
        <is>
          <t>Yes</t>
        </is>
      </c>
      <c r="BS163" s="30">
        <f>IF(BR163="NO",5,0)</f>
        <v/>
      </c>
      <c r="BT163" s="30" t="inlineStr">
        <is>
          <t>Less than 1.5</t>
        </is>
      </c>
      <c r="BU163" s="30">
        <f>IF(BT163="Above 2",0,IF(BT163="Between 1.5 to 2",5,IF(BT163="Less than 1.5",10,0)))</f>
        <v/>
      </c>
      <c r="BV163" s="30" t="inlineStr">
        <is>
          <t>Above 70%</t>
        </is>
      </c>
      <c r="BW163" s="30">
        <f>IF(BV163="Above 70%",10,IF(BV163="Between 50% to 70%",5,IF(BV163="Less than 50%",0,IF(BV163="Negative",-10,IF(BV163="Less than 50% and Borrowings are increasing",-5,0)))))</f>
        <v/>
      </c>
      <c r="BX163" s="30" t="inlineStr">
        <is>
          <t>Between 0.7 to 1.2</t>
        </is>
      </c>
      <c r="BY163" s="30">
        <f>IF(BX163="More than 1.2",-10,IF(BX163="Between 0.7 to 1.2",0,IF(BX163="Less than 0.7",10,0)))</f>
        <v/>
      </c>
      <c r="BZ163" s="30" t="inlineStr">
        <is>
          <t>No</t>
        </is>
      </c>
      <c r="CA163" s="30">
        <f>IF(BZ163="Yes",-10,0)</f>
        <v/>
      </c>
      <c r="CB163" s="30" t="inlineStr">
        <is>
          <t>Less than 15%</t>
        </is>
      </c>
      <c r="CC163" s="30">
        <f>IF(CB163="More than 15%",-10,IF(CB163="Less than 15%",10,0))</f>
        <v/>
      </c>
      <c r="CD163" s="30" t="inlineStr">
        <is>
          <t>No</t>
        </is>
      </c>
      <c r="CE163" s="30">
        <f>IF(CD163="Yes, more than 10%",-10,IF(CD163="No",10,0))</f>
        <v/>
      </c>
    </row>
    <row r="164">
      <c r="A164" s="30">
        <f>IF(B164=0,"",RANK(B164,$B$2:$B$331,0))</f>
        <v/>
      </c>
      <c r="B164" s="31">
        <f>SUM(N164,Y164,AA164,AC164,AE164,AG164,AI164,AK164,AM164,AO164,AQ164,AS164,AU164,AW164,AY164,BA164,BC164,BE164,BG164,BI164,BK164,BM164,BO164,BQ164,BS164,BU164,BW164,BY164,CA164,CC164,CE164)</f>
        <v/>
      </c>
      <c r="C164" s="32" t="inlineStr">
        <is>
          <t>PPL</t>
        </is>
      </c>
      <c r="D164" s="32" t="inlineStr">
        <is>
          <t>Prakash Pipes Ltd</t>
        </is>
      </c>
      <c r="E164" s="30" t="inlineStr">
        <is>
          <t>plastic products</t>
        </is>
      </c>
      <c r="F164" s="30" t="inlineStr">
        <is>
          <t>plastics products</t>
        </is>
      </c>
      <c r="G164" s="30" t="inlineStr">
        <is>
          <t>smallcap</t>
        </is>
      </c>
      <c r="H164" s="31" t="n">
        <v>687.77</v>
      </c>
      <c r="I164" s="31" t="n">
        <v>290.9</v>
      </c>
      <c r="J164" s="31" t="n">
        <v>1.17</v>
      </c>
      <c r="K164" s="31" t="n">
        <v>42204</v>
      </c>
      <c r="L164" s="30" t="n">
        <v>13</v>
      </c>
      <c r="M164" s="30" t="inlineStr">
        <is>
          <t>Underperforming</t>
        </is>
      </c>
      <c r="N164" s="31">
        <f>IF(M164="Underperforming",-5,IF(L164&gt;=95,15,IF(L164&gt;=90,10,IF(L164&gt;=80,5,0))))</f>
        <v/>
      </c>
      <c r="O164" s="31" t="n">
        <v>62.65</v>
      </c>
      <c r="P164" s="31" t="n">
        <v>32.63</v>
      </c>
      <c r="Q164" s="31" t="n">
        <v>219.28</v>
      </c>
      <c r="R164" s="30" t="inlineStr">
        <is>
          <t>Earnings / Momentum Support</t>
        </is>
      </c>
      <c r="S164" s="30" t="inlineStr">
        <is>
          <t>Nifty 50</t>
        </is>
      </c>
      <c r="T164" s="31" t="n">
        <v>-6.52</v>
      </c>
      <c r="U164" s="31" t="n">
        <v>-8.59</v>
      </c>
      <c r="V164" s="31" t="n">
        <v>-2.22</v>
      </c>
      <c r="W164" s="31" t="n">
        <v>4.42</v>
      </c>
      <c r="X164" s="30" t="inlineStr">
        <is>
          <t>Growing Industry</t>
        </is>
      </c>
      <c r="Y164" s="30">
        <f>IF(X164="Growing Industry",10,IF(X164="Cyclical in an Upturn",5,0))</f>
        <v/>
      </c>
      <c r="Z164" s="30" t="inlineStr">
        <is>
          <t>Too Many Players with High ROCE</t>
        </is>
      </c>
      <c r="AA164" s="30">
        <f>IF(Z164="Monopoly",10,IF(Z164="Oligopoly",5,IF(Z164="Duopoly that cooperate",10,IF(Z164="Duopoly that compete",5,IF(Z164="Too many players with High ROCE",5,0)))))</f>
        <v/>
      </c>
      <c r="AB164" s="30" t="inlineStr">
        <is>
          <t>No</t>
        </is>
      </c>
      <c r="AC164" s="30">
        <f>IF(AB164="No",5,0)</f>
        <v/>
      </c>
      <c r="AD164" s="30" t="inlineStr">
        <is>
          <t>Tailwind</t>
        </is>
      </c>
      <c r="AE164" s="30">
        <f>IF(AD164="Tailwind",10,0)</f>
        <v/>
      </c>
      <c r="AF164" s="30" t="inlineStr">
        <is>
          <t>Structural (10 Years Consistency)</t>
        </is>
      </c>
      <c r="AG164" s="30">
        <f>IF(AF164="Structural (10 Years Consistency)",10,IF(AF164="Shallow Cyclical (2 to 3 years growth)",5,0))</f>
        <v/>
      </c>
      <c r="AH164" s="30" t="inlineStr">
        <is>
          <t>No</t>
        </is>
      </c>
      <c r="AI164" s="30">
        <f>IF(AH164="Yes due to Product Mix change or Operating Leverage",10,IF(AH164="Yes, these are peak margins",-5,IF(AH164="No",5,0)))</f>
        <v/>
      </c>
      <c r="AJ164" s="30" t="inlineStr">
        <is>
          <t>Stable</t>
        </is>
      </c>
      <c r="AK164" s="30">
        <f>IF(AJ164="Stable",10,0)</f>
        <v/>
      </c>
      <c r="AL164" s="30" t="inlineStr">
        <is>
          <t>Yes</t>
        </is>
      </c>
      <c r="AM164" s="30">
        <f>IF(AL164="Yes",10,0)</f>
        <v/>
      </c>
      <c r="AN164" s="30" t="inlineStr">
        <is>
          <t>B2B</t>
        </is>
      </c>
      <c r="AO164" s="30">
        <f>IF(AN164="B2C",10,IF(AN164="B2B",5,0))</f>
        <v/>
      </c>
      <c r="AP164" s="30" t="inlineStr">
        <is>
          <t>No</t>
        </is>
      </c>
      <c r="AQ164" s="30">
        <f>IF(AP164="Yes",10,0)</f>
        <v/>
      </c>
      <c r="AR164" s="30" t="inlineStr">
        <is>
          <t>Higher One Time, Lower Annuity</t>
        </is>
      </c>
      <c r="AS164" s="30">
        <f>IF(AR164="Fully Annuity",10,IF(AR164="Higher Annuity, Lower One Time",5,IF(AR164="Higher One Time, Lower Annuity",3,0)))</f>
        <v/>
      </c>
      <c r="AT164" s="30" t="inlineStr">
        <is>
          <t>Good</t>
        </is>
      </c>
      <c r="AU164" s="30">
        <f>IF(AT164="Good",10,0)</f>
        <v/>
      </c>
      <c r="AV164" s="30" t="inlineStr">
        <is>
          <t>Yes for more than 2 years</t>
        </is>
      </c>
      <c r="AW164" s="30">
        <f>IF(AV164="Yes for more than 2 years",10,IF(AV164="Yes only for next 1 to 2 years",5,0))</f>
        <v/>
      </c>
      <c r="AX164" s="30" t="inlineStr">
        <is>
          <t>20 to 40</t>
        </is>
      </c>
      <c r="AY164" s="30">
        <f>IF(AX164="Above 40",20,IF(AX164="20 to 40",10,IF(AX164="0 to 20",-5,0)))</f>
        <v/>
      </c>
      <c r="AZ164" s="30" t="inlineStr">
        <is>
          <t>Between 50 to 75</t>
        </is>
      </c>
      <c r="BA164" s="30">
        <f>IF(AZ164="Between 50 to 75",10,IF(AZ164="Above 75",0,0))</f>
        <v/>
      </c>
      <c r="BB164" s="30" t="inlineStr">
        <is>
          <t>Stage 2</t>
        </is>
      </c>
      <c r="BC164" s="30">
        <f>IF(BB164="Stage 2",20,IF(BB164="Stage 1",0,IF(BB164="Stage 3",5,IF(BB164="Stage 4",-5,0))))</f>
        <v/>
      </c>
      <c r="BD164" s="30" t="inlineStr">
        <is>
          <t>Positive Trend</t>
        </is>
      </c>
      <c r="BE164" s="30">
        <f>IF(BD164="Positive Trend",20,IF(BD164="Negative Trend",-10,0))</f>
        <v/>
      </c>
      <c r="BF164" s="30" t="inlineStr">
        <is>
          <t>Uptrend</t>
        </is>
      </c>
      <c r="BG164" s="30">
        <f>IF(BF164="Uptrend",10,IF(BF164="Sideways",5,0))</f>
        <v/>
      </c>
      <c r="BH164" s="30" t="inlineStr">
        <is>
          <t>Uptrend</t>
        </is>
      </c>
      <c r="BI164" s="30">
        <f>IF(BH164="Uptrend",10,IF(BH164="Sideways",5,0))</f>
        <v/>
      </c>
      <c r="BJ164" s="30" t="inlineStr">
        <is>
          <t>Close to 52 week high or retracement</t>
        </is>
      </c>
      <c r="BK164" s="30">
        <f>IF(BJ164="Overhead supply in last 2 years in last 2 years",-5,IF(BJ164="Close to 52 week high or retracement",5,IF(BJ164="Blue sky scenario",10,IF(BJ164="Long term Downtrend",-10,0))))</f>
        <v/>
      </c>
      <c r="BL164" s="30" t="inlineStr">
        <is>
          <t>Yes</t>
        </is>
      </c>
      <c r="BM164" s="30">
        <f>IF(BL164="Yes",10,0)</f>
        <v/>
      </c>
      <c r="BN164" s="30" t="inlineStr">
        <is>
          <t>More than 20%</t>
        </is>
      </c>
      <c r="BO164" s="30">
        <f>IF(BN164="More than 20%",10,IF(BN164="Between 12 to 20%",5,IF(BN164="Less than 12%",0,0)))</f>
        <v/>
      </c>
      <c r="BP164" s="30" t="inlineStr">
        <is>
          <t>No</t>
        </is>
      </c>
      <c r="BQ164" s="30">
        <f>IF(BP164="No",10,0)</f>
        <v/>
      </c>
      <c r="BR164" s="30" t="inlineStr">
        <is>
          <t>No</t>
        </is>
      </c>
      <c r="BS164" s="30">
        <f>IF(BR164="NO",5,0)</f>
        <v/>
      </c>
      <c r="BT164" s="30" t="inlineStr">
        <is>
          <t>Less than 1.5</t>
        </is>
      </c>
      <c r="BU164" s="30">
        <f>IF(BT164="Above 2",0,IF(BT164="Between 1.5 to 2",5,IF(BT164="Less than 1.5",10,0)))</f>
        <v/>
      </c>
      <c r="BV164" s="30" t="inlineStr">
        <is>
          <t>Above 70%</t>
        </is>
      </c>
      <c r="BW164" s="30">
        <f>IF(BV164="Above 70%",10,IF(BV164="Between 50% to 70%",5,IF(BV164="Less than 50%",0,IF(BV164="Negative",-10,IF(BV164="Less than 50% and Borrowings are increasing",-5,0)))))</f>
        <v/>
      </c>
      <c r="BX164" s="30" t="inlineStr">
        <is>
          <t>Less than 0.7</t>
        </is>
      </c>
      <c r="BY164" s="30">
        <f>IF(BX164="More than 1.2",-10,IF(BX164="Between 0.7 to 1.2",0,IF(BX164="Less than 0.7",10,0)))</f>
        <v/>
      </c>
      <c r="BZ164" s="30" t="inlineStr">
        <is>
          <t>No</t>
        </is>
      </c>
      <c r="CA164" s="30">
        <f>IF(BZ164="Yes",-10,0)</f>
        <v/>
      </c>
      <c r="CB164" s="30" t="inlineStr">
        <is>
          <t>Less than 15%</t>
        </is>
      </c>
      <c r="CC164" s="30">
        <f>IF(CB164="More than 15%",-10,IF(CB164="Less than 15%",10,0))</f>
        <v/>
      </c>
      <c r="CD164" s="30" t="inlineStr">
        <is>
          <t>No</t>
        </is>
      </c>
      <c r="CE164" s="30">
        <f>IF(CD164="Yes, more than 10%",-10,IF(CD164="No",10,0))</f>
        <v/>
      </c>
    </row>
    <row r="165">
      <c r="A165" s="30">
        <f>IF(B165=0,"",RANK(B165,$B$2:$B$331,0))</f>
        <v/>
      </c>
      <c r="B165" s="31">
        <f>SUM(N165,Y165,AA165,AC165,AE165,AG165,AI165,AK165,AM165,AO165,AQ165,AS165,AU165,AW165,AY165,BA165,BC165,BE165,BG165,BI165,BK165,BM165,BO165,BQ165,BS165,BU165,BW165,BY165,CA165,CC165,CE165)</f>
        <v/>
      </c>
      <c r="C165" s="30" t="inlineStr">
        <is>
          <t>EMAMIPAP</t>
        </is>
      </c>
      <c r="D165" s="30" t="inlineStr">
        <is>
          <t>Emami Paper Mills Ltd</t>
        </is>
      </c>
      <c r="E165" s="30" t="inlineStr">
        <is>
          <t>building materials</t>
        </is>
      </c>
      <c r="F165" s="30" t="inlineStr">
        <is>
          <t>paper</t>
        </is>
      </c>
      <c r="G165" s="30" t="inlineStr">
        <is>
          <t>smallcap</t>
        </is>
      </c>
      <c r="H165" s="31" t="n">
        <v>705.84</v>
      </c>
      <c r="I165" s="31" t="n">
        <v>117.74</v>
      </c>
      <c r="J165" s="31" t="n">
        <v>0.92</v>
      </c>
      <c r="K165" s="31" t="n">
        <v>20531</v>
      </c>
      <c r="L165" s="30" t="n">
        <v>66</v>
      </c>
      <c r="M165" s="30" t="inlineStr">
        <is>
          <t>Outperforming</t>
        </is>
      </c>
      <c r="N165" s="31">
        <f>IF(M165="Underperforming",-5,IF(L165&gt;=95,15,IF(L165&gt;=90,10,IF(L165&gt;=80,5,0))))</f>
        <v/>
      </c>
      <c r="O165" s="31" t="n">
        <v>72.06999999999999</v>
      </c>
      <c r="P165" s="31" t="n">
        <v>32.88</v>
      </c>
      <c r="Q165" s="31" t="n">
        <v>87.8</v>
      </c>
      <c r="R165" s="30" t="inlineStr">
        <is>
          <t>Near 52W High Breakout</t>
        </is>
      </c>
      <c r="S165" s="30" t="inlineStr">
        <is>
          <t>Nifty Infra</t>
        </is>
      </c>
      <c r="T165" s="31" t="n">
        <v>0.74</v>
      </c>
      <c r="U165" s="31" t="n">
        <v>25.13</v>
      </c>
      <c r="V165" s="31" t="n">
        <v>24.21</v>
      </c>
      <c r="W165" s="31" t="n">
        <v>20.85</v>
      </c>
      <c r="X165" s="30" t="inlineStr">
        <is>
          <t>Growing Industry</t>
        </is>
      </c>
      <c r="Y165" s="30">
        <f>IF(X165="Growing Industry",10,IF(X165="Cyclical in an Upturn",5,0))</f>
        <v/>
      </c>
      <c r="Z165" s="30" t="inlineStr">
        <is>
          <t>Too Many Players with High ROCE</t>
        </is>
      </c>
      <c r="AA165" s="30">
        <f>IF(Z165="Monopoly",10,IF(Z165="Oligopoly",5,IF(Z165="Duopoly that cooperate",10,IF(Z165="Duopoly that compete",5,IF(Z165="Too many players with High ROCE",5,0)))))</f>
        <v/>
      </c>
      <c r="AB165" s="30" t="inlineStr">
        <is>
          <t>No</t>
        </is>
      </c>
      <c r="AC165" s="30">
        <f>IF(AB165="No",5,0)</f>
        <v/>
      </c>
      <c r="AD165" s="30" t="inlineStr">
        <is>
          <t>Tailwind</t>
        </is>
      </c>
      <c r="AE165" s="30">
        <f>IF(AD165="Tailwind",10,0)</f>
        <v/>
      </c>
      <c r="AF165" s="30" t="inlineStr">
        <is>
          <t>Structural (10 Years Consistency)</t>
        </is>
      </c>
      <c r="AG165" s="30">
        <f>IF(AF165="Structural (10 Years Consistency)",10,IF(AF165="Shallow Cyclical (2 to 3 years growth)",5,0))</f>
        <v/>
      </c>
      <c r="AH165" s="30" t="inlineStr">
        <is>
          <t>No</t>
        </is>
      </c>
      <c r="AI165" s="30">
        <f>IF(AH165="Yes due to Product Mix change or Operating Leverage",10,IF(AH165="Yes, these are peak margins",-5,IF(AH165="No",5,0)))</f>
        <v/>
      </c>
      <c r="AJ165" s="30" t="inlineStr">
        <is>
          <t>Stable</t>
        </is>
      </c>
      <c r="AK165" s="30">
        <f>IF(AJ165="Stable",10,0)</f>
        <v/>
      </c>
      <c r="AL165" s="30" t="inlineStr">
        <is>
          <t>Yes</t>
        </is>
      </c>
      <c r="AM165" s="30">
        <f>IF(AL165="Yes",10,0)</f>
        <v/>
      </c>
      <c r="AN165" s="30" t="inlineStr">
        <is>
          <t>B2B</t>
        </is>
      </c>
      <c r="AO165" s="30">
        <f>IF(AN165="B2C",10,IF(AN165="B2B",5,0))</f>
        <v/>
      </c>
      <c r="AP165" s="30" t="inlineStr">
        <is>
          <t>Yes</t>
        </is>
      </c>
      <c r="AQ165" s="30">
        <f>IF(AP165="Yes",10,0)</f>
        <v/>
      </c>
      <c r="AR165" s="30" t="inlineStr">
        <is>
          <t>Higher One Time, Lower Annuity</t>
        </is>
      </c>
      <c r="AS165" s="30">
        <f>IF(AR165="Fully Annuity",10,IF(AR165="Higher Annuity, Lower One Time",5,IF(AR165="Higher One Time, Lower Annuity",3,0)))</f>
        <v/>
      </c>
      <c r="AT165" s="30" t="inlineStr">
        <is>
          <t>Good</t>
        </is>
      </c>
      <c r="AU165" s="30">
        <f>IF(AT165="Good",10,0)</f>
        <v/>
      </c>
      <c r="AV165" s="30" t="inlineStr">
        <is>
          <t>Yes for more than 2 years</t>
        </is>
      </c>
      <c r="AW165" s="30">
        <f>IF(AV165="Yes for more than 2 years",10,IF(AV165="Yes only for next 1 to 2 years",5,0))</f>
        <v/>
      </c>
      <c r="AX165" s="30" t="inlineStr">
        <is>
          <t>20 to 40</t>
        </is>
      </c>
      <c r="AY165" s="30">
        <f>IF(AX165="Above 40",20,IF(AX165="20 to 40",10,IF(AX165="0 to 20",-5,0)))</f>
        <v/>
      </c>
      <c r="AZ165" s="30" t="inlineStr">
        <is>
          <t>Between 50 to 75</t>
        </is>
      </c>
      <c r="BA165" s="30">
        <f>IF(AZ165="Between 50 to 75",10,IF(AZ165="Above 75",0,0))</f>
        <v/>
      </c>
      <c r="BB165" s="30" t="inlineStr">
        <is>
          <t>Stage 2</t>
        </is>
      </c>
      <c r="BC165" s="30">
        <f>IF(BB165="Stage 2",20,IF(BB165="Stage 1",0,IF(BB165="Stage 3",5,IF(BB165="Stage 4",-5,0))))</f>
        <v/>
      </c>
      <c r="BD165" s="30" t="inlineStr">
        <is>
          <t>Positive Trend</t>
        </is>
      </c>
      <c r="BE165" s="30">
        <f>IF(BD165="Positive Trend",20,IF(BD165="Negative Trend",-10,0))</f>
        <v/>
      </c>
      <c r="BF165" s="30" t="inlineStr">
        <is>
          <t>Uptrend</t>
        </is>
      </c>
      <c r="BG165" s="30">
        <f>IF(BF165="Uptrend",10,IF(BF165="Sideways",5,0))</f>
        <v/>
      </c>
      <c r="BH165" s="30" t="inlineStr">
        <is>
          <t>Uptrend</t>
        </is>
      </c>
      <c r="BI165" s="30">
        <f>IF(BH165="Uptrend",10,IF(BH165="Sideways",5,0))</f>
        <v/>
      </c>
      <c r="BJ165" s="30" t="inlineStr">
        <is>
          <t>Blue sky scenario</t>
        </is>
      </c>
      <c r="BK165" s="30">
        <f>IF(BJ165="Overhead supply in last 2 years in last 2 years",-5,IF(BJ165="Close to 52 week high or retracement",5,IF(BJ165="Blue sky scenario",10,IF(BJ165="Long term Downtrend",-10,0))))</f>
        <v/>
      </c>
      <c r="BL165" s="30" t="inlineStr">
        <is>
          <t>Yes</t>
        </is>
      </c>
      <c r="BM165" s="30">
        <f>IF(BL165="Yes",10,0)</f>
        <v/>
      </c>
      <c r="BN165" s="30" t="inlineStr">
        <is>
          <t>More than 20%</t>
        </is>
      </c>
      <c r="BO165" s="30">
        <f>IF(BN165="More than 20%",10,IF(BN165="Between 12 to 20%",5,IF(BN165="Less than 12%",0,0)))</f>
        <v/>
      </c>
      <c r="BP165" s="30" t="inlineStr">
        <is>
          <t>No</t>
        </is>
      </c>
      <c r="BQ165" s="30">
        <f>IF(BP165="No",10,0)</f>
        <v/>
      </c>
      <c r="BR165" s="30" t="inlineStr">
        <is>
          <t>No</t>
        </is>
      </c>
      <c r="BS165" s="30">
        <f>IF(BR165="NO",5,0)</f>
        <v/>
      </c>
      <c r="BT165" s="30" t="inlineStr">
        <is>
          <t>Less than 1.5</t>
        </is>
      </c>
      <c r="BU165" s="30">
        <f>IF(BT165="Above 2",0,IF(BT165="Between 1.5 to 2",5,IF(BT165="Less than 1.5",10,0)))</f>
        <v/>
      </c>
      <c r="BV165" s="30" t="inlineStr">
        <is>
          <t>Above 70%</t>
        </is>
      </c>
      <c r="BW165" s="30">
        <f>IF(BV165="Above 70%",10,IF(BV165="Between 50% to 70%",5,IF(BV165="Less than 50%",0,IF(BV165="Negative",-10,IF(BV165="Less than 50% and Borrowings are increasing",-5,0)))))</f>
        <v/>
      </c>
      <c r="BX165" s="30" t="inlineStr">
        <is>
          <t>More than 1.2</t>
        </is>
      </c>
      <c r="BY165" s="30">
        <f>IF(BX165="More than 1.2",-10,IF(BX165="Between 0.7 to 1.2",0,IF(BX165="Less than 0.7",10,0)))</f>
        <v/>
      </c>
      <c r="BZ165" s="30" t="inlineStr">
        <is>
          <t>No</t>
        </is>
      </c>
      <c r="CA165" s="30">
        <f>IF(BZ165="Yes",-10,0)</f>
        <v/>
      </c>
      <c r="CB165" s="30" t="inlineStr">
        <is>
          <t>Less than 15%</t>
        </is>
      </c>
      <c r="CC165" s="30">
        <f>IF(CB165="More than 15%",-10,IF(CB165="Less than 15%",10,0))</f>
        <v/>
      </c>
      <c r="CD165" s="30" t="inlineStr">
        <is>
          <t>No</t>
        </is>
      </c>
      <c r="CE165" s="30">
        <f>IF(CD165="Yes, more than 10%",-10,IF(CD165="No",10,0))</f>
        <v/>
      </c>
    </row>
    <row r="166">
      <c r="A166" s="30">
        <f>IF(B166=0,"",RANK(B166,$B$2:$B$331,0))</f>
        <v/>
      </c>
      <c r="B166" s="31">
        <f>SUM(N166,Y166,AA166,AC166,AE166,AG166,AI166,AK166,AM166,AO166,AQ166,AS166,AU166,AW166,AY166,BA166,BC166,BE166,BG166,BI166,BK166,BM166,BO166,BQ166,BS166,BU166,BW166,BY166,CA166,CC166,CE166)</f>
        <v/>
      </c>
      <c r="C166" s="30" t="inlineStr">
        <is>
          <t>AEROFLEX</t>
        </is>
      </c>
      <c r="D166" s="30" t="inlineStr">
        <is>
          <t>Aeroflex Industries Ltd</t>
        </is>
      </c>
      <c r="E166" s="30" t="inlineStr">
        <is>
          <t>metals &amp; mining</t>
        </is>
      </c>
      <c r="F166" s="30" t="inlineStr">
        <is>
          <t>steel - medium / small</t>
        </is>
      </c>
      <c r="G166" s="30" t="inlineStr">
        <is>
          <t>midcap</t>
        </is>
      </c>
      <c r="H166" s="31" t="n">
        <v>7425.74</v>
      </c>
      <c r="I166" s="31" t="n">
        <v>564.2</v>
      </c>
      <c r="J166" s="31" t="n">
        <v>0.54</v>
      </c>
      <c r="K166" s="31" t="n">
        <v>940236</v>
      </c>
      <c r="L166" s="30" t="n">
        <v>94</v>
      </c>
      <c r="M166" s="30" t="inlineStr">
        <is>
          <t>Outperforming</t>
        </is>
      </c>
      <c r="N166" s="31">
        <f>IF(M166="Underperforming",-5,IF(L166&gt;=95,15,IF(L166&gt;=90,10,IF(L166&gt;=80,5,0))))</f>
        <v/>
      </c>
      <c r="O166" s="31" t="n">
        <v>73.54000000000001</v>
      </c>
      <c r="P166" s="31" t="n">
        <v>61.21</v>
      </c>
      <c r="Q166" s="31" t="n">
        <v>412.59</v>
      </c>
      <c r="R166" s="30" t="inlineStr">
        <is>
          <t>Near 52W High Breakout</t>
        </is>
      </c>
      <c r="S166" s="30" t="inlineStr">
        <is>
          <t>Nifty Metal</t>
        </is>
      </c>
      <c r="T166" s="31" t="n">
        <v>41.17</v>
      </c>
      <c r="U166" s="31" t="n">
        <v>174.64</v>
      </c>
      <c r="V166" s="31" t="n">
        <v>94.55</v>
      </c>
      <c r="W166" s="31" t="n">
        <v>51.48</v>
      </c>
      <c r="X166" s="30" t="inlineStr">
        <is>
          <t>Cyclical in an Upturn</t>
        </is>
      </c>
      <c r="Y166" s="30">
        <f>IF(X166="Growing Industry",10,IF(X166="Cyclical in an Upturn",5,0))</f>
        <v/>
      </c>
      <c r="Z166" s="30" t="inlineStr">
        <is>
          <t>Too Many Players with High ROCE</t>
        </is>
      </c>
      <c r="AA166" s="30">
        <f>IF(Z166="Monopoly",10,IF(Z166="Oligopoly",5,IF(Z166="Duopoly that cooperate",10,IF(Z166="Duopoly that compete",5,IF(Z166="Too many players with High ROCE",5,0)))))</f>
        <v/>
      </c>
      <c r="AB166" s="30" t="inlineStr">
        <is>
          <t>No</t>
        </is>
      </c>
      <c r="AC166" s="30">
        <f>IF(AB166="No",5,0)</f>
        <v/>
      </c>
      <c r="AD166" s="30" t="inlineStr">
        <is>
          <t>Tailwind</t>
        </is>
      </c>
      <c r="AE166" s="30">
        <f>IF(AD166="Tailwind",10,0)</f>
        <v/>
      </c>
      <c r="AF166" s="30" t="inlineStr">
        <is>
          <t>Cyclical</t>
        </is>
      </c>
      <c r="AG166" s="30">
        <f>IF(AF166="Structural (10 Years Consistency)",10,IF(AF166="Shallow Cyclical (2 to 3 years growth)",5,0))</f>
        <v/>
      </c>
      <c r="AH166" s="30" t="inlineStr">
        <is>
          <t>No</t>
        </is>
      </c>
      <c r="AI166" s="30">
        <f>IF(AH166="Yes due to Product Mix change or Operating Leverage",10,IF(AH166="Yes, these are peak margins",-5,IF(AH166="No",5,0)))</f>
        <v/>
      </c>
      <c r="AJ166" s="30" t="inlineStr">
        <is>
          <t>Volatile</t>
        </is>
      </c>
      <c r="AK166" s="30">
        <f>IF(AJ166="Stable",10,0)</f>
        <v/>
      </c>
      <c r="AL166" s="30" t="inlineStr">
        <is>
          <t>Yes</t>
        </is>
      </c>
      <c r="AM166" s="30">
        <f>IF(AL166="Yes",10,0)</f>
        <v/>
      </c>
      <c r="AN166" s="30" t="inlineStr">
        <is>
          <t>B2B</t>
        </is>
      </c>
      <c r="AO166" s="30">
        <f>IF(AN166="B2C",10,IF(AN166="B2B",5,0))</f>
        <v/>
      </c>
      <c r="AP166" s="30" t="inlineStr">
        <is>
          <t>Yes</t>
        </is>
      </c>
      <c r="AQ166" s="30">
        <f>IF(AP166="Yes",10,0)</f>
        <v/>
      </c>
      <c r="AR166" s="30" t="inlineStr">
        <is>
          <t>Higher One Time, Lower Annuity</t>
        </is>
      </c>
      <c r="AS166" s="30">
        <f>IF(AR166="Fully Annuity",10,IF(AR166="Higher Annuity, Lower One Time",5,IF(AR166="Higher One Time, Lower Annuity",3,0)))</f>
        <v/>
      </c>
      <c r="AT166" s="30" t="inlineStr">
        <is>
          <t>Good</t>
        </is>
      </c>
      <c r="AU166" s="30">
        <f>IF(AT166="Good",10,0)</f>
        <v/>
      </c>
      <c r="AV166" s="30" t="inlineStr">
        <is>
          <t>Yes for more than 2 years</t>
        </is>
      </c>
      <c r="AW166" s="30">
        <f>IF(AV166="Yes for more than 2 years",10,IF(AV166="Yes only for next 1 to 2 years",5,0))</f>
        <v/>
      </c>
      <c r="AX166" s="30" t="inlineStr">
        <is>
          <t>Above 40</t>
        </is>
      </c>
      <c r="AY166" s="30">
        <f>IF(AX166="Above 40",20,IF(AX166="20 to 40",10,IF(AX166="0 to 20",-5,0)))</f>
        <v/>
      </c>
      <c r="AZ166" s="30" t="inlineStr">
        <is>
          <t>Between 50 to 75</t>
        </is>
      </c>
      <c r="BA166" s="30">
        <f>IF(AZ166="Between 50 to 75",10,IF(AZ166="Above 75",0,0))</f>
        <v/>
      </c>
      <c r="BB166" s="30" t="inlineStr">
        <is>
          <t>Stage 2</t>
        </is>
      </c>
      <c r="BC166" s="30">
        <f>IF(BB166="Stage 2",20,IF(BB166="Stage 1",0,IF(BB166="Stage 3",5,IF(BB166="Stage 4",-5,0))))</f>
        <v/>
      </c>
      <c r="BD166" s="30" t="inlineStr">
        <is>
          <t>Positive Trend</t>
        </is>
      </c>
      <c r="BE166" s="30">
        <f>IF(BD166="Positive Trend",20,IF(BD166="Negative Trend",-10,0))</f>
        <v/>
      </c>
      <c r="BF166" s="30" t="inlineStr">
        <is>
          <t>Uptrend</t>
        </is>
      </c>
      <c r="BG166" s="30">
        <f>IF(BF166="Uptrend",10,IF(BF166="Sideways",5,0))</f>
        <v/>
      </c>
      <c r="BH166" s="30" t="inlineStr">
        <is>
          <t>Uptrend</t>
        </is>
      </c>
      <c r="BI166" s="30">
        <f>IF(BH166="Uptrend",10,IF(BH166="Sideways",5,0))</f>
        <v/>
      </c>
      <c r="BJ166" s="30" t="inlineStr">
        <is>
          <t>Blue sky scenario</t>
        </is>
      </c>
      <c r="BK166" s="30">
        <f>IF(BJ166="Overhead supply in last 2 years in last 2 years",-5,IF(BJ166="Close to 52 week high or retracement",5,IF(BJ166="Blue sky scenario",10,IF(BJ166="Long term Downtrend",-10,0))))</f>
        <v/>
      </c>
      <c r="BL166" s="30" t="inlineStr">
        <is>
          <t>Yes</t>
        </is>
      </c>
      <c r="BM166" s="30">
        <f>IF(BL166="Yes",10,0)</f>
        <v/>
      </c>
      <c r="BN166" s="30" t="inlineStr">
        <is>
          <t>More than 20%</t>
        </is>
      </c>
      <c r="BO166" s="30">
        <f>IF(BN166="More than 20%",10,IF(BN166="Between 12 to 20%",5,IF(BN166="Less than 12%",0,0)))</f>
        <v/>
      </c>
      <c r="BP166" s="30" t="inlineStr">
        <is>
          <t>No</t>
        </is>
      </c>
      <c r="BQ166" s="30">
        <f>IF(BP166="No",10,0)</f>
        <v/>
      </c>
      <c r="BR166" s="30" t="inlineStr">
        <is>
          <t>Yes</t>
        </is>
      </c>
      <c r="BS166" s="30">
        <f>IF(BR166="NO",5,0)</f>
        <v/>
      </c>
      <c r="BT166" s="30" t="inlineStr">
        <is>
          <t>Above 2</t>
        </is>
      </c>
      <c r="BU166" s="30">
        <f>IF(BT166="Above 2",0,IF(BT166="Between 1.5 to 2",5,IF(BT166="Less than 1.5",10,0)))</f>
        <v/>
      </c>
      <c r="BV166" s="30" t="inlineStr">
        <is>
          <t>Above 70%</t>
        </is>
      </c>
      <c r="BW166" s="30">
        <f>IF(BV166="Above 70%",10,IF(BV166="Between 50% to 70%",5,IF(BV166="Less than 50%",0,IF(BV166="Negative",-10,IF(BV166="Less than 50% and Borrowings are increasing",-5,0)))))</f>
        <v/>
      </c>
      <c r="BX166" s="30" t="inlineStr">
        <is>
          <t>Less than 0.7</t>
        </is>
      </c>
      <c r="BY166" s="30">
        <f>IF(BX166="More than 1.2",-10,IF(BX166="Between 0.7 to 1.2",0,IF(BX166="Less than 0.7",10,0)))</f>
        <v/>
      </c>
      <c r="BZ166" s="30" t="inlineStr">
        <is>
          <t>No</t>
        </is>
      </c>
      <c r="CA166" s="30">
        <f>IF(BZ166="Yes",-10,0)</f>
        <v/>
      </c>
      <c r="CB166" s="30" t="inlineStr">
        <is>
          <t>Less than 15%</t>
        </is>
      </c>
      <c r="CC166" s="30">
        <f>IF(CB166="More than 15%",-10,IF(CB166="Less than 15%",10,0))</f>
        <v/>
      </c>
      <c r="CD166" s="30" t="inlineStr">
        <is>
          <t>No</t>
        </is>
      </c>
      <c r="CE166" s="30">
        <f>IF(CD166="Yes, more than 10%",-10,IF(CD166="No",10,0))</f>
        <v/>
      </c>
    </row>
    <row r="167">
      <c r="A167" s="30">
        <f>IF(B167=0,"",RANK(B167,$B$2:$B$331,0))</f>
        <v/>
      </c>
      <c r="B167" s="31">
        <f>SUM(N167,Y167,AA167,AC167,AE167,AG167,AI167,AK167,AM167,AO167,AQ167,AS167,AU167,AW167,AY167,BA167,BC167,BE167,BG167,BI167,BK167,BM167,BO167,BQ167,BS167,BU167,BW167,BY167,CA167,CC167,CE167)</f>
        <v/>
      </c>
      <c r="C167" s="30" t="inlineStr">
        <is>
          <t>MACPOWER</t>
        </is>
      </c>
      <c r="D167" s="30" t="inlineStr">
        <is>
          <t>Macpower CNC Machines Ltd</t>
        </is>
      </c>
      <c r="E167" s="30" t="inlineStr">
        <is>
          <t>industrials</t>
        </is>
      </c>
      <c r="F167" s="30" t="inlineStr">
        <is>
          <t>engineering</t>
        </is>
      </c>
      <c r="G167" s="30" t="inlineStr">
        <is>
          <t>smallcap</t>
        </is>
      </c>
      <c r="H167" s="31" t="n">
        <v>1864.58</v>
      </c>
      <c r="I167" s="31" t="n">
        <v>1870.4</v>
      </c>
      <c r="J167" s="31" t="n">
        <v>0.35</v>
      </c>
      <c r="K167" s="31" t="n">
        <v>15621</v>
      </c>
      <c r="L167" s="30" t="n">
        <v>88</v>
      </c>
      <c r="M167" s="30" t="inlineStr">
        <is>
          <t>Outperforming</t>
        </is>
      </c>
      <c r="N167" s="31">
        <f>IF(M167="Underperforming",-5,IF(L167&gt;=95,15,IF(L167&gt;=90,10,IF(L167&gt;=80,5,0))))</f>
        <v/>
      </c>
      <c r="O167" s="31" t="n">
        <v>71.39</v>
      </c>
      <c r="P167" s="31" t="n">
        <v>44.45</v>
      </c>
      <c r="Q167" s="31" t="n">
        <v>1480.99</v>
      </c>
      <c r="R167" s="30" t="inlineStr">
        <is>
          <t>Earnings / Momentum Support</t>
        </is>
      </c>
      <c r="S167" s="30" t="inlineStr">
        <is>
          <t>Nifty 50</t>
        </is>
      </c>
      <c r="T167" s="31" t="n">
        <v>-6.52</v>
      </c>
      <c r="U167" s="31" t="n">
        <v>106.43</v>
      </c>
      <c r="V167" s="31" t="n">
        <v>120.82</v>
      </c>
      <c r="W167" s="31" t="n">
        <v>37.41</v>
      </c>
      <c r="X167" s="30" t="inlineStr">
        <is>
          <t>Cyclical in an Upturn</t>
        </is>
      </c>
      <c r="Y167" s="30">
        <f>IF(X167="Growing Industry",10,IF(X167="Cyclical in an Upturn",5,0))</f>
        <v/>
      </c>
      <c r="Z167" s="30" t="inlineStr">
        <is>
          <t>Too Many Players with High ROCE</t>
        </is>
      </c>
      <c r="AA167" s="30">
        <f>IF(Z167="Monopoly",10,IF(Z167="Oligopoly",5,IF(Z167="Duopoly that cooperate",10,IF(Z167="Duopoly that compete",5,IF(Z167="Too many players with High ROCE",5,0)))))</f>
        <v/>
      </c>
      <c r="AB167" s="30" t="inlineStr">
        <is>
          <t>No</t>
        </is>
      </c>
      <c r="AC167" s="30">
        <f>IF(AB167="No",5,0)</f>
        <v/>
      </c>
      <c r="AD167" s="30" t="inlineStr">
        <is>
          <t>Tailwind</t>
        </is>
      </c>
      <c r="AE167" s="30">
        <f>IF(AD167="Tailwind",10,0)</f>
        <v/>
      </c>
      <c r="AF167" s="30" t="inlineStr">
        <is>
          <t>Structural (10 Years Consistency)</t>
        </is>
      </c>
      <c r="AG167" s="30">
        <f>IF(AF167="Structural (10 Years Consistency)",10,IF(AF167="Shallow Cyclical (2 to 3 years growth)",5,0))</f>
        <v/>
      </c>
      <c r="AH167" s="30" t="inlineStr">
        <is>
          <t>No</t>
        </is>
      </c>
      <c r="AI167" s="30">
        <f>IF(AH167="Yes due to Product Mix change or Operating Leverage",10,IF(AH167="Yes, these are peak margins",-5,IF(AH167="No",5,0)))</f>
        <v/>
      </c>
      <c r="AJ167" s="30" t="inlineStr">
        <is>
          <t>Stable</t>
        </is>
      </c>
      <c r="AK167" s="30">
        <f>IF(AJ167="Stable",10,0)</f>
        <v/>
      </c>
      <c r="AL167" s="30" t="inlineStr">
        <is>
          <t>Yes</t>
        </is>
      </c>
      <c r="AM167" s="30">
        <f>IF(AL167="Yes",10,0)</f>
        <v/>
      </c>
      <c r="AN167" s="30" t="inlineStr">
        <is>
          <t>B2B</t>
        </is>
      </c>
      <c r="AO167" s="30">
        <f>IF(AN167="B2C",10,IF(AN167="B2B",5,0))</f>
        <v/>
      </c>
      <c r="AP167" s="30" t="inlineStr">
        <is>
          <t>No</t>
        </is>
      </c>
      <c r="AQ167" s="30">
        <f>IF(AP167="Yes",10,0)</f>
        <v/>
      </c>
      <c r="AR167" s="30" t="inlineStr">
        <is>
          <t>Higher One Time, Lower Annuity</t>
        </is>
      </c>
      <c r="AS167" s="30">
        <f>IF(AR167="Fully Annuity",10,IF(AR167="Higher Annuity, Lower One Time",5,IF(AR167="Higher One Time, Lower Annuity",3,0)))</f>
        <v/>
      </c>
      <c r="AT167" s="30" t="inlineStr">
        <is>
          <t>Good</t>
        </is>
      </c>
      <c r="AU167" s="30">
        <f>IF(AT167="Good",10,0)</f>
        <v/>
      </c>
      <c r="AV167" s="30" t="inlineStr">
        <is>
          <t>Yes for more than 2 years</t>
        </is>
      </c>
      <c r="AW167" s="30">
        <f>IF(AV167="Yes for more than 2 years",10,IF(AV167="Yes only for next 1 to 2 years",5,0))</f>
        <v/>
      </c>
      <c r="AX167" s="30" t="inlineStr">
        <is>
          <t>Above 40</t>
        </is>
      </c>
      <c r="AY167" s="30">
        <f>IF(AX167="Above 40",20,IF(AX167="20 to 40",10,IF(AX167="0 to 20",-5,0)))</f>
        <v/>
      </c>
      <c r="AZ167" s="30" t="inlineStr">
        <is>
          <t>Between 50 to 75</t>
        </is>
      </c>
      <c r="BA167" s="30">
        <f>IF(AZ167="Between 50 to 75",10,IF(AZ167="Above 75",0,0))</f>
        <v/>
      </c>
      <c r="BB167" s="30" t="inlineStr">
        <is>
          <t>Stage 2</t>
        </is>
      </c>
      <c r="BC167" s="30">
        <f>IF(BB167="Stage 2",20,IF(BB167="Stage 1",0,IF(BB167="Stage 3",5,IF(BB167="Stage 4",-5,0))))</f>
        <v/>
      </c>
      <c r="BD167" s="30" t="inlineStr">
        <is>
          <t>Positive Trend</t>
        </is>
      </c>
      <c r="BE167" s="30">
        <f>IF(BD167="Positive Trend",20,IF(BD167="Negative Trend",-10,0))</f>
        <v/>
      </c>
      <c r="BF167" s="30" t="inlineStr">
        <is>
          <t>Uptrend</t>
        </is>
      </c>
      <c r="BG167" s="30">
        <f>IF(BF167="Uptrend",10,IF(BF167="Sideways",5,0))</f>
        <v/>
      </c>
      <c r="BH167" s="30" t="inlineStr">
        <is>
          <t>Uptrend</t>
        </is>
      </c>
      <c r="BI167" s="30">
        <f>IF(BH167="Uptrend",10,IF(BH167="Sideways",5,0))</f>
        <v/>
      </c>
      <c r="BJ167" s="30" t="inlineStr">
        <is>
          <t>Close to 52 week high or retracement</t>
        </is>
      </c>
      <c r="BK167" s="30">
        <f>IF(BJ167="Overhead supply in last 2 years in last 2 years",-5,IF(BJ167="Close to 52 week high or retracement",5,IF(BJ167="Blue sky scenario",10,IF(BJ167="Long term Downtrend",-10,0))))</f>
        <v/>
      </c>
      <c r="BL167" s="30" t="inlineStr">
        <is>
          <t>Yes</t>
        </is>
      </c>
      <c r="BM167" s="30">
        <f>IF(BL167="Yes",10,0)</f>
        <v/>
      </c>
      <c r="BN167" s="30" t="inlineStr">
        <is>
          <t>More than 20%</t>
        </is>
      </c>
      <c r="BO167" s="30">
        <f>IF(BN167="More than 20%",10,IF(BN167="Between 12 to 20%",5,IF(BN167="Less than 12%",0,0)))</f>
        <v/>
      </c>
      <c r="BP167" s="30" t="inlineStr">
        <is>
          <t>No</t>
        </is>
      </c>
      <c r="BQ167" s="30">
        <f>IF(BP167="No",10,0)</f>
        <v/>
      </c>
      <c r="BR167" s="30" t="inlineStr">
        <is>
          <t>Yes</t>
        </is>
      </c>
      <c r="BS167" s="30">
        <f>IF(BR167="NO",5,0)</f>
        <v/>
      </c>
      <c r="BT167" s="30" t="inlineStr">
        <is>
          <t>Above 2</t>
        </is>
      </c>
      <c r="BU167" s="30">
        <f>IF(BT167="Above 2",0,IF(BT167="Between 1.5 to 2",5,IF(BT167="Less than 1.5",10,0)))</f>
        <v/>
      </c>
      <c r="BV167" s="30" t="inlineStr">
        <is>
          <t>Above 70%</t>
        </is>
      </c>
      <c r="BW167" s="30">
        <f>IF(BV167="Above 70%",10,IF(BV167="Between 50% to 70%",5,IF(BV167="Less than 50%",0,IF(BV167="Negative",-10,IF(BV167="Less than 50% and Borrowings are increasing",-5,0)))))</f>
        <v/>
      </c>
      <c r="BX167" s="30" t="inlineStr">
        <is>
          <t>Less than 0.7</t>
        </is>
      </c>
      <c r="BY167" s="30">
        <f>IF(BX167="More than 1.2",-10,IF(BX167="Between 0.7 to 1.2",0,IF(BX167="Less than 0.7",10,0)))</f>
        <v/>
      </c>
      <c r="BZ167" s="30" t="inlineStr">
        <is>
          <t>No</t>
        </is>
      </c>
      <c r="CA167" s="30">
        <f>IF(BZ167="Yes",-10,0)</f>
        <v/>
      </c>
      <c r="CB167" s="30" t="inlineStr">
        <is>
          <t>Less than 15%</t>
        </is>
      </c>
      <c r="CC167" s="30">
        <f>IF(CB167="More than 15%",-10,IF(CB167="Less than 15%",10,0))</f>
        <v/>
      </c>
      <c r="CD167" s="30" t="inlineStr">
        <is>
          <t>No</t>
        </is>
      </c>
      <c r="CE167" s="30">
        <f>IF(CD167="Yes, more than 10%",-10,IF(CD167="No",10,0))</f>
        <v/>
      </c>
    </row>
    <row r="168">
      <c r="A168" s="30">
        <f>IF(B168=0,"",RANK(B168,$B$2:$B$331,0))</f>
        <v/>
      </c>
      <c r="B168" s="31">
        <f>SUM(N168,Y168,AA168,AC168,AE168,AG168,AI168,AK168,AM168,AO168,AQ168,AS168,AU168,AW168,AY168,BA168,BC168,BE168,BG168,BI168,BK168,BM168,BO168,BQ168,BS168,BU168,BW168,BY168,CA168,CC168,CE168)</f>
        <v/>
      </c>
      <c r="C168" s="30" t="inlineStr">
        <is>
          <t>SHREEJISPG</t>
        </is>
      </c>
      <c r="D168" s="30" t="inlineStr">
        <is>
          <t>Shreeji Shipping Global Ltd</t>
        </is>
      </c>
      <c r="E168" s="30" t="inlineStr">
        <is>
          <t>transportation</t>
        </is>
      </c>
      <c r="F168" s="30" t="inlineStr">
        <is>
          <t>shipping</t>
        </is>
      </c>
      <c r="G168" s="30" t="inlineStr">
        <is>
          <t>midcap</t>
        </is>
      </c>
      <c r="H168" s="31" t="n">
        <v>11617.7</v>
      </c>
      <c r="I168" s="31" t="n">
        <v>713.1</v>
      </c>
      <c r="J168" s="31" t="n">
        <v>0</v>
      </c>
      <c r="K168" s="31" t="n">
        <v>1182838</v>
      </c>
      <c r="L168" s="30" t="n">
        <v>85</v>
      </c>
      <c r="M168" s="30" t="inlineStr">
        <is>
          <t>Outperforming</t>
        </is>
      </c>
      <c r="N168" s="31">
        <f>IF(M168="Underperforming",-5,IF(L168&gt;=95,15,IF(L168&gt;=90,10,IF(L168&gt;=80,5,0))))</f>
        <v/>
      </c>
      <c r="O168" s="31" t="n">
        <v>79.56</v>
      </c>
      <c r="P168" s="31" t="n">
        <v>56.54</v>
      </c>
      <c r="Q168" s="31" t="n">
        <v>588.25</v>
      </c>
      <c r="R168" s="30" t="inlineStr">
        <is>
          <t>Near 52W High Breakout</t>
        </is>
      </c>
      <c r="S168" s="30" t="inlineStr">
        <is>
          <t>Nifty 50</t>
        </is>
      </c>
      <c r="T168" s="31" t="n">
        <v>-6.52</v>
      </c>
      <c r="U168" s="31" t="n">
        <v>179.96</v>
      </c>
      <c r="V168" s="31" t="n">
        <v>199.47</v>
      </c>
      <c r="W168" s="31" t="n">
        <v>33.6</v>
      </c>
      <c r="X168" s="30" t="inlineStr">
        <is>
          <t>Growing Industry</t>
        </is>
      </c>
      <c r="Y168" s="30">
        <f>IF(X168="Growing Industry",10,IF(X168="Cyclical in an Upturn",5,0))</f>
        <v/>
      </c>
      <c r="Z168" s="30" t="inlineStr">
        <is>
          <t>Too Many Players with High ROCE</t>
        </is>
      </c>
      <c r="AA168" s="30">
        <f>IF(Z168="Monopoly",10,IF(Z168="Oligopoly",5,IF(Z168="Duopoly that cooperate",10,IF(Z168="Duopoly that compete",5,IF(Z168="Too many players with High ROCE",5,0)))))</f>
        <v/>
      </c>
      <c r="AB168" s="30" t="inlineStr">
        <is>
          <t>No</t>
        </is>
      </c>
      <c r="AC168" s="30">
        <f>IF(AB168="No",5,0)</f>
        <v/>
      </c>
      <c r="AD168" s="30" t="inlineStr">
        <is>
          <t>Tailwind</t>
        </is>
      </c>
      <c r="AE168" s="30">
        <f>IF(AD168="Tailwind",10,0)</f>
        <v/>
      </c>
      <c r="AF168" s="30" t="inlineStr">
        <is>
          <t>Structural (10 Years Consistency)</t>
        </is>
      </c>
      <c r="AG168" s="30">
        <f>IF(AF168="Structural (10 Years Consistency)",10,IF(AF168="Shallow Cyclical (2 to 3 years growth)",5,0))</f>
        <v/>
      </c>
      <c r="AH168" s="30" t="inlineStr">
        <is>
          <t>No</t>
        </is>
      </c>
      <c r="AI168" s="30">
        <f>IF(AH168="Yes due to Product Mix change or Operating Leverage",10,IF(AH168="Yes, these are peak margins",-5,IF(AH168="No",5,0)))</f>
        <v/>
      </c>
      <c r="AJ168" s="30" t="inlineStr">
        <is>
          <t>Stable</t>
        </is>
      </c>
      <c r="AK168" s="30">
        <f>IF(AJ168="Stable",10,0)</f>
        <v/>
      </c>
      <c r="AL168" s="30" t="inlineStr">
        <is>
          <t>Yes</t>
        </is>
      </c>
      <c r="AM168" s="30">
        <f>IF(AL168="Yes",10,0)</f>
        <v/>
      </c>
      <c r="AN168" s="30" t="inlineStr">
        <is>
          <t>B2B</t>
        </is>
      </c>
      <c r="AO168" s="30">
        <f>IF(AN168="B2C",10,IF(AN168="B2B",5,0))</f>
        <v/>
      </c>
      <c r="AP168" s="30" t="inlineStr">
        <is>
          <t>Yes</t>
        </is>
      </c>
      <c r="AQ168" s="30">
        <f>IF(AP168="Yes",10,0)</f>
        <v/>
      </c>
      <c r="AR168" s="30" t="inlineStr">
        <is>
          <t>Higher One Time, Lower Annuity</t>
        </is>
      </c>
      <c r="AS168" s="30">
        <f>IF(AR168="Fully Annuity",10,IF(AR168="Higher Annuity, Lower One Time",5,IF(AR168="Higher One Time, Lower Annuity",3,0)))</f>
        <v/>
      </c>
      <c r="AT168" s="30" t="inlineStr">
        <is>
          <t>Good</t>
        </is>
      </c>
      <c r="AU168" s="30">
        <f>IF(AT168="Good",10,0)</f>
        <v/>
      </c>
      <c r="AV168" s="30" t="inlineStr">
        <is>
          <t>Yes for more than 2 years</t>
        </is>
      </c>
      <c r="AW168" s="30">
        <f>IF(AV168="Yes for more than 2 years",10,IF(AV168="Yes only for next 1 to 2 years",5,0))</f>
        <v/>
      </c>
      <c r="AX168" s="30" t="inlineStr">
        <is>
          <t>Above 40</t>
        </is>
      </c>
      <c r="AY168" s="30">
        <f>IF(AX168="Above 40",20,IF(AX168="20 to 40",10,IF(AX168="0 to 20",-5,0)))</f>
        <v/>
      </c>
      <c r="AZ168" s="30" t="inlineStr">
        <is>
          <t>Above 75</t>
        </is>
      </c>
      <c r="BA168" s="30">
        <f>IF(AZ168="Between 50 to 75",10,IF(AZ168="Above 75",0,0))</f>
        <v/>
      </c>
      <c r="BB168" s="30" t="inlineStr">
        <is>
          <t>Stage 2</t>
        </is>
      </c>
      <c r="BC168" s="30">
        <f>IF(BB168="Stage 2",20,IF(BB168="Stage 1",0,IF(BB168="Stage 3",5,IF(BB168="Stage 4",-5,0))))</f>
        <v/>
      </c>
      <c r="BD168" s="30" t="inlineStr">
        <is>
          <t>Positive Trend</t>
        </is>
      </c>
      <c r="BE168" s="30">
        <f>IF(BD168="Positive Trend",20,IF(BD168="Negative Trend",-10,0))</f>
        <v/>
      </c>
      <c r="BF168" s="30" t="inlineStr">
        <is>
          <t>Uptrend</t>
        </is>
      </c>
      <c r="BG168" s="30">
        <f>IF(BF168="Uptrend",10,IF(BF168="Sideways",5,0))</f>
        <v/>
      </c>
      <c r="BH168" s="30" t="inlineStr">
        <is>
          <t>Uptrend</t>
        </is>
      </c>
      <c r="BI168" s="30">
        <f>IF(BH168="Uptrend",10,IF(BH168="Sideways",5,0))</f>
        <v/>
      </c>
      <c r="BJ168" s="30" t="inlineStr">
        <is>
          <t>Blue sky scenario</t>
        </is>
      </c>
      <c r="BK168" s="30">
        <f>IF(BJ168="Overhead supply in last 2 years in last 2 years",-5,IF(BJ168="Close to 52 week high or retracement",5,IF(BJ168="Blue sky scenario",10,IF(BJ168="Long term Downtrend",-10,0))))</f>
        <v/>
      </c>
      <c r="BL168" s="30" t="inlineStr">
        <is>
          <t>Yes</t>
        </is>
      </c>
      <c r="BM168" s="30">
        <f>IF(BL168="Yes",10,0)</f>
        <v/>
      </c>
      <c r="BN168" s="30" t="inlineStr">
        <is>
          <t>Less than 12%</t>
        </is>
      </c>
      <c r="BO168" s="30">
        <f>IF(BN168="More than 20%",10,IF(BN168="Between 12 to 20%",5,IF(BN168="Less than 12%",0,0)))</f>
        <v/>
      </c>
      <c r="BP168" s="30" t="inlineStr">
        <is>
          <t>No</t>
        </is>
      </c>
      <c r="BQ168" s="30">
        <f>IF(BP168="No",10,0)</f>
        <v/>
      </c>
      <c r="BR168" s="30" t="inlineStr">
        <is>
          <t>Yes</t>
        </is>
      </c>
      <c r="BS168" s="30">
        <f>IF(BR168="NO",5,0)</f>
        <v/>
      </c>
      <c r="BT168" s="30" t="inlineStr">
        <is>
          <t>Above 2</t>
        </is>
      </c>
      <c r="BU168" s="30">
        <f>IF(BT168="Above 2",0,IF(BT168="Between 1.5 to 2",5,IF(BT168="Less than 1.5",10,0)))</f>
        <v/>
      </c>
      <c r="BV168" s="30" t="inlineStr">
        <is>
          <t>Above 70%</t>
        </is>
      </c>
      <c r="BW168" s="30">
        <f>IF(BV168="Above 70%",10,IF(BV168="Between 50% to 70%",5,IF(BV168="Less than 50%",0,IF(BV168="Negative",-10,IF(BV168="Less than 50% and Borrowings are increasing",-5,0)))))</f>
        <v/>
      </c>
      <c r="BX168" s="30" t="inlineStr">
        <is>
          <t>Less than 0.7</t>
        </is>
      </c>
      <c r="BY168" s="30">
        <f>IF(BX168="More than 1.2",-10,IF(BX168="Between 0.7 to 1.2",0,IF(BX168="Less than 0.7",10,0)))</f>
        <v/>
      </c>
      <c r="BZ168" s="30" t="inlineStr">
        <is>
          <t>No</t>
        </is>
      </c>
      <c r="CA168" s="30">
        <f>IF(BZ168="Yes",-10,0)</f>
        <v/>
      </c>
      <c r="CB168" s="30" t="inlineStr">
        <is>
          <t>Less than 15%</t>
        </is>
      </c>
      <c r="CC168" s="30">
        <f>IF(CB168="More than 15%",-10,IF(CB168="Less than 15%",10,0))</f>
        <v/>
      </c>
      <c r="CD168" s="30" t="inlineStr">
        <is>
          <t>No</t>
        </is>
      </c>
      <c r="CE168" s="30">
        <f>IF(CD168="Yes, more than 10%",-10,IF(CD168="No",10,0))</f>
        <v/>
      </c>
    </row>
    <row r="169">
      <c r="A169" s="30">
        <f>IF(B169=0,"",RANK(B169,$B$2:$B$331,0))</f>
        <v/>
      </c>
      <c r="B169" s="31">
        <f>SUM(N169,Y169,AA169,AC169,AE169,AG169,AI169,AK169,AM169,AO169,AQ169,AS169,AU169,AW169,AY169,BA169,BC169,BE169,BG169,BI169,BK169,BM169,BO169,BQ169,BS169,BU169,BW169,BY169,CA169,CC169,CE169)</f>
        <v/>
      </c>
      <c r="C169" s="32" t="inlineStr">
        <is>
          <t>MIDHANI</t>
        </is>
      </c>
      <c r="D169" s="32" t="inlineStr">
        <is>
          <t>Mishra Dhatu Nigam Ltd</t>
        </is>
      </c>
      <c r="E169" s="30" t="inlineStr">
        <is>
          <t>aerospace &amp; defence</t>
        </is>
      </c>
      <c r="F169" s="30" t="inlineStr">
        <is>
          <t>steel - medium / small</t>
        </is>
      </c>
      <c r="G169" s="30" t="inlineStr">
        <is>
          <t>midcap</t>
        </is>
      </c>
      <c r="H169" s="31" t="n">
        <v>8688.83</v>
      </c>
      <c r="I169" s="31" t="n">
        <v>463.35</v>
      </c>
      <c r="J169" s="31" t="n">
        <v>-0.1</v>
      </c>
      <c r="K169" s="31" t="n">
        <v>3378828</v>
      </c>
      <c r="L169" s="30" t="n">
        <v>27</v>
      </c>
      <c r="M169" s="30" t="inlineStr">
        <is>
          <t>Underperforming</t>
        </is>
      </c>
      <c r="N169" s="31">
        <f>IF(M169="Underperforming",-5,IF(L169&gt;=95,15,IF(L169&gt;=90,10,IF(L169&gt;=80,5,0))))</f>
        <v/>
      </c>
      <c r="O169" s="31" t="n">
        <v>64.83</v>
      </c>
      <c r="P169" s="31" t="n">
        <v>28.29</v>
      </c>
      <c r="Q169" s="31" t="n">
        <v>358.09</v>
      </c>
      <c r="R169" s="30" t="inlineStr">
        <is>
          <t>Volume Spike &amp; Near 52W High Breakout</t>
        </is>
      </c>
      <c r="S169" s="30" t="inlineStr">
        <is>
          <t>Nifty Metal</t>
        </is>
      </c>
      <c r="T169" s="31" t="n">
        <v>41.17</v>
      </c>
      <c r="U169" s="31" t="n">
        <v>14.94</v>
      </c>
      <c r="V169" s="31" t="n">
        <v>-18.58</v>
      </c>
      <c r="W169" s="31" t="n">
        <v>8.32</v>
      </c>
      <c r="X169" s="30" t="inlineStr">
        <is>
          <t>Growing Industry</t>
        </is>
      </c>
      <c r="Y169" s="30">
        <f>IF(X169="Growing Industry",10,IF(X169="Cyclical in an Upturn",5,0))</f>
        <v/>
      </c>
      <c r="Z169" s="30" t="inlineStr">
        <is>
          <t>Too Many Players with High ROCE</t>
        </is>
      </c>
      <c r="AA169" s="30">
        <f>IF(Z169="Monopoly",10,IF(Z169="Oligopoly",5,IF(Z169="Duopoly that cooperate",10,IF(Z169="Duopoly that compete",5,IF(Z169="Too many players with High ROCE",5,0)))))</f>
        <v/>
      </c>
      <c r="AB169" s="30" t="inlineStr">
        <is>
          <t>No</t>
        </is>
      </c>
      <c r="AC169" s="30">
        <f>IF(AB169="No",5,0)</f>
        <v/>
      </c>
      <c r="AD169" s="30" t="inlineStr">
        <is>
          <t>Tailwind</t>
        </is>
      </c>
      <c r="AE169" s="30">
        <f>IF(AD169="Tailwind",10,0)</f>
        <v/>
      </c>
      <c r="AF169" s="30" t="inlineStr">
        <is>
          <t>Structural (10 Years Consistency)</t>
        </is>
      </c>
      <c r="AG169" s="30">
        <f>IF(AF169="Structural (10 Years Consistency)",10,IF(AF169="Shallow Cyclical (2 to 3 years growth)",5,0))</f>
        <v/>
      </c>
      <c r="AH169" s="30" t="inlineStr">
        <is>
          <t>No</t>
        </is>
      </c>
      <c r="AI169" s="30">
        <f>IF(AH169="Yes due to Product Mix change or Operating Leverage",10,IF(AH169="Yes, these are peak margins",-5,IF(AH169="No",5,0)))</f>
        <v/>
      </c>
      <c r="AJ169" s="30" t="inlineStr">
        <is>
          <t>Stable</t>
        </is>
      </c>
      <c r="AK169" s="30">
        <f>IF(AJ169="Stable",10,0)</f>
        <v/>
      </c>
      <c r="AL169" s="30" t="inlineStr">
        <is>
          <t>Yes</t>
        </is>
      </c>
      <c r="AM169" s="30">
        <f>IF(AL169="Yes",10,0)</f>
        <v/>
      </c>
      <c r="AN169" s="30" t="inlineStr">
        <is>
          <t>B2B</t>
        </is>
      </c>
      <c r="AO169" s="30">
        <f>IF(AN169="B2C",10,IF(AN169="B2B",5,0))</f>
        <v/>
      </c>
      <c r="AP169" s="30" t="inlineStr">
        <is>
          <t>Yes</t>
        </is>
      </c>
      <c r="AQ169" s="30">
        <f>IF(AP169="Yes",10,0)</f>
        <v/>
      </c>
      <c r="AR169" s="30" t="inlineStr">
        <is>
          <t>Higher One Time, Lower Annuity</t>
        </is>
      </c>
      <c r="AS169" s="30">
        <f>IF(AR169="Fully Annuity",10,IF(AR169="Higher Annuity, Lower One Time",5,IF(AR169="Higher One Time, Lower Annuity",3,0)))</f>
        <v/>
      </c>
      <c r="AT169" s="30" t="inlineStr">
        <is>
          <t>Good</t>
        </is>
      </c>
      <c r="AU169" s="30">
        <f>IF(AT169="Good",10,0)</f>
        <v/>
      </c>
      <c r="AV169" s="30" t="inlineStr">
        <is>
          <t>Yes for more than 2 years</t>
        </is>
      </c>
      <c r="AW169" s="30">
        <f>IF(AV169="Yes for more than 2 years",10,IF(AV169="Yes only for next 1 to 2 years",5,0))</f>
        <v/>
      </c>
      <c r="AX169" s="30" t="inlineStr">
        <is>
          <t>20 to 40</t>
        </is>
      </c>
      <c r="AY169" s="30">
        <f>IF(AX169="Above 40",20,IF(AX169="20 to 40",10,IF(AX169="0 to 20",-5,0)))</f>
        <v/>
      </c>
      <c r="AZ169" s="30" t="inlineStr">
        <is>
          <t>Between 50 to 75</t>
        </is>
      </c>
      <c r="BA169" s="30">
        <f>IF(AZ169="Between 50 to 75",10,IF(AZ169="Above 75",0,0))</f>
        <v/>
      </c>
      <c r="BB169" s="30" t="inlineStr">
        <is>
          <t>Stage 2</t>
        </is>
      </c>
      <c r="BC169" s="30">
        <f>IF(BB169="Stage 2",20,IF(BB169="Stage 1",0,IF(BB169="Stage 3",5,IF(BB169="Stage 4",-5,0))))</f>
        <v/>
      </c>
      <c r="BD169" s="30" t="inlineStr">
        <is>
          <t>Positive Trend</t>
        </is>
      </c>
      <c r="BE169" s="30">
        <f>IF(BD169="Positive Trend",20,IF(BD169="Negative Trend",-10,0))</f>
        <v/>
      </c>
      <c r="BF169" s="30" t="inlineStr">
        <is>
          <t>Uptrend</t>
        </is>
      </c>
      <c r="BG169" s="30">
        <f>IF(BF169="Uptrend",10,IF(BF169="Sideways",5,0))</f>
        <v/>
      </c>
      <c r="BH169" s="30" t="inlineStr">
        <is>
          <t>Uptrend</t>
        </is>
      </c>
      <c r="BI169" s="30">
        <f>IF(BH169="Uptrend",10,IF(BH169="Sideways",5,0))</f>
        <v/>
      </c>
      <c r="BJ169" s="30" t="inlineStr">
        <is>
          <t>Blue sky scenario</t>
        </is>
      </c>
      <c r="BK169" s="30">
        <f>IF(BJ169="Overhead supply in last 2 years in last 2 years",-5,IF(BJ169="Close to 52 week high or retracement",5,IF(BJ169="Blue sky scenario",10,IF(BJ169="Long term Downtrend",-10,0))))</f>
        <v/>
      </c>
      <c r="BL169" s="30" t="inlineStr">
        <is>
          <t>Yes</t>
        </is>
      </c>
      <c r="BM169" s="30">
        <f>IF(BL169="Yes",10,0)</f>
        <v/>
      </c>
      <c r="BN169" s="30" t="inlineStr">
        <is>
          <t>More than 20%</t>
        </is>
      </c>
      <c r="BO169" s="30">
        <f>IF(BN169="More than 20%",10,IF(BN169="Between 12 to 20%",5,IF(BN169="Less than 12%",0,0)))</f>
        <v/>
      </c>
      <c r="BP169" s="30" t="inlineStr">
        <is>
          <t>No</t>
        </is>
      </c>
      <c r="BQ169" s="30">
        <f>IF(BP169="No",10,0)</f>
        <v/>
      </c>
      <c r="BR169" s="30" t="inlineStr">
        <is>
          <t>Yes</t>
        </is>
      </c>
      <c r="BS169" s="30">
        <f>IF(BR169="NO",5,0)</f>
        <v/>
      </c>
      <c r="BT169" s="30" t="inlineStr">
        <is>
          <t>Above 2</t>
        </is>
      </c>
      <c r="BU169" s="30">
        <f>IF(BT169="Above 2",0,IF(BT169="Between 1.5 to 2",5,IF(BT169="Less than 1.5",10,0)))</f>
        <v/>
      </c>
      <c r="BV169" s="30" t="inlineStr">
        <is>
          <t>Above 70%</t>
        </is>
      </c>
      <c r="BW169" s="30">
        <f>IF(BV169="Above 70%",10,IF(BV169="Between 50% to 70%",5,IF(BV169="Less than 50%",0,IF(BV169="Negative",-10,IF(BV169="Less than 50% and Borrowings are increasing",-5,0)))))</f>
        <v/>
      </c>
      <c r="BX169" s="30" t="inlineStr">
        <is>
          <t>Less than 0.7</t>
        </is>
      </c>
      <c r="BY169" s="30">
        <f>IF(BX169="More than 1.2",-10,IF(BX169="Between 0.7 to 1.2",0,IF(BX169="Less than 0.7",10,0)))</f>
        <v/>
      </c>
      <c r="BZ169" s="30" t="inlineStr">
        <is>
          <t>No</t>
        </is>
      </c>
      <c r="CA169" s="30">
        <f>IF(BZ169="Yes",-10,0)</f>
        <v/>
      </c>
      <c r="CB169" s="30" t="inlineStr">
        <is>
          <t>Less than 15%</t>
        </is>
      </c>
      <c r="CC169" s="30">
        <f>IF(CB169="More than 15%",-10,IF(CB169="Less than 15%",10,0))</f>
        <v/>
      </c>
      <c r="CD169" s="30" t="inlineStr">
        <is>
          <t>No</t>
        </is>
      </c>
      <c r="CE169" s="30">
        <f>IF(CD169="Yes, more than 10%",-10,IF(CD169="No",10,0))</f>
        <v/>
      </c>
    </row>
    <row r="170">
      <c r="A170" s="30">
        <f>IF(B170=0,"",RANK(B170,$B$2:$B$331,0))</f>
        <v/>
      </c>
      <c r="B170" s="31">
        <f>SUM(N170,Y170,AA170,AC170,AE170,AG170,AI170,AK170,AM170,AO170,AQ170,AS170,AU170,AW170,AY170,BA170,BC170,BE170,BG170,BI170,BK170,BM170,BO170,BQ170,BS170,BU170,BW170,BY170,CA170,CC170,CE170)</f>
        <v/>
      </c>
      <c r="C170" s="30" t="inlineStr">
        <is>
          <t>KRN</t>
        </is>
      </c>
      <c r="D170" s="30" t="inlineStr">
        <is>
          <t>KRN Heat Exchanger and Refrigeration Ltd</t>
        </is>
      </c>
      <c r="E170" s="30" t="inlineStr">
        <is>
          <t>industrials</t>
        </is>
      </c>
      <c r="F170" s="30" t="inlineStr">
        <is>
          <t>engineering</t>
        </is>
      </c>
      <c r="G170" s="30" t="inlineStr">
        <is>
          <t>midcap</t>
        </is>
      </c>
      <c r="H170" s="31" t="n">
        <v>10455.68</v>
      </c>
      <c r="I170" s="31" t="n">
        <v>1584.6</v>
      </c>
      <c r="J170" s="31" t="n">
        <v>-0.8</v>
      </c>
      <c r="K170" s="31" t="n">
        <v>88038</v>
      </c>
      <c r="L170" s="30" t="n">
        <v>65</v>
      </c>
      <c r="M170" s="30" t="inlineStr">
        <is>
          <t>Outperforming</t>
        </is>
      </c>
      <c r="N170" s="31">
        <f>IF(M170="Underperforming",-5,IF(L170&gt;=95,15,IF(L170&gt;=90,10,IF(L170&gt;=80,5,0))))</f>
        <v/>
      </c>
      <c r="O170" s="31" t="n">
        <v>72.70999999999999</v>
      </c>
      <c r="P170" s="31" t="n">
        <v>36.97</v>
      </c>
      <c r="Q170" s="31" t="n">
        <v>1203.45</v>
      </c>
      <c r="R170" s="30" t="inlineStr">
        <is>
          <t>Near 52W High Breakout</t>
        </is>
      </c>
      <c r="S170" s="30" t="inlineStr">
        <is>
          <t>Nifty 50</t>
        </is>
      </c>
      <c r="T170" s="31" t="n">
        <v>-6.52</v>
      </c>
      <c r="U170" s="31" t="n">
        <v>86.29000000000001</v>
      </c>
      <c r="V170" s="31" t="n">
        <v>99.27</v>
      </c>
      <c r="W170" s="31" t="n">
        <v>20.04</v>
      </c>
      <c r="X170" s="30" t="inlineStr">
        <is>
          <t>Cyclical in an Upturn</t>
        </is>
      </c>
      <c r="Y170" s="30">
        <f>IF(X170="Growing Industry",10,IF(X170="Cyclical in an Upturn",5,0))</f>
        <v/>
      </c>
      <c r="Z170" s="30" t="inlineStr">
        <is>
          <t>Too Many Players with High ROCE</t>
        </is>
      </c>
      <c r="AA170" s="30">
        <f>IF(Z170="Monopoly",10,IF(Z170="Oligopoly",5,IF(Z170="Duopoly that cooperate",10,IF(Z170="Duopoly that compete",5,IF(Z170="Too many players with High ROCE",5,0)))))</f>
        <v/>
      </c>
      <c r="AB170" s="30" t="inlineStr">
        <is>
          <t>No</t>
        </is>
      </c>
      <c r="AC170" s="30">
        <f>IF(AB170="No",5,0)</f>
        <v/>
      </c>
      <c r="AD170" s="30" t="inlineStr">
        <is>
          <t>Tailwind</t>
        </is>
      </c>
      <c r="AE170" s="30">
        <f>IF(AD170="Tailwind",10,0)</f>
        <v/>
      </c>
      <c r="AF170" s="30" t="inlineStr">
        <is>
          <t>Structural (10 Years Consistency)</t>
        </is>
      </c>
      <c r="AG170" s="30">
        <f>IF(AF170="Structural (10 Years Consistency)",10,IF(AF170="Shallow Cyclical (2 to 3 years growth)",5,0))</f>
        <v/>
      </c>
      <c r="AH170" s="30" t="inlineStr">
        <is>
          <t>No</t>
        </is>
      </c>
      <c r="AI170" s="30">
        <f>IF(AH170="Yes due to Product Mix change or Operating Leverage",10,IF(AH170="Yes, these are peak margins",-5,IF(AH170="No",5,0)))</f>
        <v/>
      </c>
      <c r="AJ170" s="30" t="inlineStr">
        <is>
          <t>Stable</t>
        </is>
      </c>
      <c r="AK170" s="30">
        <f>IF(AJ170="Stable",10,0)</f>
        <v/>
      </c>
      <c r="AL170" s="30" t="inlineStr">
        <is>
          <t>Yes</t>
        </is>
      </c>
      <c r="AM170" s="30">
        <f>IF(AL170="Yes",10,0)</f>
        <v/>
      </c>
      <c r="AN170" s="30" t="inlineStr">
        <is>
          <t>B2B</t>
        </is>
      </c>
      <c r="AO170" s="30">
        <f>IF(AN170="B2C",10,IF(AN170="B2B",5,0))</f>
        <v/>
      </c>
      <c r="AP170" s="30" t="inlineStr">
        <is>
          <t>Yes</t>
        </is>
      </c>
      <c r="AQ170" s="30">
        <f>IF(AP170="Yes",10,0)</f>
        <v/>
      </c>
      <c r="AR170" s="30" t="inlineStr">
        <is>
          <t>Higher One Time, Lower Annuity</t>
        </is>
      </c>
      <c r="AS170" s="30">
        <f>IF(AR170="Fully Annuity",10,IF(AR170="Higher Annuity, Lower One Time",5,IF(AR170="Higher One Time, Lower Annuity",3,0)))</f>
        <v/>
      </c>
      <c r="AT170" s="30" t="inlineStr">
        <is>
          <t>Good</t>
        </is>
      </c>
      <c r="AU170" s="30">
        <f>IF(AT170="Good",10,0)</f>
        <v/>
      </c>
      <c r="AV170" s="30" t="inlineStr">
        <is>
          <t>Yes for more than 2 years</t>
        </is>
      </c>
      <c r="AW170" s="30">
        <f>IF(AV170="Yes for more than 2 years",10,IF(AV170="Yes only for next 1 to 2 years",5,0))</f>
        <v/>
      </c>
      <c r="AX170" s="30" t="inlineStr">
        <is>
          <t>20 to 40</t>
        </is>
      </c>
      <c r="AY170" s="30">
        <f>IF(AX170="Above 40",20,IF(AX170="20 to 40",10,IF(AX170="0 to 20",-5,0)))</f>
        <v/>
      </c>
      <c r="AZ170" s="30" t="inlineStr">
        <is>
          <t>Between 50 to 75</t>
        </is>
      </c>
      <c r="BA170" s="30">
        <f>IF(AZ170="Between 50 to 75",10,IF(AZ170="Above 75",0,0))</f>
        <v/>
      </c>
      <c r="BB170" s="30" t="inlineStr">
        <is>
          <t>Stage 2</t>
        </is>
      </c>
      <c r="BC170" s="30">
        <f>IF(BB170="Stage 2",20,IF(BB170="Stage 1",0,IF(BB170="Stage 3",5,IF(BB170="Stage 4",-5,0))))</f>
        <v/>
      </c>
      <c r="BD170" s="30" t="inlineStr">
        <is>
          <t>Positive Trend</t>
        </is>
      </c>
      <c r="BE170" s="30">
        <f>IF(BD170="Positive Trend",20,IF(BD170="Negative Trend",-10,0))</f>
        <v/>
      </c>
      <c r="BF170" s="30" t="inlineStr">
        <is>
          <t>Uptrend</t>
        </is>
      </c>
      <c r="BG170" s="30">
        <f>IF(BF170="Uptrend",10,IF(BF170="Sideways",5,0))</f>
        <v/>
      </c>
      <c r="BH170" s="30" t="inlineStr">
        <is>
          <t>Uptrend</t>
        </is>
      </c>
      <c r="BI170" s="30">
        <f>IF(BH170="Uptrend",10,IF(BH170="Sideways",5,0))</f>
        <v/>
      </c>
      <c r="BJ170" s="30" t="inlineStr">
        <is>
          <t>Blue sky scenario</t>
        </is>
      </c>
      <c r="BK170" s="30">
        <f>IF(BJ170="Overhead supply in last 2 years in last 2 years",-5,IF(BJ170="Close to 52 week high or retracement",5,IF(BJ170="Blue sky scenario",10,IF(BJ170="Long term Downtrend",-10,0))))</f>
        <v/>
      </c>
      <c r="BL170" s="30" t="inlineStr">
        <is>
          <t>Yes</t>
        </is>
      </c>
      <c r="BM170" s="30">
        <f>IF(BL170="Yes",10,0)</f>
        <v/>
      </c>
      <c r="BN170" s="30" t="inlineStr">
        <is>
          <t>More than 20%</t>
        </is>
      </c>
      <c r="BO170" s="30">
        <f>IF(BN170="More than 20%",10,IF(BN170="Between 12 to 20%",5,IF(BN170="Less than 12%",0,0)))</f>
        <v/>
      </c>
      <c r="BP170" s="30" t="inlineStr">
        <is>
          <t>No</t>
        </is>
      </c>
      <c r="BQ170" s="30">
        <f>IF(BP170="No",10,0)</f>
        <v/>
      </c>
      <c r="BR170" s="30" t="inlineStr">
        <is>
          <t>Yes</t>
        </is>
      </c>
      <c r="BS170" s="30">
        <f>IF(BR170="NO",5,0)</f>
        <v/>
      </c>
      <c r="BT170" s="30" t="inlineStr">
        <is>
          <t>Above 2</t>
        </is>
      </c>
      <c r="BU170" s="30">
        <f>IF(BT170="Above 2",0,IF(BT170="Between 1.5 to 2",5,IF(BT170="Less than 1.5",10,0)))</f>
        <v/>
      </c>
      <c r="BV170" s="30" t="inlineStr">
        <is>
          <t>Above 70%</t>
        </is>
      </c>
      <c r="BW170" s="30">
        <f>IF(BV170="Above 70%",10,IF(BV170="Between 50% to 70%",5,IF(BV170="Less than 50%",0,IF(BV170="Negative",-10,IF(BV170="Less than 50% and Borrowings are increasing",-5,0)))))</f>
        <v/>
      </c>
      <c r="BX170" s="30" t="inlineStr">
        <is>
          <t>Less than 0.7</t>
        </is>
      </c>
      <c r="BY170" s="30">
        <f>IF(BX170="More than 1.2",-10,IF(BX170="Between 0.7 to 1.2",0,IF(BX170="Less than 0.7",10,0)))</f>
        <v/>
      </c>
      <c r="BZ170" s="30" t="inlineStr">
        <is>
          <t>No</t>
        </is>
      </c>
      <c r="CA170" s="30">
        <f>IF(BZ170="Yes",-10,0)</f>
        <v/>
      </c>
      <c r="CB170" s="30" t="inlineStr">
        <is>
          <t>Less than 15%</t>
        </is>
      </c>
      <c r="CC170" s="30">
        <f>IF(CB170="More than 15%",-10,IF(CB170="Less than 15%",10,0))</f>
        <v/>
      </c>
      <c r="CD170" s="30" t="inlineStr">
        <is>
          <t>No</t>
        </is>
      </c>
      <c r="CE170" s="30">
        <f>IF(CD170="Yes, more than 10%",-10,IF(CD170="No",10,0))</f>
        <v/>
      </c>
    </row>
    <row r="171">
      <c r="A171" s="30">
        <f>IF(B171=0,"",RANK(B171,$B$2:$B$331,0))</f>
        <v/>
      </c>
      <c r="B171" s="31">
        <f>SUM(N171,Y171,AA171,AC171,AE171,AG171,AI171,AK171,AM171,AO171,AQ171,AS171,AU171,AW171,AY171,BA171,BC171,BE171,BG171,BI171,BK171,BM171,BO171,BQ171,BS171,BU171,BW171,BY171,CA171,CC171,CE171)</f>
        <v/>
      </c>
      <c r="C171" s="30" t="inlineStr">
        <is>
          <t>SHREEPUSHK</t>
        </is>
      </c>
      <c r="D171" s="30" t="inlineStr">
        <is>
          <t>Shree Pushkar Chemicals &amp; Fertilisers Limited</t>
        </is>
      </c>
      <c r="E171" s="30" t="inlineStr">
        <is>
          <t>chemicals</t>
        </is>
      </c>
      <c r="F171" s="30" t="inlineStr">
        <is>
          <t>dyes and pigments</t>
        </is>
      </c>
      <c r="G171" s="30" t="inlineStr">
        <is>
          <t>smallcap</t>
        </is>
      </c>
      <c r="H171" s="31" t="n">
        <v>1620.77</v>
      </c>
      <c r="I171" s="31" t="n">
        <v>491.6</v>
      </c>
      <c r="J171" s="31" t="n">
        <v>-1.92</v>
      </c>
      <c r="K171" s="31" t="n">
        <v>85810</v>
      </c>
      <c r="L171" s="30" t="n">
        <v>55</v>
      </c>
      <c r="M171" s="30" t="inlineStr">
        <is>
          <t>Outperforming</t>
        </is>
      </c>
      <c r="N171" s="31">
        <f>IF(M171="Underperforming",-5,IF(L171&gt;=95,15,IF(L171&gt;=90,10,IF(L171&gt;=80,5,0))))</f>
        <v/>
      </c>
      <c r="O171" s="31" t="n">
        <v>68.84</v>
      </c>
      <c r="P171" s="31" t="n">
        <v>39.27</v>
      </c>
      <c r="Q171" s="31" t="n">
        <v>359.79</v>
      </c>
      <c r="R171" s="30" t="inlineStr">
        <is>
          <t>Volume Spike &amp; Near 52W High Breakout</t>
        </is>
      </c>
      <c r="S171" s="30" t="inlineStr">
        <is>
          <t>Nifty 50</t>
        </is>
      </c>
      <c r="T171" s="31" t="n">
        <v>-6.52</v>
      </c>
      <c r="U171" s="31" t="n">
        <v>49.11</v>
      </c>
      <c r="V171" s="31" t="n">
        <v>59.5</v>
      </c>
      <c r="W171" s="31" t="n">
        <v>17.58</v>
      </c>
      <c r="X171" s="30" t="inlineStr">
        <is>
          <t>Growing Industry</t>
        </is>
      </c>
      <c r="Y171" s="30">
        <f>IF(X171="Growing Industry",10,IF(X171="Cyclical in an Upturn",5,0))</f>
        <v/>
      </c>
      <c r="Z171" s="30" t="inlineStr">
        <is>
          <t>Too Many Players with High ROCE</t>
        </is>
      </c>
      <c r="AA171" s="30">
        <f>IF(Z171="Monopoly",10,IF(Z171="Oligopoly",5,IF(Z171="Duopoly that cooperate",10,IF(Z171="Duopoly that compete",5,IF(Z171="Too many players with High ROCE",5,0)))))</f>
        <v/>
      </c>
      <c r="AB171" s="30" t="inlineStr">
        <is>
          <t>No</t>
        </is>
      </c>
      <c r="AC171" s="30">
        <f>IF(AB171="No",5,0)</f>
        <v/>
      </c>
      <c r="AD171" s="30" t="inlineStr">
        <is>
          <t>Tailwind</t>
        </is>
      </c>
      <c r="AE171" s="30">
        <f>IF(AD171="Tailwind",10,0)</f>
        <v/>
      </c>
      <c r="AF171" s="30" t="inlineStr">
        <is>
          <t>Structural (10 Years Consistency)</t>
        </is>
      </c>
      <c r="AG171" s="30">
        <f>IF(AF171="Structural (10 Years Consistency)",10,IF(AF171="Shallow Cyclical (2 to 3 years growth)",5,0))</f>
        <v/>
      </c>
      <c r="AH171" s="30" t="inlineStr">
        <is>
          <t>No</t>
        </is>
      </c>
      <c r="AI171" s="30">
        <f>IF(AH171="Yes due to Product Mix change or Operating Leverage",10,IF(AH171="Yes, these are peak margins",-5,IF(AH171="No",5,0)))</f>
        <v/>
      </c>
      <c r="AJ171" s="30" t="inlineStr">
        <is>
          <t>Stable</t>
        </is>
      </c>
      <c r="AK171" s="30">
        <f>IF(AJ171="Stable",10,0)</f>
        <v/>
      </c>
      <c r="AL171" s="30" t="inlineStr">
        <is>
          <t>Yes</t>
        </is>
      </c>
      <c r="AM171" s="30">
        <f>IF(AL171="Yes",10,0)</f>
        <v/>
      </c>
      <c r="AN171" s="30" t="inlineStr">
        <is>
          <t>B2B</t>
        </is>
      </c>
      <c r="AO171" s="30">
        <f>IF(AN171="B2C",10,IF(AN171="B2B",5,0))</f>
        <v/>
      </c>
      <c r="AP171" s="30" t="inlineStr">
        <is>
          <t>Yes</t>
        </is>
      </c>
      <c r="AQ171" s="30">
        <f>IF(AP171="Yes",10,0)</f>
        <v/>
      </c>
      <c r="AR171" s="30" t="inlineStr">
        <is>
          <t>Higher One Time, Lower Annuity</t>
        </is>
      </c>
      <c r="AS171" s="30">
        <f>IF(AR171="Fully Annuity",10,IF(AR171="Higher Annuity, Lower One Time",5,IF(AR171="Higher One Time, Lower Annuity",3,0)))</f>
        <v/>
      </c>
      <c r="AT171" s="30" t="inlineStr">
        <is>
          <t>Good</t>
        </is>
      </c>
      <c r="AU171" s="30">
        <f>IF(AT171="Good",10,0)</f>
        <v/>
      </c>
      <c r="AV171" s="30" t="inlineStr">
        <is>
          <t>Yes for more than 2 years</t>
        </is>
      </c>
      <c r="AW171" s="30">
        <f>IF(AV171="Yes for more than 2 years",10,IF(AV171="Yes only for next 1 to 2 years",5,0))</f>
        <v/>
      </c>
      <c r="AX171" s="30" t="inlineStr">
        <is>
          <t>20 to 40</t>
        </is>
      </c>
      <c r="AY171" s="30">
        <f>IF(AX171="Above 40",20,IF(AX171="20 to 40",10,IF(AX171="0 to 20",-5,0)))</f>
        <v/>
      </c>
      <c r="AZ171" s="30" t="inlineStr">
        <is>
          <t>Between 50 to 75</t>
        </is>
      </c>
      <c r="BA171" s="30">
        <f>IF(AZ171="Between 50 to 75",10,IF(AZ171="Above 75",0,0))</f>
        <v/>
      </c>
      <c r="BB171" s="30" t="inlineStr">
        <is>
          <t>Stage 2</t>
        </is>
      </c>
      <c r="BC171" s="30">
        <f>IF(BB171="Stage 2",20,IF(BB171="Stage 1",0,IF(BB171="Stage 3",5,IF(BB171="Stage 4",-5,0))))</f>
        <v/>
      </c>
      <c r="BD171" s="30" t="inlineStr">
        <is>
          <t>Positive Trend</t>
        </is>
      </c>
      <c r="BE171" s="30">
        <f>IF(BD171="Positive Trend",20,IF(BD171="Negative Trend",-10,0))</f>
        <v/>
      </c>
      <c r="BF171" s="30" t="inlineStr">
        <is>
          <t>Uptrend</t>
        </is>
      </c>
      <c r="BG171" s="30">
        <f>IF(BF171="Uptrend",10,IF(BF171="Sideways",5,0))</f>
        <v/>
      </c>
      <c r="BH171" s="30" t="inlineStr">
        <is>
          <t>Uptrend</t>
        </is>
      </c>
      <c r="BI171" s="30">
        <f>IF(BH171="Uptrend",10,IF(BH171="Sideways",5,0))</f>
        <v/>
      </c>
      <c r="BJ171" s="30" t="inlineStr">
        <is>
          <t>Blue sky scenario</t>
        </is>
      </c>
      <c r="BK171" s="30">
        <f>IF(BJ171="Overhead supply in last 2 years in last 2 years",-5,IF(BJ171="Close to 52 week high or retracement",5,IF(BJ171="Blue sky scenario",10,IF(BJ171="Long term Downtrend",-10,0))))</f>
        <v/>
      </c>
      <c r="BL171" s="30" t="inlineStr">
        <is>
          <t>Yes</t>
        </is>
      </c>
      <c r="BM171" s="30">
        <f>IF(BL171="Yes",10,0)</f>
        <v/>
      </c>
      <c r="BN171" s="30" t="inlineStr">
        <is>
          <t>Less than 12%</t>
        </is>
      </c>
      <c r="BO171" s="30">
        <f>IF(BN171="More than 20%",10,IF(BN171="Between 12 to 20%",5,IF(BN171="Less than 12%",0,0)))</f>
        <v/>
      </c>
      <c r="BP171" s="30" t="inlineStr">
        <is>
          <t>No</t>
        </is>
      </c>
      <c r="BQ171" s="30">
        <f>IF(BP171="No",10,0)</f>
        <v/>
      </c>
      <c r="BR171" s="30" t="inlineStr">
        <is>
          <t>No</t>
        </is>
      </c>
      <c r="BS171" s="30">
        <f>IF(BR171="NO",5,0)</f>
        <v/>
      </c>
      <c r="BT171" s="30" t="inlineStr">
        <is>
          <t>Above 2</t>
        </is>
      </c>
      <c r="BU171" s="30">
        <f>IF(BT171="Above 2",0,IF(BT171="Between 1.5 to 2",5,IF(BT171="Less than 1.5",10,0)))</f>
        <v/>
      </c>
      <c r="BV171" s="30" t="inlineStr">
        <is>
          <t>Above 70%</t>
        </is>
      </c>
      <c r="BW171" s="30">
        <f>IF(BV171="Above 70%",10,IF(BV171="Between 50% to 70%",5,IF(BV171="Less than 50%",0,IF(BV171="Negative",-10,IF(BV171="Less than 50% and Borrowings are increasing",-5,0)))))</f>
        <v/>
      </c>
      <c r="BX171" s="30" t="inlineStr">
        <is>
          <t>Less than 0.7</t>
        </is>
      </c>
      <c r="BY171" s="30">
        <f>IF(BX171="More than 1.2",-10,IF(BX171="Between 0.7 to 1.2",0,IF(BX171="Less than 0.7",10,0)))</f>
        <v/>
      </c>
      <c r="BZ171" s="30" t="inlineStr">
        <is>
          <t>No</t>
        </is>
      </c>
      <c r="CA171" s="30">
        <f>IF(BZ171="Yes",-10,0)</f>
        <v/>
      </c>
      <c r="CB171" s="30" t="inlineStr">
        <is>
          <t>Less than 15%</t>
        </is>
      </c>
      <c r="CC171" s="30">
        <f>IF(CB171="More than 15%",-10,IF(CB171="Less than 15%",10,0))</f>
        <v/>
      </c>
      <c r="CD171" s="30" t="inlineStr">
        <is>
          <t>No</t>
        </is>
      </c>
      <c r="CE171" s="30">
        <f>IF(CD171="Yes, more than 10%",-10,IF(CD171="No",10,0))</f>
        <v/>
      </c>
    </row>
    <row r="172">
      <c r="A172" s="30">
        <f>IF(B172=0,"",RANK(B172,$B$2:$B$331,0))</f>
        <v/>
      </c>
      <c r="B172" s="31">
        <f>SUM(N172,Y172,AA172,AC172,AE172,AG172,AI172,AK172,AM172,AO172,AQ172,AS172,AU172,AW172,AY172,BA172,BC172,BE172,BG172,BI172,BK172,BM172,BO172,BQ172,BS172,BU172,BW172,BY172,CA172,CC172,CE172)</f>
        <v/>
      </c>
      <c r="C172" s="30" t="inlineStr">
        <is>
          <t>EXICOM</t>
        </is>
      </c>
      <c r="D172" s="30" t="inlineStr">
        <is>
          <t>Exicom Tele-Systems Ltd</t>
        </is>
      </c>
      <c r="E172" s="30" t="inlineStr">
        <is>
          <t>industrials</t>
        </is>
      </c>
      <c r="F172" s="30" t="inlineStr">
        <is>
          <t>electric equipment</t>
        </is>
      </c>
      <c r="G172" s="30" t="inlineStr">
        <is>
          <t>smallcap</t>
        </is>
      </c>
      <c r="H172" s="31" t="n">
        <v>2509.28</v>
      </c>
      <c r="I172" s="31" t="n">
        <v>176.73</v>
      </c>
      <c r="J172" s="31" t="n">
        <v>-2.05</v>
      </c>
      <c r="K172" s="31" t="n">
        <v>1218667</v>
      </c>
      <c r="L172" s="30" t="n">
        <v>45</v>
      </c>
      <c r="M172" s="30" t="inlineStr">
        <is>
          <t>Outperforming</t>
        </is>
      </c>
      <c r="N172" s="31">
        <f>IF(M172="Underperforming",-5,IF(L172&gt;=95,15,IF(L172&gt;=90,10,IF(L172&gt;=80,5,0))))</f>
        <v/>
      </c>
      <c r="O172" s="31" t="n">
        <v>62.86</v>
      </c>
      <c r="P172" s="31" t="n">
        <v>38.63</v>
      </c>
      <c r="Q172" s="31" t="n">
        <v>117.98</v>
      </c>
      <c r="R172" s="30" t="inlineStr">
        <is>
          <t>Near 52W High Breakout</t>
        </is>
      </c>
      <c r="S172" s="30" t="inlineStr">
        <is>
          <t>Nifty 50</t>
        </is>
      </c>
      <c r="T172" s="31" t="n">
        <v>-6.52</v>
      </c>
      <c r="U172" s="31" t="n">
        <v>22</v>
      </c>
      <c r="V172" s="31" t="n">
        <v>30.5</v>
      </c>
      <c r="W172" s="31" t="n">
        <v>13.72</v>
      </c>
      <c r="X172" s="30" t="inlineStr">
        <is>
          <t>Cyclical in an Upturn</t>
        </is>
      </c>
      <c r="Y172" s="30">
        <f>IF(X172="Growing Industry",10,IF(X172="Cyclical in an Upturn",5,0))</f>
        <v/>
      </c>
      <c r="Z172" s="30" t="inlineStr">
        <is>
          <t>Too Many Players with High ROCE</t>
        </is>
      </c>
      <c r="AA172" s="30">
        <f>IF(Z172="Monopoly",10,IF(Z172="Oligopoly",5,IF(Z172="Duopoly that cooperate",10,IF(Z172="Duopoly that compete",5,IF(Z172="Too many players with High ROCE",5,0)))))</f>
        <v/>
      </c>
      <c r="AB172" s="30" t="inlineStr">
        <is>
          <t>No</t>
        </is>
      </c>
      <c r="AC172" s="30">
        <f>IF(AB172="No",5,0)</f>
        <v/>
      </c>
      <c r="AD172" s="30" t="inlineStr">
        <is>
          <t>Tailwind</t>
        </is>
      </c>
      <c r="AE172" s="30">
        <f>IF(AD172="Tailwind",10,0)</f>
        <v/>
      </c>
      <c r="AF172" s="30" t="inlineStr">
        <is>
          <t>Structural (10 Years Consistency)</t>
        </is>
      </c>
      <c r="AG172" s="30">
        <f>IF(AF172="Structural (10 Years Consistency)",10,IF(AF172="Shallow Cyclical (2 to 3 years growth)",5,0))</f>
        <v/>
      </c>
      <c r="AH172" s="30" t="inlineStr">
        <is>
          <t>No</t>
        </is>
      </c>
      <c r="AI172" s="30">
        <f>IF(AH172="Yes due to Product Mix change or Operating Leverage",10,IF(AH172="Yes, these are peak margins",-5,IF(AH172="No",5,0)))</f>
        <v/>
      </c>
      <c r="AJ172" s="30" t="inlineStr">
        <is>
          <t>Stable</t>
        </is>
      </c>
      <c r="AK172" s="30">
        <f>IF(AJ172="Stable",10,0)</f>
        <v/>
      </c>
      <c r="AL172" s="30" t="inlineStr">
        <is>
          <t>Yes</t>
        </is>
      </c>
      <c r="AM172" s="30">
        <f>IF(AL172="Yes",10,0)</f>
        <v/>
      </c>
      <c r="AN172" s="30" t="inlineStr">
        <is>
          <t>B2B</t>
        </is>
      </c>
      <c r="AO172" s="30">
        <f>IF(AN172="B2C",10,IF(AN172="B2B",5,0))</f>
        <v/>
      </c>
      <c r="AP172" s="30" t="inlineStr">
        <is>
          <t>Yes</t>
        </is>
      </c>
      <c r="AQ172" s="30">
        <f>IF(AP172="Yes",10,0)</f>
        <v/>
      </c>
      <c r="AR172" s="30" t="inlineStr">
        <is>
          <t>Higher One Time, Lower Annuity</t>
        </is>
      </c>
      <c r="AS172" s="30">
        <f>IF(AR172="Fully Annuity",10,IF(AR172="Higher Annuity, Lower One Time",5,IF(AR172="Higher One Time, Lower Annuity",3,0)))</f>
        <v/>
      </c>
      <c r="AT172" s="30" t="inlineStr">
        <is>
          <t>Good</t>
        </is>
      </c>
      <c r="AU172" s="30">
        <f>IF(AT172="Good",10,0)</f>
        <v/>
      </c>
      <c r="AV172" s="30" t="inlineStr">
        <is>
          <t>Yes for more than 2 years</t>
        </is>
      </c>
      <c r="AW172" s="30">
        <f>IF(AV172="Yes for more than 2 years",10,IF(AV172="Yes only for next 1 to 2 years",5,0))</f>
        <v/>
      </c>
      <c r="AX172" s="30" t="inlineStr">
        <is>
          <t>20 to 40</t>
        </is>
      </c>
      <c r="AY172" s="30">
        <f>IF(AX172="Above 40",20,IF(AX172="20 to 40",10,IF(AX172="0 to 20",-5,0)))</f>
        <v/>
      </c>
      <c r="AZ172" s="30" t="inlineStr">
        <is>
          <t>Between 50 to 75</t>
        </is>
      </c>
      <c r="BA172" s="30">
        <f>IF(AZ172="Between 50 to 75",10,IF(AZ172="Above 75",0,0))</f>
        <v/>
      </c>
      <c r="BB172" s="30" t="inlineStr">
        <is>
          <t>Stage 2</t>
        </is>
      </c>
      <c r="BC172" s="30">
        <f>IF(BB172="Stage 2",20,IF(BB172="Stage 1",0,IF(BB172="Stage 3",5,IF(BB172="Stage 4",-5,0))))</f>
        <v/>
      </c>
      <c r="BD172" s="30" t="inlineStr">
        <is>
          <t>Positive Trend</t>
        </is>
      </c>
      <c r="BE172" s="30">
        <f>IF(BD172="Positive Trend",20,IF(BD172="Negative Trend",-10,0))</f>
        <v/>
      </c>
      <c r="BF172" s="30" t="inlineStr">
        <is>
          <t>Uptrend</t>
        </is>
      </c>
      <c r="BG172" s="30">
        <f>IF(BF172="Uptrend",10,IF(BF172="Sideways",5,0))</f>
        <v/>
      </c>
      <c r="BH172" s="30" t="inlineStr">
        <is>
          <t>Uptrend</t>
        </is>
      </c>
      <c r="BI172" s="30">
        <f>IF(BH172="Uptrend",10,IF(BH172="Sideways",5,0))</f>
        <v/>
      </c>
      <c r="BJ172" s="30" t="inlineStr">
        <is>
          <t>Close to 52 week high or retracement</t>
        </is>
      </c>
      <c r="BK172" s="30">
        <f>IF(BJ172="Overhead supply in last 2 years in last 2 years",-5,IF(BJ172="Close to 52 week high or retracement",5,IF(BJ172="Blue sky scenario",10,IF(BJ172="Long term Downtrend",-10,0))))</f>
        <v/>
      </c>
      <c r="BL172" s="30" t="inlineStr">
        <is>
          <t>Yes</t>
        </is>
      </c>
      <c r="BM172" s="30">
        <f>IF(BL172="Yes",10,0)</f>
        <v/>
      </c>
      <c r="BN172" s="30" t="inlineStr">
        <is>
          <t>More than 20%</t>
        </is>
      </c>
      <c r="BO172" s="30">
        <f>IF(BN172="More than 20%",10,IF(BN172="Between 12 to 20%",5,IF(BN172="Less than 12%",0,0)))</f>
        <v/>
      </c>
      <c r="BP172" s="30" t="inlineStr">
        <is>
          <t>No</t>
        </is>
      </c>
      <c r="BQ172" s="30">
        <f>IF(BP172="No",10,0)</f>
        <v/>
      </c>
      <c r="BR172" s="30" t="inlineStr">
        <is>
          <t>No</t>
        </is>
      </c>
      <c r="BS172" s="30">
        <f>IF(BR172="NO",5,0)</f>
        <v/>
      </c>
      <c r="BT172" s="30" t="inlineStr">
        <is>
          <t>Less than 1.5</t>
        </is>
      </c>
      <c r="BU172" s="30">
        <f>IF(BT172="Above 2",0,IF(BT172="Between 1.5 to 2",5,IF(BT172="Less than 1.5",10,0)))</f>
        <v/>
      </c>
      <c r="BV172" s="30" t="inlineStr">
        <is>
          <t>Above 70%</t>
        </is>
      </c>
      <c r="BW172" s="30">
        <f>IF(BV172="Above 70%",10,IF(BV172="Between 50% to 70%",5,IF(BV172="Less than 50%",0,IF(BV172="Negative",-10,IF(BV172="Less than 50% and Borrowings are increasing",-5,0)))))</f>
        <v/>
      </c>
      <c r="BX172" s="30" t="inlineStr">
        <is>
          <t>Between 0.7 to 1.2</t>
        </is>
      </c>
      <c r="BY172" s="30">
        <f>IF(BX172="More than 1.2",-10,IF(BX172="Between 0.7 to 1.2",0,IF(BX172="Less than 0.7",10,0)))</f>
        <v/>
      </c>
      <c r="BZ172" s="30" t="inlineStr">
        <is>
          <t>No</t>
        </is>
      </c>
      <c r="CA172" s="30">
        <f>IF(BZ172="Yes",-10,0)</f>
        <v/>
      </c>
      <c r="CB172" s="30" t="inlineStr">
        <is>
          <t>Less than 15%</t>
        </is>
      </c>
      <c r="CC172" s="30">
        <f>IF(CB172="More than 15%",-10,IF(CB172="Less than 15%",10,0))</f>
        <v/>
      </c>
      <c r="CD172" s="30" t="inlineStr">
        <is>
          <t>No</t>
        </is>
      </c>
      <c r="CE172" s="30">
        <f>IF(CD172="Yes, more than 10%",-10,IF(CD172="No",10,0))</f>
        <v/>
      </c>
    </row>
    <row r="173">
      <c r="A173" s="30">
        <f>IF(B173=0,"",RANK(B173,$B$2:$B$331,0))</f>
        <v/>
      </c>
      <c r="B173" s="31">
        <f>SUM(N173,Y173,AA173,AC173,AE173,AG173,AI173,AK173,AM173,AO173,AQ173,AS173,AU173,AW173,AY173,BA173,BC173,BE173,BG173,BI173,BK173,BM173,BO173,BQ173,BS173,BU173,BW173,BY173,CA173,CC173,CE173)</f>
        <v/>
      </c>
      <c r="C173" s="30" t="inlineStr">
        <is>
          <t>SHAILY</t>
        </is>
      </c>
      <c r="D173" s="30" t="inlineStr">
        <is>
          <t>Shaily Engineering Plastics Ltd</t>
        </is>
      </c>
      <c r="E173" s="30" t="inlineStr">
        <is>
          <t>plastic products</t>
        </is>
      </c>
      <c r="F173" s="30" t="inlineStr">
        <is>
          <t>plastics products</t>
        </is>
      </c>
      <c r="G173" s="30" t="inlineStr">
        <is>
          <t>midcap</t>
        </is>
      </c>
      <c r="H173" s="31" t="n">
        <v>15891.36</v>
      </c>
      <c r="I173" s="31" t="n">
        <v>3383.2</v>
      </c>
      <c r="J173" s="31" t="n">
        <v>-2.08</v>
      </c>
      <c r="K173" s="31" t="n">
        <v>102807</v>
      </c>
      <c r="L173" s="30" t="n">
        <v>46</v>
      </c>
      <c r="M173" s="30" t="inlineStr">
        <is>
          <t>Outperforming</t>
        </is>
      </c>
      <c r="N173" s="31">
        <f>IF(M173="Underperforming",-5,IF(L173&gt;=95,15,IF(L173&gt;=90,10,IF(L173&gt;=80,5,0))))</f>
        <v/>
      </c>
      <c r="O173" s="31" t="n">
        <v>69.03</v>
      </c>
      <c r="P173" s="31" t="n">
        <v>30.09</v>
      </c>
      <c r="Q173" s="31" t="n">
        <v>2575.48</v>
      </c>
      <c r="R173" s="30" t="inlineStr">
        <is>
          <t>Near 52W High Breakout</t>
        </is>
      </c>
      <c r="S173" s="30" t="inlineStr">
        <is>
          <t>Nifty 50</t>
        </is>
      </c>
      <c r="T173" s="31" t="n">
        <v>-6.52</v>
      </c>
      <c r="U173" s="31" t="n">
        <v>50.55</v>
      </c>
      <c r="V173" s="31" t="n">
        <v>61.04</v>
      </c>
      <c r="W173" s="31" t="n">
        <v>13.82</v>
      </c>
      <c r="X173" s="30" t="inlineStr">
        <is>
          <t>Growing Industry</t>
        </is>
      </c>
      <c r="Y173" s="30">
        <f>IF(X173="Growing Industry",10,IF(X173="Cyclical in an Upturn",5,0))</f>
        <v/>
      </c>
      <c r="Z173" s="30" t="inlineStr">
        <is>
          <t>Too Many Players with High ROCE</t>
        </is>
      </c>
      <c r="AA173" s="30">
        <f>IF(Z173="Monopoly",10,IF(Z173="Oligopoly",5,IF(Z173="Duopoly that cooperate",10,IF(Z173="Duopoly that compete",5,IF(Z173="Too many players with High ROCE",5,0)))))</f>
        <v/>
      </c>
      <c r="AB173" s="30" t="inlineStr">
        <is>
          <t>No</t>
        </is>
      </c>
      <c r="AC173" s="30">
        <f>IF(AB173="No",5,0)</f>
        <v/>
      </c>
      <c r="AD173" s="30" t="inlineStr">
        <is>
          <t>Tailwind</t>
        </is>
      </c>
      <c r="AE173" s="30">
        <f>IF(AD173="Tailwind",10,0)</f>
        <v/>
      </c>
      <c r="AF173" s="30" t="inlineStr">
        <is>
          <t>Structural (10 Years Consistency)</t>
        </is>
      </c>
      <c r="AG173" s="30">
        <f>IF(AF173="Structural (10 Years Consistency)",10,IF(AF173="Shallow Cyclical (2 to 3 years growth)",5,0))</f>
        <v/>
      </c>
      <c r="AH173" s="30" t="inlineStr">
        <is>
          <t>No</t>
        </is>
      </c>
      <c r="AI173" s="30">
        <f>IF(AH173="Yes due to Product Mix change or Operating Leverage",10,IF(AH173="Yes, these are peak margins",-5,IF(AH173="No",5,0)))</f>
        <v/>
      </c>
      <c r="AJ173" s="30" t="inlineStr">
        <is>
          <t>Stable</t>
        </is>
      </c>
      <c r="AK173" s="30">
        <f>IF(AJ173="Stable",10,0)</f>
        <v/>
      </c>
      <c r="AL173" s="30" t="inlineStr">
        <is>
          <t>Yes</t>
        </is>
      </c>
      <c r="AM173" s="30">
        <f>IF(AL173="Yes",10,0)</f>
        <v/>
      </c>
      <c r="AN173" s="30" t="inlineStr">
        <is>
          <t>B2B</t>
        </is>
      </c>
      <c r="AO173" s="30">
        <f>IF(AN173="B2C",10,IF(AN173="B2B",5,0))</f>
        <v/>
      </c>
      <c r="AP173" s="30" t="inlineStr">
        <is>
          <t>Yes</t>
        </is>
      </c>
      <c r="AQ173" s="30">
        <f>IF(AP173="Yes",10,0)</f>
        <v/>
      </c>
      <c r="AR173" s="30" t="inlineStr">
        <is>
          <t>Higher One Time, Lower Annuity</t>
        </is>
      </c>
      <c r="AS173" s="30">
        <f>IF(AR173="Fully Annuity",10,IF(AR173="Higher Annuity, Lower One Time",5,IF(AR173="Higher One Time, Lower Annuity",3,0)))</f>
        <v/>
      </c>
      <c r="AT173" s="30" t="inlineStr">
        <is>
          <t>Good</t>
        </is>
      </c>
      <c r="AU173" s="30">
        <f>IF(AT173="Good",10,0)</f>
        <v/>
      </c>
      <c r="AV173" s="30" t="inlineStr">
        <is>
          <t>Yes for more than 2 years</t>
        </is>
      </c>
      <c r="AW173" s="30">
        <f>IF(AV173="Yes for more than 2 years",10,IF(AV173="Yes only for next 1 to 2 years",5,0))</f>
        <v/>
      </c>
      <c r="AX173" s="30" t="inlineStr">
        <is>
          <t>20 to 40</t>
        </is>
      </c>
      <c r="AY173" s="30">
        <f>IF(AX173="Above 40",20,IF(AX173="20 to 40",10,IF(AX173="0 to 20",-5,0)))</f>
        <v/>
      </c>
      <c r="AZ173" s="30" t="inlineStr">
        <is>
          <t>Between 50 to 75</t>
        </is>
      </c>
      <c r="BA173" s="30">
        <f>IF(AZ173="Between 50 to 75",10,IF(AZ173="Above 75",0,0))</f>
        <v/>
      </c>
      <c r="BB173" s="30" t="inlineStr">
        <is>
          <t>Stage 2</t>
        </is>
      </c>
      <c r="BC173" s="30">
        <f>IF(BB173="Stage 2",20,IF(BB173="Stage 1",0,IF(BB173="Stage 3",5,IF(BB173="Stage 4",-5,0))))</f>
        <v/>
      </c>
      <c r="BD173" s="30" t="inlineStr">
        <is>
          <t>Positive Trend</t>
        </is>
      </c>
      <c r="BE173" s="30">
        <f>IF(BD173="Positive Trend",20,IF(BD173="Negative Trend",-10,0))</f>
        <v/>
      </c>
      <c r="BF173" s="30" t="inlineStr">
        <is>
          <t>Uptrend</t>
        </is>
      </c>
      <c r="BG173" s="30">
        <f>IF(BF173="Uptrend",10,IF(BF173="Sideways",5,0))</f>
        <v/>
      </c>
      <c r="BH173" s="30" t="inlineStr">
        <is>
          <t>Uptrend</t>
        </is>
      </c>
      <c r="BI173" s="30">
        <f>IF(BH173="Uptrend",10,IF(BH173="Sideways",5,0))</f>
        <v/>
      </c>
      <c r="BJ173" s="30" t="inlineStr">
        <is>
          <t>Blue sky scenario</t>
        </is>
      </c>
      <c r="BK173" s="30">
        <f>IF(BJ173="Overhead supply in last 2 years in last 2 years",-5,IF(BJ173="Close to 52 week high or retracement",5,IF(BJ173="Blue sky scenario",10,IF(BJ173="Long term Downtrend",-10,0))))</f>
        <v/>
      </c>
      <c r="BL173" s="30" t="inlineStr">
        <is>
          <t>Yes</t>
        </is>
      </c>
      <c r="BM173" s="30">
        <f>IF(BL173="Yes",10,0)</f>
        <v/>
      </c>
      <c r="BN173" s="30" t="inlineStr">
        <is>
          <t>Between 12 to 20%</t>
        </is>
      </c>
      <c r="BO173" s="30">
        <f>IF(BN173="More than 20%",10,IF(BN173="Between 12 to 20%",5,IF(BN173="Less than 12%",0,0)))</f>
        <v/>
      </c>
      <c r="BP173" s="30" t="inlineStr">
        <is>
          <t>No</t>
        </is>
      </c>
      <c r="BQ173" s="30">
        <f>IF(BP173="No",10,0)</f>
        <v/>
      </c>
      <c r="BR173" s="30" t="inlineStr">
        <is>
          <t>Yes</t>
        </is>
      </c>
      <c r="BS173" s="30">
        <f>IF(BR173="NO",5,0)</f>
        <v/>
      </c>
      <c r="BT173" s="30" t="inlineStr">
        <is>
          <t>Above 2</t>
        </is>
      </c>
      <c r="BU173" s="30">
        <f>IF(BT173="Above 2",0,IF(BT173="Between 1.5 to 2",5,IF(BT173="Less than 1.5",10,0)))</f>
        <v/>
      </c>
      <c r="BV173" s="30" t="inlineStr">
        <is>
          <t>Above 70%</t>
        </is>
      </c>
      <c r="BW173" s="30">
        <f>IF(BV173="Above 70%",10,IF(BV173="Between 50% to 70%",5,IF(BV173="Less than 50%",0,IF(BV173="Negative",-10,IF(BV173="Less than 50% and Borrowings are increasing",-5,0)))))</f>
        <v/>
      </c>
      <c r="BX173" s="30" t="inlineStr">
        <is>
          <t>Less than 0.7</t>
        </is>
      </c>
      <c r="BY173" s="30">
        <f>IF(BX173="More than 1.2",-10,IF(BX173="Between 0.7 to 1.2",0,IF(BX173="Less than 0.7",10,0)))</f>
        <v/>
      </c>
      <c r="BZ173" s="30" t="inlineStr">
        <is>
          <t>No</t>
        </is>
      </c>
      <c r="CA173" s="30">
        <f>IF(BZ173="Yes",-10,0)</f>
        <v/>
      </c>
      <c r="CB173" s="30" t="inlineStr">
        <is>
          <t>Less than 15%</t>
        </is>
      </c>
      <c r="CC173" s="30">
        <f>IF(CB173="More than 15%",-10,IF(CB173="Less than 15%",10,0))</f>
        <v/>
      </c>
      <c r="CD173" s="30" t="inlineStr">
        <is>
          <t>No</t>
        </is>
      </c>
      <c r="CE173" s="30">
        <f>IF(CD173="Yes, more than 10%",-10,IF(CD173="No",10,0))</f>
        <v/>
      </c>
    </row>
    <row r="174">
      <c r="A174" s="30">
        <f>IF(B174=0,"",RANK(B174,$B$2:$B$331,0))</f>
        <v/>
      </c>
      <c r="B174" s="31">
        <f>SUM(N174,Y174,AA174,AC174,AE174,AG174,AI174,AK174,AM174,AO174,AQ174,AS174,AU174,AW174,AY174,BA174,BC174,BE174,BG174,BI174,BK174,BM174,BO174,BQ174,BS174,BU174,BW174,BY174,CA174,CC174,CE174)</f>
        <v/>
      </c>
      <c r="C174" s="30" t="inlineStr">
        <is>
          <t>NRAIL</t>
        </is>
      </c>
      <c r="D174" s="30" t="inlineStr">
        <is>
          <t>N R Agarwal Industries Ltd</t>
        </is>
      </c>
      <c r="E174" s="30" t="inlineStr">
        <is>
          <t>building materials</t>
        </is>
      </c>
      <c r="F174" s="30" t="inlineStr">
        <is>
          <t>paper</t>
        </is>
      </c>
      <c r="G174" s="30" t="inlineStr">
        <is>
          <t>smallcap</t>
        </is>
      </c>
      <c r="H174" s="31" t="n">
        <v>1040.21</v>
      </c>
      <c r="I174" s="31" t="n">
        <v>595.3</v>
      </c>
      <c r="J174" s="31" t="n">
        <v>-2.6</v>
      </c>
      <c r="K174" s="31" t="n">
        <v>39747</v>
      </c>
      <c r="L174" s="30" t="n">
        <v>58</v>
      </c>
      <c r="M174" s="30" t="inlineStr">
        <is>
          <t>Outperforming</t>
        </is>
      </c>
      <c r="N174" s="31">
        <f>IF(M174="Underperforming",-5,IF(L174&gt;=95,15,IF(L174&gt;=90,10,IF(L174&gt;=80,5,0))))</f>
        <v/>
      </c>
      <c r="O174" s="31" t="n">
        <v>66.43000000000001</v>
      </c>
      <c r="P174" s="31" t="n">
        <v>32.21</v>
      </c>
      <c r="Q174" s="31" t="n">
        <v>431.88</v>
      </c>
      <c r="R174" s="30" t="inlineStr">
        <is>
          <t>Volume Spike &amp; Near 52W High Breakout</t>
        </is>
      </c>
      <c r="S174" s="30" t="inlineStr">
        <is>
          <t>Nifty Infra</t>
        </is>
      </c>
      <c r="T174" s="31" t="n">
        <v>0.74</v>
      </c>
      <c r="U174" s="31" t="n">
        <v>73.59</v>
      </c>
      <c r="V174" s="31" t="n">
        <v>72.31999999999999</v>
      </c>
      <c r="W174" s="31" t="n">
        <v>18.22</v>
      </c>
      <c r="X174" s="30" t="inlineStr">
        <is>
          <t>Growing Industry</t>
        </is>
      </c>
      <c r="Y174" s="30">
        <f>IF(X174="Growing Industry",10,IF(X174="Cyclical in an Upturn",5,0))</f>
        <v/>
      </c>
      <c r="Z174" s="30" t="inlineStr">
        <is>
          <t>Too Many Players with High ROCE</t>
        </is>
      </c>
      <c r="AA174" s="30">
        <f>IF(Z174="Monopoly",10,IF(Z174="Oligopoly",5,IF(Z174="Duopoly that cooperate",10,IF(Z174="Duopoly that compete",5,IF(Z174="Too many players with High ROCE",5,0)))))</f>
        <v/>
      </c>
      <c r="AB174" s="30" t="inlineStr">
        <is>
          <t>No</t>
        </is>
      </c>
      <c r="AC174" s="30">
        <f>IF(AB174="No",5,0)</f>
        <v/>
      </c>
      <c r="AD174" s="30" t="inlineStr">
        <is>
          <t>Tailwind</t>
        </is>
      </c>
      <c r="AE174" s="30">
        <f>IF(AD174="Tailwind",10,0)</f>
        <v/>
      </c>
      <c r="AF174" s="30" t="inlineStr">
        <is>
          <t>Structural (10 Years Consistency)</t>
        </is>
      </c>
      <c r="AG174" s="30">
        <f>IF(AF174="Structural (10 Years Consistency)",10,IF(AF174="Shallow Cyclical (2 to 3 years growth)",5,0))</f>
        <v/>
      </c>
      <c r="AH174" s="30" t="inlineStr">
        <is>
          <t>No</t>
        </is>
      </c>
      <c r="AI174" s="30">
        <f>IF(AH174="Yes due to Product Mix change or Operating Leverage",10,IF(AH174="Yes, these are peak margins",-5,IF(AH174="No",5,0)))</f>
        <v/>
      </c>
      <c r="AJ174" s="30" t="inlineStr">
        <is>
          <t>Stable</t>
        </is>
      </c>
      <c r="AK174" s="30">
        <f>IF(AJ174="Stable",10,0)</f>
        <v/>
      </c>
      <c r="AL174" s="30" t="inlineStr">
        <is>
          <t>Yes</t>
        </is>
      </c>
      <c r="AM174" s="30">
        <f>IF(AL174="Yes",10,0)</f>
        <v/>
      </c>
      <c r="AN174" s="30" t="inlineStr">
        <is>
          <t>B2B</t>
        </is>
      </c>
      <c r="AO174" s="30">
        <f>IF(AN174="B2C",10,IF(AN174="B2B",5,0))</f>
        <v/>
      </c>
      <c r="AP174" s="30" t="inlineStr">
        <is>
          <t>Yes</t>
        </is>
      </c>
      <c r="AQ174" s="30">
        <f>IF(AP174="Yes",10,0)</f>
        <v/>
      </c>
      <c r="AR174" s="30" t="inlineStr">
        <is>
          <t>Higher One Time, Lower Annuity</t>
        </is>
      </c>
      <c r="AS174" s="30">
        <f>IF(AR174="Fully Annuity",10,IF(AR174="Higher Annuity, Lower One Time",5,IF(AR174="Higher One Time, Lower Annuity",3,0)))</f>
        <v/>
      </c>
      <c r="AT174" s="30" t="inlineStr">
        <is>
          <t>Good</t>
        </is>
      </c>
      <c r="AU174" s="30">
        <f>IF(AT174="Good",10,0)</f>
        <v/>
      </c>
      <c r="AV174" s="30" t="inlineStr">
        <is>
          <t>Yes for more than 2 years</t>
        </is>
      </c>
      <c r="AW174" s="30">
        <f>IF(AV174="Yes for more than 2 years",10,IF(AV174="Yes only for next 1 to 2 years",5,0))</f>
        <v/>
      </c>
      <c r="AX174" s="30" t="inlineStr">
        <is>
          <t>20 to 40</t>
        </is>
      </c>
      <c r="AY174" s="30">
        <f>IF(AX174="Above 40",20,IF(AX174="20 to 40",10,IF(AX174="0 to 20",-5,0)))</f>
        <v/>
      </c>
      <c r="AZ174" s="30" t="inlineStr">
        <is>
          <t>Between 50 to 75</t>
        </is>
      </c>
      <c r="BA174" s="30">
        <f>IF(AZ174="Between 50 to 75",10,IF(AZ174="Above 75",0,0))</f>
        <v/>
      </c>
      <c r="BB174" s="30" t="inlineStr">
        <is>
          <t>Stage 2</t>
        </is>
      </c>
      <c r="BC174" s="30">
        <f>IF(BB174="Stage 2",20,IF(BB174="Stage 1",0,IF(BB174="Stage 3",5,IF(BB174="Stage 4",-5,0))))</f>
        <v/>
      </c>
      <c r="BD174" s="30" t="inlineStr">
        <is>
          <t>Positive Trend</t>
        </is>
      </c>
      <c r="BE174" s="30">
        <f>IF(BD174="Positive Trend",20,IF(BD174="Negative Trend",-10,0))</f>
        <v/>
      </c>
      <c r="BF174" s="30" t="inlineStr">
        <is>
          <t>Uptrend</t>
        </is>
      </c>
      <c r="BG174" s="30">
        <f>IF(BF174="Uptrend",10,IF(BF174="Sideways",5,0))</f>
        <v/>
      </c>
      <c r="BH174" s="30" t="inlineStr">
        <is>
          <t>Uptrend</t>
        </is>
      </c>
      <c r="BI174" s="30">
        <f>IF(BH174="Uptrend",10,IF(BH174="Sideways",5,0))</f>
        <v/>
      </c>
      <c r="BJ174" s="30" t="inlineStr">
        <is>
          <t>Blue sky scenario</t>
        </is>
      </c>
      <c r="BK174" s="30">
        <f>IF(BJ174="Overhead supply in last 2 years in last 2 years",-5,IF(BJ174="Close to 52 week high or retracement",5,IF(BJ174="Blue sky scenario",10,IF(BJ174="Long term Downtrend",-10,0))))</f>
        <v/>
      </c>
      <c r="BL174" s="30" t="inlineStr">
        <is>
          <t>Yes</t>
        </is>
      </c>
      <c r="BM174" s="30">
        <f>IF(BL174="Yes",10,0)</f>
        <v/>
      </c>
      <c r="BN174" s="30" t="inlineStr">
        <is>
          <t>More than 20%</t>
        </is>
      </c>
      <c r="BO174" s="30">
        <f>IF(BN174="More than 20%",10,IF(BN174="Between 12 to 20%",5,IF(BN174="Less than 12%",0,0)))</f>
        <v/>
      </c>
      <c r="BP174" s="30" t="inlineStr">
        <is>
          <t>No</t>
        </is>
      </c>
      <c r="BQ174" s="30">
        <f>IF(BP174="No",10,0)</f>
        <v/>
      </c>
      <c r="BR174" s="30" t="inlineStr">
        <is>
          <t>No</t>
        </is>
      </c>
      <c r="BS174" s="30">
        <f>IF(BR174="NO",5,0)</f>
        <v/>
      </c>
      <c r="BT174" s="30" t="inlineStr">
        <is>
          <t>Above 2</t>
        </is>
      </c>
      <c r="BU174" s="30">
        <f>IF(BT174="Above 2",0,IF(BT174="Between 1.5 to 2",5,IF(BT174="Less than 1.5",10,0)))</f>
        <v/>
      </c>
      <c r="BV174" s="30" t="inlineStr">
        <is>
          <t>Above 70%</t>
        </is>
      </c>
      <c r="BW174" s="30">
        <f>IF(BV174="Above 70%",10,IF(BV174="Between 50% to 70%",5,IF(BV174="Less than 50%",0,IF(BV174="Negative",-10,IF(BV174="Less than 50% and Borrowings are increasing",-5,0)))))</f>
        <v/>
      </c>
      <c r="BX174" s="30" t="inlineStr">
        <is>
          <t>Between 0.7 to 1.2</t>
        </is>
      </c>
      <c r="BY174" s="30">
        <f>IF(BX174="More than 1.2",-10,IF(BX174="Between 0.7 to 1.2",0,IF(BX174="Less than 0.7",10,0)))</f>
        <v/>
      </c>
      <c r="BZ174" s="30" t="inlineStr">
        <is>
          <t>No</t>
        </is>
      </c>
      <c r="CA174" s="30">
        <f>IF(BZ174="Yes",-10,0)</f>
        <v/>
      </c>
      <c r="CB174" s="30" t="inlineStr">
        <is>
          <t>Less than 15%</t>
        </is>
      </c>
      <c r="CC174" s="30">
        <f>IF(CB174="More than 15%",-10,IF(CB174="Less than 15%",10,0))</f>
        <v/>
      </c>
      <c r="CD174" s="30" t="inlineStr">
        <is>
          <t>No</t>
        </is>
      </c>
      <c r="CE174" s="30">
        <f>IF(CD174="Yes, more than 10%",-10,IF(CD174="No",10,0))</f>
        <v/>
      </c>
    </row>
    <row r="175">
      <c r="A175" s="30">
        <f>IF(B175=0,"",RANK(B175,$B$2:$B$331,0))</f>
        <v/>
      </c>
      <c r="B175" s="31">
        <f>SUM(N175,Y175,AA175,AC175,AE175,AG175,AI175,AK175,AM175,AO175,AQ175,AS175,AU175,AW175,AY175,BA175,BC175,BE175,BG175,BI175,BK175,BM175,BO175,BQ175,BS175,BU175,BW175,BY175,CA175,CC175,CE175)</f>
        <v/>
      </c>
      <c r="C175" s="30" t="inlineStr">
        <is>
          <t>MTARTECH</t>
        </is>
      </c>
      <c r="D175" s="30" t="inlineStr">
        <is>
          <t>MTAR Technologies Ltd</t>
        </is>
      </c>
      <c r="E175" s="30" t="inlineStr">
        <is>
          <t>aerospace &amp; defence</t>
        </is>
      </c>
      <c r="F175" s="30" t="inlineStr">
        <is>
          <t>engineering</t>
        </is>
      </c>
      <c r="G175" s="30" t="inlineStr">
        <is>
          <t>largecap</t>
        </is>
      </c>
      <c r="H175" s="31" t="n">
        <v>23072.77</v>
      </c>
      <c r="I175" s="31" t="n">
        <v>7305</v>
      </c>
      <c r="J175" s="31" t="n">
        <v>-2.61</v>
      </c>
      <c r="K175" s="31" t="n">
        <v>66106</v>
      </c>
      <c r="L175" s="30" t="n">
        <v>90</v>
      </c>
      <c r="M175" s="30" t="inlineStr">
        <is>
          <t>Outperforming</t>
        </is>
      </c>
      <c r="N175" s="31">
        <f>IF(M175="Underperforming",-5,IF(L175&gt;=95,15,IF(L175&gt;=90,10,IF(L175&gt;=80,5,0))))</f>
        <v/>
      </c>
      <c r="O175" s="31" t="n">
        <v>62.06</v>
      </c>
      <c r="P175" s="31" t="n">
        <v>23.59</v>
      </c>
      <c r="Q175" s="31" t="n">
        <v>6107.36</v>
      </c>
      <c r="R175" s="30" t="inlineStr">
        <is>
          <t>Earnings / Momentum Support</t>
        </is>
      </c>
      <c r="S175" s="30" t="inlineStr">
        <is>
          <t>Nifty 50</t>
        </is>
      </c>
      <c r="T175" s="31" t="n">
        <v>-6.52</v>
      </c>
      <c r="U175" s="31" t="n">
        <v>335.21</v>
      </c>
      <c r="V175" s="31" t="n">
        <v>365.54</v>
      </c>
      <c r="W175" s="31" t="n">
        <v>39.91</v>
      </c>
      <c r="X175" s="30" t="inlineStr">
        <is>
          <t>Growing Industry</t>
        </is>
      </c>
      <c r="Y175" s="30">
        <f>IF(X175="Growing Industry",10,IF(X175="Cyclical in an Upturn",5,0))</f>
        <v/>
      </c>
      <c r="Z175" s="30" t="inlineStr">
        <is>
          <t>Too Many Players with High ROCE</t>
        </is>
      </c>
      <c r="AA175" s="30">
        <f>IF(Z175="Monopoly",10,IF(Z175="Oligopoly",5,IF(Z175="Duopoly that cooperate",10,IF(Z175="Duopoly that compete",5,IF(Z175="Too many players with High ROCE",5,0)))))</f>
        <v/>
      </c>
      <c r="AB175" s="30" t="inlineStr">
        <is>
          <t>No</t>
        </is>
      </c>
      <c r="AC175" s="30">
        <f>IF(AB175="No",5,0)</f>
        <v/>
      </c>
      <c r="AD175" s="30" t="inlineStr">
        <is>
          <t>Tailwind</t>
        </is>
      </c>
      <c r="AE175" s="30">
        <f>IF(AD175="Tailwind",10,0)</f>
        <v/>
      </c>
      <c r="AF175" s="30" t="inlineStr">
        <is>
          <t>Structural (10 Years Consistency)</t>
        </is>
      </c>
      <c r="AG175" s="30">
        <f>IF(AF175="Structural (10 Years Consistency)",10,IF(AF175="Shallow Cyclical (2 to 3 years growth)",5,0))</f>
        <v/>
      </c>
      <c r="AH175" s="30" t="inlineStr">
        <is>
          <t>No</t>
        </is>
      </c>
      <c r="AI175" s="30">
        <f>IF(AH175="Yes due to Product Mix change or Operating Leverage",10,IF(AH175="Yes, these are peak margins",-5,IF(AH175="No",5,0)))</f>
        <v/>
      </c>
      <c r="AJ175" s="30" t="inlineStr">
        <is>
          <t>Stable</t>
        </is>
      </c>
      <c r="AK175" s="30">
        <f>IF(AJ175="Stable",10,0)</f>
        <v/>
      </c>
      <c r="AL175" s="30" t="inlineStr">
        <is>
          <t>Yes</t>
        </is>
      </c>
      <c r="AM175" s="30">
        <f>IF(AL175="Yes",10,0)</f>
        <v/>
      </c>
      <c r="AN175" s="30" t="inlineStr">
        <is>
          <t>B2B</t>
        </is>
      </c>
      <c r="AO175" s="30">
        <f>IF(AN175="B2C",10,IF(AN175="B2B",5,0))</f>
        <v/>
      </c>
      <c r="AP175" s="30" t="inlineStr">
        <is>
          <t>No</t>
        </is>
      </c>
      <c r="AQ175" s="30">
        <f>IF(AP175="Yes",10,0)</f>
        <v/>
      </c>
      <c r="AR175" s="30" t="inlineStr">
        <is>
          <t>Higher One Time, Lower Annuity</t>
        </is>
      </c>
      <c r="AS175" s="30">
        <f>IF(AR175="Fully Annuity",10,IF(AR175="Higher Annuity, Lower One Time",5,IF(AR175="Higher One Time, Lower Annuity",3,0)))</f>
        <v/>
      </c>
      <c r="AT175" s="30" t="inlineStr">
        <is>
          <t>Good</t>
        </is>
      </c>
      <c r="AU175" s="30">
        <f>IF(AT175="Good",10,0)</f>
        <v/>
      </c>
      <c r="AV175" s="30" t="inlineStr">
        <is>
          <t>Yes for more than 2 years</t>
        </is>
      </c>
      <c r="AW175" s="30">
        <f>IF(AV175="Yes for more than 2 years",10,IF(AV175="Yes only for next 1 to 2 years",5,0))</f>
        <v/>
      </c>
      <c r="AX175" s="30" t="inlineStr">
        <is>
          <t>20 to 40</t>
        </is>
      </c>
      <c r="AY175" s="30">
        <f>IF(AX175="Above 40",20,IF(AX175="20 to 40",10,IF(AX175="0 to 20",-5,0)))</f>
        <v/>
      </c>
      <c r="AZ175" s="30" t="inlineStr">
        <is>
          <t>Between 50 to 75</t>
        </is>
      </c>
      <c r="BA175" s="30">
        <f>IF(AZ175="Between 50 to 75",10,IF(AZ175="Above 75",0,0))</f>
        <v/>
      </c>
      <c r="BB175" s="30" t="inlineStr">
        <is>
          <t>Stage 2</t>
        </is>
      </c>
      <c r="BC175" s="30">
        <f>IF(BB175="Stage 2",20,IF(BB175="Stage 1",0,IF(BB175="Stage 3",5,IF(BB175="Stage 4",-5,0))))</f>
        <v/>
      </c>
      <c r="BD175" s="30" t="inlineStr">
        <is>
          <t>Positive Trend</t>
        </is>
      </c>
      <c r="BE175" s="30">
        <f>IF(BD175="Positive Trend",20,IF(BD175="Negative Trend",-10,0))</f>
        <v/>
      </c>
      <c r="BF175" s="30" t="inlineStr">
        <is>
          <t>Uptrend</t>
        </is>
      </c>
      <c r="BG175" s="30">
        <f>IF(BF175="Uptrend",10,IF(BF175="Sideways",5,0))</f>
        <v/>
      </c>
      <c r="BH175" s="30" t="inlineStr">
        <is>
          <t>Uptrend</t>
        </is>
      </c>
      <c r="BI175" s="30">
        <f>IF(BH175="Uptrend",10,IF(BH175="Sideways",5,0))</f>
        <v/>
      </c>
      <c r="BJ175" s="30" t="inlineStr">
        <is>
          <t>Close to 52 week high or retracement</t>
        </is>
      </c>
      <c r="BK175" s="30">
        <f>IF(BJ175="Overhead supply in last 2 years in last 2 years",-5,IF(BJ175="Close to 52 week high or retracement",5,IF(BJ175="Blue sky scenario",10,IF(BJ175="Long term Downtrend",-10,0))))</f>
        <v/>
      </c>
      <c r="BL175" s="30" t="inlineStr">
        <is>
          <t>Yes</t>
        </is>
      </c>
      <c r="BM175" s="30">
        <f>IF(BL175="Yes",10,0)</f>
        <v/>
      </c>
      <c r="BN175" s="30" t="inlineStr">
        <is>
          <t>More than 20%</t>
        </is>
      </c>
      <c r="BO175" s="30">
        <f>IF(BN175="More than 20%",10,IF(BN175="Between 12 to 20%",5,IF(BN175="Less than 12%",0,0)))</f>
        <v/>
      </c>
      <c r="BP175" s="30" t="inlineStr">
        <is>
          <t>No</t>
        </is>
      </c>
      <c r="BQ175" s="30">
        <f>IF(BP175="No",10,0)</f>
        <v/>
      </c>
      <c r="BR175" s="30" t="inlineStr">
        <is>
          <t>Yes</t>
        </is>
      </c>
      <c r="BS175" s="30">
        <f>IF(BR175="NO",5,0)</f>
        <v/>
      </c>
      <c r="BT175" s="30" t="inlineStr">
        <is>
          <t>Above 2</t>
        </is>
      </c>
      <c r="BU175" s="30">
        <f>IF(BT175="Above 2",0,IF(BT175="Between 1.5 to 2",5,IF(BT175="Less than 1.5",10,0)))</f>
        <v/>
      </c>
      <c r="BV175" s="30" t="inlineStr">
        <is>
          <t>Above 70%</t>
        </is>
      </c>
      <c r="BW175" s="30">
        <f>IF(BV175="Above 70%",10,IF(BV175="Between 50% to 70%",5,IF(BV175="Less than 50%",0,IF(BV175="Negative",-10,IF(BV175="Less than 50% and Borrowings are increasing",-5,0)))))</f>
        <v/>
      </c>
      <c r="BX175" s="30" t="inlineStr">
        <is>
          <t>Less than 0.7</t>
        </is>
      </c>
      <c r="BY175" s="30">
        <f>IF(BX175="More than 1.2",-10,IF(BX175="Between 0.7 to 1.2",0,IF(BX175="Less than 0.7",10,0)))</f>
        <v/>
      </c>
      <c r="BZ175" s="30" t="inlineStr">
        <is>
          <t>No</t>
        </is>
      </c>
      <c r="CA175" s="30">
        <f>IF(BZ175="Yes",-10,0)</f>
        <v/>
      </c>
      <c r="CB175" s="30" t="inlineStr">
        <is>
          <t>Less than 15%</t>
        </is>
      </c>
      <c r="CC175" s="30">
        <f>IF(CB175="More than 15%",-10,IF(CB175="Less than 15%",10,0))</f>
        <v/>
      </c>
      <c r="CD175" s="30" t="inlineStr">
        <is>
          <t>No</t>
        </is>
      </c>
      <c r="CE175" s="30">
        <f>IF(CD175="Yes, more than 10%",-10,IF(CD175="No",10,0))</f>
        <v/>
      </c>
    </row>
    <row r="176">
      <c r="A176" s="30">
        <f>IF(B176=0,"",RANK(B176,$B$2:$B$331,0))</f>
        <v/>
      </c>
      <c r="B176" s="31">
        <f>SUM(N176,Y176,AA176,AC176,AE176,AG176,AI176,AK176,AM176,AO176,AQ176,AS176,AU176,AW176,AY176,BA176,BC176,BE176,BG176,BI176,BK176,BM176,BO176,BQ176,BS176,BU176,BW176,BY176,CA176,CC176,CE176)</f>
        <v/>
      </c>
      <c r="C176" s="30" t="inlineStr">
        <is>
          <t>MMP</t>
        </is>
      </c>
      <c r="D176" s="30" t="inlineStr">
        <is>
          <t>MMP Industries Ltd</t>
        </is>
      </c>
      <c r="E176" s="30" t="inlineStr">
        <is>
          <t>metals &amp; mining</t>
        </is>
      </c>
      <c r="F176" s="30" t="inlineStr">
        <is>
          <t>aluminium and aluminium products</t>
        </is>
      </c>
      <c r="G176" s="30" t="inlineStr">
        <is>
          <t>smallcap</t>
        </is>
      </c>
      <c r="H176" s="31" t="n">
        <v>870.83</v>
      </c>
      <c r="I176" s="31" t="n">
        <v>447.8</v>
      </c>
      <c r="J176" s="31" t="n">
        <v>-2.71</v>
      </c>
      <c r="K176" s="31" t="n">
        <v>50469</v>
      </c>
      <c r="L176" s="30" t="n">
        <v>80</v>
      </c>
      <c r="M176" s="30" t="inlineStr">
        <is>
          <t>Outperforming</t>
        </is>
      </c>
      <c r="N176" s="31">
        <f>IF(M176="Underperforming",-5,IF(L176&gt;=95,15,IF(L176&gt;=90,10,IF(L176&gt;=80,5,0))))</f>
        <v/>
      </c>
      <c r="O176" s="31" t="n">
        <v>83.54000000000001</v>
      </c>
      <c r="P176" s="31" t="n">
        <v>48.9</v>
      </c>
      <c r="Q176" s="31" t="n">
        <v>336.41</v>
      </c>
      <c r="R176" s="30" t="inlineStr">
        <is>
          <t>Near 52W High Breakout</t>
        </is>
      </c>
      <c r="S176" s="30" t="inlineStr">
        <is>
          <t>Nifty Metal</t>
        </is>
      </c>
      <c r="T176" s="31" t="n">
        <v>41.17</v>
      </c>
      <c r="U176" s="31" t="n">
        <v>66.38</v>
      </c>
      <c r="V176" s="31" t="n">
        <v>17.86</v>
      </c>
      <c r="W176" s="31" t="n">
        <v>30.37</v>
      </c>
      <c r="X176" s="30" t="inlineStr">
        <is>
          <t>Cyclical in an Upturn</t>
        </is>
      </c>
      <c r="Y176" s="30">
        <f>IF(X176="Growing Industry",10,IF(X176="Cyclical in an Upturn",5,0))</f>
        <v/>
      </c>
      <c r="Z176" s="30" t="inlineStr">
        <is>
          <t>Too Many Players with High ROCE</t>
        </is>
      </c>
      <c r="AA176" s="30">
        <f>IF(Z176="Monopoly",10,IF(Z176="Oligopoly",5,IF(Z176="Duopoly that cooperate",10,IF(Z176="Duopoly that compete",5,IF(Z176="Too many players with High ROCE",5,0)))))</f>
        <v/>
      </c>
      <c r="AB176" s="30" t="inlineStr">
        <is>
          <t>No</t>
        </is>
      </c>
      <c r="AC176" s="30">
        <f>IF(AB176="No",5,0)</f>
        <v/>
      </c>
      <c r="AD176" s="30" t="inlineStr">
        <is>
          <t>Tailwind</t>
        </is>
      </c>
      <c r="AE176" s="30">
        <f>IF(AD176="Tailwind",10,0)</f>
        <v/>
      </c>
      <c r="AF176" s="30" t="inlineStr">
        <is>
          <t>Cyclical</t>
        </is>
      </c>
      <c r="AG176" s="30">
        <f>IF(AF176="Structural (10 Years Consistency)",10,IF(AF176="Shallow Cyclical (2 to 3 years growth)",5,0))</f>
        <v/>
      </c>
      <c r="AH176" s="30" t="inlineStr">
        <is>
          <t>No</t>
        </is>
      </c>
      <c r="AI176" s="30">
        <f>IF(AH176="Yes due to Product Mix change or Operating Leverage",10,IF(AH176="Yes, these are peak margins",-5,IF(AH176="No",5,0)))</f>
        <v/>
      </c>
      <c r="AJ176" s="30" t="inlineStr">
        <is>
          <t>Volatile</t>
        </is>
      </c>
      <c r="AK176" s="30">
        <f>IF(AJ176="Stable",10,0)</f>
        <v/>
      </c>
      <c r="AL176" s="30" t="inlineStr">
        <is>
          <t>Yes</t>
        </is>
      </c>
      <c r="AM176" s="30">
        <f>IF(AL176="Yes",10,0)</f>
        <v/>
      </c>
      <c r="AN176" s="30" t="inlineStr">
        <is>
          <t>B2B</t>
        </is>
      </c>
      <c r="AO176" s="30">
        <f>IF(AN176="B2C",10,IF(AN176="B2B",5,0))</f>
        <v/>
      </c>
      <c r="AP176" s="30" t="inlineStr">
        <is>
          <t>Yes</t>
        </is>
      </c>
      <c r="AQ176" s="30">
        <f>IF(AP176="Yes",10,0)</f>
        <v/>
      </c>
      <c r="AR176" s="30" t="inlineStr">
        <is>
          <t>Higher One Time, Lower Annuity</t>
        </is>
      </c>
      <c r="AS176" s="30">
        <f>IF(AR176="Fully Annuity",10,IF(AR176="Higher Annuity, Lower One Time",5,IF(AR176="Higher One Time, Lower Annuity",3,0)))</f>
        <v/>
      </c>
      <c r="AT176" s="30" t="inlineStr">
        <is>
          <t>Good</t>
        </is>
      </c>
      <c r="AU176" s="30">
        <f>IF(AT176="Good",10,0)</f>
        <v/>
      </c>
      <c r="AV176" s="30" t="inlineStr">
        <is>
          <t>Yes for more than 2 years</t>
        </is>
      </c>
      <c r="AW176" s="30">
        <f>IF(AV176="Yes for more than 2 years",10,IF(AV176="Yes only for next 1 to 2 years",5,0))</f>
        <v/>
      </c>
      <c r="AX176" s="30" t="inlineStr">
        <is>
          <t>Above 40</t>
        </is>
      </c>
      <c r="AY176" s="30">
        <f>IF(AX176="Above 40",20,IF(AX176="20 to 40",10,IF(AX176="0 to 20",-5,0)))</f>
        <v/>
      </c>
      <c r="AZ176" s="30" t="inlineStr">
        <is>
          <t>Above 75</t>
        </is>
      </c>
      <c r="BA176" s="30">
        <f>IF(AZ176="Between 50 to 75",10,IF(AZ176="Above 75",0,0))</f>
        <v/>
      </c>
      <c r="BB176" s="30" t="inlineStr">
        <is>
          <t>Stage 2</t>
        </is>
      </c>
      <c r="BC176" s="30">
        <f>IF(BB176="Stage 2",20,IF(BB176="Stage 1",0,IF(BB176="Stage 3",5,IF(BB176="Stage 4",-5,0))))</f>
        <v/>
      </c>
      <c r="BD176" s="30" t="inlineStr">
        <is>
          <t>Positive Trend</t>
        </is>
      </c>
      <c r="BE176" s="30">
        <f>IF(BD176="Positive Trend",20,IF(BD176="Negative Trend",-10,0))</f>
        <v/>
      </c>
      <c r="BF176" s="30" t="inlineStr">
        <is>
          <t>Uptrend</t>
        </is>
      </c>
      <c r="BG176" s="30">
        <f>IF(BF176="Uptrend",10,IF(BF176="Sideways",5,0))</f>
        <v/>
      </c>
      <c r="BH176" s="30" t="inlineStr">
        <is>
          <t>Uptrend</t>
        </is>
      </c>
      <c r="BI176" s="30">
        <f>IF(BH176="Uptrend",10,IF(BH176="Sideways",5,0))</f>
        <v/>
      </c>
      <c r="BJ176" s="30" t="inlineStr">
        <is>
          <t>Blue sky scenario</t>
        </is>
      </c>
      <c r="BK176" s="30">
        <f>IF(BJ176="Overhead supply in last 2 years in last 2 years",-5,IF(BJ176="Close to 52 week high or retracement",5,IF(BJ176="Blue sky scenario",10,IF(BJ176="Long term Downtrend",-10,0))))</f>
        <v/>
      </c>
      <c r="BL176" s="30" t="inlineStr">
        <is>
          <t>Yes</t>
        </is>
      </c>
      <c r="BM176" s="30">
        <f>IF(BL176="Yes",10,0)</f>
        <v/>
      </c>
      <c r="BN176" s="30" t="inlineStr">
        <is>
          <t>More than 20%</t>
        </is>
      </c>
      <c r="BO176" s="30">
        <f>IF(BN176="More than 20%",10,IF(BN176="Between 12 to 20%",5,IF(BN176="Less than 12%",0,0)))</f>
        <v/>
      </c>
      <c r="BP176" s="30" t="inlineStr">
        <is>
          <t>No</t>
        </is>
      </c>
      <c r="BQ176" s="30">
        <f>IF(BP176="No",10,0)</f>
        <v/>
      </c>
      <c r="BR176" s="30" t="inlineStr">
        <is>
          <t>No</t>
        </is>
      </c>
      <c r="BS176" s="30">
        <f>IF(BR176="NO",5,0)</f>
        <v/>
      </c>
      <c r="BT176" s="30" t="inlineStr">
        <is>
          <t>Less than 1.5</t>
        </is>
      </c>
      <c r="BU176" s="30">
        <f>IF(BT176="Above 2",0,IF(BT176="Between 1.5 to 2",5,IF(BT176="Less than 1.5",10,0)))</f>
        <v/>
      </c>
      <c r="BV176" s="30" t="inlineStr">
        <is>
          <t>Above 70%</t>
        </is>
      </c>
      <c r="BW176" s="30">
        <f>IF(BV176="Above 70%",10,IF(BV176="Between 50% to 70%",5,IF(BV176="Less than 50%",0,IF(BV176="Negative",-10,IF(BV176="Less than 50% and Borrowings are increasing",-5,0)))))</f>
        <v/>
      </c>
      <c r="BX176" s="30" t="inlineStr">
        <is>
          <t>Less than 0.7</t>
        </is>
      </c>
      <c r="BY176" s="30">
        <f>IF(BX176="More than 1.2",-10,IF(BX176="Between 0.7 to 1.2",0,IF(BX176="Less than 0.7",10,0)))</f>
        <v/>
      </c>
      <c r="BZ176" s="30" t="inlineStr">
        <is>
          <t>No</t>
        </is>
      </c>
      <c r="CA176" s="30">
        <f>IF(BZ176="Yes",-10,0)</f>
        <v/>
      </c>
      <c r="CB176" s="30" t="inlineStr">
        <is>
          <t>Less than 15%</t>
        </is>
      </c>
      <c r="CC176" s="30">
        <f>IF(CB176="More than 15%",-10,IF(CB176="Less than 15%",10,0))</f>
        <v/>
      </c>
      <c r="CD176" s="30" t="inlineStr">
        <is>
          <t>No</t>
        </is>
      </c>
      <c r="CE176" s="30">
        <f>IF(CD176="Yes, more than 10%",-10,IF(CD176="No",10,0))</f>
        <v/>
      </c>
    </row>
    <row r="177">
      <c r="A177" s="30">
        <f>IF(B177=0,"",RANK(B177,$B$2:$B$331,0))</f>
        <v/>
      </c>
      <c r="B177" s="31">
        <f>SUM(N177,Y177,AA177,AC177,AE177,AG177,AI177,AK177,AM177,AO177,AQ177,AS177,AU177,AW177,AY177,BA177,BC177,BE177,BG177,BI177,BK177,BM177,BO177,BQ177,BS177,BU177,BW177,BY177,CA177,CC177,CE177)</f>
        <v/>
      </c>
      <c r="C177" s="30" t="inlineStr">
        <is>
          <t>MVGJL</t>
        </is>
      </c>
      <c r="D177" s="30" t="inlineStr">
        <is>
          <t>Manoj Vaibhav Gems N Jewellers Ltd</t>
        </is>
      </c>
      <c r="E177" s="30" t="inlineStr">
        <is>
          <t>consumer discretionary</t>
        </is>
      </c>
      <c r="F177" s="30" t="inlineStr">
        <is>
          <t>diamond cutting / jewellery</t>
        </is>
      </c>
      <c r="G177" s="30" t="inlineStr">
        <is>
          <t>smallcap</t>
        </is>
      </c>
      <c r="H177" s="31" t="n">
        <v>1048.46</v>
      </c>
      <c r="I177" s="31" t="n">
        <v>208.78</v>
      </c>
      <c r="J177" s="31" t="n">
        <v>-2.73</v>
      </c>
      <c r="K177" s="31" t="n">
        <v>258423</v>
      </c>
      <c r="L177" s="30" t="n">
        <v>37</v>
      </c>
      <c r="M177" s="30" t="inlineStr">
        <is>
          <t>Outperforming</t>
        </is>
      </c>
      <c r="N177" s="31">
        <f>IF(M177="Underperforming",-5,IF(L177&gt;=95,15,IF(L177&gt;=90,10,IF(L177&gt;=80,5,0))))</f>
        <v/>
      </c>
      <c r="O177" s="31" t="n">
        <v>67.76000000000001</v>
      </c>
      <c r="P177" s="31" t="n">
        <v>15.87</v>
      </c>
      <c r="Q177" s="31" t="n">
        <v>151.49</v>
      </c>
      <c r="R177" s="30" t="inlineStr">
        <is>
          <t>Volume Spike &amp; Near 52W High Breakout</t>
        </is>
      </c>
      <c r="S177" s="30" t="inlineStr">
        <is>
          <t>Nifty 50</t>
        </is>
      </c>
      <c r="T177" s="31" t="n">
        <v>-6.52</v>
      </c>
      <c r="U177" s="31" t="n">
        <v>6.84</v>
      </c>
      <c r="V177" s="31" t="n">
        <v>14.28</v>
      </c>
      <c r="W177" s="31" t="n">
        <v>11.75</v>
      </c>
      <c r="X177" s="30" t="inlineStr">
        <is>
          <t>Growing Industry</t>
        </is>
      </c>
      <c r="Y177" s="30">
        <f>IF(X177="Growing Industry",10,IF(X177="Cyclical in an Upturn",5,0))</f>
        <v/>
      </c>
      <c r="Z177" s="30" t="inlineStr">
        <is>
          <t>Too Many Players with High ROCE</t>
        </is>
      </c>
      <c r="AA177" s="30">
        <f>IF(Z177="Monopoly",10,IF(Z177="Oligopoly",5,IF(Z177="Duopoly that cooperate",10,IF(Z177="Duopoly that compete",5,IF(Z177="Too many players with High ROCE",5,0)))))</f>
        <v/>
      </c>
      <c r="AB177" s="30" t="inlineStr">
        <is>
          <t>No</t>
        </is>
      </c>
      <c r="AC177" s="30">
        <f>IF(AB177="No",5,0)</f>
        <v/>
      </c>
      <c r="AD177" s="30" t="inlineStr">
        <is>
          <t>Tailwind</t>
        </is>
      </c>
      <c r="AE177" s="30">
        <f>IF(AD177="Tailwind",10,0)</f>
        <v/>
      </c>
      <c r="AF177" s="30" t="inlineStr">
        <is>
          <t>Structural (10 Years Consistency)</t>
        </is>
      </c>
      <c r="AG177" s="30">
        <f>IF(AF177="Structural (10 Years Consistency)",10,IF(AF177="Shallow Cyclical (2 to 3 years growth)",5,0))</f>
        <v/>
      </c>
      <c r="AH177" s="30" t="inlineStr">
        <is>
          <t>No</t>
        </is>
      </c>
      <c r="AI177" s="30">
        <f>IF(AH177="Yes due to Product Mix change or Operating Leverage",10,IF(AH177="Yes, these are peak margins",-5,IF(AH177="No",5,0)))</f>
        <v/>
      </c>
      <c r="AJ177" s="30" t="inlineStr">
        <is>
          <t>Stable</t>
        </is>
      </c>
      <c r="AK177" s="30">
        <f>IF(AJ177="Stable",10,0)</f>
        <v/>
      </c>
      <c r="AL177" s="30" t="inlineStr">
        <is>
          <t>Yes</t>
        </is>
      </c>
      <c r="AM177" s="30">
        <f>IF(AL177="Yes",10,0)</f>
        <v/>
      </c>
      <c r="AN177" s="30" t="inlineStr">
        <is>
          <t>B2B</t>
        </is>
      </c>
      <c r="AO177" s="30">
        <f>IF(AN177="B2C",10,IF(AN177="B2B",5,0))</f>
        <v/>
      </c>
      <c r="AP177" s="30" t="inlineStr">
        <is>
          <t>Yes</t>
        </is>
      </c>
      <c r="AQ177" s="30">
        <f>IF(AP177="Yes",10,0)</f>
        <v/>
      </c>
      <c r="AR177" s="30" t="inlineStr">
        <is>
          <t>Higher One Time, Lower Annuity</t>
        </is>
      </c>
      <c r="AS177" s="30">
        <f>IF(AR177="Fully Annuity",10,IF(AR177="Higher Annuity, Lower One Time",5,IF(AR177="Higher One Time, Lower Annuity",3,0)))</f>
        <v/>
      </c>
      <c r="AT177" s="30" t="inlineStr">
        <is>
          <t>Good</t>
        </is>
      </c>
      <c r="AU177" s="30">
        <f>IF(AT177="Good",10,0)</f>
        <v/>
      </c>
      <c r="AV177" s="30" t="inlineStr">
        <is>
          <t>Yes for more than 2 years</t>
        </is>
      </c>
      <c r="AW177" s="30">
        <f>IF(AV177="Yes for more than 2 years",10,IF(AV177="Yes only for next 1 to 2 years",5,0))</f>
        <v/>
      </c>
      <c r="AX177" s="30" t="inlineStr">
        <is>
          <t>0 to 20</t>
        </is>
      </c>
      <c r="AY177" s="30">
        <f>IF(AX177="Above 40",20,IF(AX177="20 to 40",10,IF(AX177="0 to 20",-5,0)))</f>
        <v/>
      </c>
      <c r="AZ177" s="30" t="inlineStr">
        <is>
          <t>Between 50 to 75</t>
        </is>
      </c>
      <c r="BA177" s="30">
        <f>IF(AZ177="Between 50 to 75",10,IF(AZ177="Above 75",0,0))</f>
        <v/>
      </c>
      <c r="BB177" s="30" t="inlineStr">
        <is>
          <t>Stage 2</t>
        </is>
      </c>
      <c r="BC177" s="30">
        <f>IF(BB177="Stage 2",20,IF(BB177="Stage 1",0,IF(BB177="Stage 3",5,IF(BB177="Stage 4",-5,0))))</f>
        <v/>
      </c>
      <c r="BD177" s="30" t="inlineStr">
        <is>
          <t>Positive Trend</t>
        </is>
      </c>
      <c r="BE177" s="30">
        <f>IF(BD177="Positive Trend",20,IF(BD177="Negative Trend",-10,0))</f>
        <v/>
      </c>
      <c r="BF177" s="30" t="inlineStr">
        <is>
          <t>Uptrend</t>
        </is>
      </c>
      <c r="BG177" s="30">
        <f>IF(BF177="Uptrend",10,IF(BF177="Sideways",5,0))</f>
        <v/>
      </c>
      <c r="BH177" s="30" t="inlineStr">
        <is>
          <t>Uptrend</t>
        </is>
      </c>
      <c r="BI177" s="30">
        <f>IF(BH177="Uptrend",10,IF(BH177="Sideways",5,0))</f>
        <v/>
      </c>
      <c r="BJ177" s="30" t="inlineStr">
        <is>
          <t>Close to 52 week high or retracement</t>
        </is>
      </c>
      <c r="BK177" s="30">
        <f>IF(BJ177="Overhead supply in last 2 years in last 2 years",-5,IF(BJ177="Close to 52 week high or retracement",5,IF(BJ177="Blue sky scenario",10,IF(BJ177="Long term Downtrend",-10,0))))</f>
        <v/>
      </c>
      <c r="BL177" s="30" t="inlineStr">
        <is>
          <t>Yes</t>
        </is>
      </c>
      <c r="BM177" s="30">
        <f>IF(BL177="Yes",10,0)</f>
        <v/>
      </c>
      <c r="BN177" s="30" t="inlineStr">
        <is>
          <t>More than 20%</t>
        </is>
      </c>
      <c r="BO177" s="30">
        <f>IF(BN177="More than 20%",10,IF(BN177="Between 12 to 20%",5,IF(BN177="Less than 12%",0,0)))</f>
        <v/>
      </c>
      <c r="BP177" s="30" t="inlineStr">
        <is>
          <t>No</t>
        </is>
      </c>
      <c r="BQ177" s="30">
        <f>IF(BP177="No",10,0)</f>
        <v/>
      </c>
      <c r="BR177" s="30" t="inlineStr">
        <is>
          <t>No</t>
        </is>
      </c>
      <c r="BS177" s="30">
        <f>IF(BR177="NO",5,0)</f>
        <v/>
      </c>
      <c r="BT177" s="30" t="inlineStr">
        <is>
          <t>Less than 1.5</t>
        </is>
      </c>
      <c r="BU177" s="30">
        <f>IF(BT177="Above 2",0,IF(BT177="Between 1.5 to 2",5,IF(BT177="Less than 1.5",10,0)))</f>
        <v/>
      </c>
      <c r="BV177" s="30" t="inlineStr">
        <is>
          <t>Above 70%</t>
        </is>
      </c>
      <c r="BW177" s="30">
        <f>IF(BV177="Above 70%",10,IF(BV177="Between 50% to 70%",5,IF(BV177="Less than 50%",0,IF(BV177="Negative",-10,IF(BV177="Less than 50% and Borrowings are increasing",-5,0)))))</f>
        <v/>
      </c>
      <c r="BX177" s="30" t="inlineStr">
        <is>
          <t>Less than 0.7</t>
        </is>
      </c>
      <c r="BY177" s="30">
        <f>IF(BX177="More than 1.2",-10,IF(BX177="Between 0.7 to 1.2",0,IF(BX177="Less than 0.7",10,0)))</f>
        <v/>
      </c>
      <c r="BZ177" s="30" t="inlineStr">
        <is>
          <t>No</t>
        </is>
      </c>
      <c r="CA177" s="30">
        <f>IF(BZ177="Yes",-10,0)</f>
        <v/>
      </c>
      <c r="CB177" s="30" t="inlineStr">
        <is>
          <t>Less than 15%</t>
        </is>
      </c>
      <c r="CC177" s="30">
        <f>IF(CB177="More than 15%",-10,IF(CB177="Less than 15%",10,0))</f>
        <v/>
      </c>
      <c r="CD177" s="30" t="inlineStr">
        <is>
          <t>No</t>
        </is>
      </c>
      <c r="CE177" s="30">
        <f>IF(CD177="Yes, more than 10%",-10,IF(CD177="No",10,0))</f>
        <v/>
      </c>
    </row>
    <row r="178">
      <c r="A178" s="30">
        <f>IF(B178=0,"",RANK(B178,$B$2:$B$331,0))</f>
        <v/>
      </c>
      <c r="B178" s="31">
        <f>SUM(N178,Y178,AA178,AC178,AE178,AG178,AI178,AK178,AM178,AO178,AQ178,AS178,AU178,AW178,AY178,BA178,BC178,BE178,BG178,BI178,BK178,BM178,BO178,BQ178,BS178,BU178,BW178,BY178,CA178,CC178,CE178)</f>
        <v/>
      </c>
      <c r="C178" s="30" t="inlineStr">
        <is>
          <t>MAZDA</t>
        </is>
      </c>
      <c r="D178" s="30" t="inlineStr">
        <is>
          <t>Mazda Limited</t>
        </is>
      </c>
      <c r="E178" s="30" t="inlineStr">
        <is>
          <t>industrials</t>
        </is>
      </c>
      <c r="F178" s="30" t="inlineStr">
        <is>
          <t>engineering</t>
        </is>
      </c>
      <c r="G178" s="30" t="inlineStr">
        <is>
          <t>smallcap</t>
        </is>
      </c>
      <c r="H178" s="31" t="n">
        <v>544.08</v>
      </c>
      <c r="I178" s="31" t="n">
        <v>261</v>
      </c>
      <c r="J178" s="31" t="n">
        <v>-3.94</v>
      </c>
      <c r="K178" s="31" t="n">
        <v>6151</v>
      </c>
      <c r="L178" s="30" t="n">
        <v>9</v>
      </c>
      <c r="M178" s="30" t="inlineStr">
        <is>
          <t>Outperforming</t>
        </is>
      </c>
      <c r="N178" s="31">
        <f>IF(M178="Underperforming",-5,IF(L178&gt;=95,15,IF(L178&gt;=90,10,IF(L178&gt;=80,5,0))))</f>
        <v/>
      </c>
      <c r="O178" s="31" t="n">
        <v>63.9</v>
      </c>
      <c r="P178" s="31" t="n">
        <v>30.76</v>
      </c>
      <c r="Q178" s="31" t="n">
        <v>210.28</v>
      </c>
      <c r="R178" s="30" t="inlineStr">
        <is>
          <t>Earnings / Momentum Support</t>
        </is>
      </c>
      <c r="S178" s="30" t="inlineStr">
        <is>
          <t>Nifty 50</t>
        </is>
      </c>
      <c r="T178" s="31" t="n">
        <v>-6.52</v>
      </c>
      <c r="U178" s="31" t="n">
        <v>-3.52</v>
      </c>
      <c r="V178" s="31" t="n">
        <v>3.2</v>
      </c>
      <c r="W178" s="31" t="n">
        <v>3.63</v>
      </c>
      <c r="X178" s="30" t="inlineStr">
        <is>
          <t>Cyclical in an Upturn</t>
        </is>
      </c>
      <c r="Y178" s="30">
        <f>IF(X178="Growing Industry",10,IF(X178="Cyclical in an Upturn",5,0))</f>
        <v/>
      </c>
      <c r="Z178" s="30" t="inlineStr">
        <is>
          <t>Too Many Players with High ROCE</t>
        </is>
      </c>
      <c r="AA178" s="30">
        <f>IF(Z178="Monopoly",10,IF(Z178="Oligopoly",5,IF(Z178="Duopoly that cooperate",10,IF(Z178="Duopoly that compete",5,IF(Z178="Too many players with High ROCE",5,0)))))</f>
        <v/>
      </c>
      <c r="AB178" s="30" t="inlineStr">
        <is>
          <t>No</t>
        </is>
      </c>
      <c r="AC178" s="30">
        <f>IF(AB178="No",5,0)</f>
        <v/>
      </c>
      <c r="AD178" s="30" t="inlineStr">
        <is>
          <t>Tailwind</t>
        </is>
      </c>
      <c r="AE178" s="30">
        <f>IF(AD178="Tailwind",10,0)</f>
        <v/>
      </c>
      <c r="AF178" s="30" t="inlineStr">
        <is>
          <t>Structural (10 Years Consistency)</t>
        </is>
      </c>
      <c r="AG178" s="30">
        <f>IF(AF178="Structural (10 Years Consistency)",10,IF(AF178="Shallow Cyclical (2 to 3 years growth)",5,0))</f>
        <v/>
      </c>
      <c r="AH178" s="30" t="inlineStr">
        <is>
          <t>No</t>
        </is>
      </c>
      <c r="AI178" s="30">
        <f>IF(AH178="Yes due to Product Mix change or Operating Leverage",10,IF(AH178="Yes, these are peak margins",-5,IF(AH178="No",5,0)))</f>
        <v/>
      </c>
      <c r="AJ178" s="30" t="inlineStr">
        <is>
          <t>Stable</t>
        </is>
      </c>
      <c r="AK178" s="30">
        <f>IF(AJ178="Stable",10,0)</f>
        <v/>
      </c>
      <c r="AL178" s="30" t="inlineStr">
        <is>
          <t>Yes</t>
        </is>
      </c>
      <c r="AM178" s="30">
        <f>IF(AL178="Yes",10,0)</f>
        <v/>
      </c>
      <c r="AN178" s="30" t="inlineStr">
        <is>
          <t>B2B</t>
        </is>
      </c>
      <c r="AO178" s="30">
        <f>IF(AN178="B2C",10,IF(AN178="B2B",5,0))</f>
        <v/>
      </c>
      <c r="AP178" s="30" t="inlineStr">
        <is>
          <t>No</t>
        </is>
      </c>
      <c r="AQ178" s="30">
        <f>IF(AP178="Yes",10,0)</f>
        <v/>
      </c>
      <c r="AR178" s="30" t="inlineStr">
        <is>
          <t>Higher One Time, Lower Annuity</t>
        </is>
      </c>
      <c r="AS178" s="30">
        <f>IF(AR178="Fully Annuity",10,IF(AR178="Higher Annuity, Lower One Time",5,IF(AR178="Higher One Time, Lower Annuity",3,0)))</f>
        <v/>
      </c>
      <c r="AT178" s="30" t="inlineStr">
        <is>
          <t>Good</t>
        </is>
      </c>
      <c r="AU178" s="30">
        <f>IF(AT178="Good",10,0)</f>
        <v/>
      </c>
      <c r="AV178" s="30" t="inlineStr">
        <is>
          <t>Yes for more than 2 years</t>
        </is>
      </c>
      <c r="AW178" s="30">
        <f>IF(AV178="Yes for more than 2 years",10,IF(AV178="Yes only for next 1 to 2 years",5,0))</f>
        <v/>
      </c>
      <c r="AX178" s="30" t="inlineStr">
        <is>
          <t>20 to 40</t>
        </is>
      </c>
      <c r="AY178" s="30">
        <f>IF(AX178="Above 40",20,IF(AX178="20 to 40",10,IF(AX178="0 to 20",-5,0)))</f>
        <v/>
      </c>
      <c r="AZ178" s="30" t="inlineStr">
        <is>
          <t>Between 50 to 75</t>
        </is>
      </c>
      <c r="BA178" s="30">
        <f>IF(AZ178="Between 50 to 75",10,IF(AZ178="Above 75",0,0))</f>
        <v/>
      </c>
      <c r="BB178" s="30" t="inlineStr">
        <is>
          <t>Stage 2</t>
        </is>
      </c>
      <c r="BC178" s="30">
        <f>IF(BB178="Stage 2",20,IF(BB178="Stage 1",0,IF(BB178="Stage 3",5,IF(BB178="Stage 4",-5,0))))</f>
        <v/>
      </c>
      <c r="BD178" s="30" t="inlineStr">
        <is>
          <t>Positive Trend</t>
        </is>
      </c>
      <c r="BE178" s="30">
        <f>IF(BD178="Positive Trend",20,IF(BD178="Negative Trend",-10,0))</f>
        <v/>
      </c>
      <c r="BF178" s="30" t="inlineStr">
        <is>
          <t>Uptrend</t>
        </is>
      </c>
      <c r="BG178" s="30">
        <f>IF(BF178="Uptrend",10,IF(BF178="Sideways",5,0))</f>
        <v/>
      </c>
      <c r="BH178" s="30" t="inlineStr">
        <is>
          <t>Uptrend</t>
        </is>
      </c>
      <c r="BI178" s="30">
        <f>IF(BH178="Uptrend",10,IF(BH178="Sideways",5,0))</f>
        <v/>
      </c>
      <c r="BJ178" s="30" t="inlineStr">
        <is>
          <t>Close to 52 week high or retracement</t>
        </is>
      </c>
      <c r="BK178" s="30">
        <f>IF(BJ178="Overhead supply in last 2 years in last 2 years",-5,IF(BJ178="Close to 52 week high or retracement",5,IF(BJ178="Blue sky scenario",10,IF(BJ178="Long term Downtrend",-10,0))))</f>
        <v/>
      </c>
      <c r="BL178" s="30" t="inlineStr">
        <is>
          <t>Yes</t>
        </is>
      </c>
      <c r="BM178" s="30">
        <f>IF(BL178="Yes",10,0)</f>
        <v/>
      </c>
      <c r="BN178" s="30" t="inlineStr">
        <is>
          <t>More than 20%</t>
        </is>
      </c>
      <c r="BO178" s="30">
        <f>IF(BN178="More than 20%",10,IF(BN178="Between 12 to 20%",5,IF(BN178="Less than 12%",0,0)))</f>
        <v/>
      </c>
      <c r="BP178" s="30" t="inlineStr">
        <is>
          <t>No</t>
        </is>
      </c>
      <c r="BQ178" s="30">
        <f>IF(BP178="No",10,0)</f>
        <v/>
      </c>
      <c r="BR178" s="30" t="inlineStr">
        <is>
          <t>No</t>
        </is>
      </c>
      <c r="BS178" s="30">
        <f>IF(BR178="NO",5,0)</f>
        <v/>
      </c>
      <c r="BT178" s="30" t="inlineStr">
        <is>
          <t>Less than 1.5</t>
        </is>
      </c>
      <c r="BU178" s="30">
        <f>IF(BT178="Above 2",0,IF(BT178="Between 1.5 to 2",5,IF(BT178="Less than 1.5",10,0)))</f>
        <v/>
      </c>
      <c r="BV178" s="30" t="inlineStr">
        <is>
          <t>Above 70%</t>
        </is>
      </c>
      <c r="BW178" s="30">
        <f>IF(BV178="Above 70%",10,IF(BV178="Between 50% to 70%",5,IF(BV178="Less than 50%",0,IF(BV178="Negative",-10,IF(BV178="Less than 50% and Borrowings are increasing",-5,0)))))</f>
        <v/>
      </c>
      <c r="BX178" s="30" t="inlineStr">
        <is>
          <t>Less than 0.7</t>
        </is>
      </c>
      <c r="BY178" s="30">
        <f>IF(BX178="More than 1.2",-10,IF(BX178="Between 0.7 to 1.2",0,IF(BX178="Less than 0.7",10,0)))</f>
        <v/>
      </c>
      <c r="BZ178" s="30" t="inlineStr">
        <is>
          <t>No</t>
        </is>
      </c>
      <c r="CA178" s="30">
        <f>IF(BZ178="Yes",-10,0)</f>
        <v/>
      </c>
      <c r="CB178" s="30" t="inlineStr">
        <is>
          <t>Less than 15%</t>
        </is>
      </c>
      <c r="CC178" s="30">
        <f>IF(CB178="More than 15%",-10,IF(CB178="Less than 15%",10,0))</f>
        <v/>
      </c>
      <c r="CD178" s="30" t="inlineStr">
        <is>
          <t>No</t>
        </is>
      </c>
      <c r="CE178" s="30">
        <f>IF(CD178="Yes, more than 10%",-10,IF(CD178="No",10,0))</f>
        <v/>
      </c>
    </row>
    <row r="179">
      <c r="A179" s="30">
        <f>IF(B179=0,"",RANK(B179,$B$2:$B$331,0))</f>
        <v/>
      </c>
      <c r="B179" s="31">
        <f>SUM(N179,Y179,AA179,AC179,AE179,AG179,AI179,AK179,AM179,AO179,AQ179,AS179,AU179,AW179,AY179,BA179,BC179,BE179,BG179,BI179,BK179,BM179,BO179,BQ179,BS179,BU179,BW179,BY179,CA179,CC179,CE179)</f>
        <v/>
      </c>
      <c r="C179" s="30" t="inlineStr">
        <is>
          <t>AYMSYNTEX</t>
        </is>
      </c>
      <c r="D179" s="30" t="inlineStr">
        <is>
          <t>Aym Syntex Limited</t>
        </is>
      </c>
      <c r="E179" s="30" t="inlineStr">
        <is>
          <t>textiles</t>
        </is>
      </c>
      <c r="F179" s="30" t="inlineStr">
        <is>
          <t>textiles - processing</t>
        </is>
      </c>
      <c r="G179" s="30" t="inlineStr">
        <is>
          <t>smallcap</t>
        </is>
      </c>
      <c r="H179" s="31" t="n">
        <v>1828.39</v>
      </c>
      <c r="I179" s="31" t="n">
        <v>293.1</v>
      </c>
      <c r="J179" s="31" t="n">
        <v>-5.85</v>
      </c>
      <c r="K179" s="31" t="n">
        <v>149205</v>
      </c>
      <c r="L179" s="30" t="n">
        <v>54</v>
      </c>
      <c r="M179" s="30" t="inlineStr">
        <is>
          <t>Outperforming</t>
        </is>
      </c>
      <c r="N179" s="31">
        <f>IF(M179="Underperforming",-5,IF(L179&gt;=95,15,IF(L179&gt;=90,10,IF(L179&gt;=80,5,0))))</f>
        <v/>
      </c>
      <c r="O179" s="31" t="n">
        <v>63.92</v>
      </c>
      <c r="P179" s="31" t="n">
        <v>43.86</v>
      </c>
      <c r="Q179" s="31" t="n">
        <v>216.26</v>
      </c>
      <c r="R179" s="30" t="inlineStr">
        <is>
          <t>Earnings / Momentum Support</t>
        </is>
      </c>
      <c r="S179" s="30" t="inlineStr">
        <is>
          <t>Nifty 50</t>
        </is>
      </c>
      <c r="T179" s="31" t="n">
        <v>-6.52</v>
      </c>
      <c r="U179" s="31" t="n">
        <v>56.9</v>
      </c>
      <c r="V179" s="31" t="n">
        <v>67.83</v>
      </c>
      <c r="W179" s="31" t="n">
        <v>16.9</v>
      </c>
      <c r="X179" s="30" t="inlineStr">
        <is>
          <t>Growing Industry</t>
        </is>
      </c>
      <c r="Y179" s="30">
        <f>IF(X179="Growing Industry",10,IF(X179="Cyclical in an Upturn",5,0))</f>
        <v/>
      </c>
      <c r="Z179" s="30" t="inlineStr">
        <is>
          <t>Too Many Players with High ROCE</t>
        </is>
      </c>
      <c r="AA179" s="30">
        <f>IF(Z179="Monopoly",10,IF(Z179="Oligopoly",5,IF(Z179="Duopoly that cooperate",10,IF(Z179="Duopoly that compete",5,IF(Z179="Too many players with High ROCE",5,0)))))</f>
        <v/>
      </c>
      <c r="AB179" s="30" t="inlineStr">
        <is>
          <t>No</t>
        </is>
      </c>
      <c r="AC179" s="30">
        <f>IF(AB179="No",5,0)</f>
        <v/>
      </c>
      <c r="AD179" s="30" t="inlineStr">
        <is>
          <t>Tailwind</t>
        </is>
      </c>
      <c r="AE179" s="30">
        <f>IF(AD179="Tailwind",10,0)</f>
        <v/>
      </c>
      <c r="AF179" s="30" t="inlineStr">
        <is>
          <t>Structural (10 Years Consistency)</t>
        </is>
      </c>
      <c r="AG179" s="30">
        <f>IF(AF179="Structural (10 Years Consistency)",10,IF(AF179="Shallow Cyclical (2 to 3 years growth)",5,0))</f>
        <v/>
      </c>
      <c r="AH179" s="30" t="inlineStr">
        <is>
          <t>No</t>
        </is>
      </c>
      <c r="AI179" s="30">
        <f>IF(AH179="Yes due to Product Mix change or Operating Leverage",10,IF(AH179="Yes, these are peak margins",-5,IF(AH179="No",5,0)))</f>
        <v/>
      </c>
      <c r="AJ179" s="30" t="inlineStr">
        <is>
          <t>Stable</t>
        </is>
      </c>
      <c r="AK179" s="30">
        <f>IF(AJ179="Stable",10,0)</f>
        <v/>
      </c>
      <c r="AL179" s="30" t="inlineStr">
        <is>
          <t>Yes</t>
        </is>
      </c>
      <c r="AM179" s="30">
        <f>IF(AL179="Yes",10,0)</f>
        <v/>
      </c>
      <c r="AN179" s="30" t="inlineStr">
        <is>
          <t>B2B</t>
        </is>
      </c>
      <c r="AO179" s="30">
        <f>IF(AN179="B2C",10,IF(AN179="B2B",5,0))</f>
        <v/>
      </c>
      <c r="AP179" s="30" t="inlineStr">
        <is>
          <t>No</t>
        </is>
      </c>
      <c r="AQ179" s="30">
        <f>IF(AP179="Yes",10,0)</f>
        <v/>
      </c>
      <c r="AR179" s="30" t="inlineStr">
        <is>
          <t>Higher One Time, Lower Annuity</t>
        </is>
      </c>
      <c r="AS179" s="30">
        <f>IF(AR179="Fully Annuity",10,IF(AR179="Higher Annuity, Lower One Time",5,IF(AR179="Higher One Time, Lower Annuity",3,0)))</f>
        <v/>
      </c>
      <c r="AT179" s="30" t="inlineStr">
        <is>
          <t>Good</t>
        </is>
      </c>
      <c r="AU179" s="30">
        <f>IF(AT179="Good",10,0)</f>
        <v/>
      </c>
      <c r="AV179" s="30" t="inlineStr">
        <is>
          <t>Yes for more than 2 years</t>
        </is>
      </c>
      <c r="AW179" s="30">
        <f>IF(AV179="Yes for more than 2 years",10,IF(AV179="Yes only for next 1 to 2 years",5,0))</f>
        <v/>
      </c>
      <c r="AX179" s="30" t="inlineStr">
        <is>
          <t>Above 40</t>
        </is>
      </c>
      <c r="AY179" s="30">
        <f>IF(AX179="Above 40",20,IF(AX179="20 to 40",10,IF(AX179="0 to 20",-5,0)))</f>
        <v/>
      </c>
      <c r="AZ179" s="30" t="inlineStr">
        <is>
          <t>Between 50 to 75</t>
        </is>
      </c>
      <c r="BA179" s="30">
        <f>IF(AZ179="Between 50 to 75",10,IF(AZ179="Above 75",0,0))</f>
        <v/>
      </c>
      <c r="BB179" s="30" t="inlineStr">
        <is>
          <t>Stage 2</t>
        </is>
      </c>
      <c r="BC179" s="30">
        <f>IF(BB179="Stage 2",20,IF(BB179="Stage 1",0,IF(BB179="Stage 3",5,IF(BB179="Stage 4",-5,0))))</f>
        <v/>
      </c>
      <c r="BD179" s="30" t="inlineStr">
        <is>
          <t>Positive Trend</t>
        </is>
      </c>
      <c r="BE179" s="30">
        <f>IF(BD179="Positive Trend",20,IF(BD179="Negative Trend",-10,0))</f>
        <v/>
      </c>
      <c r="BF179" s="30" t="inlineStr">
        <is>
          <t>Uptrend</t>
        </is>
      </c>
      <c r="BG179" s="30">
        <f>IF(BF179="Uptrend",10,IF(BF179="Sideways",5,0))</f>
        <v/>
      </c>
      <c r="BH179" s="30" t="inlineStr">
        <is>
          <t>Uptrend</t>
        </is>
      </c>
      <c r="BI179" s="30">
        <f>IF(BH179="Uptrend",10,IF(BH179="Sideways",5,0))</f>
        <v/>
      </c>
      <c r="BJ179" s="30" t="inlineStr">
        <is>
          <t>Close to 52 week high or retracement</t>
        </is>
      </c>
      <c r="BK179" s="30">
        <f>IF(BJ179="Overhead supply in last 2 years in last 2 years",-5,IF(BJ179="Close to 52 week high or retracement",5,IF(BJ179="Blue sky scenario",10,IF(BJ179="Long term Downtrend",-10,0))))</f>
        <v/>
      </c>
      <c r="BL179" s="30" t="inlineStr">
        <is>
          <t>Yes</t>
        </is>
      </c>
      <c r="BM179" s="30">
        <f>IF(BL179="Yes",10,0)</f>
        <v/>
      </c>
      <c r="BN179" s="30" t="inlineStr">
        <is>
          <t>More than 20%</t>
        </is>
      </c>
      <c r="BO179" s="30">
        <f>IF(BN179="More than 20%",10,IF(BN179="Between 12 to 20%",5,IF(BN179="Less than 12%",0,0)))</f>
        <v/>
      </c>
      <c r="BP179" s="30" t="inlineStr">
        <is>
          <t>No</t>
        </is>
      </c>
      <c r="BQ179" s="30">
        <f>IF(BP179="No",10,0)</f>
        <v/>
      </c>
      <c r="BR179" s="30" t="inlineStr">
        <is>
          <t>Yes</t>
        </is>
      </c>
      <c r="BS179" s="30">
        <f>IF(BR179="NO",5,0)</f>
        <v/>
      </c>
      <c r="BT179" s="30" t="inlineStr">
        <is>
          <t>Above 2</t>
        </is>
      </c>
      <c r="BU179" s="30">
        <f>IF(BT179="Above 2",0,IF(BT179="Between 1.5 to 2",5,IF(BT179="Less than 1.5",10,0)))</f>
        <v/>
      </c>
      <c r="BV179" s="30" t="inlineStr">
        <is>
          <t>Above 70%</t>
        </is>
      </c>
      <c r="BW179" s="30">
        <f>IF(BV179="Above 70%",10,IF(BV179="Between 50% to 70%",5,IF(BV179="Less than 50%",0,IF(BV179="Negative",-10,IF(BV179="Less than 50% and Borrowings are increasing",-5,0)))))</f>
        <v/>
      </c>
      <c r="BX179" s="30" t="inlineStr">
        <is>
          <t>Less than 0.7</t>
        </is>
      </c>
      <c r="BY179" s="30">
        <f>IF(BX179="More than 1.2",-10,IF(BX179="Between 0.7 to 1.2",0,IF(BX179="Less than 0.7",10,0)))</f>
        <v/>
      </c>
      <c r="BZ179" s="30" t="inlineStr">
        <is>
          <t>No</t>
        </is>
      </c>
      <c r="CA179" s="30">
        <f>IF(BZ179="Yes",-10,0)</f>
        <v/>
      </c>
      <c r="CB179" s="30" t="inlineStr">
        <is>
          <t>Less than 15%</t>
        </is>
      </c>
      <c r="CC179" s="30">
        <f>IF(CB179="More than 15%",-10,IF(CB179="Less than 15%",10,0))</f>
        <v/>
      </c>
      <c r="CD179" s="30" t="inlineStr">
        <is>
          <t>No</t>
        </is>
      </c>
      <c r="CE179" s="30">
        <f>IF(CD179="Yes, more than 10%",-10,IF(CD179="No",10,0))</f>
        <v/>
      </c>
    </row>
    <row r="180">
      <c r="A180" s="30">
        <f>IF(B180=0,"",RANK(B180,$B$2:$B$331,0))</f>
        <v/>
      </c>
      <c r="B180" s="31">
        <f>SUM(N180,Y180,AA180,AC180,AE180,AG180,AI180,AK180,AM180,AO180,AQ180,AS180,AU180,AW180,AY180,BA180,BC180,BE180,BG180,BI180,BK180,BM180,BO180,BQ180,BS180,BU180,BW180,BY180,CA180,CC180,CE180)</f>
        <v/>
      </c>
      <c r="C180" s="30" t="inlineStr">
        <is>
          <t>VALIANTLAB</t>
        </is>
      </c>
      <c r="D180" s="30" t="inlineStr">
        <is>
          <t>Valiant Laboratories Ltd</t>
        </is>
      </c>
      <c r="E180" s="30" t="inlineStr">
        <is>
          <t>healthcare</t>
        </is>
      </c>
      <c r="F180" s="30" t="inlineStr">
        <is>
          <t>pharmaceuticals - indian - bulk drugs &amp; formln</t>
        </is>
      </c>
      <c r="G180" s="30" t="inlineStr">
        <is>
          <t>smallcap</t>
        </is>
      </c>
      <c r="H180" s="31" t="n">
        <v>650.83</v>
      </c>
      <c r="I180" s="31" t="n">
        <v>124.8</v>
      </c>
      <c r="J180" s="31" t="n">
        <v>4.15</v>
      </c>
      <c r="K180" s="31" t="n">
        <v>286847</v>
      </c>
      <c r="L180" s="30" t="n">
        <v>80</v>
      </c>
      <c r="M180" s="30" t="inlineStr">
        <is>
          <t>Outperforming</t>
        </is>
      </c>
      <c r="N180" s="31">
        <f>IF(M180="Underperforming",-5,IF(L180&gt;=95,15,IF(L180&gt;=90,10,IF(L180&gt;=80,5,0))))</f>
        <v/>
      </c>
      <c r="O180" s="31" t="n">
        <v>81.41</v>
      </c>
      <c r="P180" s="31" t="n">
        <v>21.83</v>
      </c>
      <c r="Q180" s="31" t="n">
        <v>95.47</v>
      </c>
      <c r="R180" s="30" t="inlineStr">
        <is>
          <t>Near 52W High Breakout</t>
        </is>
      </c>
      <c r="S180" s="30" t="inlineStr">
        <is>
          <t>Nifty Pharma</t>
        </is>
      </c>
      <c r="T180" s="31" t="n">
        <v>18.86</v>
      </c>
      <c r="U180" s="31" t="n">
        <v>43.81</v>
      </c>
      <c r="V180" s="31" t="n">
        <v>20.99</v>
      </c>
      <c r="W180" s="31" t="n">
        <v>30.57</v>
      </c>
      <c r="X180" s="30" t="inlineStr">
        <is>
          <t>Growing Industry</t>
        </is>
      </c>
      <c r="Y180" s="30">
        <f>IF(X180="Growing Industry",10,IF(X180="Cyclical in an Upturn",5,0))</f>
        <v/>
      </c>
      <c r="Z180" s="30" t="inlineStr">
        <is>
          <t>Too Many Players with High ROCE</t>
        </is>
      </c>
      <c r="AA180" s="30">
        <f>IF(Z180="Monopoly",10,IF(Z180="Oligopoly",5,IF(Z180="Duopoly that cooperate",10,IF(Z180="Duopoly that compete",5,IF(Z180="Too many players with High ROCE",5,0)))))</f>
        <v/>
      </c>
      <c r="AB180" s="30" t="inlineStr">
        <is>
          <t>Yes</t>
        </is>
      </c>
      <c r="AC180" s="30">
        <f>IF(AB180="No",5,0)</f>
        <v/>
      </c>
      <c r="AD180" s="30" t="inlineStr">
        <is>
          <t>Tailwind</t>
        </is>
      </c>
      <c r="AE180" s="30">
        <f>IF(AD180="Tailwind",10,0)</f>
        <v/>
      </c>
      <c r="AF180" s="30" t="inlineStr">
        <is>
          <t>Structural (10 Years Consistency)</t>
        </is>
      </c>
      <c r="AG180" s="30">
        <f>IF(AF180="Structural (10 Years Consistency)",10,IF(AF180="Shallow Cyclical (2 to 3 years growth)",5,0))</f>
        <v/>
      </c>
      <c r="AH180" s="30" t="inlineStr">
        <is>
          <t>No</t>
        </is>
      </c>
      <c r="AI180" s="30">
        <f>IF(AH180="Yes due to Product Mix change or Operating Leverage",10,IF(AH180="Yes, these are peak margins",-5,IF(AH180="No",5,0)))</f>
        <v/>
      </c>
      <c r="AJ180" s="30" t="inlineStr">
        <is>
          <t>Stable</t>
        </is>
      </c>
      <c r="AK180" s="30">
        <f>IF(AJ180="Stable",10,0)</f>
        <v/>
      </c>
      <c r="AL180" s="30" t="inlineStr">
        <is>
          <t>Yes</t>
        </is>
      </c>
      <c r="AM180" s="30">
        <f>IF(AL180="Yes",10,0)</f>
        <v/>
      </c>
      <c r="AN180" s="30" t="inlineStr">
        <is>
          <t>B2B</t>
        </is>
      </c>
      <c r="AO180" s="30">
        <f>IF(AN180="B2C",10,IF(AN180="B2B",5,0))</f>
        <v/>
      </c>
      <c r="AP180" s="30" t="inlineStr">
        <is>
          <t>Yes</t>
        </is>
      </c>
      <c r="AQ180" s="30">
        <f>IF(AP180="Yes",10,0)</f>
        <v/>
      </c>
      <c r="AR180" s="30" t="inlineStr">
        <is>
          <t>Higher Annuity, Lower One Time</t>
        </is>
      </c>
      <c r="AS180" s="30">
        <f>IF(AR180="Fully Annuity",10,IF(AR180="Higher Annuity, Lower One Time",5,IF(AR180="Higher One Time, Lower Annuity",3,0)))</f>
        <v/>
      </c>
      <c r="AT180" s="30" t="inlineStr">
        <is>
          <t>Good</t>
        </is>
      </c>
      <c r="AU180" s="30">
        <f>IF(AT180="Good",10,0)</f>
        <v/>
      </c>
      <c r="AV180" s="30" t="inlineStr">
        <is>
          <t>Yes for more than 2 years</t>
        </is>
      </c>
      <c r="AW180" s="30">
        <f>IF(AV180="Yes for more than 2 years",10,IF(AV180="Yes only for next 1 to 2 years",5,0))</f>
        <v/>
      </c>
      <c r="AX180" s="30" t="inlineStr">
        <is>
          <t>20 to 40</t>
        </is>
      </c>
      <c r="AY180" s="30">
        <f>IF(AX180="Above 40",20,IF(AX180="20 to 40",10,IF(AX180="0 to 20",-5,0)))</f>
        <v/>
      </c>
      <c r="AZ180" s="30" t="inlineStr">
        <is>
          <t>Above 75</t>
        </is>
      </c>
      <c r="BA180" s="30">
        <f>IF(AZ180="Between 50 to 75",10,IF(AZ180="Above 75",0,0))</f>
        <v/>
      </c>
      <c r="BB180" s="30" t="inlineStr">
        <is>
          <t>Stage 2</t>
        </is>
      </c>
      <c r="BC180" s="30">
        <f>IF(BB180="Stage 2",20,IF(BB180="Stage 1",0,IF(BB180="Stage 3",5,IF(BB180="Stage 4",-5,0))))</f>
        <v/>
      </c>
      <c r="BD180" s="30" t="inlineStr">
        <is>
          <t>Positive Trend</t>
        </is>
      </c>
      <c r="BE180" s="30">
        <f>IF(BD180="Positive Trend",20,IF(BD180="Negative Trend",-10,0))</f>
        <v/>
      </c>
      <c r="BF180" s="30" t="inlineStr">
        <is>
          <t>Uptrend</t>
        </is>
      </c>
      <c r="BG180" s="30">
        <f>IF(BF180="Uptrend",10,IF(BF180="Sideways",5,0))</f>
        <v/>
      </c>
      <c r="BH180" s="30" t="inlineStr">
        <is>
          <t>Uptrend</t>
        </is>
      </c>
      <c r="BI180" s="30">
        <f>IF(BH180="Uptrend",10,IF(BH180="Sideways",5,0))</f>
        <v/>
      </c>
      <c r="BJ180" s="30" t="inlineStr">
        <is>
          <t>Blue sky scenario</t>
        </is>
      </c>
      <c r="BK180" s="30">
        <f>IF(BJ180="Overhead supply in last 2 years in last 2 years",-5,IF(BJ180="Close to 52 week high or retracement",5,IF(BJ180="Blue sky scenario",10,IF(BJ180="Long term Downtrend",-10,0))))</f>
        <v/>
      </c>
      <c r="BL180" s="30" t="inlineStr">
        <is>
          <t>Yes</t>
        </is>
      </c>
      <c r="BM180" s="30">
        <f>IF(BL180="Yes",10,0)</f>
        <v/>
      </c>
      <c r="BN180" s="30" t="inlineStr">
        <is>
          <t>More than 20%</t>
        </is>
      </c>
      <c r="BO180" s="30">
        <f>IF(BN180="More than 20%",10,IF(BN180="Between 12 to 20%",5,IF(BN180="Less than 12%",0,0)))</f>
        <v/>
      </c>
      <c r="BP180" s="30" t="inlineStr">
        <is>
          <t>No</t>
        </is>
      </c>
      <c r="BQ180" s="30">
        <f>IF(BP180="No",10,0)</f>
        <v/>
      </c>
      <c r="BR180" s="30" t="inlineStr">
        <is>
          <t>Yes</t>
        </is>
      </c>
      <c r="BS180" s="30">
        <f>IF(BR180="NO",5,0)</f>
        <v/>
      </c>
      <c r="BT180" s="30" t="inlineStr">
        <is>
          <t>Above 2</t>
        </is>
      </c>
      <c r="BU180" s="30">
        <f>IF(BT180="Above 2",0,IF(BT180="Between 1.5 to 2",5,IF(BT180="Less than 1.5",10,0)))</f>
        <v/>
      </c>
      <c r="BV180" s="30" t="inlineStr">
        <is>
          <t>Above 70%</t>
        </is>
      </c>
      <c r="BW180" s="30">
        <f>IF(BV180="Above 70%",10,IF(BV180="Between 50% to 70%",5,IF(BV180="Less than 50%",0,IF(BV180="Negative",-10,IF(BV180="Less than 50% and Borrowings are increasing",-5,0)))))</f>
        <v/>
      </c>
      <c r="BX180" s="30" t="inlineStr">
        <is>
          <t>Less than 0.7</t>
        </is>
      </c>
      <c r="BY180" s="30">
        <f>IF(BX180="More than 1.2",-10,IF(BX180="Between 0.7 to 1.2",0,IF(BX180="Less than 0.7",10,0)))</f>
        <v/>
      </c>
      <c r="BZ180" s="30" t="inlineStr">
        <is>
          <t>No</t>
        </is>
      </c>
      <c r="CA180" s="30">
        <f>IF(BZ180="Yes",-10,0)</f>
        <v/>
      </c>
      <c r="CB180" s="30" t="inlineStr">
        <is>
          <t>Less than 15%</t>
        </is>
      </c>
      <c r="CC180" s="30">
        <f>IF(CB180="More than 15%",-10,IF(CB180="Less than 15%",10,0))</f>
        <v/>
      </c>
      <c r="CD180" s="30" t="inlineStr">
        <is>
          <t>No</t>
        </is>
      </c>
      <c r="CE180" s="30">
        <f>IF(CD180="Yes, more than 10%",-10,IF(CD180="No",10,0))</f>
        <v/>
      </c>
    </row>
    <row r="181">
      <c r="A181" s="30">
        <f>IF(B181=0,"",RANK(B181,$B$2:$B$331,0))</f>
        <v/>
      </c>
      <c r="B181" s="31">
        <f>SUM(N181,Y181,AA181,AC181,AE181,AG181,AI181,AK181,AM181,AO181,AQ181,AS181,AU181,AW181,AY181,BA181,BC181,BE181,BG181,BI181,BK181,BM181,BO181,BQ181,BS181,BU181,BW181,BY181,CA181,CC181,CE181)</f>
        <v/>
      </c>
      <c r="C181" s="30" t="inlineStr">
        <is>
          <t>SMSPHARMA</t>
        </is>
      </c>
      <c r="D181" s="30" t="inlineStr">
        <is>
          <t>Sms Pharmaceuticals Limited</t>
        </is>
      </c>
      <c r="E181" s="30" t="inlineStr">
        <is>
          <t>healthcare</t>
        </is>
      </c>
      <c r="F181" s="30" t="inlineStr">
        <is>
          <t>pharmaceuticals - indian - bulk drugs</t>
        </is>
      </c>
      <c r="G181" s="30" t="inlineStr">
        <is>
          <t>smallcap</t>
        </is>
      </c>
      <c r="H181" s="31" t="n">
        <v>3814.45</v>
      </c>
      <c r="I181" s="31" t="n">
        <v>417.45</v>
      </c>
      <c r="J181" s="31" t="n">
        <v>2.49</v>
      </c>
      <c r="K181" s="31" t="n">
        <v>561774</v>
      </c>
      <c r="L181" s="30" t="n">
        <v>30</v>
      </c>
      <c r="M181" s="30" t="inlineStr">
        <is>
          <t>Outperforming</t>
        </is>
      </c>
      <c r="N181" s="31">
        <f>IF(M181="Underperforming",-5,IF(L181&gt;=95,15,IF(L181&gt;=90,10,IF(L181&gt;=80,5,0))))</f>
        <v/>
      </c>
      <c r="O181" s="31" t="n">
        <v>61.26</v>
      </c>
      <c r="P181" s="31" t="n">
        <v>30.87</v>
      </c>
      <c r="Q181" s="31" t="n">
        <v>320.43</v>
      </c>
      <c r="R181" s="30" t="inlineStr">
        <is>
          <t>Volume Spike &amp; Near 52W High Breakout</t>
        </is>
      </c>
      <c r="S181" s="30" t="inlineStr">
        <is>
          <t>Nifty Pharma</t>
        </is>
      </c>
      <c r="T181" s="31" t="n">
        <v>18.86</v>
      </c>
      <c r="U181" s="31" t="n">
        <v>43.52</v>
      </c>
      <c r="V181" s="31" t="n">
        <v>20.74</v>
      </c>
      <c r="W181" s="31" t="n">
        <v>9.390000000000001</v>
      </c>
      <c r="X181" s="30" t="inlineStr">
        <is>
          <t>Growing Industry</t>
        </is>
      </c>
      <c r="Y181" s="30">
        <f>IF(X181="Growing Industry",10,IF(X181="Cyclical in an Upturn",5,0))</f>
        <v/>
      </c>
      <c r="Z181" s="30" t="inlineStr">
        <is>
          <t>Too Many Players with High ROCE</t>
        </is>
      </c>
      <c r="AA181" s="30">
        <f>IF(Z181="Monopoly",10,IF(Z181="Oligopoly",5,IF(Z181="Duopoly that cooperate",10,IF(Z181="Duopoly that compete",5,IF(Z181="Too many players with High ROCE",5,0)))))</f>
        <v/>
      </c>
      <c r="AB181" s="30" t="inlineStr">
        <is>
          <t>Yes</t>
        </is>
      </c>
      <c r="AC181" s="30">
        <f>IF(AB181="No",5,0)</f>
        <v/>
      </c>
      <c r="AD181" s="30" t="inlineStr">
        <is>
          <t>Tailwind</t>
        </is>
      </c>
      <c r="AE181" s="30">
        <f>IF(AD181="Tailwind",10,0)</f>
        <v/>
      </c>
      <c r="AF181" s="30" t="inlineStr">
        <is>
          <t>Structural (10 Years Consistency)</t>
        </is>
      </c>
      <c r="AG181" s="30">
        <f>IF(AF181="Structural (10 Years Consistency)",10,IF(AF181="Shallow Cyclical (2 to 3 years growth)",5,0))</f>
        <v/>
      </c>
      <c r="AH181" s="30" t="inlineStr">
        <is>
          <t>No</t>
        </is>
      </c>
      <c r="AI181" s="30">
        <f>IF(AH181="Yes due to Product Mix change or Operating Leverage",10,IF(AH181="Yes, these are peak margins",-5,IF(AH181="No",5,0)))</f>
        <v/>
      </c>
      <c r="AJ181" s="30" t="inlineStr">
        <is>
          <t>Stable</t>
        </is>
      </c>
      <c r="AK181" s="30">
        <f>IF(AJ181="Stable",10,0)</f>
        <v/>
      </c>
      <c r="AL181" s="30" t="inlineStr">
        <is>
          <t>Yes</t>
        </is>
      </c>
      <c r="AM181" s="30">
        <f>IF(AL181="Yes",10,0)</f>
        <v/>
      </c>
      <c r="AN181" s="30" t="inlineStr">
        <is>
          <t>B2B</t>
        </is>
      </c>
      <c r="AO181" s="30">
        <f>IF(AN181="B2C",10,IF(AN181="B2B",5,0))</f>
        <v/>
      </c>
      <c r="AP181" s="30" t="inlineStr">
        <is>
          <t>Yes</t>
        </is>
      </c>
      <c r="AQ181" s="30">
        <f>IF(AP181="Yes",10,0)</f>
        <v/>
      </c>
      <c r="AR181" s="30" t="inlineStr">
        <is>
          <t>Higher Annuity, Lower One Time</t>
        </is>
      </c>
      <c r="AS181" s="30">
        <f>IF(AR181="Fully Annuity",10,IF(AR181="Higher Annuity, Lower One Time",5,IF(AR181="Higher One Time, Lower Annuity",3,0)))</f>
        <v/>
      </c>
      <c r="AT181" s="30" t="inlineStr">
        <is>
          <t>Good</t>
        </is>
      </c>
      <c r="AU181" s="30">
        <f>IF(AT181="Good",10,0)</f>
        <v/>
      </c>
      <c r="AV181" s="30" t="inlineStr">
        <is>
          <t>Yes for more than 2 years</t>
        </is>
      </c>
      <c r="AW181" s="30">
        <f>IF(AV181="Yes for more than 2 years",10,IF(AV181="Yes only for next 1 to 2 years",5,0))</f>
        <v/>
      </c>
      <c r="AX181" s="30" t="inlineStr">
        <is>
          <t>20 to 40</t>
        </is>
      </c>
      <c r="AY181" s="30">
        <f>IF(AX181="Above 40",20,IF(AX181="20 to 40",10,IF(AX181="0 to 20",-5,0)))</f>
        <v/>
      </c>
      <c r="AZ181" s="30" t="inlineStr">
        <is>
          <t>Between 50 to 75</t>
        </is>
      </c>
      <c r="BA181" s="30">
        <f>IF(AZ181="Between 50 to 75",10,IF(AZ181="Above 75",0,0))</f>
        <v/>
      </c>
      <c r="BB181" s="30" t="inlineStr">
        <is>
          <t>Stage 2</t>
        </is>
      </c>
      <c r="BC181" s="30">
        <f>IF(BB181="Stage 2",20,IF(BB181="Stage 1",0,IF(BB181="Stage 3",5,IF(BB181="Stage 4",-5,0))))</f>
        <v/>
      </c>
      <c r="BD181" s="30" t="inlineStr">
        <is>
          <t>Positive Trend</t>
        </is>
      </c>
      <c r="BE181" s="30">
        <f>IF(BD181="Positive Trend",20,IF(BD181="Negative Trend",-10,0))</f>
        <v/>
      </c>
      <c r="BF181" s="30" t="inlineStr">
        <is>
          <t>Uptrend</t>
        </is>
      </c>
      <c r="BG181" s="30">
        <f>IF(BF181="Uptrend",10,IF(BF181="Sideways",5,0))</f>
        <v/>
      </c>
      <c r="BH181" s="30" t="inlineStr">
        <is>
          <t>Uptrend</t>
        </is>
      </c>
      <c r="BI181" s="30">
        <f>IF(BH181="Uptrend",10,IF(BH181="Sideways",5,0))</f>
        <v/>
      </c>
      <c r="BJ181" s="30" t="inlineStr">
        <is>
          <t>Blue sky scenario</t>
        </is>
      </c>
      <c r="BK181" s="30">
        <f>IF(BJ181="Overhead supply in last 2 years in last 2 years",-5,IF(BJ181="Close to 52 week high or retracement",5,IF(BJ181="Blue sky scenario",10,IF(BJ181="Long term Downtrend",-10,0))))</f>
        <v/>
      </c>
      <c r="BL181" s="30" t="inlineStr">
        <is>
          <t>Yes</t>
        </is>
      </c>
      <c r="BM181" s="30">
        <f>IF(BL181="Yes",10,0)</f>
        <v/>
      </c>
      <c r="BN181" s="30" t="inlineStr">
        <is>
          <t>Less than 12%</t>
        </is>
      </c>
      <c r="BO181" s="30">
        <f>IF(BN181="More than 20%",10,IF(BN181="Between 12 to 20%",5,IF(BN181="Less than 12%",0,0)))</f>
        <v/>
      </c>
      <c r="BP181" s="30" t="inlineStr">
        <is>
          <t>No</t>
        </is>
      </c>
      <c r="BQ181" s="30">
        <f>IF(BP181="No",10,0)</f>
        <v/>
      </c>
      <c r="BR181" s="30" t="inlineStr">
        <is>
          <t>No</t>
        </is>
      </c>
      <c r="BS181" s="30">
        <f>IF(BR181="NO",5,0)</f>
        <v/>
      </c>
      <c r="BT181" s="30" t="inlineStr">
        <is>
          <t>Above 2</t>
        </is>
      </c>
      <c r="BU181" s="30">
        <f>IF(BT181="Above 2",0,IF(BT181="Between 1.5 to 2",5,IF(BT181="Less than 1.5",10,0)))</f>
        <v/>
      </c>
      <c r="BV181" s="30" t="inlineStr">
        <is>
          <t>Above 70%</t>
        </is>
      </c>
      <c r="BW181" s="30">
        <f>IF(BV181="Above 70%",10,IF(BV181="Between 50% to 70%",5,IF(BV181="Less than 50%",0,IF(BV181="Negative",-10,IF(BV181="Less than 50% and Borrowings are increasing",-5,0)))))</f>
        <v/>
      </c>
      <c r="BX181" s="30" t="inlineStr">
        <is>
          <t>Less than 0.7</t>
        </is>
      </c>
      <c r="BY181" s="30">
        <f>IF(BX181="More than 1.2",-10,IF(BX181="Between 0.7 to 1.2",0,IF(BX181="Less than 0.7",10,0)))</f>
        <v/>
      </c>
      <c r="BZ181" s="30" t="inlineStr">
        <is>
          <t>No</t>
        </is>
      </c>
      <c r="CA181" s="30">
        <f>IF(BZ181="Yes",-10,0)</f>
        <v/>
      </c>
      <c r="CB181" s="30" t="inlineStr">
        <is>
          <t>Less than 15%</t>
        </is>
      </c>
      <c r="CC181" s="30">
        <f>IF(CB181="More than 15%",-10,IF(CB181="Less than 15%",10,0))</f>
        <v/>
      </c>
      <c r="CD181" s="30" t="inlineStr">
        <is>
          <t>No</t>
        </is>
      </c>
      <c r="CE181" s="30">
        <f>IF(CD181="Yes, more than 10%",-10,IF(CD181="No",10,0))</f>
        <v/>
      </c>
    </row>
    <row r="182">
      <c r="A182" s="30">
        <f>IF(B182=0,"",RANK(B182,$B$2:$B$331,0))</f>
        <v/>
      </c>
      <c r="B182" s="31">
        <f>SUM(N182,Y182,AA182,AC182,AE182,AG182,AI182,AK182,AM182,AO182,AQ182,AS182,AU182,AW182,AY182,BA182,BC182,BE182,BG182,BI182,BK182,BM182,BO182,BQ182,BS182,BU182,BW182,BY182,CA182,CC182,CE182)</f>
        <v/>
      </c>
      <c r="C182" s="32" t="inlineStr">
        <is>
          <t>KOVAI</t>
        </is>
      </c>
      <c r="D182" s="32" t="inlineStr">
        <is>
          <t>Kovai Medical Center &amp; Hospital Ltd</t>
        </is>
      </c>
      <c r="E182" s="30" t="inlineStr">
        <is>
          <t>healthcare</t>
        </is>
      </c>
      <c r="F182" s="30" t="inlineStr">
        <is>
          <t>healthcare</t>
        </is>
      </c>
      <c r="G182" s="30" t="inlineStr">
        <is>
          <t>midcap</t>
        </is>
      </c>
      <c r="H182" s="31" t="n">
        <v>6728.94</v>
      </c>
      <c r="I182" s="31" t="n">
        <v>6292</v>
      </c>
      <c r="J182" s="31" t="n">
        <v>2.32</v>
      </c>
      <c r="K182" s="31" t="n">
        <v>15697</v>
      </c>
      <c r="L182" s="30" t="n">
        <v>6</v>
      </c>
      <c r="M182" s="30" t="inlineStr">
        <is>
          <t>Underperforming</t>
        </is>
      </c>
      <c r="N182" s="31">
        <f>IF(M182="Underperforming",-5,IF(L182&gt;=95,15,IF(L182&gt;=90,10,IF(L182&gt;=80,5,0))))</f>
        <v/>
      </c>
      <c r="O182" s="31" t="n">
        <v>69.39</v>
      </c>
      <c r="P182" s="31" t="n">
        <v>34.49</v>
      </c>
      <c r="Q182" s="31" t="n">
        <v>5361.49</v>
      </c>
      <c r="R182" s="30" t="inlineStr">
        <is>
          <t>Earnings / Momentum Support</t>
        </is>
      </c>
      <c r="S182" s="30" t="inlineStr">
        <is>
          <t>Nifty Pharma</t>
        </is>
      </c>
      <c r="T182" s="31" t="n">
        <v>18.86</v>
      </c>
      <c r="U182" s="31" t="n">
        <v>-0</v>
      </c>
      <c r="V182" s="31" t="n">
        <v>-15.87</v>
      </c>
      <c r="W182" s="31" t="n">
        <v>2.21</v>
      </c>
      <c r="X182" s="30" t="inlineStr">
        <is>
          <t>Growing Industry</t>
        </is>
      </c>
      <c r="Y182" s="30">
        <f>IF(X182="Growing Industry",10,IF(X182="Cyclical in an Upturn",5,0))</f>
        <v/>
      </c>
      <c r="Z182" s="30" t="inlineStr">
        <is>
          <t>Too Many Players with High ROCE</t>
        </is>
      </c>
      <c r="AA182" s="30">
        <f>IF(Z182="Monopoly",10,IF(Z182="Oligopoly",5,IF(Z182="Duopoly that cooperate",10,IF(Z182="Duopoly that compete",5,IF(Z182="Too many players with High ROCE",5,0)))))</f>
        <v/>
      </c>
      <c r="AB182" s="30" t="inlineStr">
        <is>
          <t>Yes</t>
        </is>
      </c>
      <c r="AC182" s="30">
        <f>IF(AB182="No",5,0)</f>
        <v/>
      </c>
      <c r="AD182" s="30" t="inlineStr">
        <is>
          <t>Tailwind</t>
        </is>
      </c>
      <c r="AE182" s="30">
        <f>IF(AD182="Tailwind",10,0)</f>
        <v/>
      </c>
      <c r="AF182" s="30" t="inlineStr">
        <is>
          <t>Structural (10 Years Consistency)</t>
        </is>
      </c>
      <c r="AG182" s="30">
        <f>IF(AF182="Structural (10 Years Consistency)",10,IF(AF182="Shallow Cyclical (2 to 3 years growth)",5,0))</f>
        <v/>
      </c>
      <c r="AH182" s="30" t="inlineStr">
        <is>
          <t>No</t>
        </is>
      </c>
      <c r="AI182" s="30">
        <f>IF(AH182="Yes due to Product Mix change or Operating Leverage",10,IF(AH182="Yes, these are peak margins",-5,IF(AH182="No",5,0)))</f>
        <v/>
      </c>
      <c r="AJ182" s="30" t="inlineStr">
        <is>
          <t>Stable</t>
        </is>
      </c>
      <c r="AK182" s="30">
        <f>IF(AJ182="Stable",10,0)</f>
        <v/>
      </c>
      <c r="AL182" s="30" t="inlineStr">
        <is>
          <t>Yes</t>
        </is>
      </c>
      <c r="AM182" s="30">
        <f>IF(AL182="Yes",10,0)</f>
        <v/>
      </c>
      <c r="AN182" s="30" t="inlineStr">
        <is>
          <t>B2B</t>
        </is>
      </c>
      <c r="AO182" s="30">
        <f>IF(AN182="B2C",10,IF(AN182="B2B",5,0))</f>
        <v/>
      </c>
      <c r="AP182" s="30" t="inlineStr">
        <is>
          <t>No</t>
        </is>
      </c>
      <c r="AQ182" s="30">
        <f>IF(AP182="Yes",10,0)</f>
        <v/>
      </c>
      <c r="AR182" s="30" t="inlineStr">
        <is>
          <t>Higher Annuity, Lower One Time</t>
        </is>
      </c>
      <c r="AS182" s="30">
        <f>IF(AR182="Fully Annuity",10,IF(AR182="Higher Annuity, Lower One Time",5,IF(AR182="Higher One Time, Lower Annuity",3,0)))</f>
        <v/>
      </c>
      <c r="AT182" s="30" t="inlineStr">
        <is>
          <t>Good</t>
        </is>
      </c>
      <c r="AU182" s="30">
        <f>IF(AT182="Good",10,0)</f>
        <v/>
      </c>
      <c r="AV182" s="30" t="inlineStr">
        <is>
          <t>Yes for more than 2 years</t>
        </is>
      </c>
      <c r="AW182" s="30">
        <f>IF(AV182="Yes for more than 2 years",10,IF(AV182="Yes only for next 1 to 2 years",5,0))</f>
        <v/>
      </c>
      <c r="AX182" s="30" t="inlineStr">
        <is>
          <t>20 to 40</t>
        </is>
      </c>
      <c r="AY182" s="30">
        <f>IF(AX182="Above 40",20,IF(AX182="20 to 40",10,IF(AX182="0 to 20",-5,0)))</f>
        <v/>
      </c>
      <c r="AZ182" s="30" t="inlineStr">
        <is>
          <t>Between 50 to 75</t>
        </is>
      </c>
      <c r="BA182" s="30">
        <f>IF(AZ182="Between 50 to 75",10,IF(AZ182="Above 75",0,0))</f>
        <v/>
      </c>
      <c r="BB182" s="30" t="inlineStr">
        <is>
          <t>Stage 2</t>
        </is>
      </c>
      <c r="BC182" s="30">
        <f>IF(BB182="Stage 2",20,IF(BB182="Stage 1",0,IF(BB182="Stage 3",5,IF(BB182="Stage 4",-5,0))))</f>
        <v/>
      </c>
      <c r="BD182" s="30" t="inlineStr">
        <is>
          <t>Positive Trend</t>
        </is>
      </c>
      <c r="BE182" s="30">
        <f>IF(BD182="Positive Trend",20,IF(BD182="Negative Trend",-10,0))</f>
        <v/>
      </c>
      <c r="BF182" s="30" t="inlineStr">
        <is>
          <t>Uptrend</t>
        </is>
      </c>
      <c r="BG182" s="30">
        <f>IF(BF182="Uptrend",10,IF(BF182="Sideways",5,0))</f>
        <v/>
      </c>
      <c r="BH182" s="30" t="inlineStr">
        <is>
          <t>Uptrend</t>
        </is>
      </c>
      <c r="BI182" s="30">
        <f>IF(BH182="Uptrend",10,IF(BH182="Sideways",5,0))</f>
        <v/>
      </c>
      <c r="BJ182" s="30" t="inlineStr">
        <is>
          <t>Close to 52 week high or retracement</t>
        </is>
      </c>
      <c r="BK182" s="30">
        <f>IF(BJ182="Overhead supply in last 2 years in last 2 years",-5,IF(BJ182="Close to 52 week high or retracement",5,IF(BJ182="Blue sky scenario",10,IF(BJ182="Long term Downtrend",-10,0))))</f>
        <v/>
      </c>
      <c r="BL182" s="30" t="inlineStr">
        <is>
          <t>Yes</t>
        </is>
      </c>
      <c r="BM182" s="30">
        <f>IF(BL182="Yes",10,0)</f>
        <v/>
      </c>
      <c r="BN182" s="30" t="inlineStr">
        <is>
          <t>More than 20%</t>
        </is>
      </c>
      <c r="BO182" s="30">
        <f>IF(BN182="More than 20%",10,IF(BN182="Between 12 to 20%",5,IF(BN182="Less than 12%",0,0)))</f>
        <v/>
      </c>
      <c r="BP182" s="30" t="inlineStr">
        <is>
          <t>No</t>
        </is>
      </c>
      <c r="BQ182" s="30">
        <f>IF(BP182="No",10,0)</f>
        <v/>
      </c>
      <c r="BR182" s="30" t="inlineStr">
        <is>
          <t>No</t>
        </is>
      </c>
      <c r="BS182" s="30">
        <f>IF(BR182="NO",5,0)</f>
        <v/>
      </c>
      <c r="BT182" s="30" t="inlineStr">
        <is>
          <t>Less than 1.5</t>
        </is>
      </c>
      <c r="BU182" s="30">
        <f>IF(BT182="Above 2",0,IF(BT182="Between 1.5 to 2",5,IF(BT182="Less than 1.5",10,0)))</f>
        <v/>
      </c>
      <c r="BV182" s="30" t="inlineStr">
        <is>
          <t>Above 70%</t>
        </is>
      </c>
      <c r="BW182" s="30">
        <f>IF(BV182="Above 70%",10,IF(BV182="Between 50% to 70%",5,IF(BV182="Less than 50%",0,IF(BV182="Negative",-10,IF(BV182="Less than 50% and Borrowings are increasing",-5,0)))))</f>
        <v/>
      </c>
      <c r="BX182" s="30" t="inlineStr">
        <is>
          <t>Less than 0.7</t>
        </is>
      </c>
      <c r="BY182" s="30">
        <f>IF(BX182="More than 1.2",-10,IF(BX182="Between 0.7 to 1.2",0,IF(BX182="Less than 0.7",10,0)))</f>
        <v/>
      </c>
      <c r="BZ182" s="30" t="inlineStr">
        <is>
          <t>No</t>
        </is>
      </c>
      <c r="CA182" s="30">
        <f>IF(BZ182="Yes",-10,0)</f>
        <v/>
      </c>
      <c r="CB182" s="30" t="inlineStr">
        <is>
          <t>Less than 15%</t>
        </is>
      </c>
      <c r="CC182" s="30">
        <f>IF(CB182="More than 15%",-10,IF(CB182="Less than 15%",10,0))</f>
        <v/>
      </c>
      <c r="CD182" s="30" t="inlineStr">
        <is>
          <t>No</t>
        </is>
      </c>
      <c r="CE182" s="30">
        <f>IF(CD182="Yes, more than 10%",-10,IF(CD182="No",10,0))</f>
        <v/>
      </c>
    </row>
    <row r="183">
      <c r="A183" s="30">
        <f>IF(B183=0,"",RANK(B183,$B$2:$B$331,0))</f>
        <v/>
      </c>
      <c r="B183" s="31">
        <f>SUM(N183,Y183,AA183,AC183,AE183,AG183,AI183,AK183,AM183,AO183,AQ183,AS183,AU183,AW183,AY183,BA183,BC183,BE183,BG183,BI183,BK183,BM183,BO183,BQ183,BS183,BU183,BW183,BY183,CA183,CC183,CE183)</f>
        <v/>
      </c>
      <c r="C183" s="30" t="inlineStr">
        <is>
          <t>STAR</t>
        </is>
      </c>
      <c r="D183" s="30" t="inlineStr">
        <is>
          <t>Strides Shasun Limited</t>
        </is>
      </c>
      <c r="E183" s="30" t="inlineStr">
        <is>
          <t>healthcare</t>
        </is>
      </c>
      <c r="F183" s="30" t="inlineStr">
        <is>
          <t>pharmaceuticals - indian - bulk drugs &amp; formln</t>
        </is>
      </c>
      <c r="G183" s="30" t="inlineStr">
        <is>
          <t>midcap</t>
        </is>
      </c>
      <c r="H183" s="31" t="n">
        <v>11021.09</v>
      </c>
      <c r="I183" s="31" t="n">
        <v>1217</v>
      </c>
      <c r="J183" s="31" t="n">
        <v>1.78</v>
      </c>
      <c r="K183" s="31" t="n">
        <v>304120</v>
      </c>
      <c r="L183" s="30" t="n">
        <v>31</v>
      </c>
      <c r="M183" s="30" t="inlineStr">
        <is>
          <t>Outperforming</t>
        </is>
      </c>
      <c r="N183" s="31">
        <f>IF(M183="Underperforming",-5,IF(L183&gt;=95,15,IF(L183&gt;=90,10,IF(L183&gt;=80,5,0))))</f>
        <v/>
      </c>
      <c r="O183" s="31" t="n">
        <v>67.23999999999999</v>
      </c>
      <c r="P183" s="31" t="n">
        <v>10.51</v>
      </c>
      <c r="Q183" s="31" t="n">
        <v>943.9</v>
      </c>
      <c r="R183" s="30" t="inlineStr">
        <is>
          <t>Volume Spike &amp; Near 52W High Breakout</t>
        </is>
      </c>
      <c r="S183" s="30" t="inlineStr">
        <is>
          <t>Nifty Pharma</t>
        </is>
      </c>
      <c r="T183" s="31" t="n">
        <v>18.86</v>
      </c>
      <c r="U183" s="31" t="n">
        <v>34.4</v>
      </c>
      <c r="V183" s="31" t="n">
        <v>13.07</v>
      </c>
      <c r="W183" s="31" t="n">
        <v>9.529999999999999</v>
      </c>
      <c r="X183" s="30" t="inlineStr">
        <is>
          <t>Growing Industry</t>
        </is>
      </c>
      <c r="Y183" s="30">
        <f>IF(X183="Growing Industry",10,IF(X183="Cyclical in an Upturn",5,0))</f>
        <v/>
      </c>
      <c r="Z183" s="30" t="inlineStr">
        <is>
          <t>Too Many Players with High ROCE</t>
        </is>
      </c>
      <c r="AA183" s="30">
        <f>IF(Z183="Monopoly",10,IF(Z183="Oligopoly",5,IF(Z183="Duopoly that cooperate",10,IF(Z183="Duopoly that compete",5,IF(Z183="Too many players with High ROCE",5,0)))))</f>
        <v/>
      </c>
      <c r="AB183" s="30" t="inlineStr">
        <is>
          <t>Yes</t>
        </is>
      </c>
      <c r="AC183" s="30">
        <f>IF(AB183="No",5,0)</f>
        <v/>
      </c>
      <c r="AD183" s="30" t="inlineStr">
        <is>
          <t>Tailwind</t>
        </is>
      </c>
      <c r="AE183" s="30">
        <f>IF(AD183="Tailwind",10,0)</f>
        <v/>
      </c>
      <c r="AF183" s="30" t="inlineStr">
        <is>
          <t>Structural (10 Years Consistency)</t>
        </is>
      </c>
      <c r="AG183" s="30">
        <f>IF(AF183="Structural (10 Years Consistency)",10,IF(AF183="Shallow Cyclical (2 to 3 years growth)",5,0))</f>
        <v/>
      </c>
      <c r="AH183" s="30" t="inlineStr">
        <is>
          <t>No</t>
        </is>
      </c>
      <c r="AI183" s="30">
        <f>IF(AH183="Yes due to Product Mix change or Operating Leverage",10,IF(AH183="Yes, these are peak margins",-5,IF(AH183="No",5,0)))</f>
        <v/>
      </c>
      <c r="AJ183" s="30" t="inlineStr">
        <is>
          <t>Stable</t>
        </is>
      </c>
      <c r="AK183" s="30">
        <f>IF(AJ183="Stable",10,0)</f>
        <v/>
      </c>
      <c r="AL183" s="30" t="inlineStr">
        <is>
          <t>Yes</t>
        </is>
      </c>
      <c r="AM183" s="30">
        <f>IF(AL183="Yes",10,0)</f>
        <v/>
      </c>
      <c r="AN183" s="30" t="inlineStr">
        <is>
          <t>B2B</t>
        </is>
      </c>
      <c r="AO183" s="30">
        <f>IF(AN183="B2C",10,IF(AN183="B2B",5,0))</f>
        <v/>
      </c>
      <c r="AP183" s="30" t="inlineStr">
        <is>
          <t>Yes</t>
        </is>
      </c>
      <c r="AQ183" s="30">
        <f>IF(AP183="Yes",10,0)</f>
        <v/>
      </c>
      <c r="AR183" s="30" t="inlineStr">
        <is>
          <t>Higher Annuity, Lower One Time</t>
        </is>
      </c>
      <c r="AS183" s="30">
        <f>IF(AR183="Fully Annuity",10,IF(AR183="Higher Annuity, Lower One Time",5,IF(AR183="Higher One Time, Lower Annuity",3,0)))</f>
        <v/>
      </c>
      <c r="AT183" s="30" t="inlineStr">
        <is>
          <t>Good</t>
        </is>
      </c>
      <c r="AU183" s="30">
        <f>IF(AT183="Good",10,0)</f>
        <v/>
      </c>
      <c r="AV183" s="30" t="inlineStr">
        <is>
          <t>Yes for more than 2 years</t>
        </is>
      </c>
      <c r="AW183" s="30">
        <f>IF(AV183="Yes for more than 2 years",10,IF(AV183="Yes only for next 1 to 2 years",5,0))</f>
        <v/>
      </c>
      <c r="AX183" s="30" t="inlineStr">
        <is>
          <t>0 to 20</t>
        </is>
      </c>
      <c r="AY183" s="30">
        <f>IF(AX183="Above 40",20,IF(AX183="20 to 40",10,IF(AX183="0 to 20",-5,0)))</f>
        <v/>
      </c>
      <c r="AZ183" s="30" t="inlineStr">
        <is>
          <t>Between 50 to 75</t>
        </is>
      </c>
      <c r="BA183" s="30">
        <f>IF(AZ183="Between 50 to 75",10,IF(AZ183="Above 75",0,0))</f>
        <v/>
      </c>
      <c r="BB183" s="30" t="inlineStr">
        <is>
          <t>Stage 2</t>
        </is>
      </c>
      <c r="BC183" s="30">
        <f>IF(BB183="Stage 2",20,IF(BB183="Stage 1",0,IF(BB183="Stage 3",5,IF(BB183="Stage 4",-5,0))))</f>
        <v/>
      </c>
      <c r="BD183" s="30" t="inlineStr">
        <is>
          <t>Positive Trend</t>
        </is>
      </c>
      <c r="BE183" s="30">
        <f>IF(BD183="Positive Trend",20,IF(BD183="Negative Trend",-10,0))</f>
        <v/>
      </c>
      <c r="BF183" s="30" t="inlineStr">
        <is>
          <t>Uptrend</t>
        </is>
      </c>
      <c r="BG183" s="30">
        <f>IF(BF183="Uptrend",10,IF(BF183="Sideways",5,0))</f>
        <v/>
      </c>
      <c r="BH183" s="30" t="inlineStr">
        <is>
          <t>Uptrend</t>
        </is>
      </c>
      <c r="BI183" s="30">
        <f>IF(BH183="Uptrend",10,IF(BH183="Sideways",5,0))</f>
        <v/>
      </c>
      <c r="BJ183" s="30" t="inlineStr">
        <is>
          <t>Close to 52 week high or retracement</t>
        </is>
      </c>
      <c r="BK183" s="30">
        <f>IF(BJ183="Overhead supply in last 2 years in last 2 years",-5,IF(BJ183="Close to 52 week high or retracement",5,IF(BJ183="Blue sky scenario",10,IF(BJ183="Long term Downtrend",-10,0))))</f>
        <v/>
      </c>
      <c r="BL183" s="30" t="inlineStr">
        <is>
          <t>Yes</t>
        </is>
      </c>
      <c r="BM183" s="30">
        <f>IF(BL183="Yes",10,0)</f>
        <v/>
      </c>
      <c r="BN183" s="30" t="inlineStr">
        <is>
          <t>More than 20%</t>
        </is>
      </c>
      <c r="BO183" s="30">
        <f>IF(BN183="More than 20%",10,IF(BN183="Between 12 to 20%",5,IF(BN183="Less than 12%",0,0)))</f>
        <v/>
      </c>
      <c r="BP183" s="30" t="inlineStr">
        <is>
          <t>No</t>
        </is>
      </c>
      <c r="BQ183" s="30">
        <f>IF(BP183="No",10,0)</f>
        <v/>
      </c>
      <c r="BR183" s="30" t="inlineStr">
        <is>
          <t>No</t>
        </is>
      </c>
      <c r="BS183" s="30">
        <f>IF(BR183="NO",5,0)</f>
        <v/>
      </c>
      <c r="BT183" s="30" t="inlineStr">
        <is>
          <t>Less than 1.5</t>
        </is>
      </c>
      <c r="BU183" s="30">
        <f>IF(BT183="Above 2",0,IF(BT183="Between 1.5 to 2",5,IF(BT183="Less than 1.5",10,0)))</f>
        <v/>
      </c>
      <c r="BV183" s="30" t="inlineStr">
        <is>
          <t>Above 70%</t>
        </is>
      </c>
      <c r="BW183" s="30">
        <f>IF(BV183="Above 70%",10,IF(BV183="Between 50% to 70%",5,IF(BV183="Less than 50%",0,IF(BV183="Negative",-10,IF(BV183="Less than 50% and Borrowings are increasing",-5,0)))))</f>
        <v/>
      </c>
      <c r="BX183" s="30" t="inlineStr">
        <is>
          <t>Less than 0.7</t>
        </is>
      </c>
      <c r="BY183" s="30">
        <f>IF(BX183="More than 1.2",-10,IF(BX183="Between 0.7 to 1.2",0,IF(BX183="Less than 0.7",10,0)))</f>
        <v/>
      </c>
      <c r="BZ183" s="30" t="inlineStr">
        <is>
          <t>No</t>
        </is>
      </c>
      <c r="CA183" s="30">
        <f>IF(BZ183="Yes",-10,0)</f>
        <v/>
      </c>
      <c r="CB183" s="30" t="inlineStr">
        <is>
          <t>Less than 15%</t>
        </is>
      </c>
      <c r="CC183" s="30">
        <f>IF(CB183="More than 15%",-10,IF(CB183="Less than 15%",10,0))</f>
        <v/>
      </c>
      <c r="CD183" s="30" t="inlineStr">
        <is>
          <t>No</t>
        </is>
      </c>
      <c r="CE183" s="30">
        <f>IF(CD183="Yes, more than 10%",-10,IF(CD183="No",10,0))</f>
        <v/>
      </c>
    </row>
    <row r="184">
      <c r="A184" s="30">
        <f>IF(B184=0,"",RANK(B184,$B$2:$B$331,0))</f>
        <v/>
      </c>
      <c r="B184" s="31">
        <f>SUM(N184,Y184,AA184,AC184,AE184,AG184,AI184,AK184,AM184,AO184,AQ184,AS184,AU184,AW184,AY184,BA184,BC184,BE184,BG184,BI184,BK184,BM184,BO184,BQ184,BS184,BU184,BW184,BY184,CA184,CC184,CE184)</f>
        <v/>
      </c>
      <c r="C184" s="30" t="inlineStr">
        <is>
          <t>KOPRAN</t>
        </is>
      </c>
      <c r="D184" s="30" t="inlineStr">
        <is>
          <t>Kopran Limited</t>
        </is>
      </c>
      <c r="E184" s="30" t="inlineStr">
        <is>
          <t>healthcare</t>
        </is>
      </c>
      <c r="F184" s="30" t="inlineStr">
        <is>
          <t>pharmaceuticals - indian - bulk drugs &amp; formln</t>
        </is>
      </c>
      <c r="G184" s="30" t="inlineStr">
        <is>
          <t>smallcap</t>
        </is>
      </c>
      <c r="H184" s="31" t="n">
        <v>1131.67</v>
      </c>
      <c r="I184" s="31" t="n">
        <v>235.82</v>
      </c>
      <c r="J184" s="31" t="n">
        <v>0.62</v>
      </c>
      <c r="K184" s="31" t="n">
        <v>282347</v>
      </c>
      <c r="L184" s="30" t="n">
        <v>53</v>
      </c>
      <c r="M184" s="30" t="inlineStr">
        <is>
          <t>Outperforming</t>
        </is>
      </c>
      <c r="N184" s="31">
        <f>IF(M184="Underperforming",-5,IF(L184&gt;=95,15,IF(L184&gt;=90,10,IF(L184&gt;=80,5,0))))</f>
        <v/>
      </c>
      <c r="O184" s="31" t="n">
        <v>71.23</v>
      </c>
      <c r="P184" s="31" t="n">
        <v>40.78</v>
      </c>
      <c r="Q184" s="31" t="n">
        <v>174.64</v>
      </c>
      <c r="R184" s="30" t="inlineStr">
        <is>
          <t>Near 52W High Breakout</t>
        </is>
      </c>
      <c r="S184" s="30" t="inlineStr">
        <is>
          <t>Nifty Pharma</t>
        </is>
      </c>
      <c r="T184" s="31" t="n">
        <v>18.86</v>
      </c>
      <c r="U184" s="31" t="n">
        <v>34.64</v>
      </c>
      <c r="V184" s="31" t="n">
        <v>13.27</v>
      </c>
      <c r="W184" s="31" t="n">
        <v>16.53</v>
      </c>
      <c r="X184" s="30" t="inlineStr">
        <is>
          <t>Growing Industry</t>
        </is>
      </c>
      <c r="Y184" s="30">
        <f>IF(X184="Growing Industry",10,IF(X184="Cyclical in an Upturn",5,0))</f>
        <v/>
      </c>
      <c r="Z184" s="30" t="inlineStr">
        <is>
          <t>Too Many Players with High ROCE</t>
        </is>
      </c>
      <c r="AA184" s="30">
        <f>IF(Z184="Monopoly",10,IF(Z184="Oligopoly",5,IF(Z184="Duopoly that cooperate",10,IF(Z184="Duopoly that compete",5,IF(Z184="Too many players with High ROCE",5,0)))))</f>
        <v/>
      </c>
      <c r="AB184" s="30" t="inlineStr">
        <is>
          <t>Yes</t>
        </is>
      </c>
      <c r="AC184" s="30">
        <f>IF(AB184="No",5,0)</f>
        <v/>
      </c>
      <c r="AD184" s="30" t="inlineStr">
        <is>
          <t>Tailwind</t>
        </is>
      </c>
      <c r="AE184" s="30">
        <f>IF(AD184="Tailwind",10,0)</f>
        <v/>
      </c>
      <c r="AF184" s="30" t="inlineStr">
        <is>
          <t>Structural (10 Years Consistency)</t>
        </is>
      </c>
      <c r="AG184" s="30">
        <f>IF(AF184="Structural (10 Years Consistency)",10,IF(AF184="Shallow Cyclical (2 to 3 years growth)",5,0))</f>
        <v/>
      </c>
      <c r="AH184" s="30" t="inlineStr">
        <is>
          <t>No</t>
        </is>
      </c>
      <c r="AI184" s="30">
        <f>IF(AH184="Yes due to Product Mix change or Operating Leverage",10,IF(AH184="Yes, these are peak margins",-5,IF(AH184="No",5,0)))</f>
        <v/>
      </c>
      <c r="AJ184" s="30" t="inlineStr">
        <is>
          <t>Stable</t>
        </is>
      </c>
      <c r="AK184" s="30">
        <f>IF(AJ184="Stable",10,0)</f>
        <v/>
      </c>
      <c r="AL184" s="30" t="inlineStr">
        <is>
          <t>Yes</t>
        </is>
      </c>
      <c r="AM184" s="30">
        <f>IF(AL184="Yes",10,0)</f>
        <v/>
      </c>
      <c r="AN184" s="30" t="inlineStr">
        <is>
          <t>B2B</t>
        </is>
      </c>
      <c r="AO184" s="30">
        <f>IF(AN184="B2C",10,IF(AN184="B2B",5,0))</f>
        <v/>
      </c>
      <c r="AP184" s="30" t="inlineStr">
        <is>
          <t>Yes</t>
        </is>
      </c>
      <c r="AQ184" s="30">
        <f>IF(AP184="Yes",10,0)</f>
        <v/>
      </c>
      <c r="AR184" s="30" t="inlineStr">
        <is>
          <t>Higher Annuity, Lower One Time</t>
        </is>
      </c>
      <c r="AS184" s="30">
        <f>IF(AR184="Fully Annuity",10,IF(AR184="Higher Annuity, Lower One Time",5,IF(AR184="Higher One Time, Lower Annuity",3,0)))</f>
        <v/>
      </c>
      <c r="AT184" s="30" t="inlineStr">
        <is>
          <t>Good</t>
        </is>
      </c>
      <c r="AU184" s="30">
        <f>IF(AT184="Good",10,0)</f>
        <v/>
      </c>
      <c r="AV184" s="30" t="inlineStr">
        <is>
          <t>Yes for more than 2 years</t>
        </is>
      </c>
      <c r="AW184" s="30">
        <f>IF(AV184="Yes for more than 2 years",10,IF(AV184="Yes only for next 1 to 2 years",5,0))</f>
        <v/>
      </c>
      <c r="AX184" s="30" t="inlineStr">
        <is>
          <t>Above 40</t>
        </is>
      </c>
      <c r="AY184" s="30">
        <f>IF(AX184="Above 40",20,IF(AX184="20 to 40",10,IF(AX184="0 to 20",-5,0)))</f>
        <v/>
      </c>
      <c r="AZ184" s="30" t="inlineStr">
        <is>
          <t>Between 50 to 75</t>
        </is>
      </c>
      <c r="BA184" s="30">
        <f>IF(AZ184="Between 50 to 75",10,IF(AZ184="Above 75",0,0))</f>
        <v/>
      </c>
      <c r="BB184" s="30" t="inlineStr">
        <is>
          <t>Stage 2</t>
        </is>
      </c>
      <c r="BC184" s="30">
        <f>IF(BB184="Stage 2",20,IF(BB184="Stage 1",0,IF(BB184="Stage 3",5,IF(BB184="Stage 4",-5,0))))</f>
        <v/>
      </c>
      <c r="BD184" s="30" t="inlineStr">
        <is>
          <t>Positive Trend</t>
        </is>
      </c>
      <c r="BE184" s="30">
        <f>IF(BD184="Positive Trend",20,IF(BD184="Negative Trend",-10,0))</f>
        <v/>
      </c>
      <c r="BF184" s="30" t="inlineStr">
        <is>
          <t>Uptrend</t>
        </is>
      </c>
      <c r="BG184" s="30">
        <f>IF(BF184="Uptrend",10,IF(BF184="Sideways",5,0))</f>
        <v/>
      </c>
      <c r="BH184" s="30" t="inlineStr">
        <is>
          <t>Uptrend</t>
        </is>
      </c>
      <c r="BI184" s="30">
        <f>IF(BH184="Uptrend",10,IF(BH184="Sideways",5,0))</f>
        <v/>
      </c>
      <c r="BJ184" s="30" t="inlineStr">
        <is>
          <t>Close to 52 week high or retracement</t>
        </is>
      </c>
      <c r="BK184" s="30">
        <f>IF(BJ184="Overhead supply in last 2 years in last 2 years",-5,IF(BJ184="Close to 52 week high or retracement",5,IF(BJ184="Blue sky scenario",10,IF(BJ184="Long term Downtrend",-10,0))))</f>
        <v/>
      </c>
      <c r="BL184" s="30" t="inlineStr">
        <is>
          <t>Yes</t>
        </is>
      </c>
      <c r="BM184" s="30">
        <f>IF(BL184="Yes",10,0)</f>
        <v/>
      </c>
      <c r="BN184" s="30" t="inlineStr">
        <is>
          <t>Less than 12%</t>
        </is>
      </c>
      <c r="BO184" s="30">
        <f>IF(BN184="More than 20%",10,IF(BN184="Between 12 to 20%",5,IF(BN184="Less than 12%",0,0)))</f>
        <v/>
      </c>
      <c r="BP184" s="30" t="inlineStr">
        <is>
          <t>No</t>
        </is>
      </c>
      <c r="BQ184" s="30">
        <f>IF(BP184="No",10,0)</f>
        <v/>
      </c>
      <c r="BR184" s="30" t="inlineStr">
        <is>
          <t>Yes</t>
        </is>
      </c>
      <c r="BS184" s="30">
        <f>IF(BR184="NO",5,0)</f>
        <v/>
      </c>
      <c r="BT184" s="30" t="inlineStr">
        <is>
          <t>Above 2</t>
        </is>
      </c>
      <c r="BU184" s="30">
        <f>IF(BT184="Above 2",0,IF(BT184="Between 1.5 to 2",5,IF(BT184="Less than 1.5",10,0)))</f>
        <v/>
      </c>
      <c r="BV184" s="30" t="inlineStr">
        <is>
          <t>Above 70%</t>
        </is>
      </c>
      <c r="BW184" s="30">
        <f>IF(BV184="Above 70%",10,IF(BV184="Between 50% to 70%",5,IF(BV184="Less than 50%",0,IF(BV184="Negative",-10,IF(BV184="Less than 50% and Borrowings are increasing",-5,0)))))</f>
        <v/>
      </c>
      <c r="BX184" s="30" t="inlineStr">
        <is>
          <t>Less than 0.7</t>
        </is>
      </c>
      <c r="BY184" s="30">
        <f>IF(BX184="More than 1.2",-10,IF(BX184="Between 0.7 to 1.2",0,IF(BX184="Less than 0.7",10,0)))</f>
        <v/>
      </c>
      <c r="BZ184" s="30" t="inlineStr">
        <is>
          <t>No</t>
        </is>
      </c>
      <c r="CA184" s="30">
        <f>IF(BZ184="Yes",-10,0)</f>
        <v/>
      </c>
      <c r="CB184" s="30" t="inlineStr">
        <is>
          <t>Less than 15%</t>
        </is>
      </c>
      <c r="CC184" s="30">
        <f>IF(CB184="More than 15%",-10,IF(CB184="Less than 15%",10,0))</f>
        <v/>
      </c>
      <c r="CD184" s="30" t="inlineStr">
        <is>
          <t>No</t>
        </is>
      </c>
      <c r="CE184" s="30">
        <f>IF(CD184="Yes, more than 10%",-10,IF(CD184="No",10,0))</f>
        <v/>
      </c>
    </row>
    <row r="185">
      <c r="A185" s="30">
        <f>IF(B185=0,"",RANK(B185,$B$2:$B$331,0))</f>
        <v/>
      </c>
      <c r="B185" s="31">
        <f>SUM(N185,Y185,AA185,AC185,AE185,AG185,AI185,AK185,AM185,AO185,AQ185,AS185,AU185,AW185,AY185,BA185,BC185,BE185,BG185,BI185,BK185,BM185,BO185,BQ185,BS185,BU185,BW185,BY185,CA185,CC185,CE185)</f>
        <v/>
      </c>
      <c r="C185" s="32" t="inlineStr">
        <is>
          <t>ANTHEM</t>
        </is>
      </c>
      <c r="D185" s="32" t="inlineStr">
        <is>
          <t>Anthem Biosciences Ltd</t>
        </is>
      </c>
      <c r="E185" s="30" t="inlineStr">
        <is>
          <t>healthcare</t>
        </is>
      </c>
      <c r="F185" s="30" t="inlineStr">
        <is>
          <t>pharmaceuticals - indian - bulk drugs &amp; formln</t>
        </is>
      </c>
      <c r="G185" s="30" t="inlineStr">
        <is>
          <t>largecap</t>
        </is>
      </c>
      <c r="H185" s="31" t="n">
        <v>53124.37</v>
      </c>
      <c r="I185" s="31" t="n">
        <v>942.3</v>
      </c>
      <c r="J185" s="31" t="n">
        <v>-0.07000000000000001</v>
      </c>
      <c r="K185" s="31" t="n">
        <v>844850</v>
      </c>
      <c r="L185" s="30" t="n">
        <v>25</v>
      </c>
      <c r="M185" s="30" t="inlineStr">
        <is>
          <t>Underperforming</t>
        </is>
      </c>
      <c r="N185" s="31">
        <f>IF(M185="Underperforming",-5,IF(L185&gt;=95,15,IF(L185&gt;=90,10,IF(L185&gt;=80,5,0))))</f>
        <v/>
      </c>
      <c r="O185" s="31" t="n">
        <v>73.23</v>
      </c>
      <c r="P185" s="31" t="n">
        <v>45.71</v>
      </c>
      <c r="Q185" s="31" t="n">
        <v>786.01</v>
      </c>
      <c r="R185" s="30" t="inlineStr">
        <is>
          <t>Near 52W High Breakout</t>
        </is>
      </c>
      <c r="S185" s="30" t="inlineStr">
        <is>
          <t>Nifty Pharma</t>
        </is>
      </c>
      <c r="T185" s="31" t="n">
        <v>18.86</v>
      </c>
      <c r="U185" s="31" t="n">
        <v>13.35</v>
      </c>
      <c r="V185" s="31" t="n">
        <v>-4.64</v>
      </c>
      <c r="W185" s="31" t="n">
        <v>7.64</v>
      </c>
      <c r="X185" s="30" t="inlineStr">
        <is>
          <t>Growing Industry</t>
        </is>
      </c>
      <c r="Y185" s="30">
        <f>IF(X185="Growing Industry",10,IF(X185="Cyclical in an Upturn",5,0))</f>
        <v/>
      </c>
      <c r="Z185" s="30" t="inlineStr">
        <is>
          <t>Too Many Players with High ROCE</t>
        </is>
      </c>
      <c r="AA185" s="30">
        <f>IF(Z185="Monopoly",10,IF(Z185="Oligopoly",5,IF(Z185="Duopoly that cooperate",10,IF(Z185="Duopoly that compete",5,IF(Z185="Too many players with High ROCE",5,0)))))</f>
        <v/>
      </c>
      <c r="AB185" s="30" t="inlineStr">
        <is>
          <t>Yes</t>
        </is>
      </c>
      <c r="AC185" s="30">
        <f>IF(AB185="No",5,0)</f>
        <v/>
      </c>
      <c r="AD185" s="30" t="inlineStr">
        <is>
          <t>Tailwind</t>
        </is>
      </c>
      <c r="AE185" s="30">
        <f>IF(AD185="Tailwind",10,0)</f>
        <v/>
      </c>
      <c r="AF185" s="30" t="inlineStr">
        <is>
          <t>Structural (10 Years Consistency)</t>
        </is>
      </c>
      <c r="AG185" s="30">
        <f>IF(AF185="Structural (10 Years Consistency)",10,IF(AF185="Shallow Cyclical (2 to 3 years growth)",5,0))</f>
        <v/>
      </c>
      <c r="AH185" s="30" t="inlineStr">
        <is>
          <t>No</t>
        </is>
      </c>
      <c r="AI185" s="30">
        <f>IF(AH185="Yes due to Product Mix change or Operating Leverage",10,IF(AH185="Yes, these are peak margins",-5,IF(AH185="No",5,0)))</f>
        <v/>
      </c>
      <c r="AJ185" s="30" t="inlineStr">
        <is>
          <t>Stable</t>
        </is>
      </c>
      <c r="AK185" s="30">
        <f>IF(AJ185="Stable",10,0)</f>
        <v/>
      </c>
      <c r="AL185" s="30" t="inlineStr">
        <is>
          <t>Yes</t>
        </is>
      </c>
      <c r="AM185" s="30">
        <f>IF(AL185="Yes",10,0)</f>
        <v/>
      </c>
      <c r="AN185" s="30" t="inlineStr">
        <is>
          <t>B2B</t>
        </is>
      </c>
      <c r="AO185" s="30">
        <f>IF(AN185="B2C",10,IF(AN185="B2B",5,0))</f>
        <v/>
      </c>
      <c r="AP185" s="30" t="inlineStr">
        <is>
          <t>Yes</t>
        </is>
      </c>
      <c r="AQ185" s="30">
        <f>IF(AP185="Yes",10,0)</f>
        <v/>
      </c>
      <c r="AR185" s="30" t="inlineStr">
        <is>
          <t>Higher Annuity, Lower One Time</t>
        </is>
      </c>
      <c r="AS185" s="30">
        <f>IF(AR185="Fully Annuity",10,IF(AR185="Higher Annuity, Lower One Time",5,IF(AR185="Higher One Time, Lower Annuity",3,0)))</f>
        <v/>
      </c>
      <c r="AT185" s="30" t="inlineStr">
        <is>
          <t>Good</t>
        </is>
      </c>
      <c r="AU185" s="30">
        <f>IF(AT185="Good",10,0)</f>
        <v/>
      </c>
      <c r="AV185" s="30" t="inlineStr">
        <is>
          <t>Yes for more than 2 years</t>
        </is>
      </c>
      <c r="AW185" s="30">
        <f>IF(AV185="Yes for more than 2 years",10,IF(AV185="Yes only for next 1 to 2 years",5,0))</f>
        <v/>
      </c>
      <c r="AX185" s="30" t="inlineStr">
        <is>
          <t>Above 40</t>
        </is>
      </c>
      <c r="AY185" s="30">
        <f>IF(AX185="Above 40",20,IF(AX185="20 to 40",10,IF(AX185="0 to 20",-5,0)))</f>
        <v/>
      </c>
      <c r="AZ185" s="30" t="inlineStr">
        <is>
          <t>Between 50 to 75</t>
        </is>
      </c>
      <c r="BA185" s="30">
        <f>IF(AZ185="Between 50 to 75",10,IF(AZ185="Above 75",0,0))</f>
        <v/>
      </c>
      <c r="BB185" s="30" t="inlineStr">
        <is>
          <t>Stage 2</t>
        </is>
      </c>
      <c r="BC185" s="30">
        <f>IF(BB185="Stage 2",20,IF(BB185="Stage 1",0,IF(BB185="Stage 3",5,IF(BB185="Stage 4",-5,0))))</f>
        <v/>
      </c>
      <c r="BD185" s="30" t="inlineStr">
        <is>
          <t>Positive Trend</t>
        </is>
      </c>
      <c r="BE185" s="30">
        <f>IF(BD185="Positive Trend",20,IF(BD185="Negative Trend",-10,0))</f>
        <v/>
      </c>
      <c r="BF185" s="30" t="inlineStr">
        <is>
          <t>Uptrend</t>
        </is>
      </c>
      <c r="BG185" s="30">
        <f>IF(BF185="Uptrend",10,IF(BF185="Sideways",5,0))</f>
        <v/>
      </c>
      <c r="BH185" s="30" t="inlineStr">
        <is>
          <t>Uptrend</t>
        </is>
      </c>
      <c r="BI185" s="30">
        <f>IF(BH185="Uptrend",10,IF(BH185="Sideways",5,0))</f>
        <v/>
      </c>
      <c r="BJ185" s="30" t="inlineStr">
        <is>
          <t>Blue sky scenario</t>
        </is>
      </c>
      <c r="BK185" s="30">
        <f>IF(BJ185="Overhead supply in last 2 years in last 2 years",-5,IF(BJ185="Close to 52 week high or retracement",5,IF(BJ185="Blue sky scenario",10,IF(BJ185="Long term Downtrend",-10,0))))</f>
        <v/>
      </c>
      <c r="BL185" s="30" t="inlineStr">
        <is>
          <t>Yes</t>
        </is>
      </c>
      <c r="BM185" s="30">
        <f>IF(BL185="Yes",10,0)</f>
        <v/>
      </c>
      <c r="BN185" s="30" t="inlineStr">
        <is>
          <t>Less than 12%</t>
        </is>
      </c>
      <c r="BO185" s="30">
        <f>IF(BN185="More than 20%",10,IF(BN185="Between 12 to 20%",5,IF(BN185="Less than 12%",0,0)))</f>
        <v/>
      </c>
      <c r="BP185" s="30" t="inlineStr">
        <is>
          <t>No</t>
        </is>
      </c>
      <c r="BQ185" s="30">
        <f>IF(BP185="No",10,0)</f>
        <v/>
      </c>
      <c r="BR185" s="30" t="inlineStr">
        <is>
          <t>Yes</t>
        </is>
      </c>
      <c r="BS185" s="30">
        <f>IF(BR185="NO",5,0)</f>
        <v/>
      </c>
      <c r="BT185" s="30" t="inlineStr">
        <is>
          <t>Above 2</t>
        </is>
      </c>
      <c r="BU185" s="30">
        <f>IF(BT185="Above 2",0,IF(BT185="Between 1.5 to 2",5,IF(BT185="Less than 1.5",10,0)))</f>
        <v/>
      </c>
      <c r="BV185" s="30" t="inlineStr">
        <is>
          <t>Above 70%</t>
        </is>
      </c>
      <c r="BW185" s="30">
        <f>IF(BV185="Above 70%",10,IF(BV185="Between 50% to 70%",5,IF(BV185="Less than 50%",0,IF(BV185="Negative",-10,IF(BV185="Less than 50% and Borrowings are increasing",-5,0)))))</f>
        <v/>
      </c>
      <c r="BX185" s="30" t="inlineStr">
        <is>
          <t>Less than 0.7</t>
        </is>
      </c>
      <c r="BY185" s="30">
        <f>IF(BX185="More than 1.2",-10,IF(BX185="Between 0.7 to 1.2",0,IF(BX185="Less than 0.7",10,0)))</f>
        <v/>
      </c>
      <c r="BZ185" s="30" t="inlineStr">
        <is>
          <t>No</t>
        </is>
      </c>
      <c r="CA185" s="30">
        <f>IF(BZ185="Yes",-10,0)</f>
        <v/>
      </c>
      <c r="CB185" s="30" t="inlineStr">
        <is>
          <t>Less than 15%</t>
        </is>
      </c>
      <c r="CC185" s="30">
        <f>IF(CB185="More than 15%",-10,IF(CB185="Less than 15%",10,0))</f>
        <v/>
      </c>
      <c r="CD185" s="30" t="inlineStr">
        <is>
          <t>No</t>
        </is>
      </c>
      <c r="CE185" s="30">
        <f>IF(CD185="Yes, more than 10%",-10,IF(CD185="No",10,0))</f>
        <v/>
      </c>
    </row>
    <row r="186">
      <c r="A186" s="30">
        <f>IF(B186=0,"",RANK(B186,$B$2:$B$331,0))</f>
        <v/>
      </c>
      <c r="B186" s="31">
        <f>SUM(N186,Y186,AA186,AC186,AE186,AG186,AI186,AK186,AM186,AO186,AQ186,AS186,AU186,AW186,AY186,BA186,BC186,BE186,BG186,BI186,BK186,BM186,BO186,BQ186,BS186,BU186,BW186,BY186,CA186,CC186,CE186)</f>
        <v/>
      </c>
      <c r="C186" s="32" t="inlineStr">
        <is>
          <t>THEMISMED</t>
        </is>
      </c>
      <c r="D186" s="32" t="inlineStr">
        <is>
          <t>Themis Medicare Limited</t>
        </is>
      </c>
      <c r="E186" s="30" t="inlineStr">
        <is>
          <t>healthcare</t>
        </is>
      </c>
      <c r="F186" s="30" t="inlineStr">
        <is>
          <t>pharmaceuticals - indian - bulk drugs &amp; formln</t>
        </is>
      </c>
      <c r="G186" s="30" t="inlineStr">
        <is>
          <t>smallcap</t>
        </is>
      </c>
      <c r="H186" s="31" t="n">
        <v>1222.26</v>
      </c>
      <c r="I186" s="31" t="n">
        <v>132.07</v>
      </c>
      <c r="J186" s="31" t="n">
        <v>-0.48</v>
      </c>
      <c r="K186" s="31" t="n">
        <v>80188</v>
      </c>
      <c r="L186" s="30" t="n">
        <v>30</v>
      </c>
      <c r="M186" s="30" t="inlineStr">
        <is>
          <t>Underperforming</t>
        </is>
      </c>
      <c r="N186" s="31">
        <f>IF(M186="Underperforming",-5,IF(L186&gt;=95,15,IF(L186&gt;=90,10,IF(L186&gt;=80,5,0))))</f>
        <v/>
      </c>
      <c r="O186" s="31" t="n">
        <v>65.86</v>
      </c>
      <c r="P186" s="31" t="n">
        <v>39.52</v>
      </c>
      <c r="Q186" s="31" t="n">
        <v>92.59</v>
      </c>
      <c r="R186" s="30" t="inlineStr">
        <is>
          <t>Near 52W High Breakout</t>
        </is>
      </c>
      <c r="S186" s="30" t="inlineStr">
        <is>
          <t>Nifty Pharma</t>
        </is>
      </c>
      <c r="T186" s="31" t="n">
        <v>18.86</v>
      </c>
      <c r="U186" s="31" t="n">
        <v>8.15</v>
      </c>
      <c r="V186" s="31" t="n">
        <v>-9.02</v>
      </c>
      <c r="W186" s="31" t="n">
        <v>9.48</v>
      </c>
      <c r="X186" s="30" t="inlineStr">
        <is>
          <t>Growing Industry</t>
        </is>
      </c>
      <c r="Y186" s="30">
        <f>IF(X186="Growing Industry",10,IF(X186="Cyclical in an Upturn",5,0))</f>
        <v/>
      </c>
      <c r="Z186" s="30" t="inlineStr">
        <is>
          <t>Too Many Players with High ROCE</t>
        </is>
      </c>
      <c r="AA186" s="30">
        <f>IF(Z186="Monopoly",10,IF(Z186="Oligopoly",5,IF(Z186="Duopoly that cooperate",10,IF(Z186="Duopoly that compete",5,IF(Z186="Too many players with High ROCE",5,0)))))</f>
        <v/>
      </c>
      <c r="AB186" s="30" t="inlineStr">
        <is>
          <t>Yes</t>
        </is>
      </c>
      <c r="AC186" s="30">
        <f>IF(AB186="No",5,0)</f>
        <v/>
      </c>
      <c r="AD186" s="30" t="inlineStr">
        <is>
          <t>Tailwind</t>
        </is>
      </c>
      <c r="AE186" s="30">
        <f>IF(AD186="Tailwind",10,0)</f>
        <v/>
      </c>
      <c r="AF186" s="30" t="inlineStr">
        <is>
          <t>Structural (10 Years Consistency)</t>
        </is>
      </c>
      <c r="AG186" s="30">
        <f>IF(AF186="Structural (10 Years Consistency)",10,IF(AF186="Shallow Cyclical (2 to 3 years growth)",5,0))</f>
        <v/>
      </c>
      <c r="AH186" s="30" t="inlineStr">
        <is>
          <t>No</t>
        </is>
      </c>
      <c r="AI186" s="30">
        <f>IF(AH186="Yes due to Product Mix change or Operating Leverage",10,IF(AH186="Yes, these are peak margins",-5,IF(AH186="No",5,0)))</f>
        <v/>
      </c>
      <c r="AJ186" s="30" t="inlineStr">
        <is>
          <t>Stable</t>
        </is>
      </c>
      <c r="AK186" s="30">
        <f>IF(AJ186="Stable",10,0)</f>
        <v/>
      </c>
      <c r="AL186" s="30" t="inlineStr">
        <is>
          <t>Yes</t>
        </is>
      </c>
      <c r="AM186" s="30">
        <f>IF(AL186="Yes",10,0)</f>
        <v/>
      </c>
      <c r="AN186" s="30" t="inlineStr">
        <is>
          <t>B2B</t>
        </is>
      </c>
      <c r="AO186" s="30">
        <f>IF(AN186="B2C",10,IF(AN186="B2B",5,0))</f>
        <v/>
      </c>
      <c r="AP186" s="30" t="inlineStr">
        <is>
          <t>Yes</t>
        </is>
      </c>
      <c r="AQ186" s="30">
        <f>IF(AP186="Yes",10,0)</f>
        <v/>
      </c>
      <c r="AR186" s="30" t="inlineStr">
        <is>
          <t>Higher Annuity, Lower One Time</t>
        </is>
      </c>
      <c r="AS186" s="30">
        <f>IF(AR186="Fully Annuity",10,IF(AR186="Higher Annuity, Lower One Time",5,IF(AR186="Higher One Time, Lower Annuity",3,0)))</f>
        <v/>
      </c>
      <c r="AT186" s="30" t="inlineStr">
        <is>
          <t>Good</t>
        </is>
      </c>
      <c r="AU186" s="30">
        <f>IF(AT186="Good",10,0)</f>
        <v/>
      </c>
      <c r="AV186" s="30" t="inlineStr">
        <is>
          <t>Yes for more than 2 years</t>
        </is>
      </c>
      <c r="AW186" s="30">
        <f>IF(AV186="Yes for more than 2 years",10,IF(AV186="Yes only for next 1 to 2 years",5,0))</f>
        <v/>
      </c>
      <c r="AX186" s="30" t="inlineStr">
        <is>
          <t>20 to 40</t>
        </is>
      </c>
      <c r="AY186" s="30">
        <f>IF(AX186="Above 40",20,IF(AX186="20 to 40",10,IF(AX186="0 to 20",-5,0)))</f>
        <v/>
      </c>
      <c r="AZ186" s="30" t="inlineStr">
        <is>
          <t>Between 50 to 75</t>
        </is>
      </c>
      <c r="BA186" s="30">
        <f>IF(AZ186="Between 50 to 75",10,IF(AZ186="Above 75",0,0))</f>
        <v/>
      </c>
      <c r="BB186" s="30" t="inlineStr">
        <is>
          <t>Stage 2</t>
        </is>
      </c>
      <c r="BC186" s="30">
        <f>IF(BB186="Stage 2",20,IF(BB186="Stage 1",0,IF(BB186="Stage 3",5,IF(BB186="Stage 4",-5,0))))</f>
        <v/>
      </c>
      <c r="BD186" s="30" t="inlineStr">
        <is>
          <t>Positive Trend</t>
        </is>
      </c>
      <c r="BE186" s="30">
        <f>IF(BD186="Positive Trend",20,IF(BD186="Negative Trend",-10,0))</f>
        <v/>
      </c>
      <c r="BF186" s="30" t="inlineStr">
        <is>
          <t>Uptrend</t>
        </is>
      </c>
      <c r="BG186" s="30">
        <f>IF(BF186="Uptrend",10,IF(BF186="Sideways",5,0))</f>
        <v/>
      </c>
      <c r="BH186" s="30" t="inlineStr">
        <is>
          <t>Uptrend</t>
        </is>
      </c>
      <c r="BI186" s="30">
        <f>IF(BH186="Uptrend",10,IF(BH186="Sideways",5,0))</f>
        <v/>
      </c>
      <c r="BJ186" s="30" t="inlineStr">
        <is>
          <t>Close to 52 week high or retracement</t>
        </is>
      </c>
      <c r="BK186" s="30">
        <f>IF(BJ186="Overhead supply in last 2 years in last 2 years",-5,IF(BJ186="Close to 52 week high or retracement",5,IF(BJ186="Blue sky scenario",10,IF(BJ186="Long term Downtrend",-10,0))))</f>
        <v/>
      </c>
      <c r="BL186" s="30" t="inlineStr">
        <is>
          <t>Yes</t>
        </is>
      </c>
      <c r="BM186" s="30">
        <f>IF(BL186="Yes",10,0)</f>
        <v/>
      </c>
      <c r="BN186" s="30" t="inlineStr">
        <is>
          <t>More than 20%</t>
        </is>
      </c>
      <c r="BO186" s="30">
        <f>IF(BN186="More than 20%",10,IF(BN186="Between 12 to 20%",5,IF(BN186="Less than 12%",0,0)))</f>
        <v/>
      </c>
      <c r="BP186" s="30" t="inlineStr">
        <is>
          <t>No</t>
        </is>
      </c>
      <c r="BQ186" s="30">
        <f>IF(BP186="No",10,0)</f>
        <v/>
      </c>
      <c r="BR186" s="30" t="inlineStr">
        <is>
          <t>No</t>
        </is>
      </c>
      <c r="BS186" s="30">
        <f>IF(BR186="NO",5,0)</f>
        <v/>
      </c>
      <c r="BT186" s="30" t="inlineStr">
        <is>
          <t>Above 2</t>
        </is>
      </c>
      <c r="BU186" s="30">
        <f>IF(BT186="Above 2",0,IF(BT186="Between 1.5 to 2",5,IF(BT186="Less than 1.5",10,0)))</f>
        <v/>
      </c>
      <c r="BV186" s="30" t="inlineStr">
        <is>
          <t>Above 70%</t>
        </is>
      </c>
      <c r="BW186" s="30">
        <f>IF(BV186="Above 70%",10,IF(BV186="Between 50% to 70%",5,IF(BV186="Less than 50%",0,IF(BV186="Negative",-10,IF(BV186="Less than 50% and Borrowings are increasing",-5,0)))))</f>
        <v/>
      </c>
      <c r="BX186" s="30" t="inlineStr">
        <is>
          <t>Less than 0.7</t>
        </is>
      </c>
      <c r="BY186" s="30">
        <f>IF(BX186="More than 1.2",-10,IF(BX186="Between 0.7 to 1.2",0,IF(BX186="Less than 0.7",10,0)))</f>
        <v/>
      </c>
      <c r="BZ186" s="30" t="inlineStr">
        <is>
          <t>No</t>
        </is>
      </c>
      <c r="CA186" s="30">
        <f>IF(BZ186="Yes",-10,0)</f>
        <v/>
      </c>
      <c r="CB186" s="30" t="inlineStr">
        <is>
          <t>Less than 15%</t>
        </is>
      </c>
      <c r="CC186" s="30">
        <f>IF(CB186="More than 15%",-10,IF(CB186="Less than 15%",10,0))</f>
        <v/>
      </c>
      <c r="CD186" s="30" t="inlineStr">
        <is>
          <t>No</t>
        </is>
      </c>
      <c r="CE186" s="30">
        <f>IF(CD186="Yes, more than 10%",-10,IF(CD186="No",10,0))</f>
        <v/>
      </c>
    </row>
    <row r="187">
      <c r="A187" s="30">
        <f>IF(B187=0,"",RANK(B187,$B$2:$B$331,0))</f>
        <v/>
      </c>
      <c r="B187" s="31">
        <f>SUM(N187,Y187,AA187,AC187,AE187,AG187,AI187,AK187,AM187,AO187,AQ187,AS187,AU187,AW187,AY187,BA187,BC187,BE187,BG187,BI187,BK187,BM187,BO187,BQ187,BS187,BU187,BW187,BY187,CA187,CC187,CE187)</f>
        <v/>
      </c>
      <c r="C187" s="32" t="inlineStr">
        <is>
          <t>LINCOLN</t>
        </is>
      </c>
      <c r="D187" s="32" t="inlineStr">
        <is>
          <t>Lincoln Pharmaceuticals Limited</t>
        </is>
      </c>
      <c r="E187" s="30" t="inlineStr">
        <is>
          <t>healthcare</t>
        </is>
      </c>
      <c r="F187" s="30" t="inlineStr">
        <is>
          <t>pharmaceuticals - indian - formulations</t>
        </is>
      </c>
      <c r="G187" s="30" t="inlineStr">
        <is>
          <t>smallcap</t>
        </is>
      </c>
      <c r="H187" s="31" t="n">
        <v>1276.9</v>
      </c>
      <c r="I187" s="31" t="n">
        <v>634.4</v>
      </c>
      <c r="J187" s="31" t="n">
        <v>-0.49</v>
      </c>
      <c r="K187" s="31" t="n">
        <v>27777</v>
      </c>
      <c r="L187" s="30" t="n">
        <v>9</v>
      </c>
      <c r="M187" s="30" t="inlineStr">
        <is>
          <t>Underperforming</t>
        </is>
      </c>
      <c r="N187" s="31">
        <f>IF(M187="Underperforming",-5,IF(L187&gt;=95,15,IF(L187&gt;=90,10,IF(L187&gt;=80,5,0))))</f>
        <v/>
      </c>
      <c r="O187" s="31" t="n">
        <v>55.86</v>
      </c>
      <c r="P187" s="31" t="n">
        <v>28.17</v>
      </c>
      <c r="Q187" s="31" t="n">
        <v>497.63</v>
      </c>
      <c r="R187" s="30" t="inlineStr">
        <is>
          <t>Earnings / Momentum Support</t>
        </is>
      </c>
      <c r="S187" s="30" t="inlineStr">
        <is>
          <t>Nifty Pharma</t>
        </is>
      </c>
      <c r="T187" s="31" t="n">
        <v>18.86</v>
      </c>
      <c r="U187" s="31" t="n">
        <v>14.44</v>
      </c>
      <c r="V187" s="31" t="n">
        <v>-3.72</v>
      </c>
      <c r="W187" s="31" t="n">
        <v>3.56</v>
      </c>
      <c r="X187" s="30" t="inlineStr">
        <is>
          <t>Growing Industry</t>
        </is>
      </c>
      <c r="Y187" s="30">
        <f>IF(X187="Growing Industry",10,IF(X187="Cyclical in an Upturn",5,0))</f>
        <v/>
      </c>
      <c r="Z187" s="30" t="inlineStr">
        <is>
          <t>Too Many Players with High ROCE</t>
        </is>
      </c>
      <c r="AA187" s="30">
        <f>IF(Z187="Monopoly",10,IF(Z187="Oligopoly",5,IF(Z187="Duopoly that cooperate",10,IF(Z187="Duopoly that compete",5,IF(Z187="Too many players with High ROCE",5,0)))))</f>
        <v/>
      </c>
      <c r="AB187" s="30" t="inlineStr">
        <is>
          <t>Yes</t>
        </is>
      </c>
      <c r="AC187" s="30">
        <f>IF(AB187="No",5,0)</f>
        <v/>
      </c>
      <c r="AD187" s="30" t="inlineStr">
        <is>
          <t>Tailwind</t>
        </is>
      </c>
      <c r="AE187" s="30">
        <f>IF(AD187="Tailwind",10,0)</f>
        <v/>
      </c>
      <c r="AF187" s="30" t="inlineStr">
        <is>
          <t>Structural (10 Years Consistency)</t>
        </is>
      </c>
      <c r="AG187" s="30">
        <f>IF(AF187="Structural (10 Years Consistency)",10,IF(AF187="Shallow Cyclical (2 to 3 years growth)",5,0))</f>
        <v/>
      </c>
      <c r="AH187" s="30" t="inlineStr">
        <is>
          <t>No</t>
        </is>
      </c>
      <c r="AI187" s="30">
        <f>IF(AH187="Yes due to Product Mix change or Operating Leverage",10,IF(AH187="Yes, these are peak margins",-5,IF(AH187="No",5,0)))</f>
        <v/>
      </c>
      <c r="AJ187" s="30" t="inlineStr">
        <is>
          <t>Stable</t>
        </is>
      </c>
      <c r="AK187" s="30">
        <f>IF(AJ187="Stable",10,0)</f>
        <v/>
      </c>
      <c r="AL187" s="30" t="inlineStr">
        <is>
          <t>Yes</t>
        </is>
      </c>
      <c r="AM187" s="30">
        <f>IF(AL187="Yes",10,0)</f>
        <v/>
      </c>
      <c r="AN187" s="30" t="inlineStr">
        <is>
          <t>B2B</t>
        </is>
      </c>
      <c r="AO187" s="30">
        <f>IF(AN187="B2C",10,IF(AN187="B2B",5,0))</f>
        <v/>
      </c>
      <c r="AP187" s="30" t="inlineStr">
        <is>
          <t>No</t>
        </is>
      </c>
      <c r="AQ187" s="30">
        <f>IF(AP187="Yes",10,0)</f>
        <v/>
      </c>
      <c r="AR187" s="30" t="inlineStr">
        <is>
          <t>Higher Annuity, Lower One Time</t>
        </is>
      </c>
      <c r="AS187" s="30">
        <f>IF(AR187="Fully Annuity",10,IF(AR187="Higher Annuity, Lower One Time",5,IF(AR187="Higher One Time, Lower Annuity",3,0)))</f>
        <v/>
      </c>
      <c r="AT187" s="30" t="inlineStr">
        <is>
          <t>Good</t>
        </is>
      </c>
      <c r="AU187" s="30">
        <f>IF(AT187="Good",10,0)</f>
        <v/>
      </c>
      <c r="AV187" s="30" t="inlineStr">
        <is>
          <t>Yes for more than 2 years</t>
        </is>
      </c>
      <c r="AW187" s="30">
        <f>IF(AV187="Yes for more than 2 years",10,IF(AV187="Yes only for next 1 to 2 years",5,0))</f>
        <v/>
      </c>
      <c r="AX187" s="30" t="inlineStr">
        <is>
          <t>20 to 40</t>
        </is>
      </c>
      <c r="AY187" s="30">
        <f>IF(AX187="Above 40",20,IF(AX187="20 to 40",10,IF(AX187="0 to 20",-5,0)))</f>
        <v/>
      </c>
      <c r="AZ187" s="30" t="inlineStr">
        <is>
          <t>Between 50 to 75</t>
        </is>
      </c>
      <c r="BA187" s="30">
        <f>IF(AZ187="Between 50 to 75",10,IF(AZ187="Above 75",0,0))</f>
        <v/>
      </c>
      <c r="BB187" s="30" t="inlineStr">
        <is>
          <t>Stage 2</t>
        </is>
      </c>
      <c r="BC187" s="30">
        <f>IF(BB187="Stage 2",20,IF(BB187="Stage 1",0,IF(BB187="Stage 3",5,IF(BB187="Stage 4",-5,0))))</f>
        <v/>
      </c>
      <c r="BD187" s="30" t="inlineStr">
        <is>
          <t>Positive Trend</t>
        </is>
      </c>
      <c r="BE187" s="30">
        <f>IF(BD187="Positive Trend",20,IF(BD187="Negative Trend",-10,0))</f>
        <v/>
      </c>
      <c r="BF187" s="30" t="inlineStr">
        <is>
          <t>Uptrend</t>
        </is>
      </c>
      <c r="BG187" s="30">
        <f>IF(BF187="Uptrend",10,IF(BF187="Sideways",5,0))</f>
        <v/>
      </c>
      <c r="BH187" s="30" t="inlineStr">
        <is>
          <t>Uptrend</t>
        </is>
      </c>
      <c r="BI187" s="30">
        <f>IF(BH187="Uptrend",10,IF(BH187="Sideways",5,0))</f>
        <v/>
      </c>
      <c r="BJ187" s="30" t="inlineStr">
        <is>
          <t>Close to 52 week high or retracement</t>
        </is>
      </c>
      <c r="BK187" s="30">
        <f>IF(BJ187="Overhead supply in last 2 years in last 2 years",-5,IF(BJ187="Close to 52 week high or retracement",5,IF(BJ187="Blue sky scenario",10,IF(BJ187="Long term Downtrend",-10,0))))</f>
        <v/>
      </c>
      <c r="BL187" s="30" t="inlineStr">
        <is>
          <t>Yes</t>
        </is>
      </c>
      <c r="BM187" s="30">
        <f>IF(BL187="Yes",10,0)</f>
        <v/>
      </c>
      <c r="BN187" s="30" t="inlineStr">
        <is>
          <t>More than 20%</t>
        </is>
      </c>
      <c r="BO187" s="30">
        <f>IF(BN187="More than 20%",10,IF(BN187="Between 12 to 20%",5,IF(BN187="Less than 12%",0,0)))</f>
        <v/>
      </c>
      <c r="BP187" s="30" t="inlineStr">
        <is>
          <t>No</t>
        </is>
      </c>
      <c r="BQ187" s="30">
        <f>IF(BP187="No",10,0)</f>
        <v/>
      </c>
      <c r="BR187" s="30" t="inlineStr">
        <is>
          <t>No</t>
        </is>
      </c>
      <c r="BS187" s="30">
        <f>IF(BR187="NO",5,0)</f>
        <v/>
      </c>
      <c r="BT187" s="30" t="inlineStr">
        <is>
          <t>Less than 1.5</t>
        </is>
      </c>
      <c r="BU187" s="30">
        <f>IF(BT187="Above 2",0,IF(BT187="Between 1.5 to 2",5,IF(BT187="Less than 1.5",10,0)))</f>
        <v/>
      </c>
      <c r="BV187" s="30" t="inlineStr">
        <is>
          <t>Above 70%</t>
        </is>
      </c>
      <c r="BW187" s="30">
        <f>IF(BV187="Above 70%",10,IF(BV187="Between 50% to 70%",5,IF(BV187="Less than 50%",0,IF(BV187="Negative",-10,IF(BV187="Less than 50% and Borrowings are increasing",-5,0)))))</f>
        <v/>
      </c>
      <c r="BX187" s="30" t="inlineStr">
        <is>
          <t>Less than 0.7</t>
        </is>
      </c>
      <c r="BY187" s="30">
        <f>IF(BX187="More than 1.2",-10,IF(BX187="Between 0.7 to 1.2",0,IF(BX187="Less than 0.7",10,0)))</f>
        <v/>
      </c>
      <c r="BZ187" s="30" t="inlineStr">
        <is>
          <t>No</t>
        </is>
      </c>
      <c r="CA187" s="30">
        <f>IF(BZ187="Yes",-10,0)</f>
        <v/>
      </c>
      <c r="CB187" s="30" t="inlineStr">
        <is>
          <t>Less than 15%</t>
        </is>
      </c>
      <c r="CC187" s="30">
        <f>IF(CB187="More than 15%",-10,IF(CB187="Less than 15%",10,0))</f>
        <v/>
      </c>
      <c r="CD187" s="30" t="inlineStr">
        <is>
          <t>No</t>
        </is>
      </c>
      <c r="CE187" s="30">
        <f>IF(CD187="Yes, more than 10%",-10,IF(CD187="No",10,0))</f>
        <v/>
      </c>
    </row>
    <row r="188">
      <c r="A188" s="30">
        <f>IF(B188=0,"",RANK(B188,$B$2:$B$331,0))</f>
        <v/>
      </c>
      <c r="B188" s="31">
        <f>SUM(N188,Y188,AA188,AC188,AE188,AG188,AI188,AK188,AM188,AO188,AQ188,AS188,AU188,AW188,AY188,BA188,BC188,BE188,BG188,BI188,BK188,BM188,BO188,BQ188,BS188,BU188,BW188,BY188,CA188,CC188,CE188)</f>
        <v/>
      </c>
      <c r="C188" s="30" t="inlineStr">
        <is>
          <t>ENTERO</t>
        </is>
      </c>
      <c r="D188" s="30" t="inlineStr">
        <is>
          <t>Entero Healthcare Solutions Ltd</t>
        </is>
      </c>
      <c r="E188" s="30" t="inlineStr">
        <is>
          <t>healthcare</t>
        </is>
      </c>
      <c r="F188" s="30" t="inlineStr">
        <is>
          <t>trading</t>
        </is>
      </c>
      <c r="G188" s="30" t="inlineStr">
        <is>
          <t>midcap</t>
        </is>
      </c>
      <c r="H188" s="31" t="n">
        <v>7957.32</v>
      </c>
      <c r="I188" s="31" t="n">
        <v>1792.9</v>
      </c>
      <c r="J188" s="31" t="n">
        <v>-1.94</v>
      </c>
      <c r="K188" s="31" t="n">
        <v>166179</v>
      </c>
      <c r="L188" s="30" t="n">
        <v>71</v>
      </c>
      <c r="M188" s="30" t="inlineStr">
        <is>
          <t>Outperforming</t>
        </is>
      </c>
      <c r="N188" s="31">
        <f>IF(M188="Underperforming",-5,IF(L188&gt;=95,15,IF(L188&gt;=90,10,IF(L188&gt;=80,5,0))))</f>
        <v/>
      </c>
      <c r="O188" s="31" t="n">
        <v>75.47</v>
      </c>
      <c r="P188" s="31" t="n">
        <v>37.77</v>
      </c>
      <c r="Q188" s="31" t="n">
        <v>1437.84</v>
      </c>
      <c r="R188" s="30" t="inlineStr">
        <is>
          <t>Near 52W High Breakout</t>
        </is>
      </c>
      <c r="S188" s="30" t="inlineStr">
        <is>
          <t>Nifty Pharma</t>
        </is>
      </c>
      <c r="T188" s="31" t="n">
        <v>18.86</v>
      </c>
      <c r="U188" s="31" t="n">
        <v>55.34</v>
      </c>
      <c r="V188" s="31" t="n">
        <v>30.68</v>
      </c>
      <c r="W188" s="31" t="n">
        <v>23.13</v>
      </c>
      <c r="X188" s="30" t="inlineStr">
        <is>
          <t>Growing Industry</t>
        </is>
      </c>
      <c r="Y188" s="30">
        <f>IF(X188="Growing Industry",10,IF(X188="Cyclical in an Upturn",5,0))</f>
        <v/>
      </c>
      <c r="Z188" s="30" t="inlineStr">
        <is>
          <t>Too Many Players with High ROCE</t>
        </is>
      </c>
      <c r="AA188" s="30">
        <f>IF(Z188="Monopoly",10,IF(Z188="Oligopoly",5,IF(Z188="Duopoly that cooperate",10,IF(Z188="Duopoly that compete",5,IF(Z188="Too many players with High ROCE",5,0)))))</f>
        <v/>
      </c>
      <c r="AB188" s="30" t="inlineStr">
        <is>
          <t>Yes</t>
        </is>
      </c>
      <c r="AC188" s="30">
        <f>IF(AB188="No",5,0)</f>
        <v/>
      </c>
      <c r="AD188" s="30" t="inlineStr">
        <is>
          <t>Tailwind</t>
        </is>
      </c>
      <c r="AE188" s="30">
        <f>IF(AD188="Tailwind",10,0)</f>
        <v/>
      </c>
      <c r="AF188" s="30" t="inlineStr">
        <is>
          <t>Structural (10 Years Consistency)</t>
        </is>
      </c>
      <c r="AG188" s="30">
        <f>IF(AF188="Structural (10 Years Consistency)",10,IF(AF188="Shallow Cyclical (2 to 3 years growth)",5,0))</f>
        <v/>
      </c>
      <c r="AH188" s="30" t="inlineStr">
        <is>
          <t>No</t>
        </is>
      </c>
      <c r="AI188" s="30">
        <f>IF(AH188="Yes due to Product Mix change or Operating Leverage",10,IF(AH188="Yes, these are peak margins",-5,IF(AH188="No",5,0)))</f>
        <v/>
      </c>
      <c r="AJ188" s="30" t="inlineStr">
        <is>
          <t>Stable</t>
        </is>
      </c>
      <c r="AK188" s="30">
        <f>IF(AJ188="Stable",10,0)</f>
        <v/>
      </c>
      <c r="AL188" s="30" t="inlineStr">
        <is>
          <t>Yes</t>
        </is>
      </c>
      <c r="AM188" s="30">
        <f>IF(AL188="Yes",10,0)</f>
        <v/>
      </c>
      <c r="AN188" s="30" t="inlineStr">
        <is>
          <t>B2B</t>
        </is>
      </c>
      <c r="AO188" s="30">
        <f>IF(AN188="B2C",10,IF(AN188="B2B",5,0))</f>
        <v/>
      </c>
      <c r="AP188" s="30" t="inlineStr">
        <is>
          <t>Yes</t>
        </is>
      </c>
      <c r="AQ188" s="30">
        <f>IF(AP188="Yes",10,0)</f>
        <v/>
      </c>
      <c r="AR188" s="30" t="inlineStr">
        <is>
          <t>Higher Annuity, Lower One Time</t>
        </is>
      </c>
      <c r="AS188" s="30">
        <f>IF(AR188="Fully Annuity",10,IF(AR188="Higher Annuity, Lower One Time",5,IF(AR188="Higher One Time, Lower Annuity",3,0)))</f>
        <v/>
      </c>
      <c r="AT188" s="30" t="inlineStr">
        <is>
          <t>Good</t>
        </is>
      </c>
      <c r="AU188" s="30">
        <f>IF(AT188="Good",10,0)</f>
        <v/>
      </c>
      <c r="AV188" s="30" t="inlineStr">
        <is>
          <t>Yes for more than 2 years</t>
        </is>
      </c>
      <c r="AW188" s="30">
        <f>IF(AV188="Yes for more than 2 years",10,IF(AV188="Yes only for next 1 to 2 years",5,0))</f>
        <v/>
      </c>
      <c r="AX188" s="30" t="inlineStr">
        <is>
          <t>20 to 40</t>
        </is>
      </c>
      <c r="AY188" s="30">
        <f>IF(AX188="Above 40",20,IF(AX188="20 to 40",10,IF(AX188="0 to 20",-5,0)))</f>
        <v/>
      </c>
      <c r="AZ188" s="30" t="inlineStr">
        <is>
          <t>Above 75</t>
        </is>
      </c>
      <c r="BA188" s="30">
        <f>IF(AZ188="Between 50 to 75",10,IF(AZ188="Above 75",0,0))</f>
        <v/>
      </c>
      <c r="BB188" s="30" t="inlineStr">
        <is>
          <t>Stage 2</t>
        </is>
      </c>
      <c r="BC188" s="30">
        <f>IF(BB188="Stage 2",20,IF(BB188="Stage 1",0,IF(BB188="Stage 3",5,IF(BB188="Stage 4",-5,0))))</f>
        <v/>
      </c>
      <c r="BD188" s="30" t="inlineStr">
        <is>
          <t>Positive Trend</t>
        </is>
      </c>
      <c r="BE188" s="30">
        <f>IF(BD188="Positive Trend",20,IF(BD188="Negative Trend",-10,0))</f>
        <v/>
      </c>
      <c r="BF188" s="30" t="inlineStr">
        <is>
          <t>Uptrend</t>
        </is>
      </c>
      <c r="BG188" s="30">
        <f>IF(BF188="Uptrend",10,IF(BF188="Sideways",5,0))</f>
        <v/>
      </c>
      <c r="BH188" s="30" t="inlineStr">
        <is>
          <t>Uptrend</t>
        </is>
      </c>
      <c r="BI188" s="30">
        <f>IF(BH188="Uptrend",10,IF(BH188="Sideways",5,0))</f>
        <v/>
      </c>
      <c r="BJ188" s="30" t="inlineStr">
        <is>
          <t>Blue sky scenario</t>
        </is>
      </c>
      <c r="BK188" s="30">
        <f>IF(BJ188="Overhead supply in last 2 years in last 2 years",-5,IF(BJ188="Close to 52 week high or retracement",5,IF(BJ188="Blue sky scenario",10,IF(BJ188="Long term Downtrend",-10,0))))</f>
        <v/>
      </c>
      <c r="BL188" s="30" t="inlineStr">
        <is>
          <t>Yes</t>
        </is>
      </c>
      <c r="BM188" s="30">
        <f>IF(BL188="Yes",10,0)</f>
        <v/>
      </c>
      <c r="BN188" s="30" t="inlineStr">
        <is>
          <t>More than 20%</t>
        </is>
      </c>
      <c r="BO188" s="30">
        <f>IF(BN188="More than 20%",10,IF(BN188="Between 12 to 20%",5,IF(BN188="Less than 12%",0,0)))</f>
        <v/>
      </c>
      <c r="BP188" s="30" t="inlineStr">
        <is>
          <t>No</t>
        </is>
      </c>
      <c r="BQ188" s="30">
        <f>IF(BP188="No",10,0)</f>
        <v/>
      </c>
      <c r="BR188" s="30" t="inlineStr">
        <is>
          <t>Yes</t>
        </is>
      </c>
      <c r="BS188" s="30">
        <f>IF(BR188="NO",5,0)</f>
        <v/>
      </c>
      <c r="BT188" s="30" t="inlineStr">
        <is>
          <t>Between 1.5 to 2</t>
        </is>
      </c>
      <c r="BU188" s="30">
        <f>IF(BT188="Above 2",0,IF(BT188="Between 1.5 to 2",5,IF(BT188="Less than 1.5",10,0)))</f>
        <v/>
      </c>
      <c r="BV188" s="30" t="inlineStr">
        <is>
          <t>Above 70%</t>
        </is>
      </c>
      <c r="BW188" s="30">
        <f>IF(BV188="Above 70%",10,IF(BV188="Between 50% to 70%",5,IF(BV188="Less than 50%",0,IF(BV188="Negative",-10,IF(BV188="Less than 50% and Borrowings are increasing",-5,0)))))</f>
        <v/>
      </c>
      <c r="BX188" s="30" t="inlineStr">
        <is>
          <t>Less than 0.7</t>
        </is>
      </c>
      <c r="BY188" s="30">
        <f>IF(BX188="More than 1.2",-10,IF(BX188="Between 0.7 to 1.2",0,IF(BX188="Less than 0.7",10,0)))</f>
        <v/>
      </c>
      <c r="BZ188" s="30" t="inlineStr">
        <is>
          <t>No</t>
        </is>
      </c>
      <c r="CA188" s="30">
        <f>IF(BZ188="Yes",-10,0)</f>
        <v/>
      </c>
      <c r="CB188" s="30" t="inlineStr">
        <is>
          <t>Less than 15%</t>
        </is>
      </c>
      <c r="CC188" s="30">
        <f>IF(CB188="More than 15%",-10,IF(CB188="Less than 15%",10,0))</f>
        <v/>
      </c>
      <c r="CD188" s="30" t="inlineStr">
        <is>
          <t>No</t>
        </is>
      </c>
      <c r="CE188" s="30">
        <f>IF(CD188="Yes, more than 10%",-10,IF(CD188="No",10,0))</f>
        <v/>
      </c>
    </row>
    <row r="189">
      <c r="A189" s="30">
        <f>IF(B189=0,"",RANK(B189,$B$2:$B$331,0))</f>
        <v/>
      </c>
      <c r="B189" s="31">
        <f>SUM(N189,Y189,AA189,AC189,AE189,AG189,AI189,AK189,AM189,AO189,AQ189,AS189,AU189,AW189,AY189,BA189,BC189,BE189,BG189,BI189,BK189,BM189,BO189,BQ189,BS189,BU189,BW189,BY189,CA189,CC189,CE189)</f>
        <v/>
      </c>
      <c r="C189" s="30" t="inlineStr">
        <is>
          <t>SBCL</t>
        </is>
      </c>
      <c r="D189" s="30" t="inlineStr">
        <is>
          <t>Shivalik Bimetal Controls Ltd</t>
        </is>
      </c>
      <c r="E189" s="30" t="inlineStr">
        <is>
          <t>metals &amp; mining</t>
        </is>
      </c>
      <c r="F189" s="30" t="inlineStr">
        <is>
          <t>mining / minerals / metals</t>
        </is>
      </c>
      <c r="G189" s="30" t="inlineStr">
        <is>
          <t>midcap</t>
        </is>
      </c>
      <c r="H189" s="31" t="n">
        <v>6546.72</v>
      </c>
      <c r="I189" s="31" t="n">
        <v>1112</v>
      </c>
      <c r="J189" s="31" t="n">
        <v>-2.16</v>
      </c>
      <c r="K189" s="31" t="n">
        <v>138832</v>
      </c>
      <c r="L189" s="30" t="n">
        <v>89</v>
      </c>
      <c r="M189" s="30" t="inlineStr">
        <is>
          <t>Outperforming</t>
        </is>
      </c>
      <c r="N189" s="31">
        <f>IF(M189="Underperforming",-5,IF(L189&gt;=95,15,IF(L189&gt;=90,10,IF(L189&gt;=80,5,0))))</f>
        <v/>
      </c>
      <c r="O189" s="31" t="n">
        <v>78.31999999999999</v>
      </c>
      <c r="P189" s="31" t="n">
        <v>52.4</v>
      </c>
      <c r="Q189" s="31" t="n">
        <v>848.4</v>
      </c>
      <c r="R189" s="30" t="inlineStr">
        <is>
          <t>Near 52W High Breakout</t>
        </is>
      </c>
      <c r="S189" s="30" t="inlineStr">
        <is>
          <t>Nifty Metal</t>
        </is>
      </c>
      <c r="T189" s="31" t="n">
        <v>41.17</v>
      </c>
      <c r="U189" s="31" t="n">
        <v>102.57</v>
      </c>
      <c r="V189" s="31" t="n">
        <v>43.5</v>
      </c>
      <c r="W189" s="31" t="n">
        <v>38.58</v>
      </c>
      <c r="X189" s="30" t="inlineStr">
        <is>
          <t>Growing Industry</t>
        </is>
      </c>
      <c r="Y189" s="30">
        <f>IF(X189="Growing Industry",10,IF(X189="Cyclical in an Upturn",5,0))</f>
        <v/>
      </c>
      <c r="Z189" s="30" t="inlineStr">
        <is>
          <t>Monopoly</t>
        </is>
      </c>
      <c r="AA189" s="30">
        <f>IF(Z189="Monopoly",10,IF(Z189="Oligopoly",5,IF(Z189="Duopoly that cooperate",10,IF(Z189="Duopoly that compete",5,IF(Z189="Too many players with High ROCE",5,0)))))</f>
        <v/>
      </c>
      <c r="AB189" s="30" t="inlineStr">
        <is>
          <t>No</t>
        </is>
      </c>
      <c r="AC189" s="30">
        <f>IF(AB189="No",5,0)</f>
        <v/>
      </c>
      <c r="AD189" s="30" t="inlineStr">
        <is>
          <t>Tailwind</t>
        </is>
      </c>
      <c r="AE189" s="30">
        <f>IF(AD189="Tailwind",10,0)</f>
        <v/>
      </c>
      <c r="AF189" s="30" t="inlineStr">
        <is>
          <t>Shallow Cyclical (2 to 3 Years Growth)</t>
        </is>
      </c>
      <c r="AG189" s="30">
        <f>IF(AF189="Structural (10 Years Consistency)",10,IF(AF189="Shallow Cyclical (2 to 3 years growth)",5,0))</f>
        <v/>
      </c>
      <c r="AH189" s="30" t="inlineStr">
        <is>
          <t>Yes due to Product Mix change or Operating Leverage</t>
        </is>
      </c>
      <c r="AI189" s="30">
        <f>IF(AH189="Yes due to Product Mix change or Operating Leverage",10,IF(AH189="Yes, these are peak margins",-5,IF(AH189="No",5,0)))</f>
        <v/>
      </c>
      <c r="AJ189" s="30" t="inlineStr">
        <is>
          <t>Stable</t>
        </is>
      </c>
      <c r="AK189" s="30">
        <f>IF(AJ189="Stable",10,0)</f>
        <v/>
      </c>
      <c r="AL189" s="30" t="inlineStr">
        <is>
          <t>Yes</t>
        </is>
      </c>
      <c r="AM189" s="30">
        <f>IF(AL189="Yes",10,0)</f>
        <v/>
      </c>
      <c r="AN189" s="30" t="inlineStr">
        <is>
          <t>B2B</t>
        </is>
      </c>
      <c r="AO189" s="30">
        <f>IF(AN189="B2C",10,IF(AN189="B2B",5,0))</f>
        <v/>
      </c>
      <c r="AP189" s="30" t="inlineStr">
        <is>
          <t>Yes</t>
        </is>
      </c>
      <c r="AQ189" s="30">
        <f>IF(AP189="Yes",10,0)</f>
        <v/>
      </c>
      <c r="AR189" s="30" t="inlineStr">
        <is>
          <t>Fully One Time</t>
        </is>
      </c>
      <c r="AS189" s="30">
        <f>IF(AR189="Fully Annuity",10,IF(AR189="Higher Annuity, Lower One Time",5,IF(AR189="Higher One Time, Lower Annuity",3,0)))</f>
        <v/>
      </c>
      <c r="AT189" s="30" t="inlineStr">
        <is>
          <t>Good</t>
        </is>
      </c>
      <c r="AU189" s="30">
        <f>IF(AT189="Good",10,0)</f>
        <v/>
      </c>
      <c r="AV189" s="30" t="inlineStr">
        <is>
          <t>Yes for more than 2 years</t>
        </is>
      </c>
      <c r="AW189" s="30">
        <f>IF(AV189="Yes for more than 2 years",10,IF(AV189="Yes only for next 1 to 2 years",5,0))</f>
        <v/>
      </c>
      <c r="AX189" s="30" t="inlineStr">
        <is>
          <t>20 to 40</t>
        </is>
      </c>
      <c r="AY189" s="30">
        <f>IF(AX189="Above 40",20,IF(AX189="20 to 40",10,IF(AX189="0 to 20",-5,0)))</f>
        <v/>
      </c>
      <c r="AZ189" s="30" t="inlineStr">
        <is>
          <t>Between 50 to 75</t>
        </is>
      </c>
      <c r="BA189" s="30">
        <f>IF(AZ189="Between 50 to 75",10,IF(AZ189="Above 75",0,0))</f>
        <v/>
      </c>
      <c r="BB189" s="30" t="inlineStr">
        <is>
          <t>Stage 2</t>
        </is>
      </c>
      <c r="BC189" s="30">
        <f>IF(BB189="Stage 2",20,IF(BB189="Stage 1",0,IF(BB189="Stage 3",5,IF(BB189="Stage 4",-5,0))))</f>
        <v/>
      </c>
      <c r="BD189" s="30" t="inlineStr">
        <is>
          <t>Positive Trend</t>
        </is>
      </c>
      <c r="BE189" s="30">
        <f>IF(BD189="Positive Trend",20,IF(BD189="Negative Trend",-10,0))</f>
        <v/>
      </c>
      <c r="BF189" s="30" t="inlineStr">
        <is>
          <t>Uptrend</t>
        </is>
      </c>
      <c r="BG189" s="30">
        <f>IF(BF189="Uptrend",10,IF(BF189="Sideways",5,0))</f>
        <v/>
      </c>
      <c r="BH189" s="30" t="inlineStr">
        <is>
          <t>Uptrend</t>
        </is>
      </c>
      <c r="BI189" s="30">
        <f>IF(BH189="Uptrend",10,IF(BH189="Sideways",5,0))</f>
        <v/>
      </c>
      <c r="BJ189" s="30" t="inlineStr">
        <is>
          <t>Close to 52 week high or retracement</t>
        </is>
      </c>
      <c r="BK189" s="30">
        <f>IF(BJ189="Overhead supply in last 2 years in last 2 years",-5,IF(BJ189="Close to 52 week high or retracement",5,IF(BJ189="Blue sky scenario",10,IF(BJ189="Long term Downtrend",-10,0))))</f>
        <v/>
      </c>
      <c r="BL189" s="30" t="inlineStr">
        <is>
          <t>Yes</t>
        </is>
      </c>
      <c r="BM189" s="30">
        <f>IF(BL189="Yes",10,0)</f>
        <v/>
      </c>
      <c r="BN189" s="30" t="inlineStr">
        <is>
          <t>More than 20%</t>
        </is>
      </c>
      <c r="BO189" s="30">
        <f>IF(BN189="More than 20%",10,IF(BN189="Between 12 to 20%",5,IF(BN189="Less than 12%",0,0)))</f>
        <v/>
      </c>
      <c r="BP189" s="30" t="inlineStr">
        <is>
          <t>Yes</t>
        </is>
      </c>
      <c r="BQ189" s="30">
        <f>IF(BP189="No",10,0)</f>
        <v/>
      </c>
      <c r="BR189" s="30" t="inlineStr">
        <is>
          <t>No</t>
        </is>
      </c>
      <c r="BS189" s="30">
        <f>IF(BR189="NO",5,0)</f>
        <v/>
      </c>
      <c r="BT189" s="30" t="inlineStr">
        <is>
          <t>Between 1.5 to 2</t>
        </is>
      </c>
      <c r="BU189" s="30">
        <f>IF(BT189="Above 2",0,IF(BT189="Between 1.5 to 2",5,IF(BT189="Less than 1.5",10,0)))</f>
        <v/>
      </c>
      <c r="BV189" s="30" t="inlineStr">
        <is>
          <t>Less than 50%</t>
        </is>
      </c>
      <c r="BW189" s="30">
        <f>IF(BV189="Above 70%",10,IF(BV189="Between 50% to 70%",5,IF(BV189="Less than 50%",0,IF(BV189="Negative",-10,IF(BV189="Less than 50% and Borrowings are increasing",-5,0)))))</f>
        <v/>
      </c>
      <c r="BX189" s="30" t="inlineStr">
        <is>
          <t>Less than 0.7</t>
        </is>
      </c>
      <c r="BY189" s="30">
        <f>IF(BX189="More than 1.2",-10,IF(BX189="Between 0.7 to 1.2",0,IF(BX189="Less than 0.7",10,0)))</f>
        <v/>
      </c>
      <c r="BZ189" s="30" t="inlineStr">
        <is>
          <t>No</t>
        </is>
      </c>
      <c r="CA189" s="30">
        <f>IF(BZ189="Yes",-10,0)</f>
        <v/>
      </c>
      <c r="CB189" s="30" t="inlineStr">
        <is>
          <t>Less than 15%</t>
        </is>
      </c>
      <c r="CC189" s="30">
        <f>IF(CB189="More than 15%",-10,IF(CB189="Less than 15%",10,0))</f>
        <v/>
      </c>
      <c r="CD189" s="30" t="inlineStr">
        <is>
          <t>No</t>
        </is>
      </c>
      <c r="CE189" s="30">
        <f>IF(CD189="Yes, more than 10%",-10,IF(CD189="No",10,0))</f>
        <v/>
      </c>
    </row>
    <row r="190">
      <c r="A190" s="30">
        <f>IF(B190=0,"",RANK(B190,$B$2:$B$331,0))</f>
        <v/>
      </c>
      <c r="B190" s="31">
        <f>SUM(N190,Y190,AA190,AC190,AE190,AG190,AI190,AK190,AM190,AO190,AQ190,AS190,AU190,AW190,AY190,BA190,BC190,BE190,BG190,BI190,BK190,BM190,BO190,BQ190,BS190,BU190,BW190,BY190,CA190,CC190,CE190)</f>
        <v/>
      </c>
      <c r="C190" s="30" t="inlineStr">
        <is>
          <t>AVADHSUGAR</t>
        </is>
      </c>
      <c r="D190" s="30" t="inlineStr">
        <is>
          <t>Avadh Sugar &amp; Energy</t>
        </is>
      </c>
      <c r="E190" s="30" t="inlineStr">
        <is>
          <t>fmcg</t>
        </is>
      </c>
      <c r="F190" s="30" t="inlineStr">
        <is>
          <t>sugar</t>
        </is>
      </c>
      <c r="G190" s="30" t="inlineStr">
        <is>
          <t>smallcap</t>
        </is>
      </c>
      <c r="H190" s="31" t="n">
        <v>1646.11</v>
      </c>
      <c r="I190" s="31" t="n">
        <v>794.45</v>
      </c>
      <c r="J190" s="31" t="n">
        <v>-3.39</v>
      </c>
      <c r="K190" s="31" t="n">
        <v>70563</v>
      </c>
      <c r="L190" s="30" t="n">
        <v>79</v>
      </c>
      <c r="M190" s="30" t="inlineStr">
        <is>
          <t>Outperforming</t>
        </is>
      </c>
      <c r="N190" s="31">
        <f>IF(M190="Underperforming",-5,IF(L190&gt;=95,15,IF(L190&gt;=90,10,IF(L190&gt;=80,5,0))))</f>
        <v/>
      </c>
      <c r="O190" s="31" t="n">
        <v>78.16</v>
      </c>
      <c r="P190" s="31" t="n">
        <v>51.15</v>
      </c>
      <c r="Q190" s="31" t="n">
        <v>643.3099999999999</v>
      </c>
      <c r="R190" s="30" t="inlineStr">
        <is>
          <t>Near 52W High Breakout</t>
        </is>
      </c>
      <c r="S190" s="30" t="inlineStr">
        <is>
          <t>Nifty FMCG</t>
        </is>
      </c>
      <c r="T190" s="31" t="n">
        <v>-17.21</v>
      </c>
      <c r="U190" s="31" t="n">
        <v>74.36</v>
      </c>
      <c r="V190" s="31" t="n">
        <v>110.61</v>
      </c>
      <c r="W190" s="31" t="n">
        <v>30.24</v>
      </c>
      <c r="X190" s="30" t="inlineStr">
        <is>
          <t>Growing Industry</t>
        </is>
      </c>
      <c r="Y190" s="30">
        <f>IF(X190="Growing Industry",10,IF(X190="Cyclical in an Upturn",5,0))</f>
        <v/>
      </c>
      <c r="Z190" s="30" t="inlineStr">
        <is>
          <t>Too Many Players with High ROCE</t>
        </is>
      </c>
      <c r="AA190" s="30">
        <f>IF(Z190="Monopoly",10,IF(Z190="Oligopoly",5,IF(Z190="Duopoly that cooperate",10,IF(Z190="Duopoly that compete",5,IF(Z190="Too many players with High ROCE",5,0)))))</f>
        <v/>
      </c>
      <c r="AB190" s="30" t="inlineStr">
        <is>
          <t>No</t>
        </is>
      </c>
      <c r="AC190" s="30">
        <f>IF(AB190="No",5,0)</f>
        <v/>
      </c>
      <c r="AD190" s="30" t="inlineStr">
        <is>
          <t>Tailwind</t>
        </is>
      </c>
      <c r="AE190" s="30">
        <f>IF(AD190="Tailwind",10,0)</f>
        <v/>
      </c>
      <c r="AF190" s="30" t="inlineStr">
        <is>
          <t>Structural (10 Years Consistency)</t>
        </is>
      </c>
      <c r="AG190" s="30">
        <f>IF(AF190="Structural (10 Years Consistency)",10,IF(AF190="Shallow Cyclical (2 to 3 years growth)",5,0))</f>
        <v/>
      </c>
      <c r="AH190" s="30" t="inlineStr">
        <is>
          <t>No</t>
        </is>
      </c>
      <c r="AI190" s="30">
        <f>IF(AH190="Yes due to Product Mix change or Operating Leverage",10,IF(AH190="Yes, these are peak margins",-5,IF(AH190="No",5,0)))</f>
        <v/>
      </c>
      <c r="AJ190" s="30" t="inlineStr">
        <is>
          <t>Stable</t>
        </is>
      </c>
      <c r="AK190" s="30">
        <f>IF(AJ190="Stable",10,0)</f>
        <v/>
      </c>
      <c r="AL190" s="30" t="inlineStr">
        <is>
          <t>Yes</t>
        </is>
      </c>
      <c r="AM190" s="30">
        <f>IF(AL190="Yes",10,0)</f>
        <v/>
      </c>
      <c r="AN190" s="30" t="inlineStr">
        <is>
          <t>B2C</t>
        </is>
      </c>
      <c r="AO190" s="30">
        <f>IF(AN190="B2C",10,IF(AN190="B2B",5,0))</f>
        <v/>
      </c>
      <c r="AP190" s="30" t="inlineStr">
        <is>
          <t>Yes</t>
        </is>
      </c>
      <c r="AQ190" s="30">
        <f>IF(AP190="Yes",10,0)</f>
        <v/>
      </c>
      <c r="AR190" s="30" t="inlineStr">
        <is>
          <t>Higher Annuity, Lower One Time</t>
        </is>
      </c>
      <c r="AS190" s="30">
        <f>IF(AR190="Fully Annuity",10,IF(AR190="Higher Annuity, Lower One Time",5,IF(AR190="Higher One Time, Lower Annuity",3,0)))</f>
        <v/>
      </c>
      <c r="AT190" s="30" t="inlineStr">
        <is>
          <t>Good</t>
        </is>
      </c>
      <c r="AU190" s="30">
        <f>IF(AT190="Good",10,0)</f>
        <v/>
      </c>
      <c r="AV190" s="30" t="inlineStr">
        <is>
          <t>Yes for more than 2 years</t>
        </is>
      </c>
      <c r="AW190" s="30">
        <f>IF(AV190="Yes for more than 2 years",10,IF(AV190="Yes only for next 1 to 2 years",5,0))</f>
        <v/>
      </c>
      <c r="AX190" s="30" t="inlineStr">
        <is>
          <t>Above 40</t>
        </is>
      </c>
      <c r="AY190" s="30">
        <f>IF(AX190="Above 40",20,IF(AX190="20 to 40",10,IF(AX190="0 to 20",-5,0)))</f>
        <v/>
      </c>
      <c r="AZ190" s="30" t="inlineStr">
        <is>
          <t>Above 75</t>
        </is>
      </c>
      <c r="BA190" s="30">
        <f>IF(AZ190="Between 50 to 75",10,IF(AZ190="Above 75",0,0))</f>
        <v/>
      </c>
      <c r="BB190" s="30" t="inlineStr">
        <is>
          <t>Stage 2</t>
        </is>
      </c>
      <c r="BC190" s="30">
        <f>IF(BB190="Stage 2",20,IF(BB190="Stage 1",0,IF(BB190="Stage 3",5,IF(BB190="Stage 4",-5,0))))</f>
        <v/>
      </c>
      <c r="BD190" s="30" t="inlineStr">
        <is>
          <t>Positive Trend</t>
        </is>
      </c>
      <c r="BE190" s="30">
        <f>IF(BD190="Positive Trend",20,IF(BD190="Negative Trend",-10,0))</f>
        <v/>
      </c>
      <c r="BF190" s="30" t="inlineStr">
        <is>
          <t>Uptrend</t>
        </is>
      </c>
      <c r="BG190" s="30">
        <f>IF(BF190="Uptrend",10,IF(BF190="Sideways",5,0))</f>
        <v/>
      </c>
      <c r="BH190" s="30" t="inlineStr">
        <is>
          <t>Uptrend</t>
        </is>
      </c>
      <c r="BI190" s="30">
        <f>IF(BH190="Uptrend",10,IF(BH190="Sideways",5,0))</f>
        <v/>
      </c>
      <c r="BJ190" s="30" t="inlineStr">
        <is>
          <t>Blue sky scenario</t>
        </is>
      </c>
      <c r="BK190" s="30">
        <f>IF(BJ190="Overhead supply in last 2 years in last 2 years",-5,IF(BJ190="Close to 52 week high or retracement",5,IF(BJ190="Blue sky scenario",10,IF(BJ190="Long term Downtrend",-10,0))))</f>
        <v/>
      </c>
      <c r="BL190" s="30" t="inlineStr">
        <is>
          <t>Yes</t>
        </is>
      </c>
      <c r="BM190" s="30">
        <f>IF(BL190="Yes",10,0)</f>
        <v/>
      </c>
      <c r="BN190" s="30" t="inlineStr">
        <is>
          <t>More than 20%</t>
        </is>
      </c>
      <c r="BO190" s="30">
        <f>IF(BN190="More than 20%",10,IF(BN190="Between 12 to 20%",5,IF(BN190="Less than 12%",0,0)))</f>
        <v/>
      </c>
      <c r="BP190" s="30" t="inlineStr">
        <is>
          <t>No</t>
        </is>
      </c>
      <c r="BQ190" s="30">
        <f>IF(BP190="No",10,0)</f>
        <v/>
      </c>
      <c r="BR190" s="30" t="inlineStr">
        <is>
          <t>No</t>
        </is>
      </c>
      <c r="BS190" s="30">
        <f>IF(BR190="NO",5,0)</f>
        <v/>
      </c>
      <c r="BT190" s="30" t="inlineStr">
        <is>
          <t>Above 2</t>
        </is>
      </c>
      <c r="BU190" s="30">
        <f>IF(BT190="Above 2",0,IF(BT190="Between 1.5 to 2",5,IF(BT190="Less than 1.5",10,0)))</f>
        <v/>
      </c>
      <c r="BV190" s="30" t="inlineStr">
        <is>
          <t>Above 70%</t>
        </is>
      </c>
      <c r="BW190" s="30">
        <f>IF(BV190="Above 70%",10,IF(BV190="Between 50% to 70%",5,IF(BV190="Less than 50%",0,IF(BV190="Negative",-10,IF(BV190="Less than 50% and Borrowings are increasing",-5,0)))))</f>
        <v/>
      </c>
      <c r="BX190" s="30" t="inlineStr">
        <is>
          <t>More than 1.2</t>
        </is>
      </c>
      <c r="BY190" s="30">
        <f>IF(BX190="More than 1.2",-10,IF(BX190="Between 0.7 to 1.2",0,IF(BX190="Less than 0.7",10,0)))</f>
        <v/>
      </c>
      <c r="BZ190" s="30" t="inlineStr">
        <is>
          <t>No</t>
        </is>
      </c>
      <c r="CA190" s="30">
        <f>IF(BZ190="Yes",-10,0)</f>
        <v/>
      </c>
      <c r="CB190" s="30" t="inlineStr">
        <is>
          <t>Less than 15%</t>
        </is>
      </c>
      <c r="CC190" s="30">
        <f>IF(CB190="More than 15%",-10,IF(CB190="Less than 15%",10,0))</f>
        <v/>
      </c>
      <c r="CD190" s="30" t="inlineStr">
        <is>
          <t>No</t>
        </is>
      </c>
      <c r="CE190" s="30">
        <f>IF(CD190="Yes, more than 10%",-10,IF(CD190="No",10,0))</f>
        <v/>
      </c>
    </row>
    <row r="191">
      <c r="A191" s="30">
        <f>IF(B191=0,"",RANK(B191,$B$2:$B$331,0))</f>
        <v/>
      </c>
      <c r="B191" s="31">
        <f>SUM(N191,Y191,AA191,AC191,AE191,AG191,AI191,AK191,AM191,AO191,AQ191,AS191,AU191,AW191,AY191,BA191,BC191,BE191,BG191,BI191,BK191,BM191,BO191,BQ191,BS191,BU191,BW191,BY191,CA191,CC191,CE191)</f>
        <v/>
      </c>
      <c r="C191" s="32" t="inlineStr">
        <is>
          <t>SYNCOMF</t>
        </is>
      </c>
      <c r="D191" s="32" t="inlineStr">
        <is>
          <t>Syncom Formulations (India) Ltd</t>
        </is>
      </c>
      <c r="E191" s="30" t="inlineStr">
        <is>
          <t>healthcare</t>
        </is>
      </c>
      <c r="F191" s="30" t="inlineStr">
        <is>
          <t>pharmaceuticals - indian - bulk drugs &amp; formln</t>
        </is>
      </c>
      <c r="G191" s="30" t="inlineStr">
        <is>
          <t>smallcap</t>
        </is>
      </c>
      <c r="H191" s="31" t="n">
        <v>1893.16</v>
      </c>
      <c r="I191" s="31" t="n">
        <v>19.26</v>
      </c>
      <c r="J191" s="31" t="n">
        <v>-4.37</v>
      </c>
      <c r="K191" s="31" t="n">
        <v>8403583</v>
      </c>
      <c r="L191" s="30" t="n">
        <v>35</v>
      </c>
      <c r="M191" s="30" t="inlineStr">
        <is>
          <t>Underperforming</t>
        </is>
      </c>
      <c r="N191" s="31">
        <f>IF(M191="Underperforming",-5,IF(L191&gt;=95,15,IF(L191&gt;=90,10,IF(L191&gt;=80,5,0))))</f>
        <v/>
      </c>
      <c r="O191" s="31" t="n">
        <v>68.15000000000001</v>
      </c>
      <c r="P191" s="31" t="n">
        <v>26.69</v>
      </c>
      <c r="Q191" s="31" t="n">
        <v>15.33</v>
      </c>
      <c r="R191" s="30" t="inlineStr">
        <is>
          <t>Earnings / Momentum Support</t>
        </is>
      </c>
      <c r="S191" s="30" t="inlineStr">
        <is>
          <t>Nifty Pharma</t>
        </is>
      </c>
      <c r="T191" s="31" t="n">
        <v>18.86</v>
      </c>
      <c r="U191" s="31" t="n">
        <v>7.3</v>
      </c>
      <c r="V191" s="31" t="n">
        <v>-9.73</v>
      </c>
      <c r="W191" s="31" t="n">
        <v>10.44</v>
      </c>
      <c r="X191" s="30" t="inlineStr">
        <is>
          <t>Growing Industry</t>
        </is>
      </c>
      <c r="Y191" s="30">
        <f>IF(X191="Growing Industry",10,IF(X191="Cyclical in an Upturn",5,0))</f>
        <v/>
      </c>
      <c r="Z191" s="30" t="inlineStr">
        <is>
          <t>Too Many Players with High ROCE</t>
        </is>
      </c>
      <c r="AA191" s="30">
        <f>IF(Z191="Monopoly",10,IF(Z191="Oligopoly",5,IF(Z191="Duopoly that cooperate",10,IF(Z191="Duopoly that compete",5,IF(Z191="Too many players with High ROCE",5,0)))))</f>
        <v/>
      </c>
      <c r="AB191" s="30" t="inlineStr">
        <is>
          <t>Yes</t>
        </is>
      </c>
      <c r="AC191" s="30">
        <f>IF(AB191="No",5,0)</f>
        <v/>
      </c>
      <c r="AD191" s="30" t="inlineStr">
        <is>
          <t>Tailwind</t>
        </is>
      </c>
      <c r="AE191" s="30">
        <f>IF(AD191="Tailwind",10,0)</f>
        <v/>
      </c>
      <c r="AF191" s="30" t="inlineStr">
        <is>
          <t>Structural (10 Years Consistency)</t>
        </is>
      </c>
      <c r="AG191" s="30">
        <f>IF(AF191="Structural (10 Years Consistency)",10,IF(AF191="Shallow Cyclical (2 to 3 years growth)",5,0))</f>
        <v/>
      </c>
      <c r="AH191" s="30" t="inlineStr">
        <is>
          <t>No</t>
        </is>
      </c>
      <c r="AI191" s="30">
        <f>IF(AH191="Yes due to Product Mix change or Operating Leverage",10,IF(AH191="Yes, these are peak margins",-5,IF(AH191="No",5,0)))</f>
        <v/>
      </c>
      <c r="AJ191" s="30" t="inlineStr">
        <is>
          <t>Stable</t>
        </is>
      </c>
      <c r="AK191" s="30">
        <f>IF(AJ191="Stable",10,0)</f>
        <v/>
      </c>
      <c r="AL191" s="30" t="inlineStr">
        <is>
          <t>Yes</t>
        </is>
      </c>
      <c r="AM191" s="30">
        <f>IF(AL191="Yes",10,0)</f>
        <v/>
      </c>
      <c r="AN191" s="30" t="inlineStr">
        <is>
          <t>B2B</t>
        </is>
      </c>
      <c r="AO191" s="30">
        <f>IF(AN191="B2C",10,IF(AN191="B2B",5,0))</f>
        <v/>
      </c>
      <c r="AP191" s="30" t="inlineStr">
        <is>
          <t>No</t>
        </is>
      </c>
      <c r="AQ191" s="30">
        <f>IF(AP191="Yes",10,0)</f>
        <v/>
      </c>
      <c r="AR191" s="30" t="inlineStr">
        <is>
          <t>Higher Annuity, Lower One Time</t>
        </is>
      </c>
      <c r="AS191" s="30">
        <f>IF(AR191="Fully Annuity",10,IF(AR191="Higher Annuity, Lower One Time",5,IF(AR191="Higher One Time, Lower Annuity",3,0)))</f>
        <v/>
      </c>
      <c r="AT191" s="30" t="inlineStr">
        <is>
          <t>Good</t>
        </is>
      </c>
      <c r="AU191" s="30">
        <f>IF(AT191="Good",10,0)</f>
        <v/>
      </c>
      <c r="AV191" s="30" t="inlineStr">
        <is>
          <t>Yes for more than 2 years</t>
        </is>
      </c>
      <c r="AW191" s="30">
        <f>IF(AV191="Yes for more than 2 years",10,IF(AV191="Yes only for next 1 to 2 years",5,0))</f>
        <v/>
      </c>
      <c r="AX191" s="30" t="inlineStr">
        <is>
          <t>20 to 40</t>
        </is>
      </c>
      <c r="AY191" s="30">
        <f>IF(AX191="Above 40",20,IF(AX191="20 to 40",10,IF(AX191="0 to 20",-5,0)))</f>
        <v/>
      </c>
      <c r="AZ191" s="30" t="inlineStr">
        <is>
          <t>Between 50 to 75</t>
        </is>
      </c>
      <c r="BA191" s="30">
        <f>IF(AZ191="Between 50 to 75",10,IF(AZ191="Above 75",0,0))</f>
        <v/>
      </c>
      <c r="BB191" s="30" t="inlineStr">
        <is>
          <t>Stage 2</t>
        </is>
      </c>
      <c r="BC191" s="30">
        <f>IF(BB191="Stage 2",20,IF(BB191="Stage 1",0,IF(BB191="Stage 3",5,IF(BB191="Stage 4",-5,0))))</f>
        <v/>
      </c>
      <c r="BD191" s="30" t="inlineStr">
        <is>
          <t>Positive Trend</t>
        </is>
      </c>
      <c r="BE191" s="30">
        <f>IF(BD191="Positive Trend",20,IF(BD191="Negative Trend",-10,0))</f>
        <v/>
      </c>
      <c r="BF191" s="30" t="inlineStr">
        <is>
          <t>Uptrend</t>
        </is>
      </c>
      <c r="BG191" s="30">
        <f>IF(BF191="Uptrend",10,IF(BF191="Sideways",5,0))</f>
        <v/>
      </c>
      <c r="BH191" s="30" t="inlineStr">
        <is>
          <t>Uptrend</t>
        </is>
      </c>
      <c r="BI191" s="30">
        <f>IF(BH191="Uptrend",10,IF(BH191="Sideways",5,0))</f>
        <v/>
      </c>
      <c r="BJ191" s="30" t="inlineStr">
        <is>
          <t>Close to 52 week high or retracement</t>
        </is>
      </c>
      <c r="BK191" s="30">
        <f>IF(BJ191="Overhead supply in last 2 years in last 2 years",-5,IF(BJ191="Close to 52 week high or retracement",5,IF(BJ191="Blue sky scenario",10,IF(BJ191="Long term Downtrend",-10,0))))</f>
        <v/>
      </c>
      <c r="BL191" s="30" t="inlineStr">
        <is>
          <t>Yes</t>
        </is>
      </c>
      <c r="BM191" s="30">
        <f>IF(BL191="Yes",10,0)</f>
        <v/>
      </c>
      <c r="BN191" s="30" t="inlineStr">
        <is>
          <t>More than 20%</t>
        </is>
      </c>
      <c r="BO191" s="30">
        <f>IF(BN191="More than 20%",10,IF(BN191="Between 12 to 20%",5,IF(BN191="Less than 12%",0,0)))</f>
        <v/>
      </c>
      <c r="BP191" s="30" t="inlineStr">
        <is>
          <t>No</t>
        </is>
      </c>
      <c r="BQ191" s="30">
        <f>IF(BP191="No",10,0)</f>
        <v/>
      </c>
      <c r="BR191" s="30" t="inlineStr">
        <is>
          <t>No</t>
        </is>
      </c>
      <c r="BS191" s="30">
        <f>IF(BR191="NO",5,0)</f>
        <v/>
      </c>
      <c r="BT191" s="30" t="inlineStr">
        <is>
          <t>Less than 1.5</t>
        </is>
      </c>
      <c r="BU191" s="30">
        <f>IF(BT191="Above 2",0,IF(BT191="Between 1.5 to 2",5,IF(BT191="Less than 1.5",10,0)))</f>
        <v/>
      </c>
      <c r="BV191" s="30" t="inlineStr">
        <is>
          <t>Above 70%</t>
        </is>
      </c>
      <c r="BW191" s="30">
        <f>IF(BV191="Above 70%",10,IF(BV191="Between 50% to 70%",5,IF(BV191="Less than 50%",0,IF(BV191="Negative",-10,IF(BV191="Less than 50% and Borrowings are increasing",-5,0)))))</f>
        <v/>
      </c>
      <c r="BX191" s="30" t="inlineStr">
        <is>
          <t>Less than 0.7</t>
        </is>
      </c>
      <c r="BY191" s="30">
        <f>IF(BX191="More than 1.2",-10,IF(BX191="Between 0.7 to 1.2",0,IF(BX191="Less than 0.7",10,0)))</f>
        <v/>
      </c>
      <c r="BZ191" s="30" t="inlineStr">
        <is>
          <t>No</t>
        </is>
      </c>
      <c r="CA191" s="30">
        <f>IF(BZ191="Yes",-10,0)</f>
        <v/>
      </c>
      <c r="CB191" s="30" t="inlineStr">
        <is>
          <t>Less than 15%</t>
        </is>
      </c>
      <c r="CC191" s="30">
        <f>IF(CB191="More than 15%",-10,IF(CB191="Less than 15%",10,0))</f>
        <v/>
      </c>
      <c r="CD191" s="30" t="inlineStr">
        <is>
          <t>No</t>
        </is>
      </c>
      <c r="CE191" s="30">
        <f>IF(CD191="Yes, more than 10%",-10,IF(CD191="No",10,0))</f>
        <v/>
      </c>
    </row>
    <row r="192">
      <c r="A192" s="30">
        <f>IF(B192=0,"",RANK(B192,$B$2:$B$331,0))</f>
        <v/>
      </c>
      <c r="B192" s="31">
        <f>SUM(N192,Y192,AA192,AC192,AE192,AG192,AI192,AK192,AM192,AO192,AQ192,AS192,AU192,AW192,AY192,BA192,BC192,BE192,BG192,BI192,BK192,BM192,BO192,BQ192,BS192,BU192,BW192,BY192,CA192,CC192,CE192)</f>
        <v/>
      </c>
      <c r="C192" s="30" t="inlineStr">
        <is>
          <t>NEOGEN</t>
        </is>
      </c>
      <c r="D192" s="30" t="inlineStr">
        <is>
          <t>Neogen Chemicals Ltd</t>
        </is>
      </c>
      <c r="E192" s="30" t="inlineStr">
        <is>
          <t>chemicals</t>
        </is>
      </c>
      <c r="F192" s="30" t="inlineStr">
        <is>
          <t>chemicals</t>
        </is>
      </c>
      <c r="G192" s="30" t="inlineStr">
        <is>
          <t>midcap</t>
        </is>
      </c>
      <c r="H192" s="31" t="n">
        <v>6175.12</v>
      </c>
      <c r="I192" s="31" t="n">
        <v>2388.9</v>
      </c>
      <c r="J192" s="31" t="n">
        <v>5.93</v>
      </c>
      <c r="K192" s="31" t="n">
        <v>410092</v>
      </c>
      <c r="L192" s="30" t="n">
        <v>51</v>
      </c>
      <c r="M192" s="30" t="inlineStr">
        <is>
          <t>Outperforming</t>
        </is>
      </c>
      <c r="N192" s="31">
        <f>IF(M192="Underperforming",-5,IF(L192&gt;=95,15,IF(L192&gt;=90,10,IF(L192&gt;=80,5,0))))</f>
        <v/>
      </c>
      <c r="O192" s="31" t="n">
        <v>70.48999999999999</v>
      </c>
      <c r="P192" s="31" t="n">
        <v>56.75</v>
      </c>
      <c r="Q192" s="31" t="n">
        <v>1798.68</v>
      </c>
      <c r="R192" s="30" t="inlineStr">
        <is>
          <t>Near 52W High Breakout</t>
        </is>
      </c>
      <c r="S192" s="30" t="inlineStr">
        <is>
          <t>Nifty 50</t>
        </is>
      </c>
      <c r="T192" s="31" t="n">
        <v>-6.52</v>
      </c>
      <c r="U192" s="31" t="n">
        <v>52.78</v>
      </c>
      <c r="V192" s="31" t="n">
        <v>63.42</v>
      </c>
      <c r="W192" s="31" t="n">
        <v>15.87</v>
      </c>
      <c r="X192" s="30" t="inlineStr">
        <is>
          <t>Growing Industry</t>
        </is>
      </c>
      <c r="Y192" s="30">
        <f>IF(X192="Growing Industry",10,IF(X192="Cyclical in an Upturn",5,0))</f>
        <v/>
      </c>
      <c r="Z192" s="30" t="inlineStr">
        <is>
          <t>Too Many Players with High ROCE</t>
        </is>
      </c>
      <c r="AA192" s="30">
        <f>IF(Z192="Monopoly",10,IF(Z192="Oligopoly",5,IF(Z192="Duopoly that cooperate",10,IF(Z192="Duopoly that compete",5,IF(Z192="Too many players with High ROCE",5,0)))))</f>
        <v/>
      </c>
      <c r="AB192" s="30" t="inlineStr">
        <is>
          <t>No</t>
        </is>
      </c>
      <c r="AC192" s="30">
        <f>IF(AB192="No",5,0)</f>
        <v/>
      </c>
      <c r="AD192" s="30" t="inlineStr">
        <is>
          <t>Tailwind</t>
        </is>
      </c>
      <c r="AE192" s="30">
        <f>IF(AD192="Tailwind",10,0)</f>
        <v/>
      </c>
      <c r="AF192" s="30" t="inlineStr">
        <is>
          <t>Structural (10 Years Consistency)</t>
        </is>
      </c>
      <c r="AG192" s="30">
        <f>IF(AF192="Structural (10 Years Consistency)",10,IF(AF192="Shallow Cyclical (2 to 3 years growth)",5,0))</f>
        <v/>
      </c>
      <c r="AH192" s="30" t="inlineStr">
        <is>
          <t>No</t>
        </is>
      </c>
      <c r="AI192" s="30">
        <f>IF(AH192="Yes due to Product Mix change or Operating Leverage",10,IF(AH192="Yes, these are peak margins",-5,IF(AH192="No",5,0)))</f>
        <v/>
      </c>
      <c r="AJ192" s="30" t="inlineStr">
        <is>
          <t>Stable</t>
        </is>
      </c>
      <c r="AK192" s="30">
        <f>IF(AJ192="Stable",10,0)</f>
        <v/>
      </c>
      <c r="AL192" s="30" t="inlineStr">
        <is>
          <t>Yes</t>
        </is>
      </c>
      <c r="AM192" s="30">
        <f>IF(AL192="Yes",10,0)</f>
        <v/>
      </c>
      <c r="AN192" s="30" t="inlineStr">
        <is>
          <t>B2B</t>
        </is>
      </c>
      <c r="AO192" s="30">
        <f>IF(AN192="B2C",10,IF(AN192="B2B",5,0))</f>
        <v/>
      </c>
      <c r="AP192" s="30" t="inlineStr">
        <is>
          <t>Yes</t>
        </is>
      </c>
      <c r="AQ192" s="30">
        <f>IF(AP192="Yes",10,0)</f>
        <v/>
      </c>
      <c r="AR192" s="30" t="inlineStr">
        <is>
          <t>Higher One Time, Lower Annuity</t>
        </is>
      </c>
      <c r="AS192" s="30">
        <f>IF(AR192="Fully Annuity",10,IF(AR192="Higher Annuity, Lower One Time",5,IF(AR192="Higher One Time, Lower Annuity",3,0)))</f>
        <v/>
      </c>
      <c r="AT192" s="30" t="inlineStr">
        <is>
          <t>Good</t>
        </is>
      </c>
      <c r="AU192" s="30">
        <f>IF(AT192="Good",10,0)</f>
        <v/>
      </c>
      <c r="AV192" s="30" t="inlineStr">
        <is>
          <t>Yes for more than 2 years</t>
        </is>
      </c>
      <c r="AW192" s="30">
        <f>IF(AV192="Yes for more than 2 years",10,IF(AV192="Yes only for next 1 to 2 years",5,0))</f>
        <v/>
      </c>
      <c r="AX192" s="30" t="inlineStr">
        <is>
          <t>Above 40</t>
        </is>
      </c>
      <c r="AY192" s="30">
        <f>IF(AX192="Above 40",20,IF(AX192="20 to 40",10,IF(AX192="0 to 20",-5,0)))</f>
        <v/>
      </c>
      <c r="AZ192" s="30" t="inlineStr">
        <is>
          <t>Between 50 to 75</t>
        </is>
      </c>
      <c r="BA192" s="30">
        <f>IF(AZ192="Between 50 to 75",10,IF(AZ192="Above 75",0,0))</f>
        <v/>
      </c>
      <c r="BB192" s="30" t="inlineStr">
        <is>
          <t>Stage 2</t>
        </is>
      </c>
      <c r="BC192" s="30">
        <f>IF(BB192="Stage 2",20,IF(BB192="Stage 1",0,IF(BB192="Stage 3",5,IF(BB192="Stage 4",-5,0))))</f>
        <v/>
      </c>
      <c r="BD192" s="30" t="inlineStr">
        <is>
          <t>Positive Trend</t>
        </is>
      </c>
      <c r="BE192" s="30">
        <f>IF(BD192="Positive Trend",20,IF(BD192="Negative Trend",-10,0))</f>
        <v/>
      </c>
      <c r="BF192" s="30" t="inlineStr">
        <is>
          <t>Uptrend</t>
        </is>
      </c>
      <c r="BG192" s="30">
        <f>IF(BF192="Uptrend",10,IF(BF192="Sideways",5,0))</f>
        <v/>
      </c>
      <c r="BH192" s="30" t="inlineStr">
        <is>
          <t>Uptrend</t>
        </is>
      </c>
      <c r="BI192" s="30">
        <f>IF(BH192="Uptrend",10,IF(BH192="Sideways",5,0))</f>
        <v/>
      </c>
      <c r="BJ192" s="30" t="inlineStr">
        <is>
          <t>Blue sky scenario</t>
        </is>
      </c>
      <c r="BK192" s="30">
        <f>IF(BJ192="Overhead supply in last 2 years in last 2 years",-5,IF(BJ192="Close to 52 week high or retracement",5,IF(BJ192="Blue sky scenario",10,IF(BJ192="Long term Downtrend",-10,0))))</f>
        <v/>
      </c>
      <c r="BL192" s="30" t="inlineStr">
        <is>
          <t>Yes</t>
        </is>
      </c>
      <c r="BM192" s="30">
        <f>IF(BL192="Yes",10,0)</f>
        <v/>
      </c>
      <c r="BN192" s="30" t="inlineStr">
        <is>
          <t>More than 20%</t>
        </is>
      </c>
      <c r="BO192" s="30">
        <f>IF(BN192="More than 20%",10,IF(BN192="Between 12 to 20%",5,IF(BN192="Less than 12%",0,0)))</f>
        <v/>
      </c>
      <c r="BP192" s="30" t="inlineStr">
        <is>
          <t>No</t>
        </is>
      </c>
      <c r="BQ192" s="30">
        <f>IF(BP192="No",10,0)</f>
        <v/>
      </c>
      <c r="BR192" s="30" t="inlineStr">
        <is>
          <t>Yes</t>
        </is>
      </c>
      <c r="BS192" s="30">
        <f>IF(BR192="NO",5,0)</f>
        <v/>
      </c>
      <c r="BT192" s="30" t="inlineStr">
        <is>
          <t>Above 2</t>
        </is>
      </c>
      <c r="BU192" s="30">
        <f>IF(BT192="Above 2",0,IF(BT192="Between 1.5 to 2",5,IF(BT192="Less than 1.5",10,0)))</f>
        <v/>
      </c>
      <c r="BV192" s="30" t="inlineStr">
        <is>
          <t>Above 70%</t>
        </is>
      </c>
      <c r="BW192" s="30">
        <f>IF(BV192="Above 70%",10,IF(BV192="Between 50% to 70%",5,IF(BV192="Less than 50%",0,IF(BV192="Negative",-10,IF(BV192="Less than 50% and Borrowings are increasing",-5,0)))))</f>
        <v/>
      </c>
      <c r="BX192" s="30" t="inlineStr">
        <is>
          <t>More than 1.2</t>
        </is>
      </c>
      <c r="BY192" s="30">
        <f>IF(BX192="More than 1.2",-10,IF(BX192="Between 0.7 to 1.2",0,IF(BX192="Less than 0.7",10,0)))</f>
        <v/>
      </c>
      <c r="BZ192" s="30" t="inlineStr">
        <is>
          <t>No</t>
        </is>
      </c>
      <c r="CA192" s="30">
        <f>IF(BZ192="Yes",-10,0)</f>
        <v/>
      </c>
      <c r="CB192" s="30" t="inlineStr">
        <is>
          <t>Less than 15%</t>
        </is>
      </c>
      <c r="CC192" s="30">
        <f>IF(CB192="More than 15%",-10,IF(CB192="Less than 15%",10,0))</f>
        <v/>
      </c>
      <c r="CD192" s="30" t="inlineStr">
        <is>
          <t>No</t>
        </is>
      </c>
      <c r="CE192" s="30">
        <f>IF(CD192="Yes, more than 10%",-10,IF(CD192="No",10,0))</f>
        <v/>
      </c>
    </row>
    <row r="193">
      <c r="A193" s="30">
        <f>IF(B193=0,"",RANK(B193,$B$2:$B$331,0))</f>
        <v/>
      </c>
      <c r="B193" s="31">
        <f>SUM(N193,Y193,AA193,AC193,AE193,AG193,AI193,AK193,AM193,AO193,AQ193,AS193,AU193,AW193,AY193,BA193,BC193,BE193,BG193,BI193,BK193,BM193,BO193,BQ193,BS193,BU193,BW193,BY193,CA193,CC193,CE193)</f>
        <v/>
      </c>
      <c r="C193" s="30" t="inlineStr">
        <is>
          <t>RAYMOND</t>
        </is>
      </c>
      <c r="D193" s="30" t="inlineStr">
        <is>
          <t>Raymond Limited</t>
        </is>
      </c>
      <c r="E193" s="30" t="inlineStr">
        <is>
          <t>transportation</t>
        </is>
      </c>
      <c r="F193" s="30" t="inlineStr">
        <is>
          <t>transport - airlines</t>
        </is>
      </c>
      <c r="G193" s="30" t="inlineStr">
        <is>
          <t>midcap</t>
        </is>
      </c>
      <c r="H193" s="31" t="n">
        <v>5382.15</v>
      </c>
      <c r="I193" s="31" t="n">
        <v>853.85</v>
      </c>
      <c r="J193" s="31" t="n">
        <v>5.62</v>
      </c>
      <c r="K193" s="31" t="n">
        <v>3307236</v>
      </c>
      <c r="L193" s="30" t="n">
        <v>81</v>
      </c>
      <c r="M193" s="30" t="inlineStr">
        <is>
          <t>Outperforming</t>
        </is>
      </c>
      <c r="N193" s="31">
        <f>IF(M193="Underperforming",-5,IF(L193&gt;=95,15,IF(L193&gt;=90,10,IF(L193&gt;=80,5,0))))</f>
        <v/>
      </c>
      <c r="O193" s="31" t="n">
        <v>77.91</v>
      </c>
      <c r="P193" s="31" t="n">
        <v>46.16</v>
      </c>
      <c r="Q193" s="31" t="n">
        <v>673.1900000000001</v>
      </c>
      <c r="R193" s="30" t="inlineStr">
        <is>
          <t>Volume Spike &amp; Near 52W High Breakout</t>
        </is>
      </c>
      <c r="S193" s="30" t="inlineStr">
        <is>
          <t>Nifty Infra</t>
        </is>
      </c>
      <c r="T193" s="31" t="n">
        <v>0.74</v>
      </c>
      <c r="U193" s="31" t="n">
        <v>21.44</v>
      </c>
      <c r="V193" s="31" t="n">
        <v>20.55</v>
      </c>
      <c r="W193" s="31" t="n">
        <v>31.37</v>
      </c>
      <c r="X193" s="30" t="inlineStr">
        <is>
          <t>Growing Industry</t>
        </is>
      </c>
      <c r="Y193" s="30">
        <f>IF(X193="Growing Industry",10,IF(X193="Cyclical in an Upturn",5,0))</f>
        <v/>
      </c>
      <c r="Z193" s="30" t="inlineStr">
        <is>
          <t>Too Many Players with High ROCE</t>
        </is>
      </c>
      <c r="AA193" s="30">
        <f>IF(Z193="Monopoly",10,IF(Z193="Oligopoly",5,IF(Z193="Duopoly that cooperate",10,IF(Z193="Duopoly that compete",5,IF(Z193="Too many players with High ROCE",5,0)))))</f>
        <v/>
      </c>
      <c r="AB193" s="30" t="inlineStr">
        <is>
          <t>No</t>
        </is>
      </c>
      <c r="AC193" s="30">
        <f>IF(AB193="No",5,0)</f>
        <v/>
      </c>
      <c r="AD193" s="30" t="inlineStr">
        <is>
          <t>Tailwind</t>
        </is>
      </c>
      <c r="AE193" s="30">
        <f>IF(AD193="Tailwind",10,0)</f>
        <v/>
      </c>
      <c r="AF193" s="30" t="inlineStr">
        <is>
          <t>Structural (10 Years Consistency)</t>
        </is>
      </c>
      <c r="AG193" s="30">
        <f>IF(AF193="Structural (10 Years Consistency)",10,IF(AF193="Shallow Cyclical (2 to 3 years growth)",5,0))</f>
        <v/>
      </c>
      <c r="AH193" s="30" t="inlineStr">
        <is>
          <t>No</t>
        </is>
      </c>
      <c r="AI193" s="30">
        <f>IF(AH193="Yes due to Product Mix change or Operating Leverage",10,IF(AH193="Yes, these are peak margins",-5,IF(AH193="No",5,0)))</f>
        <v/>
      </c>
      <c r="AJ193" s="30" t="inlineStr">
        <is>
          <t>Stable</t>
        </is>
      </c>
      <c r="AK193" s="30">
        <f>IF(AJ193="Stable",10,0)</f>
        <v/>
      </c>
      <c r="AL193" s="30" t="inlineStr">
        <is>
          <t>Yes</t>
        </is>
      </c>
      <c r="AM193" s="30">
        <f>IF(AL193="Yes",10,0)</f>
        <v/>
      </c>
      <c r="AN193" s="30" t="inlineStr">
        <is>
          <t>B2B</t>
        </is>
      </c>
      <c r="AO193" s="30">
        <f>IF(AN193="B2C",10,IF(AN193="B2B",5,0))</f>
        <v/>
      </c>
      <c r="AP193" s="30" t="inlineStr">
        <is>
          <t>Yes</t>
        </is>
      </c>
      <c r="AQ193" s="30">
        <f>IF(AP193="Yes",10,0)</f>
        <v/>
      </c>
      <c r="AR193" s="30" t="inlineStr">
        <is>
          <t>Higher One Time, Lower Annuity</t>
        </is>
      </c>
      <c r="AS193" s="30">
        <f>IF(AR193="Fully Annuity",10,IF(AR193="Higher Annuity, Lower One Time",5,IF(AR193="Higher One Time, Lower Annuity",3,0)))</f>
        <v/>
      </c>
      <c r="AT193" s="30" t="inlineStr">
        <is>
          <t>Good</t>
        </is>
      </c>
      <c r="AU193" s="30">
        <f>IF(AT193="Good",10,0)</f>
        <v/>
      </c>
      <c r="AV193" s="30" t="inlineStr">
        <is>
          <t>Yes for more than 2 years</t>
        </is>
      </c>
      <c r="AW193" s="30">
        <f>IF(AV193="Yes for more than 2 years",10,IF(AV193="Yes only for next 1 to 2 years",5,0))</f>
        <v/>
      </c>
      <c r="AX193" s="30" t="inlineStr">
        <is>
          <t>Above 40</t>
        </is>
      </c>
      <c r="AY193" s="30">
        <f>IF(AX193="Above 40",20,IF(AX193="20 to 40",10,IF(AX193="0 to 20",-5,0)))</f>
        <v/>
      </c>
      <c r="AZ193" s="30" t="inlineStr">
        <is>
          <t>Above 75</t>
        </is>
      </c>
      <c r="BA193" s="30">
        <f>IF(AZ193="Between 50 to 75",10,IF(AZ193="Above 75",0,0))</f>
        <v/>
      </c>
      <c r="BB193" s="30" t="inlineStr">
        <is>
          <t>Stage 2</t>
        </is>
      </c>
      <c r="BC193" s="30">
        <f>IF(BB193="Stage 2",20,IF(BB193="Stage 1",0,IF(BB193="Stage 3",5,IF(BB193="Stage 4",-5,0))))</f>
        <v/>
      </c>
      <c r="BD193" s="30" t="inlineStr">
        <is>
          <t>Positive Trend</t>
        </is>
      </c>
      <c r="BE193" s="30">
        <f>IF(BD193="Positive Trend",20,IF(BD193="Negative Trend",-10,0))</f>
        <v/>
      </c>
      <c r="BF193" s="30" t="inlineStr">
        <is>
          <t>Uptrend</t>
        </is>
      </c>
      <c r="BG193" s="30">
        <f>IF(BF193="Uptrend",10,IF(BF193="Sideways",5,0))</f>
        <v/>
      </c>
      <c r="BH193" s="30" t="inlineStr">
        <is>
          <t>Uptrend</t>
        </is>
      </c>
      <c r="BI193" s="30">
        <f>IF(BH193="Uptrend",10,IF(BH193="Sideways",5,0))</f>
        <v/>
      </c>
      <c r="BJ193" s="30" t="inlineStr">
        <is>
          <t>Close to 52 week high or retracement</t>
        </is>
      </c>
      <c r="BK193" s="30">
        <f>IF(BJ193="Overhead supply in last 2 years in last 2 years",-5,IF(BJ193="Close to 52 week high or retracement",5,IF(BJ193="Blue sky scenario",10,IF(BJ193="Long term Downtrend",-10,0))))</f>
        <v/>
      </c>
      <c r="BL193" s="30" t="inlineStr">
        <is>
          <t>Yes</t>
        </is>
      </c>
      <c r="BM193" s="30">
        <f>IF(BL193="Yes",10,0)</f>
        <v/>
      </c>
      <c r="BN193" s="30" t="inlineStr">
        <is>
          <t>Less than 12%</t>
        </is>
      </c>
      <c r="BO193" s="30">
        <f>IF(BN193="More than 20%",10,IF(BN193="Between 12 to 20%",5,IF(BN193="Less than 12%",0,0)))</f>
        <v/>
      </c>
      <c r="BP193" s="30" t="inlineStr">
        <is>
          <t>No</t>
        </is>
      </c>
      <c r="BQ193" s="30">
        <f>IF(BP193="No",10,0)</f>
        <v/>
      </c>
      <c r="BR193" s="30" t="inlineStr">
        <is>
          <t>Yes</t>
        </is>
      </c>
      <c r="BS193" s="30">
        <f>IF(BR193="NO",5,0)</f>
        <v/>
      </c>
      <c r="BT193" s="30" t="inlineStr">
        <is>
          <t>Above 2</t>
        </is>
      </c>
      <c r="BU193" s="30">
        <f>IF(BT193="Above 2",0,IF(BT193="Between 1.5 to 2",5,IF(BT193="Less than 1.5",10,0)))</f>
        <v/>
      </c>
      <c r="BV193" s="30" t="inlineStr">
        <is>
          <t>Above 70%</t>
        </is>
      </c>
      <c r="BW193" s="30">
        <f>IF(BV193="Above 70%",10,IF(BV193="Between 50% to 70%",5,IF(BV193="Less than 50%",0,IF(BV193="Negative",-10,IF(BV193="Less than 50% and Borrowings are increasing",-5,0)))))</f>
        <v/>
      </c>
      <c r="BX193" s="30" t="inlineStr">
        <is>
          <t>Less than 0.7</t>
        </is>
      </c>
      <c r="BY193" s="30">
        <f>IF(BX193="More than 1.2",-10,IF(BX193="Between 0.7 to 1.2",0,IF(BX193="Less than 0.7",10,0)))</f>
        <v/>
      </c>
      <c r="BZ193" s="30" t="inlineStr">
        <is>
          <t>No</t>
        </is>
      </c>
      <c r="CA193" s="30">
        <f>IF(BZ193="Yes",-10,0)</f>
        <v/>
      </c>
      <c r="CB193" s="30" t="inlineStr">
        <is>
          <t>Less than 15%</t>
        </is>
      </c>
      <c r="CC193" s="30">
        <f>IF(CB193="More than 15%",-10,IF(CB193="Less than 15%",10,0))</f>
        <v/>
      </c>
      <c r="CD193" s="30" t="inlineStr">
        <is>
          <t>No</t>
        </is>
      </c>
      <c r="CE193" s="30">
        <f>IF(CD193="Yes, more than 10%",-10,IF(CD193="No",10,0))</f>
        <v/>
      </c>
    </row>
    <row r="194">
      <c r="A194" s="30">
        <f>IF(B194=0,"",RANK(B194,$B$2:$B$331,0))</f>
        <v/>
      </c>
      <c r="B194" s="31">
        <f>SUM(N194,Y194,AA194,AC194,AE194,AG194,AI194,AK194,AM194,AO194,AQ194,AS194,AU194,AW194,AY194,BA194,BC194,BE194,BG194,BI194,BK194,BM194,BO194,BQ194,BS194,BU194,BW194,BY194,CA194,CC194,CE194)</f>
        <v/>
      </c>
      <c r="C194" s="30" t="inlineStr">
        <is>
          <t>VARROC</t>
        </is>
      </c>
      <c r="D194" s="30" t="inlineStr">
        <is>
          <t>Varroc Engineering Ltd</t>
        </is>
      </c>
      <c r="E194" s="30" t="inlineStr">
        <is>
          <t>auto</t>
        </is>
      </c>
      <c r="F194" s="30" t="inlineStr">
        <is>
          <t>auto ancillaries</t>
        </is>
      </c>
      <c r="G194" s="30" t="inlineStr">
        <is>
          <t>midcap</t>
        </is>
      </c>
      <c r="H194" s="31" t="n">
        <v>12824.89</v>
      </c>
      <c r="I194" s="31" t="n">
        <v>884.4</v>
      </c>
      <c r="J194" s="31" t="n">
        <v>5.36</v>
      </c>
      <c r="K194" s="31" t="n">
        <v>1468228</v>
      </c>
      <c r="L194" s="30" t="n">
        <v>78</v>
      </c>
      <c r="M194" s="30" t="inlineStr">
        <is>
          <t>Outperforming</t>
        </is>
      </c>
      <c r="N194" s="31">
        <f>IF(M194="Underperforming",-5,IF(L194&gt;=95,15,IF(L194&gt;=90,10,IF(L194&gt;=80,5,0))))</f>
        <v/>
      </c>
      <c r="O194" s="31" t="n">
        <v>79.02</v>
      </c>
      <c r="P194" s="31" t="n">
        <v>53.28</v>
      </c>
      <c r="Q194" s="31" t="n">
        <v>714.17</v>
      </c>
      <c r="R194" s="30" t="inlineStr">
        <is>
          <t>Near 52W High Breakout</t>
        </is>
      </c>
      <c r="S194" s="30" t="inlineStr">
        <is>
          <t>Nifty Auto</t>
        </is>
      </c>
      <c r="T194" s="31" t="n">
        <v>15.81</v>
      </c>
      <c r="U194" s="31" t="n">
        <v>64.90000000000001</v>
      </c>
      <c r="V194" s="31" t="n">
        <v>42.39</v>
      </c>
      <c r="W194" s="31" t="n">
        <v>28.54</v>
      </c>
      <c r="X194" s="30" t="inlineStr">
        <is>
          <t>Growing Industry</t>
        </is>
      </c>
      <c r="Y194" s="30">
        <f>IF(X194="Growing Industry",10,IF(X194="Cyclical in an Upturn",5,0))</f>
        <v/>
      </c>
      <c r="Z194" s="30" t="inlineStr">
        <is>
          <t>Too Many Players with High ROCE</t>
        </is>
      </c>
      <c r="AA194" s="30">
        <f>IF(Z194="Monopoly",10,IF(Z194="Oligopoly",5,IF(Z194="Duopoly that cooperate",10,IF(Z194="Duopoly that compete",5,IF(Z194="Too many players with High ROCE",5,0)))))</f>
        <v/>
      </c>
      <c r="AB194" s="30" t="inlineStr">
        <is>
          <t>No</t>
        </is>
      </c>
      <c r="AC194" s="30">
        <f>IF(AB194="No",5,0)</f>
        <v/>
      </c>
      <c r="AD194" s="30" t="inlineStr">
        <is>
          <t>Tailwind</t>
        </is>
      </c>
      <c r="AE194" s="30">
        <f>IF(AD194="Tailwind",10,0)</f>
        <v/>
      </c>
      <c r="AF194" s="30" t="inlineStr">
        <is>
          <t>Structural (10 Years Consistency)</t>
        </is>
      </c>
      <c r="AG194" s="30">
        <f>IF(AF194="Structural (10 Years Consistency)",10,IF(AF194="Shallow Cyclical (2 to 3 years growth)",5,0))</f>
        <v/>
      </c>
      <c r="AH194" s="30" t="inlineStr">
        <is>
          <t>No</t>
        </is>
      </c>
      <c r="AI194" s="30">
        <f>IF(AH194="Yes due to Product Mix change or Operating Leverage",10,IF(AH194="Yes, these are peak margins",-5,IF(AH194="No",5,0)))</f>
        <v/>
      </c>
      <c r="AJ194" s="30" t="inlineStr">
        <is>
          <t>Stable</t>
        </is>
      </c>
      <c r="AK194" s="30">
        <f>IF(AJ194="Stable",10,0)</f>
        <v/>
      </c>
      <c r="AL194" s="30" t="inlineStr">
        <is>
          <t>Yes</t>
        </is>
      </c>
      <c r="AM194" s="30">
        <f>IF(AL194="Yes",10,0)</f>
        <v/>
      </c>
      <c r="AN194" s="30" t="inlineStr">
        <is>
          <t>B2B</t>
        </is>
      </c>
      <c r="AO194" s="30">
        <f>IF(AN194="B2C",10,IF(AN194="B2B",5,0))</f>
        <v/>
      </c>
      <c r="AP194" s="30" t="inlineStr">
        <is>
          <t>Yes</t>
        </is>
      </c>
      <c r="AQ194" s="30">
        <f>IF(AP194="Yes",10,0)</f>
        <v/>
      </c>
      <c r="AR194" s="30" t="inlineStr">
        <is>
          <t>Higher One Time, Lower Annuity</t>
        </is>
      </c>
      <c r="AS194" s="30">
        <f>IF(AR194="Fully Annuity",10,IF(AR194="Higher Annuity, Lower One Time",5,IF(AR194="Higher One Time, Lower Annuity",3,0)))</f>
        <v/>
      </c>
      <c r="AT194" s="30" t="inlineStr">
        <is>
          <t>Good</t>
        </is>
      </c>
      <c r="AU194" s="30">
        <f>IF(AT194="Good",10,0)</f>
        <v/>
      </c>
      <c r="AV194" s="30" t="inlineStr">
        <is>
          <t>Yes for more than 2 years</t>
        </is>
      </c>
      <c r="AW194" s="30">
        <f>IF(AV194="Yes for more than 2 years",10,IF(AV194="Yes only for next 1 to 2 years",5,0))</f>
        <v/>
      </c>
      <c r="AX194" s="30" t="inlineStr">
        <is>
          <t>Above 40</t>
        </is>
      </c>
      <c r="AY194" s="30">
        <f>IF(AX194="Above 40",20,IF(AX194="20 to 40",10,IF(AX194="0 to 20",-5,0)))</f>
        <v/>
      </c>
      <c r="AZ194" s="30" t="inlineStr">
        <is>
          <t>Above 75</t>
        </is>
      </c>
      <c r="BA194" s="30">
        <f>IF(AZ194="Between 50 to 75",10,IF(AZ194="Above 75",0,0))</f>
        <v/>
      </c>
      <c r="BB194" s="30" t="inlineStr">
        <is>
          <t>Stage 2</t>
        </is>
      </c>
      <c r="BC194" s="30">
        <f>IF(BB194="Stage 2",20,IF(BB194="Stage 1",0,IF(BB194="Stage 3",5,IF(BB194="Stage 4",-5,0))))</f>
        <v/>
      </c>
      <c r="BD194" s="30" t="inlineStr">
        <is>
          <t>Positive Trend</t>
        </is>
      </c>
      <c r="BE194" s="30">
        <f>IF(BD194="Positive Trend",20,IF(BD194="Negative Trend",-10,0))</f>
        <v/>
      </c>
      <c r="BF194" s="30" t="inlineStr">
        <is>
          <t>Uptrend</t>
        </is>
      </c>
      <c r="BG194" s="30">
        <f>IF(BF194="Uptrend",10,IF(BF194="Sideways",5,0))</f>
        <v/>
      </c>
      <c r="BH194" s="30" t="inlineStr">
        <is>
          <t>Uptrend</t>
        </is>
      </c>
      <c r="BI194" s="30">
        <f>IF(BH194="Uptrend",10,IF(BH194="Sideways",5,0))</f>
        <v/>
      </c>
      <c r="BJ194" s="30" t="inlineStr">
        <is>
          <t>Blue sky scenario</t>
        </is>
      </c>
      <c r="BK194" s="30">
        <f>IF(BJ194="Overhead supply in last 2 years in last 2 years",-5,IF(BJ194="Close to 52 week high or retracement",5,IF(BJ194="Blue sky scenario",10,IF(BJ194="Long term Downtrend",-10,0))))</f>
        <v/>
      </c>
      <c r="BL194" s="30" t="inlineStr">
        <is>
          <t>Yes</t>
        </is>
      </c>
      <c r="BM194" s="30">
        <f>IF(BL194="Yes",10,0)</f>
        <v/>
      </c>
      <c r="BN194" s="30" t="inlineStr">
        <is>
          <t>Less than 12%</t>
        </is>
      </c>
      <c r="BO194" s="30">
        <f>IF(BN194="More than 20%",10,IF(BN194="Between 12 to 20%",5,IF(BN194="Less than 12%",0,0)))</f>
        <v/>
      </c>
      <c r="BP194" s="30" t="inlineStr">
        <is>
          <t>No</t>
        </is>
      </c>
      <c r="BQ194" s="30">
        <f>IF(BP194="No",10,0)</f>
        <v/>
      </c>
      <c r="BR194" s="30" t="inlineStr">
        <is>
          <t>Yes</t>
        </is>
      </c>
      <c r="BS194" s="30">
        <f>IF(BR194="NO",5,0)</f>
        <v/>
      </c>
      <c r="BT194" s="30" t="inlineStr">
        <is>
          <t>Above 2</t>
        </is>
      </c>
      <c r="BU194" s="30">
        <f>IF(BT194="Above 2",0,IF(BT194="Between 1.5 to 2",5,IF(BT194="Less than 1.5",10,0)))</f>
        <v/>
      </c>
      <c r="BV194" s="30" t="inlineStr">
        <is>
          <t>Above 70%</t>
        </is>
      </c>
      <c r="BW194" s="30">
        <f>IF(BV194="Above 70%",10,IF(BV194="Between 50% to 70%",5,IF(BV194="Less than 50%",0,IF(BV194="Negative",-10,IF(BV194="Less than 50% and Borrowings are increasing",-5,0)))))</f>
        <v/>
      </c>
      <c r="BX194" s="30" t="inlineStr">
        <is>
          <t>Less than 0.7</t>
        </is>
      </c>
      <c r="BY194" s="30">
        <f>IF(BX194="More than 1.2",-10,IF(BX194="Between 0.7 to 1.2",0,IF(BX194="Less than 0.7",10,0)))</f>
        <v/>
      </c>
      <c r="BZ194" s="30" t="inlineStr">
        <is>
          <t>No</t>
        </is>
      </c>
      <c r="CA194" s="30">
        <f>IF(BZ194="Yes",-10,0)</f>
        <v/>
      </c>
      <c r="CB194" s="30" t="inlineStr">
        <is>
          <t>Less than 15%</t>
        </is>
      </c>
      <c r="CC194" s="30">
        <f>IF(CB194="More than 15%",-10,IF(CB194="Less than 15%",10,0))</f>
        <v/>
      </c>
      <c r="CD194" s="30" t="inlineStr">
        <is>
          <t>No</t>
        </is>
      </c>
      <c r="CE194" s="30">
        <f>IF(CD194="Yes, more than 10%",-10,IF(CD194="No",10,0))</f>
        <v/>
      </c>
    </row>
    <row r="195">
      <c r="A195" s="30">
        <f>IF(B195=0,"",RANK(B195,$B$2:$B$331,0))</f>
        <v/>
      </c>
      <c r="B195" s="31">
        <f>SUM(N195,Y195,AA195,AC195,AE195,AG195,AI195,AK195,AM195,AO195,AQ195,AS195,AU195,AW195,AY195,BA195,BC195,BE195,BG195,BI195,BK195,BM195,BO195,BQ195,BS195,BU195,BW195,BY195,CA195,CC195,CE195)</f>
        <v/>
      </c>
      <c r="C195" s="32" t="inlineStr">
        <is>
          <t>WENDT</t>
        </is>
      </c>
      <c r="D195" s="32" t="inlineStr">
        <is>
          <t>Wendt (india) Limited</t>
        </is>
      </c>
      <c r="E195" s="30" t="inlineStr">
        <is>
          <t>industrials</t>
        </is>
      </c>
      <c r="F195" s="30" t="inlineStr">
        <is>
          <t>abrasives and grinding wheels</t>
        </is>
      </c>
      <c r="G195" s="30" t="inlineStr">
        <is>
          <t>smallcap</t>
        </is>
      </c>
      <c r="H195" s="31" t="n">
        <v>1646.1</v>
      </c>
      <c r="I195" s="31" t="n">
        <v>8669.5</v>
      </c>
      <c r="J195" s="31" t="n">
        <v>5.33</v>
      </c>
      <c r="K195" s="31" t="n">
        <v>98896</v>
      </c>
      <c r="L195" s="30" t="n">
        <v>10</v>
      </c>
      <c r="M195" s="30" t="inlineStr">
        <is>
          <t>Underperforming</t>
        </is>
      </c>
      <c r="N195" s="31">
        <f>IF(M195="Underperforming",-5,IF(L195&gt;=95,15,IF(L195&gt;=90,10,IF(L195&gt;=80,5,0))))</f>
        <v/>
      </c>
      <c r="O195" s="31" t="n">
        <v>62.47</v>
      </c>
      <c r="P195" s="31" t="n">
        <v>38.37</v>
      </c>
      <c r="Q195" s="31" t="n">
        <v>6890.49</v>
      </c>
      <c r="R195" s="30" t="inlineStr">
        <is>
          <t>Volume Spike / Accumulation</t>
        </is>
      </c>
      <c r="S195" s="30" t="inlineStr">
        <is>
          <t>Nifty Infra</t>
        </is>
      </c>
      <c r="T195" s="31" t="n">
        <v>0.74</v>
      </c>
      <c r="U195" s="31" t="n">
        <v>-9.98</v>
      </c>
      <c r="V195" s="31" t="n">
        <v>-10.64</v>
      </c>
      <c r="W195" s="31" t="n">
        <v>3.89</v>
      </c>
      <c r="X195" s="30" t="inlineStr">
        <is>
          <t>Cyclical in an Upturn</t>
        </is>
      </c>
      <c r="Y195" s="30">
        <f>IF(X195="Growing Industry",10,IF(X195="Cyclical in an Upturn",5,0))</f>
        <v/>
      </c>
      <c r="Z195" s="30" t="inlineStr">
        <is>
          <t>Too Many Players with High ROCE</t>
        </is>
      </c>
      <c r="AA195" s="30">
        <f>IF(Z195="Monopoly",10,IF(Z195="Oligopoly",5,IF(Z195="Duopoly that cooperate",10,IF(Z195="Duopoly that compete",5,IF(Z195="Too many players with High ROCE",5,0)))))</f>
        <v/>
      </c>
      <c r="AB195" s="30" t="inlineStr">
        <is>
          <t>No</t>
        </is>
      </c>
      <c r="AC195" s="30">
        <f>IF(AB195="No",5,0)</f>
        <v/>
      </c>
      <c r="AD195" s="30" t="inlineStr">
        <is>
          <t>Tailwind</t>
        </is>
      </c>
      <c r="AE195" s="30">
        <f>IF(AD195="Tailwind",10,0)</f>
        <v/>
      </c>
      <c r="AF195" s="30" t="inlineStr">
        <is>
          <t>Structural (10 Years Consistency)</t>
        </is>
      </c>
      <c r="AG195" s="30">
        <f>IF(AF195="Structural (10 Years Consistency)",10,IF(AF195="Shallow Cyclical (2 to 3 years growth)",5,0))</f>
        <v/>
      </c>
      <c r="AH195" s="30" t="inlineStr">
        <is>
          <t>No</t>
        </is>
      </c>
      <c r="AI195" s="30">
        <f>IF(AH195="Yes due to Product Mix change or Operating Leverage",10,IF(AH195="Yes, these are peak margins",-5,IF(AH195="No",5,0)))</f>
        <v/>
      </c>
      <c r="AJ195" s="30" t="inlineStr">
        <is>
          <t>Stable</t>
        </is>
      </c>
      <c r="AK195" s="30">
        <f>IF(AJ195="Stable",10,0)</f>
        <v/>
      </c>
      <c r="AL195" s="30" t="inlineStr">
        <is>
          <t>Yes</t>
        </is>
      </c>
      <c r="AM195" s="30">
        <f>IF(AL195="Yes",10,0)</f>
        <v/>
      </c>
      <c r="AN195" s="30" t="inlineStr">
        <is>
          <t>B2B</t>
        </is>
      </c>
      <c r="AO195" s="30">
        <f>IF(AN195="B2C",10,IF(AN195="B2B",5,0))</f>
        <v/>
      </c>
      <c r="AP195" s="30" t="inlineStr">
        <is>
          <t>Yes</t>
        </is>
      </c>
      <c r="AQ195" s="30">
        <f>IF(AP195="Yes",10,0)</f>
        <v/>
      </c>
      <c r="AR195" s="30" t="inlineStr">
        <is>
          <t>Higher One Time, Lower Annuity</t>
        </is>
      </c>
      <c r="AS195" s="30">
        <f>IF(AR195="Fully Annuity",10,IF(AR195="Higher Annuity, Lower One Time",5,IF(AR195="Higher One Time, Lower Annuity",3,0)))</f>
        <v/>
      </c>
      <c r="AT195" s="30" t="inlineStr">
        <is>
          <t>Good</t>
        </is>
      </c>
      <c r="AU195" s="30">
        <f>IF(AT195="Good",10,0)</f>
        <v/>
      </c>
      <c r="AV195" s="30" t="inlineStr">
        <is>
          <t>Yes for more than 2 years</t>
        </is>
      </c>
      <c r="AW195" s="30">
        <f>IF(AV195="Yes for more than 2 years",10,IF(AV195="Yes only for next 1 to 2 years",5,0))</f>
        <v/>
      </c>
      <c r="AX195" s="30" t="inlineStr">
        <is>
          <t>20 to 40</t>
        </is>
      </c>
      <c r="AY195" s="30">
        <f>IF(AX195="Above 40",20,IF(AX195="20 to 40",10,IF(AX195="0 to 20",-5,0)))</f>
        <v/>
      </c>
      <c r="AZ195" s="30" t="inlineStr">
        <is>
          <t>Between 50 to 75</t>
        </is>
      </c>
      <c r="BA195" s="30">
        <f>IF(AZ195="Between 50 to 75",10,IF(AZ195="Above 75",0,0))</f>
        <v/>
      </c>
      <c r="BB195" s="30" t="inlineStr">
        <is>
          <t>Stage 2</t>
        </is>
      </c>
      <c r="BC195" s="30">
        <f>IF(BB195="Stage 2",20,IF(BB195="Stage 1",0,IF(BB195="Stage 3",5,IF(BB195="Stage 4",-5,0))))</f>
        <v/>
      </c>
      <c r="BD195" s="30" t="inlineStr">
        <is>
          <t>Positive Trend</t>
        </is>
      </c>
      <c r="BE195" s="30">
        <f>IF(BD195="Positive Trend",20,IF(BD195="Negative Trend",-10,0))</f>
        <v/>
      </c>
      <c r="BF195" s="30" t="inlineStr">
        <is>
          <t>Uptrend</t>
        </is>
      </c>
      <c r="BG195" s="30">
        <f>IF(BF195="Uptrend",10,IF(BF195="Sideways",5,0))</f>
        <v/>
      </c>
      <c r="BH195" s="30" t="inlineStr">
        <is>
          <t>Uptrend</t>
        </is>
      </c>
      <c r="BI195" s="30">
        <f>IF(BH195="Uptrend",10,IF(BH195="Sideways",5,0))</f>
        <v/>
      </c>
      <c r="BJ195" s="30" t="inlineStr">
        <is>
          <t>Close to 52 week high or retracement</t>
        </is>
      </c>
      <c r="BK195" s="30">
        <f>IF(BJ195="Overhead supply in last 2 years in last 2 years",-5,IF(BJ195="Close to 52 week high or retracement",5,IF(BJ195="Blue sky scenario",10,IF(BJ195="Long term Downtrend",-10,0))))</f>
        <v/>
      </c>
      <c r="BL195" s="30" t="inlineStr">
        <is>
          <t>Yes</t>
        </is>
      </c>
      <c r="BM195" s="30">
        <f>IF(BL195="Yes",10,0)</f>
        <v/>
      </c>
      <c r="BN195" s="30" t="inlineStr">
        <is>
          <t>More than 20%</t>
        </is>
      </c>
      <c r="BO195" s="30">
        <f>IF(BN195="More than 20%",10,IF(BN195="Between 12 to 20%",5,IF(BN195="Less than 12%",0,0)))</f>
        <v/>
      </c>
      <c r="BP195" s="30" t="inlineStr">
        <is>
          <t>No</t>
        </is>
      </c>
      <c r="BQ195" s="30">
        <f>IF(BP195="No",10,0)</f>
        <v/>
      </c>
      <c r="BR195" s="30" t="inlineStr">
        <is>
          <t>Yes</t>
        </is>
      </c>
      <c r="BS195" s="30">
        <f>IF(BR195="NO",5,0)</f>
        <v/>
      </c>
      <c r="BT195" s="30" t="inlineStr">
        <is>
          <t>Between 1.5 to 2</t>
        </is>
      </c>
      <c r="BU195" s="30">
        <f>IF(BT195="Above 2",0,IF(BT195="Between 1.5 to 2",5,IF(BT195="Less than 1.5",10,0)))</f>
        <v/>
      </c>
      <c r="BV195" s="30" t="inlineStr">
        <is>
          <t>Above 70%</t>
        </is>
      </c>
      <c r="BW195" s="30">
        <f>IF(BV195="Above 70%",10,IF(BV195="Between 50% to 70%",5,IF(BV195="Less than 50%",0,IF(BV195="Negative",-10,IF(BV195="Less than 50% and Borrowings are increasing",-5,0)))))</f>
        <v/>
      </c>
      <c r="BX195" s="30" t="inlineStr">
        <is>
          <t>Less than 0.7</t>
        </is>
      </c>
      <c r="BY195" s="30">
        <f>IF(BX195="More than 1.2",-10,IF(BX195="Between 0.7 to 1.2",0,IF(BX195="Less than 0.7",10,0)))</f>
        <v/>
      </c>
      <c r="BZ195" s="30" t="inlineStr">
        <is>
          <t>No</t>
        </is>
      </c>
      <c r="CA195" s="30">
        <f>IF(BZ195="Yes",-10,0)</f>
        <v/>
      </c>
      <c r="CB195" s="30" t="inlineStr">
        <is>
          <t>Less than 15%</t>
        </is>
      </c>
      <c r="CC195" s="30">
        <f>IF(CB195="More than 15%",-10,IF(CB195="Less than 15%",10,0))</f>
        <v/>
      </c>
      <c r="CD195" s="30" t="inlineStr">
        <is>
          <t>No</t>
        </is>
      </c>
      <c r="CE195" s="30">
        <f>IF(CD195="Yes, more than 10%",-10,IF(CD195="No",10,0))</f>
        <v/>
      </c>
    </row>
    <row r="196">
      <c r="A196" s="30">
        <f>IF(B196=0,"",RANK(B196,$B$2:$B$331,0))</f>
        <v/>
      </c>
      <c r="B196" s="31">
        <f>SUM(N196,Y196,AA196,AC196,AE196,AG196,AI196,AK196,AM196,AO196,AQ196,AS196,AU196,AW196,AY196,BA196,BC196,BE196,BG196,BI196,BK196,BM196,BO196,BQ196,BS196,BU196,BW196,BY196,CA196,CC196,CE196)</f>
        <v/>
      </c>
      <c r="C196" s="30" t="inlineStr">
        <is>
          <t>SPECTRUM</t>
        </is>
      </c>
      <c r="D196" s="30" t="inlineStr">
        <is>
          <t>Spectrum Electrical Industries Ltd</t>
        </is>
      </c>
      <c r="E196" s="30" t="inlineStr">
        <is>
          <t>industrials</t>
        </is>
      </c>
      <c r="F196" s="30" t="inlineStr">
        <is>
          <t>electric equipment</t>
        </is>
      </c>
      <c r="G196" s="30" t="inlineStr">
        <is>
          <t>smallcap</t>
        </is>
      </c>
      <c r="H196" s="31" t="n">
        <v>4308.11</v>
      </c>
      <c r="I196" s="31" t="n">
        <v>2878.6</v>
      </c>
      <c r="J196" s="31" t="n">
        <v>5</v>
      </c>
      <c r="K196" s="31" t="n">
        <v>10777</v>
      </c>
      <c r="L196" s="30" t="n">
        <v>87</v>
      </c>
      <c r="M196" s="30" t="inlineStr">
        <is>
          <t>Outperforming</t>
        </is>
      </c>
      <c r="N196" s="31">
        <f>IF(M196="Underperforming",-5,IF(L196&gt;=95,15,IF(L196&gt;=90,10,IF(L196&gt;=80,5,0))))</f>
        <v/>
      </c>
      <c r="O196" s="31" t="n">
        <v>76.23</v>
      </c>
      <c r="P196" s="31" t="n">
        <v>60.04</v>
      </c>
      <c r="Q196" s="31" t="n">
        <v>2072.43</v>
      </c>
      <c r="R196" s="30" t="inlineStr">
        <is>
          <t>Near 52W High Breakout</t>
        </is>
      </c>
      <c r="S196" s="30" t="inlineStr">
        <is>
          <t>Nifty 50</t>
        </is>
      </c>
      <c r="T196" s="31" t="n">
        <v>-6.52</v>
      </c>
      <c r="U196" s="31" t="n">
        <v>102.45</v>
      </c>
      <c r="V196" s="31" t="n">
        <v>116.56</v>
      </c>
      <c r="W196" s="31" t="n">
        <v>35.07</v>
      </c>
      <c r="X196" s="30" t="inlineStr">
        <is>
          <t>Cyclical in an Upturn</t>
        </is>
      </c>
      <c r="Y196" s="30">
        <f>IF(X196="Growing Industry",10,IF(X196="Cyclical in an Upturn",5,0))</f>
        <v/>
      </c>
      <c r="Z196" s="30" t="inlineStr">
        <is>
          <t>Too Many Players with High ROCE</t>
        </is>
      </c>
      <c r="AA196" s="30">
        <f>IF(Z196="Monopoly",10,IF(Z196="Oligopoly",5,IF(Z196="Duopoly that cooperate",10,IF(Z196="Duopoly that compete",5,IF(Z196="Too many players with High ROCE",5,0)))))</f>
        <v/>
      </c>
      <c r="AB196" s="30" t="inlineStr">
        <is>
          <t>No</t>
        </is>
      </c>
      <c r="AC196" s="30">
        <f>IF(AB196="No",5,0)</f>
        <v/>
      </c>
      <c r="AD196" s="30" t="inlineStr">
        <is>
          <t>Tailwind</t>
        </is>
      </c>
      <c r="AE196" s="30">
        <f>IF(AD196="Tailwind",10,0)</f>
        <v/>
      </c>
      <c r="AF196" s="30" t="inlineStr">
        <is>
          <t>Structural (10 Years Consistency)</t>
        </is>
      </c>
      <c r="AG196" s="30">
        <f>IF(AF196="Structural (10 Years Consistency)",10,IF(AF196="Shallow Cyclical (2 to 3 years growth)",5,0))</f>
        <v/>
      </c>
      <c r="AH196" s="30" t="inlineStr">
        <is>
          <t>No</t>
        </is>
      </c>
      <c r="AI196" s="30">
        <f>IF(AH196="Yes due to Product Mix change or Operating Leverage",10,IF(AH196="Yes, these are peak margins",-5,IF(AH196="No",5,0)))</f>
        <v/>
      </c>
      <c r="AJ196" s="30" t="inlineStr">
        <is>
          <t>Stable</t>
        </is>
      </c>
      <c r="AK196" s="30">
        <f>IF(AJ196="Stable",10,0)</f>
        <v/>
      </c>
      <c r="AL196" s="30" t="inlineStr">
        <is>
          <t>Yes</t>
        </is>
      </c>
      <c r="AM196" s="30">
        <f>IF(AL196="Yes",10,0)</f>
        <v/>
      </c>
      <c r="AN196" s="30" t="inlineStr">
        <is>
          <t>B2B</t>
        </is>
      </c>
      <c r="AO196" s="30">
        <f>IF(AN196="B2C",10,IF(AN196="B2B",5,0))</f>
        <v/>
      </c>
      <c r="AP196" s="30" t="inlineStr">
        <is>
          <t>Yes</t>
        </is>
      </c>
      <c r="AQ196" s="30">
        <f>IF(AP196="Yes",10,0)</f>
        <v/>
      </c>
      <c r="AR196" s="30" t="inlineStr">
        <is>
          <t>Higher One Time, Lower Annuity</t>
        </is>
      </c>
      <c r="AS196" s="30">
        <f>IF(AR196="Fully Annuity",10,IF(AR196="Higher Annuity, Lower One Time",5,IF(AR196="Higher One Time, Lower Annuity",3,0)))</f>
        <v/>
      </c>
      <c r="AT196" s="30" t="inlineStr">
        <is>
          <t>Good</t>
        </is>
      </c>
      <c r="AU196" s="30">
        <f>IF(AT196="Good",10,0)</f>
        <v/>
      </c>
      <c r="AV196" s="30" t="inlineStr">
        <is>
          <t>Yes for more than 2 years</t>
        </is>
      </c>
      <c r="AW196" s="30">
        <f>IF(AV196="Yes for more than 2 years",10,IF(AV196="Yes only for next 1 to 2 years",5,0))</f>
        <v/>
      </c>
      <c r="AX196" s="30" t="inlineStr">
        <is>
          <t>Above 40</t>
        </is>
      </c>
      <c r="AY196" s="30">
        <f>IF(AX196="Above 40",20,IF(AX196="20 to 40",10,IF(AX196="0 to 20",-5,0)))</f>
        <v/>
      </c>
      <c r="AZ196" s="30" t="inlineStr">
        <is>
          <t>Above 75</t>
        </is>
      </c>
      <c r="BA196" s="30">
        <f>IF(AZ196="Between 50 to 75",10,IF(AZ196="Above 75",0,0))</f>
        <v/>
      </c>
      <c r="BB196" s="30" t="inlineStr">
        <is>
          <t>Stage 2</t>
        </is>
      </c>
      <c r="BC196" s="30">
        <f>IF(BB196="Stage 2",20,IF(BB196="Stage 1",0,IF(BB196="Stage 3",5,IF(BB196="Stage 4",-5,0))))</f>
        <v/>
      </c>
      <c r="BD196" s="30" t="inlineStr">
        <is>
          <t>Positive Trend</t>
        </is>
      </c>
      <c r="BE196" s="30">
        <f>IF(BD196="Positive Trend",20,IF(BD196="Negative Trend",-10,0))</f>
        <v/>
      </c>
      <c r="BF196" s="30" t="inlineStr">
        <is>
          <t>Uptrend</t>
        </is>
      </c>
      <c r="BG196" s="30">
        <f>IF(BF196="Uptrend",10,IF(BF196="Sideways",5,0))</f>
        <v/>
      </c>
      <c r="BH196" s="30" t="inlineStr">
        <is>
          <t>Uptrend</t>
        </is>
      </c>
      <c r="BI196" s="30">
        <f>IF(BH196="Uptrend",10,IF(BH196="Sideways",5,0))</f>
        <v/>
      </c>
      <c r="BJ196" s="30" t="inlineStr">
        <is>
          <t>Blue sky scenario</t>
        </is>
      </c>
      <c r="BK196" s="30">
        <f>IF(BJ196="Overhead supply in last 2 years in last 2 years",-5,IF(BJ196="Close to 52 week high or retracement",5,IF(BJ196="Blue sky scenario",10,IF(BJ196="Long term Downtrend",-10,0))))</f>
        <v/>
      </c>
      <c r="BL196" s="30" t="inlineStr">
        <is>
          <t>Yes</t>
        </is>
      </c>
      <c r="BM196" s="30">
        <f>IF(BL196="Yes",10,0)</f>
        <v/>
      </c>
      <c r="BN196" s="30" t="inlineStr">
        <is>
          <t>More than 20%</t>
        </is>
      </c>
      <c r="BO196" s="30">
        <f>IF(BN196="More than 20%",10,IF(BN196="Between 12 to 20%",5,IF(BN196="Less than 12%",0,0)))</f>
        <v/>
      </c>
      <c r="BP196" s="30" t="inlineStr">
        <is>
          <t>No</t>
        </is>
      </c>
      <c r="BQ196" s="30">
        <f>IF(BP196="No",10,0)</f>
        <v/>
      </c>
      <c r="BR196" s="30" t="inlineStr">
        <is>
          <t>Yes</t>
        </is>
      </c>
      <c r="BS196" s="30">
        <f>IF(BR196="NO",5,0)</f>
        <v/>
      </c>
      <c r="BT196" s="30" t="inlineStr">
        <is>
          <t>Above 2</t>
        </is>
      </c>
      <c r="BU196" s="30">
        <f>IF(BT196="Above 2",0,IF(BT196="Between 1.5 to 2",5,IF(BT196="Less than 1.5",10,0)))</f>
        <v/>
      </c>
      <c r="BV196" s="30" t="inlineStr">
        <is>
          <t>Above 70%</t>
        </is>
      </c>
      <c r="BW196" s="30">
        <f>IF(BV196="Above 70%",10,IF(BV196="Between 50% to 70%",5,IF(BV196="Less than 50%",0,IF(BV196="Negative",-10,IF(BV196="Less than 50% and Borrowings are increasing",-5,0)))))</f>
        <v/>
      </c>
      <c r="BX196" s="30" t="inlineStr">
        <is>
          <t>Between 0.7 to 1.2</t>
        </is>
      </c>
      <c r="BY196" s="30">
        <f>IF(BX196="More than 1.2",-10,IF(BX196="Between 0.7 to 1.2",0,IF(BX196="Less than 0.7",10,0)))</f>
        <v/>
      </c>
      <c r="BZ196" s="30" t="inlineStr">
        <is>
          <t>No</t>
        </is>
      </c>
      <c r="CA196" s="30">
        <f>IF(BZ196="Yes",-10,0)</f>
        <v/>
      </c>
      <c r="CB196" s="30" t="inlineStr">
        <is>
          <t>Less than 15%</t>
        </is>
      </c>
      <c r="CC196" s="30">
        <f>IF(CB196="More than 15%",-10,IF(CB196="Less than 15%",10,0))</f>
        <v/>
      </c>
      <c r="CD196" s="30" t="inlineStr">
        <is>
          <t>No</t>
        </is>
      </c>
      <c r="CE196" s="30">
        <f>IF(CD196="Yes, more than 10%",-10,IF(CD196="No",10,0))</f>
        <v/>
      </c>
    </row>
    <row r="197">
      <c r="A197" s="30">
        <f>IF(B197=0,"",RANK(B197,$B$2:$B$331,0))</f>
        <v/>
      </c>
      <c r="B197" s="31">
        <f>SUM(N197,Y197,AA197,AC197,AE197,AG197,AI197,AK197,AM197,AO197,AQ197,AS197,AU197,AW197,AY197,BA197,BC197,BE197,BG197,BI197,BK197,BM197,BO197,BQ197,BS197,BU197,BW197,BY197,CA197,CC197,CE197)</f>
        <v/>
      </c>
      <c r="C197" s="30" t="inlineStr">
        <is>
          <t>MMFL</t>
        </is>
      </c>
      <c r="D197" s="30" t="inlineStr">
        <is>
          <t>Mm Forgings Limited</t>
        </is>
      </c>
      <c r="E197" s="30" t="inlineStr">
        <is>
          <t>industrials</t>
        </is>
      </c>
      <c r="F197" s="30" t="inlineStr">
        <is>
          <t>castings &amp; forgings</t>
        </is>
      </c>
      <c r="G197" s="30" t="inlineStr">
        <is>
          <t>smallcap</t>
        </is>
      </c>
      <c r="H197" s="31" t="n">
        <v>2978.73</v>
      </c>
      <c r="I197" s="31" t="n">
        <v>644.1</v>
      </c>
      <c r="J197" s="31" t="n">
        <v>4.4</v>
      </c>
      <c r="K197" s="31" t="n">
        <v>213941</v>
      </c>
      <c r="L197" s="30" t="n">
        <v>72</v>
      </c>
      <c r="M197" s="30" t="inlineStr">
        <is>
          <t>Outperforming</t>
        </is>
      </c>
      <c r="N197" s="31">
        <f>IF(M197="Underperforming",-5,IF(L197&gt;=95,15,IF(L197&gt;=90,10,IF(L197&gt;=80,5,0))))</f>
        <v/>
      </c>
      <c r="O197" s="31" t="n">
        <v>70.62</v>
      </c>
      <c r="P197" s="31" t="n">
        <v>35.94</v>
      </c>
      <c r="Q197" s="31" t="n">
        <v>494.49</v>
      </c>
      <c r="R197" s="30" t="inlineStr">
        <is>
          <t>Near 52W High Breakout</t>
        </is>
      </c>
      <c r="S197" s="30" t="inlineStr">
        <is>
          <t>Nifty 50</t>
        </is>
      </c>
      <c r="T197" s="31" t="n">
        <v>-6.52</v>
      </c>
      <c r="U197" s="31" t="n">
        <v>98.45</v>
      </c>
      <c r="V197" s="31" t="n">
        <v>112.28</v>
      </c>
      <c r="W197" s="31" t="n">
        <v>24.41</v>
      </c>
      <c r="X197" s="30" t="inlineStr">
        <is>
          <t>Cyclical in an Upturn</t>
        </is>
      </c>
      <c r="Y197" s="30">
        <f>IF(X197="Growing Industry",10,IF(X197="Cyclical in an Upturn",5,0))</f>
        <v/>
      </c>
      <c r="Z197" s="30" t="inlineStr">
        <is>
          <t>Too Many Players with High ROCE</t>
        </is>
      </c>
      <c r="AA197" s="30">
        <f>IF(Z197="Monopoly",10,IF(Z197="Oligopoly",5,IF(Z197="Duopoly that cooperate",10,IF(Z197="Duopoly that compete",5,IF(Z197="Too many players with High ROCE",5,0)))))</f>
        <v/>
      </c>
      <c r="AB197" s="30" t="inlineStr">
        <is>
          <t>No</t>
        </is>
      </c>
      <c r="AC197" s="30">
        <f>IF(AB197="No",5,0)</f>
        <v/>
      </c>
      <c r="AD197" s="30" t="inlineStr">
        <is>
          <t>Tailwind</t>
        </is>
      </c>
      <c r="AE197" s="30">
        <f>IF(AD197="Tailwind",10,0)</f>
        <v/>
      </c>
      <c r="AF197" s="30" t="inlineStr">
        <is>
          <t>Structural (10 Years Consistency)</t>
        </is>
      </c>
      <c r="AG197" s="30">
        <f>IF(AF197="Structural (10 Years Consistency)",10,IF(AF197="Shallow Cyclical (2 to 3 years growth)",5,0))</f>
        <v/>
      </c>
      <c r="AH197" s="30" t="inlineStr">
        <is>
          <t>No</t>
        </is>
      </c>
      <c r="AI197" s="30">
        <f>IF(AH197="Yes due to Product Mix change or Operating Leverage",10,IF(AH197="Yes, these are peak margins",-5,IF(AH197="No",5,0)))</f>
        <v/>
      </c>
      <c r="AJ197" s="30" t="inlineStr">
        <is>
          <t>Stable</t>
        </is>
      </c>
      <c r="AK197" s="30">
        <f>IF(AJ197="Stable",10,0)</f>
        <v/>
      </c>
      <c r="AL197" s="30" t="inlineStr">
        <is>
          <t>Yes</t>
        </is>
      </c>
      <c r="AM197" s="30">
        <f>IF(AL197="Yes",10,0)</f>
        <v/>
      </c>
      <c r="AN197" s="30" t="inlineStr">
        <is>
          <t>B2B</t>
        </is>
      </c>
      <c r="AO197" s="30">
        <f>IF(AN197="B2C",10,IF(AN197="B2B",5,0))</f>
        <v/>
      </c>
      <c r="AP197" s="30" t="inlineStr">
        <is>
          <t>Yes</t>
        </is>
      </c>
      <c r="AQ197" s="30">
        <f>IF(AP197="Yes",10,0)</f>
        <v/>
      </c>
      <c r="AR197" s="30" t="inlineStr">
        <is>
          <t>Higher One Time, Lower Annuity</t>
        </is>
      </c>
      <c r="AS197" s="30">
        <f>IF(AR197="Fully Annuity",10,IF(AR197="Higher Annuity, Lower One Time",5,IF(AR197="Higher One Time, Lower Annuity",3,0)))</f>
        <v/>
      </c>
      <c r="AT197" s="30" t="inlineStr">
        <is>
          <t>Good</t>
        </is>
      </c>
      <c r="AU197" s="30">
        <f>IF(AT197="Good",10,0)</f>
        <v/>
      </c>
      <c r="AV197" s="30" t="inlineStr">
        <is>
          <t>Yes for more than 2 years</t>
        </is>
      </c>
      <c r="AW197" s="30">
        <f>IF(AV197="Yes for more than 2 years",10,IF(AV197="Yes only for next 1 to 2 years",5,0))</f>
        <v/>
      </c>
      <c r="AX197" s="30" t="inlineStr">
        <is>
          <t>20 to 40</t>
        </is>
      </c>
      <c r="AY197" s="30">
        <f>IF(AX197="Above 40",20,IF(AX197="20 to 40",10,IF(AX197="0 to 20",-5,0)))</f>
        <v/>
      </c>
      <c r="AZ197" s="30" t="inlineStr">
        <is>
          <t>Between 50 to 75</t>
        </is>
      </c>
      <c r="BA197" s="30">
        <f>IF(AZ197="Between 50 to 75",10,IF(AZ197="Above 75",0,0))</f>
        <v/>
      </c>
      <c r="BB197" s="30" t="inlineStr">
        <is>
          <t>Stage 2</t>
        </is>
      </c>
      <c r="BC197" s="30">
        <f>IF(BB197="Stage 2",20,IF(BB197="Stage 1",0,IF(BB197="Stage 3",5,IF(BB197="Stage 4",-5,0))))</f>
        <v/>
      </c>
      <c r="BD197" s="30" t="inlineStr">
        <is>
          <t>Positive Trend</t>
        </is>
      </c>
      <c r="BE197" s="30">
        <f>IF(BD197="Positive Trend",20,IF(BD197="Negative Trend",-10,0))</f>
        <v/>
      </c>
      <c r="BF197" s="30" t="inlineStr">
        <is>
          <t>Uptrend</t>
        </is>
      </c>
      <c r="BG197" s="30">
        <f>IF(BF197="Uptrend",10,IF(BF197="Sideways",5,0))</f>
        <v/>
      </c>
      <c r="BH197" s="30" t="inlineStr">
        <is>
          <t>Uptrend</t>
        </is>
      </c>
      <c r="BI197" s="30">
        <f>IF(BH197="Uptrend",10,IF(BH197="Sideways",5,0))</f>
        <v/>
      </c>
      <c r="BJ197" s="30" t="inlineStr">
        <is>
          <t>Blue sky scenario</t>
        </is>
      </c>
      <c r="BK197" s="30">
        <f>IF(BJ197="Overhead supply in last 2 years in last 2 years",-5,IF(BJ197="Close to 52 week high or retracement",5,IF(BJ197="Blue sky scenario",10,IF(BJ197="Long term Downtrend",-10,0))))</f>
        <v/>
      </c>
      <c r="BL197" s="30" t="inlineStr">
        <is>
          <t>Yes</t>
        </is>
      </c>
      <c r="BM197" s="30">
        <f>IF(BL197="Yes",10,0)</f>
        <v/>
      </c>
      <c r="BN197" s="30" t="inlineStr">
        <is>
          <t>More than 20%</t>
        </is>
      </c>
      <c r="BO197" s="30">
        <f>IF(BN197="More than 20%",10,IF(BN197="Between 12 to 20%",5,IF(BN197="Less than 12%",0,0)))</f>
        <v/>
      </c>
      <c r="BP197" s="30" t="inlineStr">
        <is>
          <t>No</t>
        </is>
      </c>
      <c r="BQ197" s="30">
        <f>IF(BP197="No",10,0)</f>
        <v/>
      </c>
      <c r="BR197" s="30" t="inlineStr">
        <is>
          <t>No</t>
        </is>
      </c>
      <c r="BS197" s="30">
        <f>IF(BR197="NO",5,0)</f>
        <v/>
      </c>
      <c r="BT197" s="30" t="inlineStr">
        <is>
          <t>Less than 1.5</t>
        </is>
      </c>
      <c r="BU197" s="30">
        <f>IF(BT197="Above 2",0,IF(BT197="Between 1.5 to 2",5,IF(BT197="Less than 1.5",10,0)))</f>
        <v/>
      </c>
      <c r="BV197" s="30" t="inlineStr">
        <is>
          <t>Above 70%</t>
        </is>
      </c>
      <c r="BW197" s="30">
        <f>IF(BV197="Above 70%",10,IF(BV197="Between 50% to 70%",5,IF(BV197="Less than 50%",0,IF(BV197="Negative",-10,IF(BV197="Less than 50% and Borrowings are increasing",-5,0)))))</f>
        <v/>
      </c>
      <c r="BX197" s="30" t="inlineStr">
        <is>
          <t>More than 1.2</t>
        </is>
      </c>
      <c r="BY197" s="30">
        <f>IF(BX197="More than 1.2",-10,IF(BX197="Between 0.7 to 1.2",0,IF(BX197="Less than 0.7",10,0)))</f>
        <v/>
      </c>
      <c r="BZ197" s="30" t="inlineStr">
        <is>
          <t>No</t>
        </is>
      </c>
      <c r="CA197" s="30">
        <f>IF(BZ197="Yes",-10,0)</f>
        <v/>
      </c>
      <c r="CB197" s="30" t="inlineStr">
        <is>
          <t>Less than 15%</t>
        </is>
      </c>
      <c r="CC197" s="30">
        <f>IF(CB197="More than 15%",-10,IF(CB197="Less than 15%",10,0))</f>
        <v/>
      </c>
      <c r="CD197" s="30" t="inlineStr">
        <is>
          <t>No</t>
        </is>
      </c>
      <c r="CE197" s="30">
        <f>IF(CD197="Yes, more than 10%",-10,IF(CD197="No",10,0))</f>
        <v/>
      </c>
    </row>
    <row r="198">
      <c r="A198" s="30">
        <f>IF(B198=0,"",RANK(B198,$B$2:$B$331,0))</f>
        <v/>
      </c>
      <c r="B198" s="31">
        <f>SUM(N198,Y198,AA198,AC198,AE198,AG198,AI198,AK198,AM198,AO198,AQ198,AS198,AU198,AW198,AY198,BA198,BC198,BE198,BG198,BI198,BK198,BM198,BO198,BQ198,BS198,BU198,BW198,BY198,CA198,CC198,CE198)</f>
        <v/>
      </c>
      <c r="C198" s="30" t="inlineStr">
        <is>
          <t>GANESHBE</t>
        </is>
      </c>
      <c r="D198" s="30" t="inlineStr">
        <is>
          <t>Ganesh Benzoplast Ltd</t>
        </is>
      </c>
      <c r="E198" s="30" t="inlineStr">
        <is>
          <t>miscellaneous</t>
        </is>
      </c>
      <c r="F198" s="30" t="inlineStr">
        <is>
          <t>miscellaneous</t>
        </is>
      </c>
      <c r="G198" s="30" t="inlineStr">
        <is>
          <t>smallcap</t>
        </is>
      </c>
      <c r="H198" s="31" t="n">
        <v>922.83</v>
      </c>
      <c r="I198" s="31" t="n">
        <v>133.35</v>
      </c>
      <c r="J198" s="31" t="n">
        <v>4.03</v>
      </c>
      <c r="K198" s="31" t="n">
        <v>311838</v>
      </c>
      <c r="L198" s="30" t="n">
        <v>44</v>
      </c>
      <c r="M198" s="30" t="inlineStr">
        <is>
          <t>Outperforming</t>
        </is>
      </c>
      <c r="N198" s="31">
        <f>IF(M198="Underperforming",-5,IF(L198&gt;=95,15,IF(L198&gt;=90,10,IF(L198&gt;=80,5,0))))</f>
        <v/>
      </c>
      <c r="O198" s="31" t="n">
        <v>71.08</v>
      </c>
      <c r="P198" s="31" t="n">
        <v>32.56</v>
      </c>
      <c r="Q198" s="31" t="n">
        <v>98.89</v>
      </c>
      <c r="R198" s="30" t="inlineStr">
        <is>
          <t>Near 52W High Breakout</t>
        </is>
      </c>
      <c r="S198" s="30" t="inlineStr">
        <is>
          <t>Nifty 50</t>
        </is>
      </c>
      <c r="T198" s="31" t="n">
        <v>-6.52</v>
      </c>
      <c r="U198" s="31" t="n">
        <v>40.31</v>
      </c>
      <c r="V198" s="31" t="n">
        <v>50.09</v>
      </c>
      <c r="W198" s="31" t="n">
        <v>13.26</v>
      </c>
      <c r="X198" s="30" t="inlineStr">
        <is>
          <t>Growing Industry</t>
        </is>
      </c>
      <c r="Y198" s="30">
        <f>IF(X198="Growing Industry",10,IF(X198="Cyclical in an Upturn",5,0))</f>
        <v/>
      </c>
      <c r="Z198" s="30" t="inlineStr">
        <is>
          <t>Too Many Players with High ROCE</t>
        </is>
      </c>
      <c r="AA198" s="30">
        <f>IF(Z198="Monopoly",10,IF(Z198="Oligopoly",5,IF(Z198="Duopoly that cooperate",10,IF(Z198="Duopoly that compete",5,IF(Z198="Too many players with High ROCE",5,0)))))</f>
        <v/>
      </c>
      <c r="AB198" s="30" t="inlineStr">
        <is>
          <t>No</t>
        </is>
      </c>
      <c r="AC198" s="30">
        <f>IF(AB198="No",5,0)</f>
        <v/>
      </c>
      <c r="AD198" s="30" t="inlineStr">
        <is>
          <t>Tailwind</t>
        </is>
      </c>
      <c r="AE198" s="30">
        <f>IF(AD198="Tailwind",10,0)</f>
        <v/>
      </c>
      <c r="AF198" s="30" t="inlineStr">
        <is>
          <t>Structural (10 Years Consistency)</t>
        </is>
      </c>
      <c r="AG198" s="30">
        <f>IF(AF198="Structural (10 Years Consistency)",10,IF(AF198="Shallow Cyclical (2 to 3 years growth)",5,0))</f>
        <v/>
      </c>
      <c r="AH198" s="30" t="inlineStr">
        <is>
          <t>No</t>
        </is>
      </c>
      <c r="AI198" s="30">
        <f>IF(AH198="Yes due to Product Mix change or Operating Leverage",10,IF(AH198="Yes, these are peak margins",-5,IF(AH198="No",5,0)))</f>
        <v/>
      </c>
      <c r="AJ198" s="30" t="inlineStr">
        <is>
          <t>Stable</t>
        </is>
      </c>
      <c r="AK198" s="30">
        <f>IF(AJ198="Stable",10,0)</f>
        <v/>
      </c>
      <c r="AL198" s="30" t="inlineStr">
        <is>
          <t>Yes</t>
        </is>
      </c>
      <c r="AM198" s="30">
        <f>IF(AL198="Yes",10,0)</f>
        <v/>
      </c>
      <c r="AN198" s="30" t="inlineStr">
        <is>
          <t>B2B</t>
        </is>
      </c>
      <c r="AO198" s="30">
        <f>IF(AN198="B2C",10,IF(AN198="B2B",5,0))</f>
        <v/>
      </c>
      <c r="AP198" s="30" t="inlineStr">
        <is>
          <t>Yes</t>
        </is>
      </c>
      <c r="AQ198" s="30">
        <f>IF(AP198="Yes",10,0)</f>
        <v/>
      </c>
      <c r="AR198" s="30" t="inlineStr">
        <is>
          <t>Higher One Time, Lower Annuity</t>
        </is>
      </c>
      <c r="AS198" s="30">
        <f>IF(AR198="Fully Annuity",10,IF(AR198="Higher Annuity, Lower One Time",5,IF(AR198="Higher One Time, Lower Annuity",3,0)))</f>
        <v/>
      </c>
      <c r="AT198" s="30" t="inlineStr">
        <is>
          <t>Good</t>
        </is>
      </c>
      <c r="AU198" s="30">
        <f>IF(AT198="Good",10,0)</f>
        <v/>
      </c>
      <c r="AV198" s="30" t="inlineStr">
        <is>
          <t>Yes for more than 2 years</t>
        </is>
      </c>
      <c r="AW198" s="30">
        <f>IF(AV198="Yes for more than 2 years",10,IF(AV198="Yes only for next 1 to 2 years",5,0))</f>
        <v/>
      </c>
      <c r="AX198" s="30" t="inlineStr">
        <is>
          <t>20 to 40</t>
        </is>
      </c>
      <c r="AY198" s="30">
        <f>IF(AX198="Above 40",20,IF(AX198="20 to 40",10,IF(AX198="0 to 20",-5,0)))</f>
        <v/>
      </c>
      <c r="AZ198" s="30" t="inlineStr">
        <is>
          <t>Between 50 to 75</t>
        </is>
      </c>
      <c r="BA198" s="30">
        <f>IF(AZ198="Between 50 to 75",10,IF(AZ198="Above 75",0,0))</f>
        <v/>
      </c>
      <c r="BB198" s="30" t="inlineStr">
        <is>
          <t>Stage 2</t>
        </is>
      </c>
      <c r="BC198" s="30">
        <f>IF(BB198="Stage 2",20,IF(BB198="Stage 1",0,IF(BB198="Stage 3",5,IF(BB198="Stage 4",-5,0))))</f>
        <v/>
      </c>
      <c r="BD198" s="30" t="inlineStr">
        <is>
          <t>Positive Trend</t>
        </is>
      </c>
      <c r="BE198" s="30">
        <f>IF(BD198="Positive Trend",20,IF(BD198="Negative Trend",-10,0))</f>
        <v/>
      </c>
      <c r="BF198" s="30" t="inlineStr">
        <is>
          <t>Uptrend</t>
        </is>
      </c>
      <c r="BG198" s="30">
        <f>IF(BF198="Uptrend",10,IF(BF198="Sideways",5,0))</f>
        <v/>
      </c>
      <c r="BH198" s="30" t="inlineStr">
        <is>
          <t>Uptrend</t>
        </is>
      </c>
      <c r="BI198" s="30">
        <f>IF(BH198="Uptrend",10,IF(BH198="Sideways",5,0))</f>
        <v/>
      </c>
      <c r="BJ198" s="30" t="inlineStr">
        <is>
          <t>Close to 52 week high or retracement</t>
        </is>
      </c>
      <c r="BK198" s="30">
        <f>IF(BJ198="Overhead supply in last 2 years in last 2 years",-5,IF(BJ198="Close to 52 week high or retracement",5,IF(BJ198="Blue sky scenario",10,IF(BJ198="Long term Downtrend",-10,0))))</f>
        <v/>
      </c>
      <c r="BL198" s="30" t="inlineStr">
        <is>
          <t>Yes</t>
        </is>
      </c>
      <c r="BM198" s="30">
        <f>IF(BL198="Yes",10,0)</f>
        <v/>
      </c>
      <c r="BN198" s="30" t="inlineStr">
        <is>
          <t>Less than 12%</t>
        </is>
      </c>
      <c r="BO198" s="30">
        <f>IF(BN198="More than 20%",10,IF(BN198="Between 12 to 20%",5,IF(BN198="Less than 12%",0,0)))</f>
        <v/>
      </c>
      <c r="BP198" s="30" t="inlineStr">
        <is>
          <t>No</t>
        </is>
      </c>
      <c r="BQ198" s="30">
        <f>IF(BP198="No",10,0)</f>
        <v/>
      </c>
      <c r="BR198" s="30" t="inlineStr">
        <is>
          <t>No</t>
        </is>
      </c>
      <c r="BS198" s="30">
        <f>IF(BR198="NO",5,0)</f>
        <v/>
      </c>
      <c r="BT198" s="30" t="inlineStr">
        <is>
          <t>Above 2</t>
        </is>
      </c>
      <c r="BU198" s="30">
        <f>IF(BT198="Above 2",0,IF(BT198="Between 1.5 to 2",5,IF(BT198="Less than 1.5",10,0)))</f>
        <v/>
      </c>
      <c r="BV198" s="30" t="inlineStr">
        <is>
          <t>Above 70%</t>
        </is>
      </c>
      <c r="BW198" s="30">
        <f>IF(BV198="Above 70%",10,IF(BV198="Between 50% to 70%",5,IF(BV198="Less than 50%",0,IF(BV198="Negative",-10,IF(BV198="Less than 50% and Borrowings are increasing",-5,0)))))</f>
        <v/>
      </c>
      <c r="BX198" s="30" t="inlineStr">
        <is>
          <t>Less than 0.7</t>
        </is>
      </c>
      <c r="BY198" s="30">
        <f>IF(BX198="More than 1.2",-10,IF(BX198="Between 0.7 to 1.2",0,IF(BX198="Less than 0.7",10,0)))</f>
        <v/>
      </c>
      <c r="BZ198" s="30" t="inlineStr">
        <is>
          <t>No</t>
        </is>
      </c>
      <c r="CA198" s="30">
        <f>IF(BZ198="Yes",-10,0)</f>
        <v/>
      </c>
      <c r="CB198" s="30" t="inlineStr">
        <is>
          <t>Less than 15%</t>
        </is>
      </c>
      <c r="CC198" s="30">
        <f>IF(CB198="More than 15%",-10,IF(CB198="Less than 15%",10,0))</f>
        <v/>
      </c>
      <c r="CD198" s="30" t="inlineStr">
        <is>
          <t>No</t>
        </is>
      </c>
      <c r="CE198" s="30">
        <f>IF(CD198="Yes, more than 10%",-10,IF(CD198="No",10,0))</f>
        <v/>
      </c>
    </row>
    <row r="199">
      <c r="A199" s="30">
        <f>IF(B199=0,"",RANK(B199,$B$2:$B$331,0))</f>
        <v/>
      </c>
      <c r="B199" s="31">
        <f>SUM(N199,Y199,AA199,AC199,AE199,AG199,AI199,AK199,AM199,AO199,AQ199,AS199,AU199,AW199,AY199,BA199,BC199,BE199,BG199,BI199,BK199,BM199,BO199,BQ199,BS199,BU199,BW199,BY199,CA199,CC199,CE199)</f>
        <v/>
      </c>
      <c r="C199" s="30" t="inlineStr">
        <is>
          <t>FOSECOIND</t>
        </is>
      </c>
      <c r="D199" s="30" t="inlineStr">
        <is>
          <t>Foseco India Limited</t>
        </is>
      </c>
      <c r="E199" s="30" t="inlineStr">
        <is>
          <t>chemicals</t>
        </is>
      </c>
      <c r="F199" s="30" t="inlineStr">
        <is>
          <t>chemicals</t>
        </is>
      </c>
      <c r="G199" s="30" t="inlineStr">
        <is>
          <t>smallcap</t>
        </is>
      </c>
      <c r="H199" s="31" t="n">
        <v>4582.65</v>
      </c>
      <c r="I199" s="31" t="n">
        <v>6194</v>
      </c>
      <c r="J199" s="31" t="n">
        <v>1.88</v>
      </c>
      <c r="K199" s="31" t="n">
        <v>10101</v>
      </c>
      <c r="L199" s="30" t="n">
        <v>20</v>
      </c>
      <c r="M199" s="30" t="inlineStr">
        <is>
          <t>Outperforming</t>
        </is>
      </c>
      <c r="N199" s="31">
        <f>IF(M199="Underperforming",-5,IF(L199&gt;=95,15,IF(L199&gt;=90,10,IF(L199&gt;=80,5,0))))</f>
        <v/>
      </c>
      <c r="O199" s="31" t="n">
        <v>66.26000000000001</v>
      </c>
      <c r="P199" s="31" t="n">
        <v>26.6</v>
      </c>
      <c r="Q199" s="31" t="n">
        <v>5006.95</v>
      </c>
      <c r="R199" s="30" t="inlineStr">
        <is>
          <t>Near 52W High Breakout</t>
        </is>
      </c>
      <c r="S199" s="30" t="inlineStr">
        <is>
          <t>Nifty IT</t>
        </is>
      </c>
      <c r="T199" s="31" t="n">
        <v>-19.99</v>
      </c>
      <c r="U199" s="31" t="n">
        <v>1.86</v>
      </c>
      <c r="V199" s="31" t="n">
        <v>27.31</v>
      </c>
      <c r="W199" s="31" t="n">
        <v>6.39</v>
      </c>
      <c r="X199" s="30" t="inlineStr">
        <is>
          <t>Growing Industry</t>
        </is>
      </c>
      <c r="Y199" s="30">
        <f>IF(X199="Growing Industry",10,IF(X199="Cyclical in an Upturn",5,0))</f>
        <v/>
      </c>
      <c r="Z199" s="30" t="inlineStr">
        <is>
          <t>Too Many Players with High ROCE</t>
        </is>
      </c>
      <c r="AA199" s="30">
        <f>IF(Z199="Monopoly",10,IF(Z199="Oligopoly",5,IF(Z199="Duopoly that cooperate",10,IF(Z199="Duopoly that compete",5,IF(Z199="Too many players with High ROCE",5,0)))))</f>
        <v/>
      </c>
      <c r="AB199" s="30" t="inlineStr">
        <is>
          <t>No</t>
        </is>
      </c>
      <c r="AC199" s="30">
        <f>IF(AB199="No",5,0)</f>
        <v/>
      </c>
      <c r="AD199" s="30" t="inlineStr">
        <is>
          <t>Tailwind</t>
        </is>
      </c>
      <c r="AE199" s="30">
        <f>IF(AD199="Tailwind",10,0)</f>
        <v/>
      </c>
      <c r="AF199" s="30" t="inlineStr">
        <is>
          <t>Structural (10 Years Consistency)</t>
        </is>
      </c>
      <c r="AG199" s="30">
        <f>IF(AF199="Structural (10 Years Consistency)",10,IF(AF199="Shallow Cyclical (2 to 3 years growth)",5,0))</f>
        <v/>
      </c>
      <c r="AH199" s="30" t="inlineStr">
        <is>
          <t>No</t>
        </is>
      </c>
      <c r="AI199" s="30">
        <f>IF(AH199="Yes due to Product Mix change or Operating Leverage",10,IF(AH199="Yes, these are peak margins",-5,IF(AH199="No",5,0)))</f>
        <v/>
      </c>
      <c r="AJ199" s="30" t="inlineStr">
        <is>
          <t>Stable</t>
        </is>
      </c>
      <c r="AK199" s="30">
        <f>IF(AJ199="Stable",10,0)</f>
        <v/>
      </c>
      <c r="AL199" s="30" t="inlineStr">
        <is>
          <t>Yes</t>
        </is>
      </c>
      <c r="AM199" s="30">
        <f>IF(AL199="Yes",10,0)</f>
        <v/>
      </c>
      <c r="AN199" s="30" t="inlineStr">
        <is>
          <t>B2B</t>
        </is>
      </c>
      <c r="AO199" s="30">
        <f>IF(AN199="B2C",10,IF(AN199="B2B",5,0))</f>
        <v/>
      </c>
      <c r="AP199" s="30" t="inlineStr">
        <is>
          <t>Yes</t>
        </is>
      </c>
      <c r="AQ199" s="30">
        <f>IF(AP199="Yes",10,0)</f>
        <v/>
      </c>
      <c r="AR199" s="30" t="inlineStr">
        <is>
          <t>Higher One Time, Lower Annuity</t>
        </is>
      </c>
      <c r="AS199" s="30">
        <f>IF(AR199="Fully Annuity",10,IF(AR199="Higher Annuity, Lower One Time",5,IF(AR199="Higher One Time, Lower Annuity",3,0)))</f>
        <v/>
      </c>
      <c r="AT199" s="30" t="inlineStr">
        <is>
          <t>Good</t>
        </is>
      </c>
      <c r="AU199" s="30">
        <f>IF(AT199="Good",10,0)</f>
        <v/>
      </c>
      <c r="AV199" s="30" t="inlineStr">
        <is>
          <t>Yes for more than 2 years</t>
        </is>
      </c>
      <c r="AW199" s="30">
        <f>IF(AV199="Yes for more than 2 years",10,IF(AV199="Yes only for next 1 to 2 years",5,0))</f>
        <v/>
      </c>
      <c r="AX199" s="30" t="inlineStr">
        <is>
          <t>20 to 40</t>
        </is>
      </c>
      <c r="AY199" s="30">
        <f>IF(AX199="Above 40",20,IF(AX199="20 to 40",10,IF(AX199="0 to 20",-5,0)))</f>
        <v/>
      </c>
      <c r="AZ199" s="30" t="inlineStr">
        <is>
          <t>Between 50 to 75</t>
        </is>
      </c>
      <c r="BA199" s="30">
        <f>IF(AZ199="Between 50 to 75",10,IF(AZ199="Above 75",0,0))</f>
        <v/>
      </c>
      <c r="BB199" s="30" t="inlineStr">
        <is>
          <t>Stage 2</t>
        </is>
      </c>
      <c r="BC199" s="30">
        <f>IF(BB199="Stage 2",20,IF(BB199="Stage 1",0,IF(BB199="Stage 3",5,IF(BB199="Stage 4",-5,0))))</f>
        <v/>
      </c>
      <c r="BD199" s="30" t="inlineStr">
        <is>
          <t>Positive Trend</t>
        </is>
      </c>
      <c r="BE199" s="30">
        <f>IF(BD199="Positive Trend",20,IF(BD199="Negative Trend",-10,0))</f>
        <v/>
      </c>
      <c r="BF199" s="30" t="inlineStr">
        <is>
          <t>Uptrend</t>
        </is>
      </c>
      <c r="BG199" s="30">
        <f>IF(BF199="Uptrend",10,IF(BF199="Sideways",5,0))</f>
        <v/>
      </c>
      <c r="BH199" s="30" t="inlineStr">
        <is>
          <t>Uptrend</t>
        </is>
      </c>
      <c r="BI199" s="30">
        <f>IF(BH199="Uptrend",10,IF(BH199="Sideways",5,0))</f>
        <v/>
      </c>
      <c r="BJ199" s="30" t="inlineStr">
        <is>
          <t>Blue sky scenario</t>
        </is>
      </c>
      <c r="BK199" s="30">
        <f>IF(BJ199="Overhead supply in last 2 years in last 2 years",-5,IF(BJ199="Close to 52 week high or retracement",5,IF(BJ199="Blue sky scenario",10,IF(BJ199="Long term Downtrend",-10,0))))</f>
        <v/>
      </c>
      <c r="BL199" s="30" t="inlineStr">
        <is>
          <t>Yes</t>
        </is>
      </c>
      <c r="BM199" s="30">
        <f>IF(BL199="Yes",10,0)</f>
        <v/>
      </c>
      <c r="BN199" s="30" t="inlineStr">
        <is>
          <t>Less than 12%</t>
        </is>
      </c>
      <c r="BO199" s="30">
        <f>IF(BN199="More than 20%",10,IF(BN199="Between 12 to 20%",5,IF(BN199="Less than 12%",0,0)))</f>
        <v/>
      </c>
      <c r="BP199" s="30" t="inlineStr">
        <is>
          <t>No</t>
        </is>
      </c>
      <c r="BQ199" s="30">
        <f>IF(BP199="No",10,0)</f>
        <v/>
      </c>
      <c r="BR199" s="30" t="inlineStr">
        <is>
          <t>Yes</t>
        </is>
      </c>
      <c r="BS199" s="30">
        <f>IF(BR199="NO",5,0)</f>
        <v/>
      </c>
      <c r="BT199" s="30" t="inlineStr">
        <is>
          <t>Above 2</t>
        </is>
      </c>
      <c r="BU199" s="30">
        <f>IF(BT199="Above 2",0,IF(BT199="Between 1.5 to 2",5,IF(BT199="Less than 1.5",10,0)))</f>
        <v/>
      </c>
      <c r="BV199" s="30" t="inlineStr">
        <is>
          <t>Above 70%</t>
        </is>
      </c>
      <c r="BW199" s="30">
        <f>IF(BV199="Above 70%",10,IF(BV199="Between 50% to 70%",5,IF(BV199="Less than 50%",0,IF(BV199="Negative",-10,IF(BV199="Less than 50% and Borrowings are increasing",-5,0)))))</f>
        <v/>
      </c>
      <c r="BX199" s="30" t="inlineStr">
        <is>
          <t>Less than 0.7</t>
        </is>
      </c>
      <c r="BY199" s="30">
        <f>IF(BX199="More than 1.2",-10,IF(BX199="Between 0.7 to 1.2",0,IF(BX199="Less than 0.7",10,0)))</f>
        <v/>
      </c>
      <c r="BZ199" s="30" t="inlineStr">
        <is>
          <t>No</t>
        </is>
      </c>
      <c r="CA199" s="30">
        <f>IF(BZ199="Yes",-10,0)</f>
        <v/>
      </c>
      <c r="CB199" s="30" t="inlineStr">
        <is>
          <t>Less than 15%</t>
        </is>
      </c>
      <c r="CC199" s="30">
        <f>IF(CB199="More than 15%",-10,IF(CB199="Less than 15%",10,0))</f>
        <v/>
      </c>
      <c r="CD199" s="30" t="inlineStr">
        <is>
          <t>No</t>
        </is>
      </c>
      <c r="CE199" s="30">
        <f>IF(CD199="Yes, more than 10%",-10,IF(CD199="No",10,0))</f>
        <v/>
      </c>
    </row>
    <row r="200">
      <c r="A200" s="30">
        <f>IF(B200=0,"",RANK(B200,$B$2:$B$331,0))</f>
        <v/>
      </c>
      <c r="B200" s="31">
        <f>SUM(N200,Y200,AA200,AC200,AE200,AG200,AI200,AK200,AM200,AO200,AQ200,AS200,AU200,AW200,AY200,BA200,BC200,BE200,BG200,BI200,BK200,BM200,BO200,BQ200,BS200,BU200,BW200,BY200,CA200,CC200,CE200)</f>
        <v/>
      </c>
      <c r="C200" s="30" t="inlineStr">
        <is>
          <t>CHENNPETRO</t>
        </is>
      </c>
      <c r="D200" s="30" t="inlineStr">
        <is>
          <t>Chennai Petroleum Corporation Limited</t>
        </is>
      </c>
      <c r="E200" s="30" t="inlineStr">
        <is>
          <t>energy</t>
        </is>
      </c>
      <c r="F200" s="30" t="inlineStr">
        <is>
          <t>refineries</t>
        </is>
      </c>
      <c r="G200" s="30" t="inlineStr">
        <is>
          <t>largecap</t>
        </is>
      </c>
      <c r="H200" s="31" t="n">
        <v>23891.35</v>
      </c>
      <c r="I200" s="31" t="n">
        <v>1626.4</v>
      </c>
      <c r="J200" s="31" t="n">
        <v>1.37</v>
      </c>
      <c r="K200" s="31" t="n">
        <v>3754568</v>
      </c>
      <c r="L200" s="30" t="n">
        <v>86</v>
      </c>
      <c r="M200" s="30" t="inlineStr">
        <is>
          <t>Outperforming</t>
        </is>
      </c>
      <c r="N200" s="31">
        <f>IF(M200="Underperforming",-5,IF(L200&gt;=95,15,IF(L200&gt;=90,10,IF(L200&gt;=80,5,0))))</f>
        <v/>
      </c>
      <c r="O200" s="31" t="n">
        <v>79.43000000000001</v>
      </c>
      <c r="P200" s="31" t="n">
        <v>58.38</v>
      </c>
      <c r="Q200" s="31" t="n">
        <v>1228.7</v>
      </c>
      <c r="R200" s="30" t="inlineStr">
        <is>
          <t>Near 52W High Breakout</t>
        </is>
      </c>
      <c r="S200" s="30" t="inlineStr">
        <is>
          <t>Nifty Energy</t>
        </is>
      </c>
      <c r="T200" s="31" t="n">
        <v>8.43</v>
      </c>
      <c r="U200" s="31" t="n">
        <v>150.64</v>
      </c>
      <c r="V200" s="31" t="n">
        <v>131.15</v>
      </c>
      <c r="W200" s="31" t="n">
        <v>34.81</v>
      </c>
      <c r="X200" s="30" t="inlineStr">
        <is>
          <t>Cyclical in an Upturn</t>
        </is>
      </c>
      <c r="Y200" s="30">
        <f>IF(X200="Growing Industry",10,IF(X200="Cyclical in an Upturn",5,0))</f>
        <v/>
      </c>
      <c r="Z200" s="30" t="inlineStr">
        <is>
          <t>Oligopoly</t>
        </is>
      </c>
      <c r="AA200" s="30">
        <f>IF(Z200="Monopoly",10,IF(Z200="Oligopoly",5,IF(Z200="Duopoly that cooperate",10,IF(Z200="Duopoly that compete",5,IF(Z200="Too many players with High ROCE",5,0)))))</f>
        <v/>
      </c>
      <c r="AB200" s="30" t="inlineStr">
        <is>
          <t>Yes</t>
        </is>
      </c>
      <c r="AC200" s="30">
        <f>IF(AB200="No",5,0)</f>
        <v/>
      </c>
      <c r="AD200" s="30" t="inlineStr">
        <is>
          <t>Tailwind</t>
        </is>
      </c>
      <c r="AE200" s="30">
        <f>IF(AD200="Tailwind",10,0)</f>
        <v/>
      </c>
      <c r="AF200" s="30" t="inlineStr">
        <is>
          <t>Cyclical</t>
        </is>
      </c>
      <c r="AG200" s="30">
        <f>IF(AF200="Structural (10 Years Consistency)",10,IF(AF200="Shallow Cyclical (2 to 3 years growth)",5,0))</f>
        <v/>
      </c>
      <c r="AH200" s="30" t="inlineStr">
        <is>
          <t>No</t>
        </is>
      </c>
      <c r="AI200" s="30">
        <f>IF(AH200="Yes due to Product Mix change or Operating Leverage",10,IF(AH200="Yes, these are peak margins",-5,IF(AH200="No",5,0)))</f>
        <v/>
      </c>
      <c r="AJ200" s="30" t="inlineStr">
        <is>
          <t>Volatile</t>
        </is>
      </c>
      <c r="AK200" s="30">
        <f>IF(AJ200="Stable",10,0)</f>
        <v/>
      </c>
      <c r="AL200" s="30" t="inlineStr">
        <is>
          <t>Yes</t>
        </is>
      </c>
      <c r="AM200" s="30">
        <f>IF(AL200="Yes",10,0)</f>
        <v/>
      </c>
      <c r="AN200" s="30" t="inlineStr">
        <is>
          <t>B2B</t>
        </is>
      </c>
      <c r="AO200" s="30">
        <f>IF(AN200="B2C",10,IF(AN200="B2B",5,0))</f>
        <v/>
      </c>
      <c r="AP200" s="30" t="inlineStr">
        <is>
          <t>Yes</t>
        </is>
      </c>
      <c r="AQ200" s="30">
        <f>IF(AP200="Yes",10,0)</f>
        <v/>
      </c>
      <c r="AR200" s="30" t="inlineStr">
        <is>
          <t>Higher One Time, Lower Annuity</t>
        </is>
      </c>
      <c r="AS200" s="30">
        <f>IF(AR200="Fully Annuity",10,IF(AR200="Higher Annuity, Lower One Time",5,IF(AR200="Higher One Time, Lower Annuity",3,0)))</f>
        <v/>
      </c>
      <c r="AT200" s="30" t="inlineStr">
        <is>
          <t>Good</t>
        </is>
      </c>
      <c r="AU200" s="30">
        <f>IF(AT200="Good",10,0)</f>
        <v/>
      </c>
      <c r="AV200" s="30" t="inlineStr">
        <is>
          <t>Yes for more than 2 years</t>
        </is>
      </c>
      <c r="AW200" s="30">
        <f>IF(AV200="Yes for more than 2 years",10,IF(AV200="Yes only for next 1 to 2 years",5,0))</f>
        <v/>
      </c>
      <c r="AX200" s="30" t="inlineStr">
        <is>
          <t>Above 40</t>
        </is>
      </c>
      <c r="AY200" s="30">
        <f>IF(AX200="Above 40",20,IF(AX200="20 to 40",10,IF(AX200="0 to 20",-5,0)))</f>
        <v/>
      </c>
      <c r="AZ200" s="30" t="inlineStr">
        <is>
          <t>Above 75</t>
        </is>
      </c>
      <c r="BA200" s="30">
        <f>IF(AZ200="Between 50 to 75",10,IF(AZ200="Above 75",0,0))</f>
        <v/>
      </c>
      <c r="BB200" s="30" t="inlineStr">
        <is>
          <t>Stage 2</t>
        </is>
      </c>
      <c r="BC200" s="30">
        <f>IF(BB200="Stage 2",20,IF(BB200="Stage 1",0,IF(BB200="Stage 3",5,IF(BB200="Stage 4",-5,0))))</f>
        <v/>
      </c>
      <c r="BD200" s="30" t="inlineStr">
        <is>
          <t>Positive Trend</t>
        </is>
      </c>
      <c r="BE200" s="30">
        <f>IF(BD200="Positive Trend",20,IF(BD200="Negative Trend",-10,0))</f>
        <v/>
      </c>
      <c r="BF200" s="30" t="inlineStr">
        <is>
          <t>Uptrend</t>
        </is>
      </c>
      <c r="BG200" s="30">
        <f>IF(BF200="Uptrend",10,IF(BF200="Sideways",5,0))</f>
        <v/>
      </c>
      <c r="BH200" s="30" t="inlineStr">
        <is>
          <t>Uptrend</t>
        </is>
      </c>
      <c r="BI200" s="30">
        <f>IF(BH200="Uptrend",10,IF(BH200="Sideways",5,0))</f>
        <v/>
      </c>
      <c r="BJ200" s="30" t="inlineStr">
        <is>
          <t>Blue sky scenario</t>
        </is>
      </c>
      <c r="BK200" s="30">
        <f>IF(BJ200="Overhead supply in last 2 years in last 2 years",-5,IF(BJ200="Close to 52 week high or retracement",5,IF(BJ200="Blue sky scenario",10,IF(BJ200="Long term Downtrend",-10,0))))</f>
        <v/>
      </c>
      <c r="BL200" s="30" t="inlineStr">
        <is>
          <t>Yes</t>
        </is>
      </c>
      <c r="BM200" s="30">
        <f>IF(BL200="Yes",10,0)</f>
        <v/>
      </c>
      <c r="BN200" s="30" t="inlineStr">
        <is>
          <t>More than 20%</t>
        </is>
      </c>
      <c r="BO200" s="30">
        <f>IF(BN200="More than 20%",10,IF(BN200="Between 12 to 20%",5,IF(BN200="Less than 12%",0,0)))</f>
        <v/>
      </c>
      <c r="BP200" s="30" t="inlineStr">
        <is>
          <t>No</t>
        </is>
      </c>
      <c r="BQ200" s="30">
        <f>IF(BP200="No",10,0)</f>
        <v/>
      </c>
      <c r="BR200" s="30" t="inlineStr">
        <is>
          <t>No</t>
        </is>
      </c>
      <c r="BS200" s="30">
        <f>IF(BR200="NO",5,0)</f>
        <v/>
      </c>
      <c r="BT200" s="30" t="inlineStr">
        <is>
          <t>Less than 1.5</t>
        </is>
      </c>
      <c r="BU200" s="30">
        <f>IF(BT200="Above 2",0,IF(BT200="Between 1.5 to 2",5,IF(BT200="Less than 1.5",10,0)))</f>
        <v/>
      </c>
      <c r="BV200" s="30" t="inlineStr">
        <is>
          <t>Above 70%</t>
        </is>
      </c>
      <c r="BW200" s="30">
        <f>IF(BV200="Above 70%",10,IF(BV200="Between 50% to 70%",5,IF(BV200="Less than 50%",0,IF(BV200="Negative",-10,IF(BV200="Less than 50% and Borrowings are increasing",-5,0)))))</f>
        <v/>
      </c>
      <c r="BX200" s="30" t="inlineStr">
        <is>
          <t>Less than 0.7</t>
        </is>
      </c>
      <c r="BY200" s="30">
        <f>IF(BX200="More than 1.2",-10,IF(BX200="Between 0.7 to 1.2",0,IF(BX200="Less than 0.7",10,0)))</f>
        <v/>
      </c>
      <c r="BZ200" s="30" t="inlineStr">
        <is>
          <t>No</t>
        </is>
      </c>
      <c r="CA200" s="30">
        <f>IF(BZ200="Yes",-10,0)</f>
        <v/>
      </c>
      <c r="CB200" s="30" t="inlineStr">
        <is>
          <t>Less than 15%</t>
        </is>
      </c>
      <c r="CC200" s="30">
        <f>IF(CB200="More than 15%",-10,IF(CB200="Less than 15%",10,0))</f>
        <v/>
      </c>
      <c r="CD200" s="30" t="inlineStr">
        <is>
          <t>No</t>
        </is>
      </c>
      <c r="CE200" s="30">
        <f>IF(CD200="Yes, more than 10%",-10,IF(CD200="No",10,0))</f>
        <v/>
      </c>
    </row>
    <row r="201">
      <c r="A201" s="30">
        <f>IF(B201=0,"",RANK(B201,$B$2:$B$331,0))</f>
        <v/>
      </c>
      <c r="B201" s="31">
        <f>SUM(N201,Y201,AA201,AC201,AE201,AG201,AI201,AK201,AM201,AO201,AQ201,AS201,AU201,AW201,AY201,BA201,BC201,BE201,BG201,BI201,BK201,BM201,BO201,BQ201,BS201,BU201,BW201,BY201,CA201,CC201,CE201)</f>
        <v/>
      </c>
      <c r="C201" s="30" t="inlineStr">
        <is>
          <t>CRAFTSMAN</t>
        </is>
      </c>
      <c r="D201" s="30" t="inlineStr">
        <is>
          <t>Craftsman Automation Ltd</t>
        </is>
      </c>
      <c r="E201" s="30" t="inlineStr">
        <is>
          <t>auto</t>
        </is>
      </c>
      <c r="F201" s="30" t="inlineStr">
        <is>
          <t>auto ancillaries</t>
        </is>
      </c>
      <c r="G201" s="30" t="inlineStr">
        <is>
          <t>largecap</t>
        </is>
      </c>
      <c r="H201" s="31" t="n">
        <v>30877.92</v>
      </c>
      <c r="I201" s="31" t="n">
        <v>11851</v>
      </c>
      <c r="J201" s="31" t="n">
        <v>0.38</v>
      </c>
      <c r="K201" s="31" t="n">
        <v>71337</v>
      </c>
      <c r="L201" s="30" t="n">
        <v>76</v>
      </c>
      <c r="M201" s="30" t="inlineStr">
        <is>
          <t>Outperforming</t>
        </is>
      </c>
      <c r="N201" s="31">
        <f>IF(M201="Underperforming",-5,IF(L201&gt;=95,15,IF(L201&gt;=90,10,IF(L201&gt;=80,5,0))))</f>
        <v/>
      </c>
      <c r="O201" s="31" t="n">
        <v>76.77</v>
      </c>
      <c r="P201" s="31" t="n">
        <v>67.25</v>
      </c>
      <c r="Q201" s="31" t="n">
        <v>9807.299999999999</v>
      </c>
      <c r="R201" s="30" t="inlineStr">
        <is>
          <t>Near 52W High Breakout</t>
        </is>
      </c>
      <c r="S201" s="30" t="inlineStr">
        <is>
          <t>Nifty Auto</t>
        </is>
      </c>
      <c r="T201" s="31" t="n">
        <v>15.81</v>
      </c>
      <c r="U201" s="31" t="n">
        <v>89.05</v>
      </c>
      <c r="V201" s="31" t="n">
        <v>63.24</v>
      </c>
      <c r="W201" s="31" t="n">
        <v>26.59</v>
      </c>
      <c r="X201" s="30" t="inlineStr">
        <is>
          <t>Growing Industry</t>
        </is>
      </c>
      <c r="Y201" s="30">
        <f>IF(X201="Growing Industry",10,IF(X201="Cyclical in an Upturn",5,0))</f>
        <v/>
      </c>
      <c r="Z201" s="30" t="inlineStr">
        <is>
          <t>Too Many Players with High ROCE</t>
        </is>
      </c>
      <c r="AA201" s="30">
        <f>IF(Z201="Monopoly",10,IF(Z201="Oligopoly",5,IF(Z201="Duopoly that cooperate",10,IF(Z201="Duopoly that compete",5,IF(Z201="Too many players with High ROCE",5,0)))))</f>
        <v/>
      </c>
      <c r="AB201" s="30" t="inlineStr">
        <is>
          <t>No</t>
        </is>
      </c>
      <c r="AC201" s="30">
        <f>IF(AB201="No",5,0)</f>
        <v/>
      </c>
      <c r="AD201" s="30" t="inlineStr">
        <is>
          <t>Tailwind</t>
        </is>
      </c>
      <c r="AE201" s="30">
        <f>IF(AD201="Tailwind",10,0)</f>
        <v/>
      </c>
      <c r="AF201" s="30" t="inlineStr">
        <is>
          <t>Structural (10 Years Consistency)</t>
        </is>
      </c>
      <c r="AG201" s="30">
        <f>IF(AF201="Structural (10 Years Consistency)",10,IF(AF201="Shallow Cyclical (2 to 3 years growth)",5,0))</f>
        <v/>
      </c>
      <c r="AH201" s="30" t="inlineStr">
        <is>
          <t>No</t>
        </is>
      </c>
      <c r="AI201" s="30">
        <f>IF(AH201="Yes due to Product Mix change or Operating Leverage",10,IF(AH201="Yes, these are peak margins",-5,IF(AH201="No",5,0)))</f>
        <v/>
      </c>
      <c r="AJ201" s="30" t="inlineStr">
        <is>
          <t>Stable</t>
        </is>
      </c>
      <c r="AK201" s="30">
        <f>IF(AJ201="Stable",10,0)</f>
        <v/>
      </c>
      <c r="AL201" s="30" t="inlineStr">
        <is>
          <t>Yes</t>
        </is>
      </c>
      <c r="AM201" s="30">
        <f>IF(AL201="Yes",10,0)</f>
        <v/>
      </c>
      <c r="AN201" s="30" t="inlineStr">
        <is>
          <t>B2B</t>
        </is>
      </c>
      <c r="AO201" s="30">
        <f>IF(AN201="B2C",10,IF(AN201="B2B",5,0))</f>
        <v/>
      </c>
      <c r="AP201" s="30" t="inlineStr">
        <is>
          <t>Yes</t>
        </is>
      </c>
      <c r="AQ201" s="30">
        <f>IF(AP201="Yes",10,0)</f>
        <v/>
      </c>
      <c r="AR201" s="30" t="inlineStr">
        <is>
          <t>Higher One Time, Lower Annuity</t>
        </is>
      </c>
      <c r="AS201" s="30">
        <f>IF(AR201="Fully Annuity",10,IF(AR201="Higher Annuity, Lower One Time",5,IF(AR201="Higher One Time, Lower Annuity",3,0)))</f>
        <v/>
      </c>
      <c r="AT201" s="30" t="inlineStr">
        <is>
          <t>Good</t>
        </is>
      </c>
      <c r="AU201" s="30">
        <f>IF(AT201="Good",10,0)</f>
        <v/>
      </c>
      <c r="AV201" s="30" t="inlineStr">
        <is>
          <t>Yes for more than 2 years</t>
        </is>
      </c>
      <c r="AW201" s="30">
        <f>IF(AV201="Yes for more than 2 years",10,IF(AV201="Yes only for next 1 to 2 years",5,0))</f>
        <v/>
      </c>
      <c r="AX201" s="30" t="inlineStr">
        <is>
          <t>Above 40</t>
        </is>
      </c>
      <c r="AY201" s="30">
        <f>IF(AX201="Above 40",20,IF(AX201="20 to 40",10,IF(AX201="0 to 20",-5,0)))</f>
        <v/>
      </c>
      <c r="AZ201" s="30" t="inlineStr">
        <is>
          <t>Above 75</t>
        </is>
      </c>
      <c r="BA201" s="30">
        <f>IF(AZ201="Between 50 to 75",10,IF(AZ201="Above 75",0,0))</f>
        <v/>
      </c>
      <c r="BB201" s="30" t="inlineStr">
        <is>
          <t>Stage 2</t>
        </is>
      </c>
      <c r="BC201" s="30">
        <f>IF(BB201="Stage 2",20,IF(BB201="Stage 1",0,IF(BB201="Stage 3",5,IF(BB201="Stage 4",-5,0))))</f>
        <v/>
      </c>
      <c r="BD201" s="30" t="inlineStr">
        <is>
          <t>Positive Trend</t>
        </is>
      </c>
      <c r="BE201" s="30">
        <f>IF(BD201="Positive Trend",20,IF(BD201="Negative Trend",-10,0))</f>
        <v/>
      </c>
      <c r="BF201" s="30" t="inlineStr">
        <is>
          <t>Uptrend</t>
        </is>
      </c>
      <c r="BG201" s="30">
        <f>IF(BF201="Uptrend",10,IF(BF201="Sideways",5,0))</f>
        <v/>
      </c>
      <c r="BH201" s="30" t="inlineStr">
        <is>
          <t>Uptrend</t>
        </is>
      </c>
      <c r="BI201" s="30">
        <f>IF(BH201="Uptrend",10,IF(BH201="Sideways",5,0))</f>
        <v/>
      </c>
      <c r="BJ201" s="30" t="inlineStr">
        <is>
          <t>Blue sky scenario</t>
        </is>
      </c>
      <c r="BK201" s="30">
        <f>IF(BJ201="Overhead supply in last 2 years in last 2 years",-5,IF(BJ201="Close to 52 week high or retracement",5,IF(BJ201="Blue sky scenario",10,IF(BJ201="Long term Downtrend",-10,0))))</f>
        <v/>
      </c>
      <c r="BL201" s="30" t="inlineStr">
        <is>
          <t>Yes</t>
        </is>
      </c>
      <c r="BM201" s="30">
        <f>IF(BL201="Yes",10,0)</f>
        <v/>
      </c>
      <c r="BN201" s="30" t="inlineStr">
        <is>
          <t>More than 20%</t>
        </is>
      </c>
      <c r="BO201" s="30">
        <f>IF(BN201="More than 20%",10,IF(BN201="Between 12 to 20%",5,IF(BN201="Less than 12%",0,0)))</f>
        <v/>
      </c>
      <c r="BP201" s="30" t="inlineStr">
        <is>
          <t>No</t>
        </is>
      </c>
      <c r="BQ201" s="30">
        <f>IF(BP201="No",10,0)</f>
        <v/>
      </c>
      <c r="BR201" s="30" t="inlineStr">
        <is>
          <t>Yes</t>
        </is>
      </c>
      <c r="BS201" s="30">
        <f>IF(BR201="NO",5,0)</f>
        <v/>
      </c>
      <c r="BT201" s="30" t="inlineStr">
        <is>
          <t>Above 2</t>
        </is>
      </c>
      <c r="BU201" s="30">
        <f>IF(BT201="Above 2",0,IF(BT201="Between 1.5 to 2",5,IF(BT201="Less than 1.5",10,0)))</f>
        <v/>
      </c>
      <c r="BV201" s="30" t="inlineStr">
        <is>
          <t>Above 70%</t>
        </is>
      </c>
      <c r="BW201" s="30">
        <f>IF(BV201="Above 70%",10,IF(BV201="Between 50% to 70%",5,IF(BV201="Less than 50%",0,IF(BV201="Negative",-10,IF(BV201="Less than 50% and Borrowings are increasing",-5,0)))))</f>
        <v/>
      </c>
      <c r="BX201" s="30" t="inlineStr">
        <is>
          <t>Between 0.7 to 1.2</t>
        </is>
      </c>
      <c r="BY201" s="30">
        <f>IF(BX201="More than 1.2",-10,IF(BX201="Between 0.7 to 1.2",0,IF(BX201="Less than 0.7",10,0)))</f>
        <v/>
      </c>
      <c r="BZ201" s="30" t="inlineStr">
        <is>
          <t>No</t>
        </is>
      </c>
      <c r="CA201" s="30">
        <f>IF(BZ201="Yes",-10,0)</f>
        <v/>
      </c>
      <c r="CB201" s="30" t="inlineStr">
        <is>
          <t>Less than 15%</t>
        </is>
      </c>
      <c r="CC201" s="30">
        <f>IF(CB201="More than 15%",-10,IF(CB201="Less than 15%",10,0))</f>
        <v/>
      </c>
      <c r="CD201" s="30" t="inlineStr">
        <is>
          <t>No</t>
        </is>
      </c>
      <c r="CE201" s="30">
        <f>IF(CD201="Yes, more than 10%",-10,IF(CD201="No",10,0))</f>
        <v/>
      </c>
    </row>
    <row r="202">
      <c r="A202" s="30">
        <f>IF(B202=0,"",RANK(B202,$B$2:$B$331,0))</f>
        <v/>
      </c>
      <c r="B202" s="31">
        <f>SUM(N202,Y202,AA202,AC202,AE202,AG202,AI202,AK202,AM202,AO202,AQ202,AS202,AU202,AW202,AY202,BA202,BC202,BE202,BG202,BI202,BK202,BM202,BO202,BQ202,BS202,BU202,BW202,BY202,CA202,CC202,CE202)</f>
        <v/>
      </c>
      <c r="C202" s="30" t="inlineStr">
        <is>
          <t>SGIL</t>
        </is>
      </c>
      <c r="D202" s="30" t="inlineStr">
        <is>
          <t>Synergy Green Industries Ltd</t>
        </is>
      </c>
      <c r="E202" s="30" t="inlineStr">
        <is>
          <t>industrials</t>
        </is>
      </c>
      <c r="F202" s="30" t="inlineStr">
        <is>
          <t>castings &amp; forgings</t>
        </is>
      </c>
      <c r="G202" s="30" t="inlineStr">
        <is>
          <t>smallcap</t>
        </is>
      </c>
      <c r="H202" s="31" t="n">
        <v>933.4299999999999</v>
      </c>
      <c r="I202" s="31" t="n">
        <v>602</v>
      </c>
      <c r="J202" s="31" t="n">
        <v>0.24</v>
      </c>
      <c r="K202" s="31" t="n">
        <v>3236</v>
      </c>
      <c r="L202" s="30" t="n">
        <v>8</v>
      </c>
      <c r="M202" s="30" t="inlineStr">
        <is>
          <t>Outperforming</t>
        </is>
      </c>
      <c r="N202" s="31">
        <f>IF(M202="Underperforming",-5,IF(L202&gt;=95,15,IF(L202&gt;=90,10,IF(L202&gt;=80,5,0))))</f>
        <v/>
      </c>
      <c r="O202" s="31" t="n">
        <v>57.59</v>
      </c>
      <c r="P202" s="31" t="n">
        <v>22.92</v>
      </c>
      <c r="Q202" s="31" t="n">
        <v>460.5</v>
      </c>
      <c r="R202" s="30" t="inlineStr">
        <is>
          <t>Near 52W High Breakout</t>
        </is>
      </c>
      <c r="S202" s="30" t="inlineStr">
        <is>
          <t>Nifty 50</t>
        </is>
      </c>
      <c r="T202" s="31" t="n">
        <v>-6.52</v>
      </c>
      <c r="U202" s="31" t="n">
        <v>5.47</v>
      </c>
      <c r="V202" s="31" t="n">
        <v>12.82</v>
      </c>
      <c r="W202" s="31" t="n">
        <v>3.18</v>
      </c>
      <c r="X202" s="30" t="inlineStr">
        <is>
          <t>Cyclical in an Upturn</t>
        </is>
      </c>
      <c r="Y202" s="30">
        <f>IF(X202="Growing Industry",10,IF(X202="Cyclical in an Upturn",5,0))</f>
        <v/>
      </c>
      <c r="Z202" s="30" t="inlineStr">
        <is>
          <t>Too Many Players with High ROCE</t>
        </is>
      </c>
      <c r="AA202" s="30">
        <f>IF(Z202="Monopoly",10,IF(Z202="Oligopoly",5,IF(Z202="Duopoly that cooperate",10,IF(Z202="Duopoly that compete",5,IF(Z202="Too many players with High ROCE",5,0)))))</f>
        <v/>
      </c>
      <c r="AB202" s="30" t="inlineStr">
        <is>
          <t>No</t>
        </is>
      </c>
      <c r="AC202" s="30">
        <f>IF(AB202="No",5,0)</f>
        <v/>
      </c>
      <c r="AD202" s="30" t="inlineStr">
        <is>
          <t>Tailwind</t>
        </is>
      </c>
      <c r="AE202" s="30">
        <f>IF(AD202="Tailwind",10,0)</f>
        <v/>
      </c>
      <c r="AF202" s="30" t="inlineStr">
        <is>
          <t>Structural (10 Years Consistency)</t>
        </is>
      </c>
      <c r="AG202" s="30">
        <f>IF(AF202="Structural (10 Years Consistency)",10,IF(AF202="Shallow Cyclical (2 to 3 years growth)",5,0))</f>
        <v/>
      </c>
      <c r="AH202" s="30" t="inlineStr">
        <is>
          <t>No</t>
        </is>
      </c>
      <c r="AI202" s="30">
        <f>IF(AH202="Yes due to Product Mix change or Operating Leverage",10,IF(AH202="Yes, these are peak margins",-5,IF(AH202="No",5,0)))</f>
        <v/>
      </c>
      <c r="AJ202" s="30" t="inlineStr">
        <is>
          <t>Stable</t>
        </is>
      </c>
      <c r="AK202" s="30">
        <f>IF(AJ202="Stable",10,0)</f>
        <v/>
      </c>
      <c r="AL202" s="30" t="inlineStr">
        <is>
          <t>Yes</t>
        </is>
      </c>
      <c r="AM202" s="30">
        <f>IF(AL202="Yes",10,0)</f>
        <v/>
      </c>
      <c r="AN202" s="30" t="inlineStr">
        <is>
          <t>B2B</t>
        </is>
      </c>
      <c r="AO202" s="30">
        <f>IF(AN202="B2C",10,IF(AN202="B2B",5,0))</f>
        <v/>
      </c>
      <c r="AP202" s="30" t="inlineStr">
        <is>
          <t>Yes</t>
        </is>
      </c>
      <c r="AQ202" s="30">
        <f>IF(AP202="Yes",10,0)</f>
        <v/>
      </c>
      <c r="AR202" s="30" t="inlineStr">
        <is>
          <t>Higher One Time, Lower Annuity</t>
        </is>
      </c>
      <c r="AS202" s="30">
        <f>IF(AR202="Fully Annuity",10,IF(AR202="Higher Annuity, Lower One Time",5,IF(AR202="Higher One Time, Lower Annuity",3,0)))</f>
        <v/>
      </c>
      <c r="AT202" s="30" t="inlineStr">
        <is>
          <t>Good</t>
        </is>
      </c>
      <c r="AU202" s="30">
        <f>IF(AT202="Good",10,0)</f>
        <v/>
      </c>
      <c r="AV202" s="30" t="inlineStr">
        <is>
          <t>Yes for more than 2 years</t>
        </is>
      </c>
      <c r="AW202" s="30">
        <f>IF(AV202="Yes for more than 2 years",10,IF(AV202="Yes only for next 1 to 2 years",5,0))</f>
        <v/>
      </c>
      <c r="AX202" s="30" t="inlineStr">
        <is>
          <t>20 to 40</t>
        </is>
      </c>
      <c r="AY202" s="30">
        <f>IF(AX202="Above 40",20,IF(AX202="20 to 40",10,IF(AX202="0 to 20",-5,0)))</f>
        <v/>
      </c>
      <c r="AZ202" s="30" t="inlineStr">
        <is>
          <t>Between 50 to 75</t>
        </is>
      </c>
      <c r="BA202" s="30">
        <f>IF(AZ202="Between 50 to 75",10,IF(AZ202="Above 75",0,0))</f>
        <v/>
      </c>
      <c r="BB202" s="30" t="inlineStr">
        <is>
          <t>Stage 2</t>
        </is>
      </c>
      <c r="BC202" s="30">
        <f>IF(BB202="Stage 2",20,IF(BB202="Stage 1",0,IF(BB202="Stage 3",5,IF(BB202="Stage 4",-5,0))))</f>
        <v/>
      </c>
      <c r="BD202" s="30" t="inlineStr">
        <is>
          <t>Positive Trend</t>
        </is>
      </c>
      <c r="BE202" s="30">
        <f>IF(BD202="Positive Trend",20,IF(BD202="Negative Trend",-10,0))</f>
        <v/>
      </c>
      <c r="BF202" s="30" t="inlineStr">
        <is>
          <t>Uptrend</t>
        </is>
      </c>
      <c r="BG202" s="30">
        <f>IF(BF202="Uptrend",10,IF(BF202="Sideways",5,0))</f>
        <v/>
      </c>
      <c r="BH202" s="30" t="inlineStr">
        <is>
          <t>Uptrend</t>
        </is>
      </c>
      <c r="BI202" s="30">
        <f>IF(BH202="Uptrend",10,IF(BH202="Sideways",5,0))</f>
        <v/>
      </c>
      <c r="BJ202" s="30" t="inlineStr">
        <is>
          <t>Blue sky scenario</t>
        </is>
      </c>
      <c r="BK202" s="30">
        <f>IF(BJ202="Overhead supply in last 2 years in last 2 years",-5,IF(BJ202="Close to 52 week high or retracement",5,IF(BJ202="Blue sky scenario",10,IF(BJ202="Long term Downtrend",-10,0))))</f>
        <v/>
      </c>
      <c r="BL202" s="30" t="inlineStr">
        <is>
          <t>Yes</t>
        </is>
      </c>
      <c r="BM202" s="30">
        <f>IF(BL202="Yes",10,0)</f>
        <v/>
      </c>
      <c r="BN202" s="30" t="inlineStr">
        <is>
          <t>More than 20%</t>
        </is>
      </c>
      <c r="BO202" s="30">
        <f>IF(BN202="More than 20%",10,IF(BN202="Between 12 to 20%",5,IF(BN202="Less than 12%",0,0)))</f>
        <v/>
      </c>
      <c r="BP202" s="30" t="inlineStr">
        <is>
          <t>No</t>
        </is>
      </c>
      <c r="BQ202" s="30">
        <f>IF(BP202="No",10,0)</f>
        <v/>
      </c>
      <c r="BR202" s="30" t="inlineStr">
        <is>
          <t>No</t>
        </is>
      </c>
      <c r="BS202" s="30">
        <f>IF(BR202="NO",5,0)</f>
        <v/>
      </c>
      <c r="BT202" s="30" t="inlineStr">
        <is>
          <t>Less than 1.5</t>
        </is>
      </c>
      <c r="BU202" s="30">
        <f>IF(BT202="Above 2",0,IF(BT202="Between 1.5 to 2",5,IF(BT202="Less than 1.5",10,0)))</f>
        <v/>
      </c>
      <c r="BV202" s="30" t="inlineStr">
        <is>
          <t>Above 70%</t>
        </is>
      </c>
      <c r="BW202" s="30">
        <f>IF(BV202="Above 70%",10,IF(BV202="Between 50% to 70%",5,IF(BV202="Less than 50%",0,IF(BV202="Negative",-10,IF(BV202="Less than 50% and Borrowings are increasing",-5,0)))))</f>
        <v/>
      </c>
      <c r="BX202" s="30" t="inlineStr">
        <is>
          <t>More than 1.2</t>
        </is>
      </c>
      <c r="BY202" s="30">
        <f>IF(BX202="More than 1.2",-10,IF(BX202="Between 0.7 to 1.2",0,IF(BX202="Less than 0.7",10,0)))</f>
        <v/>
      </c>
      <c r="BZ202" s="30" t="inlineStr">
        <is>
          <t>No</t>
        </is>
      </c>
      <c r="CA202" s="30">
        <f>IF(BZ202="Yes",-10,0)</f>
        <v/>
      </c>
      <c r="CB202" s="30" t="inlineStr">
        <is>
          <t>Less than 15%</t>
        </is>
      </c>
      <c r="CC202" s="30">
        <f>IF(CB202="More than 15%",-10,IF(CB202="Less than 15%",10,0))</f>
        <v/>
      </c>
      <c r="CD202" s="30" t="inlineStr">
        <is>
          <t>No</t>
        </is>
      </c>
      <c r="CE202" s="30">
        <f>IF(CD202="Yes, more than 10%",-10,IF(CD202="No",10,0))</f>
        <v/>
      </c>
    </row>
    <row r="203">
      <c r="A203" s="30">
        <f>IF(B203=0,"",RANK(B203,$B$2:$B$331,0))</f>
        <v/>
      </c>
      <c r="B203" s="31">
        <f>SUM(N203,Y203,AA203,AC203,AE203,AG203,AI203,AK203,AM203,AO203,AQ203,AS203,AU203,AW203,AY203,BA203,BC203,BE203,BG203,BI203,BK203,BM203,BO203,BQ203,BS203,BU203,BW203,BY203,CA203,CC203,CE203)</f>
        <v/>
      </c>
      <c r="C203" s="30" t="inlineStr">
        <is>
          <t>ENGINERSIN</t>
        </is>
      </c>
      <c r="D203" s="30" t="inlineStr">
        <is>
          <t>Engineers India Limited</t>
        </is>
      </c>
      <c r="E203" s="30" t="inlineStr">
        <is>
          <t>realty</t>
        </is>
      </c>
      <c r="F203" s="30" t="inlineStr">
        <is>
          <t>engineering - turnkey services</t>
        </is>
      </c>
      <c r="G203" s="30" t="inlineStr">
        <is>
          <t>midcap</t>
        </is>
      </c>
      <c r="H203" s="31" t="n">
        <v>15349.38</v>
      </c>
      <c r="I203" s="31" t="n">
        <v>272.05</v>
      </c>
      <c r="J203" s="31" t="n">
        <v>-0.38</v>
      </c>
      <c r="K203" s="31" t="n">
        <v>1648920</v>
      </c>
      <c r="L203" s="30" t="n">
        <v>28</v>
      </c>
      <c r="M203" s="30" t="inlineStr">
        <is>
          <t>Outperforming</t>
        </is>
      </c>
      <c r="N203" s="31">
        <f>IF(M203="Underperforming",-5,IF(L203&gt;=95,15,IF(L203&gt;=90,10,IF(L203&gt;=80,5,0))))</f>
        <v/>
      </c>
      <c r="O203" s="31" t="n">
        <v>64.33</v>
      </c>
      <c r="P203" s="31" t="n">
        <v>15.8</v>
      </c>
      <c r="Q203" s="31" t="n">
        <v>222.54</v>
      </c>
      <c r="R203" s="30" t="inlineStr">
        <is>
          <t>Near 52W High Breakout</t>
        </is>
      </c>
      <c r="S203" s="30" t="inlineStr">
        <is>
          <t>Nifty Realty</t>
        </is>
      </c>
      <c r="T203" s="31" t="n">
        <v>-8.26</v>
      </c>
      <c r="U203" s="31" t="n">
        <v>21.29</v>
      </c>
      <c r="V203" s="31" t="n">
        <v>32.22</v>
      </c>
      <c r="W203" s="31" t="n">
        <v>8.5</v>
      </c>
      <c r="X203" s="30" t="inlineStr">
        <is>
          <t>Growing Industry</t>
        </is>
      </c>
      <c r="Y203" s="30">
        <f>IF(X203="Growing Industry",10,IF(X203="Cyclical in an Upturn",5,0))</f>
        <v/>
      </c>
      <c r="Z203" s="30" t="inlineStr">
        <is>
          <t>Too Many Players with High ROCE</t>
        </is>
      </c>
      <c r="AA203" s="30">
        <f>IF(Z203="Monopoly",10,IF(Z203="Oligopoly",5,IF(Z203="Duopoly that cooperate",10,IF(Z203="Duopoly that compete",5,IF(Z203="Too many players with High ROCE",5,0)))))</f>
        <v/>
      </c>
      <c r="AB203" s="30" t="inlineStr">
        <is>
          <t>No</t>
        </is>
      </c>
      <c r="AC203" s="30">
        <f>IF(AB203="No",5,0)</f>
        <v/>
      </c>
      <c r="AD203" s="30" t="inlineStr">
        <is>
          <t>Tailwind</t>
        </is>
      </c>
      <c r="AE203" s="30">
        <f>IF(AD203="Tailwind",10,0)</f>
        <v/>
      </c>
      <c r="AF203" s="30" t="inlineStr">
        <is>
          <t>Structural (10 Years Consistency)</t>
        </is>
      </c>
      <c r="AG203" s="30">
        <f>IF(AF203="Structural (10 Years Consistency)",10,IF(AF203="Shallow Cyclical (2 to 3 years growth)",5,0))</f>
        <v/>
      </c>
      <c r="AH203" s="30" t="inlineStr">
        <is>
          <t>No</t>
        </is>
      </c>
      <c r="AI203" s="30">
        <f>IF(AH203="Yes due to Product Mix change or Operating Leverage",10,IF(AH203="Yes, these are peak margins",-5,IF(AH203="No",5,0)))</f>
        <v/>
      </c>
      <c r="AJ203" s="30" t="inlineStr">
        <is>
          <t>Stable</t>
        </is>
      </c>
      <c r="AK203" s="30">
        <f>IF(AJ203="Stable",10,0)</f>
        <v/>
      </c>
      <c r="AL203" s="30" t="inlineStr">
        <is>
          <t>Yes</t>
        </is>
      </c>
      <c r="AM203" s="30">
        <f>IF(AL203="Yes",10,0)</f>
        <v/>
      </c>
      <c r="AN203" s="30" t="inlineStr">
        <is>
          <t>B2B</t>
        </is>
      </c>
      <c r="AO203" s="30">
        <f>IF(AN203="B2C",10,IF(AN203="B2B",5,0))</f>
        <v/>
      </c>
      <c r="AP203" s="30" t="inlineStr">
        <is>
          <t>Yes</t>
        </is>
      </c>
      <c r="AQ203" s="30">
        <f>IF(AP203="Yes",10,0)</f>
        <v/>
      </c>
      <c r="AR203" s="30" t="inlineStr">
        <is>
          <t>Higher One Time, Lower Annuity</t>
        </is>
      </c>
      <c r="AS203" s="30">
        <f>IF(AR203="Fully Annuity",10,IF(AR203="Higher Annuity, Lower One Time",5,IF(AR203="Higher One Time, Lower Annuity",3,0)))</f>
        <v/>
      </c>
      <c r="AT203" s="30" t="inlineStr">
        <is>
          <t>Good</t>
        </is>
      </c>
      <c r="AU203" s="30">
        <f>IF(AT203="Good",10,0)</f>
        <v/>
      </c>
      <c r="AV203" s="30" t="inlineStr">
        <is>
          <t>Yes for more than 2 years</t>
        </is>
      </c>
      <c r="AW203" s="30">
        <f>IF(AV203="Yes for more than 2 years",10,IF(AV203="Yes only for next 1 to 2 years",5,0))</f>
        <v/>
      </c>
      <c r="AX203" s="30" t="inlineStr">
        <is>
          <t>0 to 20</t>
        </is>
      </c>
      <c r="AY203" s="30">
        <f>IF(AX203="Above 40",20,IF(AX203="20 to 40",10,IF(AX203="0 to 20",-5,0)))</f>
        <v/>
      </c>
      <c r="AZ203" s="30" t="inlineStr">
        <is>
          <t>Between 50 to 75</t>
        </is>
      </c>
      <c r="BA203" s="30">
        <f>IF(AZ203="Between 50 to 75",10,IF(AZ203="Above 75",0,0))</f>
        <v/>
      </c>
      <c r="BB203" s="30" t="inlineStr">
        <is>
          <t>Stage 2</t>
        </is>
      </c>
      <c r="BC203" s="30">
        <f>IF(BB203="Stage 2",20,IF(BB203="Stage 1",0,IF(BB203="Stage 3",5,IF(BB203="Stage 4",-5,0))))</f>
        <v/>
      </c>
      <c r="BD203" s="30" t="inlineStr">
        <is>
          <t>Positive Trend</t>
        </is>
      </c>
      <c r="BE203" s="30">
        <f>IF(BD203="Positive Trend",20,IF(BD203="Negative Trend",-10,0))</f>
        <v/>
      </c>
      <c r="BF203" s="30" t="inlineStr">
        <is>
          <t>Uptrend</t>
        </is>
      </c>
      <c r="BG203" s="30">
        <f>IF(BF203="Uptrend",10,IF(BF203="Sideways",5,0))</f>
        <v/>
      </c>
      <c r="BH203" s="30" t="inlineStr">
        <is>
          <t>Uptrend</t>
        </is>
      </c>
      <c r="BI203" s="30">
        <f>IF(BH203="Uptrend",10,IF(BH203="Sideways",5,0))</f>
        <v/>
      </c>
      <c r="BJ203" s="30" t="inlineStr">
        <is>
          <t>Blue sky scenario</t>
        </is>
      </c>
      <c r="BK203" s="30">
        <f>IF(BJ203="Overhead supply in last 2 years in last 2 years",-5,IF(BJ203="Close to 52 week high or retracement",5,IF(BJ203="Blue sky scenario",10,IF(BJ203="Long term Downtrend",-10,0))))</f>
        <v/>
      </c>
      <c r="BL203" s="30" t="inlineStr">
        <is>
          <t>Yes</t>
        </is>
      </c>
      <c r="BM203" s="30">
        <f>IF(BL203="Yes",10,0)</f>
        <v/>
      </c>
      <c r="BN203" s="30" t="inlineStr">
        <is>
          <t>More than 20%</t>
        </is>
      </c>
      <c r="BO203" s="30">
        <f>IF(BN203="More than 20%",10,IF(BN203="Between 12 to 20%",5,IF(BN203="Less than 12%",0,0)))</f>
        <v/>
      </c>
      <c r="BP203" s="30" t="inlineStr">
        <is>
          <t>No</t>
        </is>
      </c>
      <c r="BQ203" s="30">
        <f>IF(BP203="No",10,0)</f>
        <v/>
      </c>
      <c r="BR203" s="30" t="inlineStr">
        <is>
          <t>No</t>
        </is>
      </c>
      <c r="BS203" s="30">
        <f>IF(BR203="NO",5,0)</f>
        <v/>
      </c>
      <c r="BT203" s="30" t="inlineStr">
        <is>
          <t>Above 2</t>
        </is>
      </c>
      <c r="BU203" s="30">
        <f>IF(BT203="Above 2",0,IF(BT203="Between 1.5 to 2",5,IF(BT203="Less than 1.5",10,0)))</f>
        <v/>
      </c>
      <c r="BV203" s="30" t="inlineStr">
        <is>
          <t>Above 70%</t>
        </is>
      </c>
      <c r="BW203" s="30">
        <f>IF(BV203="Above 70%",10,IF(BV203="Between 50% to 70%",5,IF(BV203="Less than 50%",0,IF(BV203="Negative",-10,IF(BV203="Less than 50% and Borrowings are increasing",-5,0)))))</f>
        <v/>
      </c>
      <c r="BX203" s="30" t="inlineStr">
        <is>
          <t>Less than 0.7</t>
        </is>
      </c>
      <c r="BY203" s="30">
        <f>IF(BX203="More than 1.2",-10,IF(BX203="Between 0.7 to 1.2",0,IF(BX203="Less than 0.7",10,0)))</f>
        <v/>
      </c>
      <c r="BZ203" s="30" t="inlineStr">
        <is>
          <t>No</t>
        </is>
      </c>
      <c r="CA203" s="30">
        <f>IF(BZ203="Yes",-10,0)</f>
        <v/>
      </c>
      <c r="CB203" s="30" t="inlineStr">
        <is>
          <t>Less than 15%</t>
        </is>
      </c>
      <c r="CC203" s="30">
        <f>IF(CB203="More than 15%",-10,IF(CB203="Less than 15%",10,0))</f>
        <v/>
      </c>
      <c r="CD203" s="30" t="inlineStr">
        <is>
          <t>No</t>
        </is>
      </c>
      <c r="CE203" s="30">
        <f>IF(CD203="Yes, more than 10%",-10,IF(CD203="No",10,0))</f>
        <v/>
      </c>
    </row>
    <row r="204">
      <c r="A204" s="30">
        <f>IF(B204=0,"",RANK(B204,$B$2:$B$331,0))</f>
        <v/>
      </c>
      <c r="B204" s="31">
        <f>SUM(N204,Y204,AA204,AC204,AE204,AG204,AI204,AK204,AM204,AO204,AQ204,AS204,AU204,AW204,AY204,BA204,BC204,BE204,BG204,BI204,BK204,BM204,BO204,BQ204,BS204,BU204,BW204,BY204,CA204,CC204,CE204)</f>
        <v/>
      </c>
      <c r="C204" s="32" t="inlineStr">
        <is>
          <t>KAMDHENU</t>
        </is>
      </c>
      <c r="D204" s="32" t="inlineStr">
        <is>
          <t>Kamdhenu Limited</t>
        </is>
      </c>
      <c r="E204" s="30" t="inlineStr">
        <is>
          <t>metals &amp; mining</t>
        </is>
      </c>
      <c r="F204" s="30" t="inlineStr">
        <is>
          <t>steel - medium / small</t>
        </is>
      </c>
      <c r="G204" s="30" t="inlineStr">
        <is>
          <t>smallcap</t>
        </is>
      </c>
      <c r="H204" s="31" t="n">
        <v>1110.06</v>
      </c>
      <c r="I204" s="31" t="n">
        <v>39.22</v>
      </c>
      <c r="J204" s="31" t="n">
        <v>-0.41</v>
      </c>
      <c r="K204" s="31" t="n">
        <v>519572</v>
      </c>
      <c r="L204" s="30" t="n">
        <v>75</v>
      </c>
      <c r="M204" s="30" t="inlineStr">
        <is>
          <t>Underperforming</t>
        </is>
      </c>
      <c r="N204" s="31">
        <f>IF(M204="Underperforming",-5,IF(L204&gt;=95,15,IF(L204&gt;=90,10,IF(L204&gt;=80,5,0))))</f>
        <v/>
      </c>
      <c r="O204" s="31" t="n">
        <v>74.17</v>
      </c>
      <c r="P204" s="31" t="n">
        <v>50.88</v>
      </c>
      <c r="Q204" s="31" t="n">
        <v>29.48</v>
      </c>
      <c r="R204" s="30" t="inlineStr">
        <is>
          <t>Near 52W High Breakout</t>
        </is>
      </c>
      <c r="S204" s="30" t="inlineStr">
        <is>
          <t>Nifty Metal</t>
        </is>
      </c>
      <c r="T204" s="31" t="n">
        <v>41.17</v>
      </c>
      <c r="U204" s="31" t="n">
        <v>32.52</v>
      </c>
      <c r="V204" s="31" t="n">
        <v>-6.12</v>
      </c>
      <c r="W204" s="31" t="n">
        <v>26.52</v>
      </c>
      <c r="X204" s="30" t="inlineStr">
        <is>
          <t>Cyclical in an Upturn</t>
        </is>
      </c>
      <c r="Y204" s="30">
        <f>IF(X204="Growing Industry",10,IF(X204="Cyclical in an Upturn",5,0))</f>
        <v/>
      </c>
      <c r="Z204" s="30" t="inlineStr">
        <is>
          <t>Too Many Players with High ROCE</t>
        </is>
      </c>
      <c r="AA204" s="30">
        <f>IF(Z204="Monopoly",10,IF(Z204="Oligopoly",5,IF(Z204="Duopoly that cooperate",10,IF(Z204="Duopoly that compete",5,IF(Z204="Too many players with High ROCE",5,0)))))</f>
        <v/>
      </c>
      <c r="AB204" s="30" t="inlineStr">
        <is>
          <t>No</t>
        </is>
      </c>
      <c r="AC204" s="30">
        <f>IF(AB204="No",5,0)</f>
        <v/>
      </c>
      <c r="AD204" s="30" t="inlineStr">
        <is>
          <t>Tailwind</t>
        </is>
      </c>
      <c r="AE204" s="30">
        <f>IF(AD204="Tailwind",10,0)</f>
        <v/>
      </c>
      <c r="AF204" s="30" t="inlineStr">
        <is>
          <t>Cyclical</t>
        </is>
      </c>
      <c r="AG204" s="30">
        <f>IF(AF204="Structural (10 Years Consistency)",10,IF(AF204="Shallow Cyclical (2 to 3 years growth)",5,0))</f>
        <v/>
      </c>
      <c r="AH204" s="30" t="inlineStr">
        <is>
          <t>No</t>
        </is>
      </c>
      <c r="AI204" s="30">
        <f>IF(AH204="Yes due to Product Mix change or Operating Leverage",10,IF(AH204="Yes, these are peak margins",-5,IF(AH204="No",5,0)))</f>
        <v/>
      </c>
      <c r="AJ204" s="30" t="inlineStr">
        <is>
          <t>Volatile</t>
        </is>
      </c>
      <c r="AK204" s="30">
        <f>IF(AJ204="Stable",10,0)</f>
        <v/>
      </c>
      <c r="AL204" s="30" t="inlineStr">
        <is>
          <t>Yes</t>
        </is>
      </c>
      <c r="AM204" s="30">
        <f>IF(AL204="Yes",10,0)</f>
        <v/>
      </c>
      <c r="AN204" s="30" t="inlineStr">
        <is>
          <t>B2B</t>
        </is>
      </c>
      <c r="AO204" s="30">
        <f>IF(AN204="B2C",10,IF(AN204="B2B",5,0))</f>
        <v/>
      </c>
      <c r="AP204" s="30" t="inlineStr">
        <is>
          <t>Yes</t>
        </is>
      </c>
      <c r="AQ204" s="30">
        <f>IF(AP204="Yes",10,0)</f>
        <v/>
      </c>
      <c r="AR204" s="30" t="inlineStr">
        <is>
          <t>Higher One Time, Lower Annuity</t>
        </is>
      </c>
      <c r="AS204" s="30">
        <f>IF(AR204="Fully Annuity",10,IF(AR204="Higher Annuity, Lower One Time",5,IF(AR204="Higher One Time, Lower Annuity",3,0)))</f>
        <v/>
      </c>
      <c r="AT204" s="30" t="inlineStr">
        <is>
          <t>Good</t>
        </is>
      </c>
      <c r="AU204" s="30">
        <f>IF(AT204="Good",10,0)</f>
        <v/>
      </c>
      <c r="AV204" s="30" t="inlineStr">
        <is>
          <t>Yes for more than 2 years</t>
        </is>
      </c>
      <c r="AW204" s="30">
        <f>IF(AV204="Yes for more than 2 years",10,IF(AV204="Yes only for next 1 to 2 years",5,0))</f>
        <v/>
      </c>
      <c r="AX204" s="30" t="inlineStr">
        <is>
          <t>Above 40</t>
        </is>
      </c>
      <c r="AY204" s="30">
        <f>IF(AX204="Above 40",20,IF(AX204="20 to 40",10,IF(AX204="0 to 20",-5,0)))</f>
        <v/>
      </c>
      <c r="AZ204" s="30" t="inlineStr">
        <is>
          <t>Between 50 to 75</t>
        </is>
      </c>
      <c r="BA204" s="30">
        <f>IF(AZ204="Between 50 to 75",10,IF(AZ204="Above 75",0,0))</f>
        <v/>
      </c>
      <c r="BB204" s="30" t="inlineStr">
        <is>
          <t>Stage 2</t>
        </is>
      </c>
      <c r="BC204" s="30">
        <f>IF(BB204="Stage 2",20,IF(BB204="Stage 1",0,IF(BB204="Stage 3",5,IF(BB204="Stage 4",-5,0))))</f>
        <v/>
      </c>
      <c r="BD204" s="30" t="inlineStr">
        <is>
          <t>Positive Trend</t>
        </is>
      </c>
      <c r="BE204" s="30">
        <f>IF(BD204="Positive Trend",20,IF(BD204="Negative Trend",-10,0))</f>
        <v/>
      </c>
      <c r="BF204" s="30" t="inlineStr">
        <is>
          <t>Uptrend</t>
        </is>
      </c>
      <c r="BG204" s="30">
        <f>IF(BF204="Uptrend",10,IF(BF204="Sideways",5,0))</f>
        <v/>
      </c>
      <c r="BH204" s="30" t="inlineStr">
        <is>
          <t>Uptrend</t>
        </is>
      </c>
      <c r="BI204" s="30">
        <f>IF(BH204="Uptrend",10,IF(BH204="Sideways",5,0))</f>
        <v/>
      </c>
      <c r="BJ204" s="30" t="inlineStr">
        <is>
          <t>Close to 52 week high or retracement</t>
        </is>
      </c>
      <c r="BK204" s="30">
        <f>IF(BJ204="Overhead supply in last 2 years in last 2 years",-5,IF(BJ204="Close to 52 week high or retracement",5,IF(BJ204="Blue sky scenario",10,IF(BJ204="Long term Downtrend",-10,0))))</f>
        <v/>
      </c>
      <c r="BL204" s="30" t="inlineStr">
        <is>
          <t>Yes</t>
        </is>
      </c>
      <c r="BM204" s="30">
        <f>IF(BL204="Yes",10,0)</f>
        <v/>
      </c>
      <c r="BN204" s="30" t="inlineStr">
        <is>
          <t>More than 20%</t>
        </is>
      </c>
      <c r="BO204" s="30">
        <f>IF(BN204="More than 20%",10,IF(BN204="Between 12 to 20%",5,IF(BN204="Less than 12%",0,0)))</f>
        <v/>
      </c>
      <c r="BP204" s="30" t="inlineStr">
        <is>
          <t>No</t>
        </is>
      </c>
      <c r="BQ204" s="30">
        <f>IF(BP204="No",10,0)</f>
        <v/>
      </c>
      <c r="BR204" s="30" t="inlineStr">
        <is>
          <t>No</t>
        </is>
      </c>
      <c r="BS204" s="30">
        <f>IF(BR204="NO",5,0)</f>
        <v/>
      </c>
      <c r="BT204" s="30" t="inlineStr">
        <is>
          <t>Less than 1.5</t>
        </is>
      </c>
      <c r="BU204" s="30">
        <f>IF(BT204="Above 2",0,IF(BT204="Between 1.5 to 2",5,IF(BT204="Less than 1.5",10,0)))</f>
        <v/>
      </c>
      <c r="BV204" s="30" t="inlineStr">
        <is>
          <t>Above 70%</t>
        </is>
      </c>
      <c r="BW204" s="30">
        <f>IF(BV204="Above 70%",10,IF(BV204="Between 50% to 70%",5,IF(BV204="Less than 50%",0,IF(BV204="Negative",-10,IF(BV204="Less than 50% and Borrowings are increasing",-5,0)))))</f>
        <v/>
      </c>
      <c r="BX204" s="30" t="inlineStr">
        <is>
          <t>Less than 0.7</t>
        </is>
      </c>
      <c r="BY204" s="30">
        <f>IF(BX204="More than 1.2",-10,IF(BX204="Between 0.7 to 1.2",0,IF(BX204="Less than 0.7",10,0)))</f>
        <v/>
      </c>
      <c r="BZ204" s="30" t="inlineStr">
        <is>
          <t>No</t>
        </is>
      </c>
      <c r="CA204" s="30">
        <f>IF(BZ204="Yes",-10,0)</f>
        <v/>
      </c>
      <c r="CB204" s="30" t="inlineStr">
        <is>
          <t>Less than 15%</t>
        </is>
      </c>
      <c r="CC204" s="30">
        <f>IF(CB204="More than 15%",-10,IF(CB204="Less than 15%",10,0))</f>
        <v/>
      </c>
      <c r="CD204" s="30" t="inlineStr">
        <is>
          <t>No</t>
        </is>
      </c>
      <c r="CE204" s="30">
        <f>IF(CD204="Yes, more than 10%",-10,IF(CD204="No",10,0))</f>
        <v/>
      </c>
    </row>
    <row r="205">
      <c r="A205" s="30">
        <f>IF(B205=0,"",RANK(B205,$B$2:$B$331,0))</f>
        <v/>
      </c>
      <c r="B205" s="31">
        <f>SUM(N205,Y205,AA205,AC205,AE205,AG205,AI205,AK205,AM205,AO205,AQ205,AS205,AU205,AW205,AY205,BA205,BC205,BE205,BG205,BI205,BK205,BM205,BO205,BQ205,BS205,BU205,BW205,BY205,CA205,CC205,CE205)</f>
        <v/>
      </c>
      <c r="C205" s="30" t="inlineStr">
        <is>
          <t>KDDL</t>
        </is>
      </c>
      <c r="D205" s="30" t="inlineStr">
        <is>
          <t>Kddl Limited</t>
        </is>
      </c>
      <c r="E205" s="30" t="inlineStr">
        <is>
          <t>consumer discretionary</t>
        </is>
      </c>
      <c r="F205" s="30" t="inlineStr">
        <is>
          <t>miscellaneous</t>
        </is>
      </c>
      <c r="G205" s="30" t="inlineStr">
        <is>
          <t>smallcap</t>
        </is>
      </c>
      <c r="H205" s="31" t="n">
        <v>4811.72</v>
      </c>
      <c r="I205" s="31" t="n">
        <v>3891.4</v>
      </c>
      <c r="J205" s="31" t="n">
        <v>-0.53</v>
      </c>
      <c r="K205" s="31" t="n">
        <v>16584</v>
      </c>
      <c r="L205" s="30" t="n">
        <v>60</v>
      </c>
      <c r="M205" s="30" t="inlineStr">
        <is>
          <t>Outperforming</t>
        </is>
      </c>
      <c r="N205" s="31">
        <f>IF(M205="Underperforming",-5,IF(L205&gt;=95,15,IF(L205&gt;=90,10,IF(L205&gt;=80,5,0))))</f>
        <v/>
      </c>
      <c r="O205" s="31" t="n">
        <v>73.59</v>
      </c>
      <c r="P205" s="31" t="n">
        <v>46.15</v>
      </c>
      <c r="Q205" s="31" t="n">
        <v>3103.23</v>
      </c>
      <c r="R205" s="30" t="inlineStr">
        <is>
          <t>Near 52W High Breakout</t>
        </is>
      </c>
      <c r="S205" s="30" t="inlineStr">
        <is>
          <t>Nifty 50</t>
        </is>
      </c>
      <c r="T205" s="31" t="n">
        <v>-6.52</v>
      </c>
      <c r="U205" s="31" t="n">
        <v>62.33</v>
      </c>
      <c r="V205" s="31" t="n">
        <v>73.64</v>
      </c>
      <c r="W205" s="31" t="n">
        <v>18.69</v>
      </c>
      <c r="X205" s="30" t="inlineStr">
        <is>
          <t>Growing Industry</t>
        </is>
      </c>
      <c r="Y205" s="30">
        <f>IF(X205="Growing Industry",10,IF(X205="Cyclical in an Upturn",5,0))</f>
        <v/>
      </c>
      <c r="Z205" s="30" t="inlineStr">
        <is>
          <t>Too Many Players with High ROCE</t>
        </is>
      </c>
      <c r="AA205" s="30">
        <f>IF(Z205="Monopoly",10,IF(Z205="Oligopoly",5,IF(Z205="Duopoly that cooperate",10,IF(Z205="Duopoly that compete",5,IF(Z205="Too many players with High ROCE",5,0)))))</f>
        <v/>
      </c>
      <c r="AB205" s="30" t="inlineStr">
        <is>
          <t>No</t>
        </is>
      </c>
      <c r="AC205" s="30">
        <f>IF(AB205="No",5,0)</f>
        <v/>
      </c>
      <c r="AD205" s="30" t="inlineStr">
        <is>
          <t>Tailwind</t>
        </is>
      </c>
      <c r="AE205" s="30">
        <f>IF(AD205="Tailwind",10,0)</f>
        <v/>
      </c>
      <c r="AF205" s="30" t="inlineStr">
        <is>
          <t>Structural (10 Years Consistency)</t>
        </is>
      </c>
      <c r="AG205" s="30">
        <f>IF(AF205="Structural (10 Years Consistency)",10,IF(AF205="Shallow Cyclical (2 to 3 years growth)",5,0))</f>
        <v/>
      </c>
      <c r="AH205" s="30" t="inlineStr">
        <is>
          <t>No</t>
        </is>
      </c>
      <c r="AI205" s="30">
        <f>IF(AH205="Yes due to Product Mix change or Operating Leverage",10,IF(AH205="Yes, these are peak margins",-5,IF(AH205="No",5,0)))</f>
        <v/>
      </c>
      <c r="AJ205" s="30" t="inlineStr">
        <is>
          <t>Stable</t>
        </is>
      </c>
      <c r="AK205" s="30">
        <f>IF(AJ205="Stable",10,0)</f>
        <v/>
      </c>
      <c r="AL205" s="30" t="inlineStr">
        <is>
          <t>Yes</t>
        </is>
      </c>
      <c r="AM205" s="30">
        <f>IF(AL205="Yes",10,0)</f>
        <v/>
      </c>
      <c r="AN205" s="30" t="inlineStr">
        <is>
          <t>B2B</t>
        </is>
      </c>
      <c r="AO205" s="30">
        <f>IF(AN205="B2C",10,IF(AN205="B2B",5,0))</f>
        <v/>
      </c>
      <c r="AP205" s="30" t="inlineStr">
        <is>
          <t>Yes</t>
        </is>
      </c>
      <c r="AQ205" s="30">
        <f>IF(AP205="Yes",10,0)</f>
        <v/>
      </c>
      <c r="AR205" s="30" t="inlineStr">
        <is>
          <t>Higher One Time, Lower Annuity</t>
        </is>
      </c>
      <c r="AS205" s="30">
        <f>IF(AR205="Fully Annuity",10,IF(AR205="Higher Annuity, Lower One Time",5,IF(AR205="Higher One Time, Lower Annuity",3,0)))</f>
        <v/>
      </c>
      <c r="AT205" s="30" t="inlineStr">
        <is>
          <t>Good</t>
        </is>
      </c>
      <c r="AU205" s="30">
        <f>IF(AT205="Good",10,0)</f>
        <v/>
      </c>
      <c r="AV205" s="30" t="inlineStr">
        <is>
          <t>Yes for more than 2 years</t>
        </is>
      </c>
      <c r="AW205" s="30">
        <f>IF(AV205="Yes for more than 2 years",10,IF(AV205="Yes only for next 1 to 2 years",5,0))</f>
        <v/>
      </c>
      <c r="AX205" s="30" t="inlineStr">
        <is>
          <t>Above 40</t>
        </is>
      </c>
      <c r="AY205" s="30">
        <f>IF(AX205="Above 40",20,IF(AX205="20 to 40",10,IF(AX205="0 to 20",-5,0)))</f>
        <v/>
      </c>
      <c r="AZ205" s="30" t="inlineStr">
        <is>
          <t>Between 50 to 75</t>
        </is>
      </c>
      <c r="BA205" s="30">
        <f>IF(AZ205="Between 50 to 75",10,IF(AZ205="Above 75",0,0))</f>
        <v/>
      </c>
      <c r="BB205" s="30" t="inlineStr">
        <is>
          <t>Stage 2</t>
        </is>
      </c>
      <c r="BC205" s="30">
        <f>IF(BB205="Stage 2",20,IF(BB205="Stage 1",0,IF(BB205="Stage 3",5,IF(BB205="Stage 4",-5,0))))</f>
        <v/>
      </c>
      <c r="BD205" s="30" t="inlineStr">
        <is>
          <t>Negative Trend</t>
        </is>
      </c>
      <c r="BE205" s="30">
        <f>IF(BD205="Positive Trend",20,IF(BD205="Negative Trend",-10,0))</f>
        <v/>
      </c>
      <c r="BF205" s="30" t="inlineStr">
        <is>
          <t>Uptrend</t>
        </is>
      </c>
      <c r="BG205" s="30">
        <f>IF(BF205="Uptrend",10,IF(BF205="Sideways",5,0))</f>
        <v/>
      </c>
      <c r="BH205" s="30" t="inlineStr">
        <is>
          <t>Uptrend</t>
        </is>
      </c>
      <c r="BI205" s="30">
        <f>IF(BH205="Uptrend",10,IF(BH205="Sideways",5,0))</f>
        <v/>
      </c>
      <c r="BJ205" s="30" t="inlineStr">
        <is>
          <t>Blue sky scenario</t>
        </is>
      </c>
      <c r="BK205" s="30">
        <f>IF(BJ205="Overhead supply in last 2 years in last 2 years",-5,IF(BJ205="Close to 52 week high or retracement",5,IF(BJ205="Blue sky scenario",10,IF(BJ205="Long term Downtrend",-10,0))))</f>
        <v/>
      </c>
      <c r="BL205" s="30" t="inlineStr">
        <is>
          <t>Yes</t>
        </is>
      </c>
      <c r="BM205" s="30">
        <f>IF(BL205="Yes",10,0)</f>
        <v/>
      </c>
      <c r="BN205" s="30" t="inlineStr">
        <is>
          <t>More than 20%</t>
        </is>
      </c>
      <c r="BO205" s="30">
        <f>IF(BN205="More than 20%",10,IF(BN205="Between 12 to 20%",5,IF(BN205="Less than 12%",0,0)))</f>
        <v/>
      </c>
      <c r="BP205" s="30" t="inlineStr">
        <is>
          <t>No</t>
        </is>
      </c>
      <c r="BQ205" s="30">
        <f>IF(BP205="No",10,0)</f>
        <v/>
      </c>
      <c r="BR205" s="30" t="inlineStr">
        <is>
          <t>Yes</t>
        </is>
      </c>
      <c r="BS205" s="30">
        <f>IF(BR205="NO",5,0)</f>
        <v/>
      </c>
      <c r="BT205" s="30" t="inlineStr">
        <is>
          <t>Less than 1.5</t>
        </is>
      </c>
      <c r="BU205" s="30">
        <f>IF(BT205="Above 2",0,IF(BT205="Between 1.5 to 2",5,IF(BT205="Less than 1.5",10,0)))</f>
        <v/>
      </c>
      <c r="BV205" s="30" t="inlineStr">
        <is>
          <t>Above 70%</t>
        </is>
      </c>
      <c r="BW205" s="30">
        <f>IF(BV205="Above 70%",10,IF(BV205="Between 50% to 70%",5,IF(BV205="Less than 50%",0,IF(BV205="Negative",-10,IF(BV205="Less than 50% and Borrowings are increasing",-5,0)))))</f>
        <v/>
      </c>
      <c r="BX205" s="30" t="inlineStr">
        <is>
          <t>Less than 0.7</t>
        </is>
      </c>
      <c r="BY205" s="30">
        <f>IF(BX205="More than 1.2",-10,IF(BX205="Between 0.7 to 1.2",0,IF(BX205="Less than 0.7",10,0)))</f>
        <v/>
      </c>
      <c r="BZ205" s="30" t="inlineStr">
        <is>
          <t>No</t>
        </is>
      </c>
      <c r="CA205" s="30">
        <f>IF(BZ205="Yes",-10,0)</f>
        <v/>
      </c>
      <c r="CB205" s="30" t="inlineStr">
        <is>
          <t>Less than 15%</t>
        </is>
      </c>
      <c r="CC205" s="30">
        <f>IF(CB205="More than 15%",-10,IF(CB205="Less than 15%",10,0))</f>
        <v/>
      </c>
      <c r="CD205" s="30" t="inlineStr">
        <is>
          <t>No</t>
        </is>
      </c>
      <c r="CE205" s="30">
        <f>IF(CD205="Yes, more than 10%",-10,IF(CD205="No",10,0))</f>
        <v/>
      </c>
    </row>
    <row r="206">
      <c r="A206" s="30">
        <f>IF(B206=0,"",RANK(B206,$B$2:$B$331,0))</f>
        <v/>
      </c>
      <c r="B206" s="31">
        <f>SUM(N206,Y206,AA206,AC206,AE206,AG206,AI206,AK206,AM206,AO206,AQ206,AS206,AU206,AW206,AY206,BA206,BC206,BE206,BG206,BI206,BK206,BM206,BO206,BQ206,BS206,BU206,BW206,BY206,CA206,CC206,CE206)</f>
        <v/>
      </c>
      <c r="C206" s="30" t="inlineStr">
        <is>
          <t>ADANIPOWER</t>
        </is>
      </c>
      <c r="D206" s="30" t="inlineStr">
        <is>
          <t>Adani Power Limited</t>
        </is>
      </c>
      <c r="E206" s="30" t="inlineStr">
        <is>
          <t>power &amp; utilities</t>
        </is>
      </c>
      <c r="F206" s="30" t="inlineStr">
        <is>
          <t>power generation and supply</t>
        </is>
      </c>
      <c r="G206" s="30" t="inlineStr">
        <is>
          <t>largecap</t>
        </is>
      </c>
      <c r="H206" s="31" t="n">
        <v>414428.09</v>
      </c>
      <c r="I206" s="31" t="n">
        <v>213.5</v>
      </c>
      <c r="J206" s="31" t="n">
        <v>-0.65</v>
      </c>
      <c r="K206" s="31" t="n">
        <v>18719604</v>
      </c>
      <c r="L206" s="30" t="n">
        <v>36</v>
      </c>
      <c r="M206" s="30" t="inlineStr">
        <is>
          <t>Outperforming</t>
        </is>
      </c>
      <c r="N206" s="31">
        <f>IF(M206="Underperforming",-5,IF(L206&gt;=95,15,IF(L206&gt;=90,10,IF(L206&gt;=80,5,0))))</f>
        <v/>
      </c>
      <c r="O206" s="31" t="n">
        <v>57.79</v>
      </c>
      <c r="P206" s="31" t="n">
        <v>27.59</v>
      </c>
      <c r="Q206" s="31" t="n">
        <v>192.03</v>
      </c>
      <c r="R206" s="30" t="inlineStr">
        <is>
          <t>Earnings / Momentum Support</t>
        </is>
      </c>
      <c r="S206" s="30" t="inlineStr">
        <is>
          <t>Nifty IT</t>
        </is>
      </c>
      <c r="T206" s="31" t="n">
        <v>-19.99</v>
      </c>
      <c r="U206" s="31" t="n">
        <v>64.59999999999999</v>
      </c>
      <c r="V206" s="31" t="n">
        <v>105.73</v>
      </c>
      <c r="W206" s="31" t="n">
        <v>11.29</v>
      </c>
      <c r="X206" s="30" t="inlineStr">
        <is>
          <t>Growing Industry</t>
        </is>
      </c>
      <c r="Y206" s="30">
        <f>IF(X206="Growing Industry",10,IF(X206="Cyclical in an Upturn",5,0))</f>
        <v/>
      </c>
      <c r="Z206" s="30" t="inlineStr">
        <is>
          <t>Too Many Players with High ROCE</t>
        </is>
      </c>
      <c r="AA206" s="30">
        <f>IF(Z206="Monopoly",10,IF(Z206="Oligopoly",5,IF(Z206="Duopoly that cooperate",10,IF(Z206="Duopoly that compete",5,IF(Z206="Too many players with High ROCE",5,0)))))</f>
        <v/>
      </c>
      <c r="AB206" s="30" t="inlineStr">
        <is>
          <t>No</t>
        </is>
      </c>
      <c r="AC206" s="30">
        <f>IF(AB206="No",5,0)</f>
        <v/>
      </c>
      <c r="AD206" s="30" t="inlineStr">
        <is>
          <t>Tailwind</t>
        </is>
      </c>
      <c r="AE206" s="30">
        <f>IF(AD206="Tailwind",10,0)</f>
        <v/>
      </c>
      <c r="AF206" s="30" t="inlineStr">
        <is>
          <t>Structural (10 Years Consistency)</t>
        </is>
      </c>
      <c r="AG206" s="30">
        <f>IF(AF206="Structural (10 Years Consistency)",10,IF(AF206="Shallow Cyclical (2 to 3 years growth)",5,0))</f>
        <v/>
      </c>
      <c r="AH206" s="30" t="inlineStr">
        <is>
          <t>No</t>
        </is>
      </c>
      <c r="AI206" s="30">
        <f>IF(AH206="Yes due to Product Mix change or Operating Leverage",10,IF(AH206="Yes, these are peak margins",-5,IF(AH206="No",5,0)))</f>
        <v/>
      </c>
      <c r="AJ206" s="30" t="inlineStr">
        <is>
          <t>Stable</t>
        </is>
      </c>
      <c r="AK206" s="30">
        <f>IF(AJ206="Stable",10,0)</f>
        <v/>
      </c>
      <c r="AL206" s="30" t="inlineStr">
        <is>
          <t>Yes</t>
        </is>
      </c>
      <c r="AM206" s="30">
        <f>IF(AL206="Yes",10,0)</f>
        <v/>
      </c>
      <c r="AN206" s="30" t="inlineStr">
        <is>
          <t>B2B</t>
        </is>
      </c>
      <c r="AO206" s="30">
        <f>IF(AN206="B2C",10,IF(AN206="B2B",5,0))</f>
        <v/>
      </c>
      <c r="AP206" s="30" t="inlineStr">
        <is>
          <t>No</t>
        </is>
      </c>
      <c r="AQ206" s="30">
        <f>IF(AP206="Yes",10,0)</f>
        <v/>
      </c>
      <c r="AR206" s="30" t="inlineStr">
        <is>
          <t>Higher One Time, Lower Annuity</t>
        </is>
      </c>
      <c r="AS206" s="30">
        <f>IF(AR206="Fully Annuity",10,IF(AR206="Higher Annuity, Lower One Time",5,IF(AR206="Higher One Time, Lower Annuity",3,0)))</f>
        <v/>
      </c>
      <c r="AT206" s="30" t="inlineStr">
        <is>
          <t>Good</t>
        </is>
      </c>
      <c r="AU206" s="30">
        <f>IF(AT206="Good",10,0)</f>
        <v/>
      </c>
      <c r="AV206" s="30" t="inlineStr">
        <is>
          <t>Yes for more than 2 years</t>
        </is>
      </c>
      <c r="AW206" s="30">
        <f>IF(AV206="Yes for more than 2 years",10,IF(AV206="Yes only for next 1 to 2 years",5,0))</f>
        <v/>
      </c>
      <c r="AX206" s="30" t="inlineStr">
        <is>
          <t>20 to 40</t>
        </is>
      </c>
      <c r="AY206" s="30">
        <f>IF(AX206="Above 40",20,IF(AX206="20 to 40",10,IF(AX206="0 to 20",-5,0)))</f>
        <v/>
      </c>
      <c r="AZ206" s="30" t="inlineStr">
        <is>
          <t>Between 50 to 75</t>
        </is>
      </c>
      <c r="BA206" s="30">
        <f>IF(AZ206="Between 50 to 75",10,IF(AZ206="Above 75",0,0))</f>
        <v/>
      </c>
      <c r="BB206" s="30" t="inlineStr">
        <is>
          <t>Stage 2</t>
        </is>
      </c>
      <c r="BC206" s="30">
        <f>IF(BB206="Stage 2",20,IF(BB206="Stage 1",0,IF(BB206="Stage 3",5,IF(BB206="Stage 4",-5,0))))</f>
        <v/>
      </c>
      <c r="BD206" s="30" t="inlineStr">
        <is>
          <t>Positive Trend</t>
        </is>
      </c>
      <c r="BE206" s="30">
        <f>IF(BD206="Positive Trend",20,IF(BD206="Negative Trend",-10,0))</f>
        <v/>
      </c>
      <c r="BF206" s="30" t="inlineStr">
        <is>
          <t>Uptrend</t>
        </is>
      </c>
      <c r="BG206" s="30">
        <f>IF(BF206="Uptrend",10,IF(BF206="Sideways",5,0))</f>
        <v/>
      </c>
      <c r="BH206" s="30" t="inlineStr">
        <is>
          <t>Uptrend</t>
        </is>
      </c>
      <c r="BI206" s="30">
        <f>IF(BH206="Uptrend",10,IF(BH206="Sideways",5,0))</f>
        <v/>
      </c>
      <c r="BJ206" s="30" t="inlineStr">
        <is>
          <t>Close to 52 week high or retracement</t>
        </is>
      </c>
      <c r="BK206" s="30">
        <f>IF(BJ206="Overhead supply in last 2 years in last 2 years",-5,IF(BJ206="Close to 52 week high or retracement",5,IF(BJ206="Blue sky scenario",10,IF(BJ206="Long term Downtrend",-10,0))))</f>
        <v/>
      </c>
      <c r="BL206" s="30" t="inlineStr">
        <is>
          <t>Yes</t>
        </is>
      </c>
      <c r="BM206" s="30">
        <f>IF(BL206="Yes",10,0)</f>
        <v/>
      </c>
      <c r="BN206" s="30" t="inlineStr">
        <is>
          <t>More than 20%</t>
        </is>
      </c>
      <c r="BO206" s="30">
        <f>IF(BN206="More than 20%",10,IF(BN206="Between 12 to 20%",5,IF(BN206="Less than 12%",0,0)))</f>
        <v/>
      </c>
      <c r="BP206" s="30" t="inlineStr">
        <is>
          <t>No</t>
        </is>
      </c>
      <c r="BQ206" s="30">
        <f>IF(BP206="No",10,0)</f>
        <v/>
      </c>
      <c r="BR206" s="30" t="inlineStr">
        <is>
          <t>No</t>
        </is>
      </c>
      <c r="BS206" s="30">
        <f>IF(BR206="NO",5,0)</f>
        <v/>
      </c>
      <c r="BT206" s="30" t="inlineStr">
        <is>
          <t>Less than 1.5</t>
        </is>
      </c>
      <c r="BU206" s="30">
        <f>IF(BT206="Above 2",0,IF(BT206="Between 1.5 to 2",5,IF(BT206="Less than 1.5",10,0)))</f>
        <v/>
      </c>
      <c r="BV206" s="30" t="inlineStr">
        <is>
          <t>Above 70%</t>
        </is>
      </c>
      <c r="BW206" s="30">
        <f>IF(BV206="Above 70%",10,IF(BV206="Between 50% to 70%",5,IF(BV206="Less than 50%",0,IF(BV206="Negative",-10,IF(BV206="Less than 50% and Borrowings are increasing",-5,0)))))</f>
        <v/>
      </c>
      <c r="BX206" s="30" t="inlineStr">
        <is>
          <t>Between 0.7 to 1.2</t>
        </is>
      </c>
      <c r="BY206" s="30">
        <f>IF(BX206="More than 1.2",-10,IF(BX206="Between 0.7 to 1.2",0,IF(BX206="Less than 0.7",10,0)))</f>
        <v/>
      </c>
      <c r="BZ206" s="30" t="inlineStr">
        <is>
          <t>No</t>
        </is>
      </c>
      <c r="CA206" s="30">
        <f>IF(BZ206="Yes",-10,0)</f>
        <v/>
      </c>
      <c r="CB206" s="30" t="inlineStr">
        <is>
          <t>Less than 15%</t>
        </is>
      </c>
      <c r="CC206" s="30">
        <f>IF(CB206="More than 15%",-10,IF(CB206="Less than 15%",10,0))</f>
        <v/>
      </c>
      <c r="CD206" s="30" t="inlineStr">
        <is>
          <t>No</t>
        </is>
      </c>
      <c r="CE206" s="30">
        <f>IF(CD206="Yes, more than 10%",-10,IF(CD206="No",10,0))</f>
        <v/>
      </c>
    </row>
    <row r="207">
      <c r="A207" s="30">
        <f>IF(B207=0,"",RANK(B207,$B$2:$B$331,0))</f>
        <v/>
      </c>
      <c r="B207" s="31">
        <f>SUM(N207,Y207,AA207,AC207,AE207,AG207,AI207,AK207,AM207,AO207,AQ207,AS207,AU207,AW207,AY207,BA207,BC207,BE207,BG207,BI207,BK207,BM207,BO207,BQ207,BS207,BU207,BW207,BY207,CA207,CC207,CE207)</f>
        <v/>
      </c>
      <c r="C207" s="30" t="inlineStr">
        <is>
          <t>PAYTM</t>
        </is>
      </c>
      <c r="D207" s="30" t="inlineStr">
        <is>
          <t>One 97 Communications Ltd</t>
        </is>
      </c>
      <c r="E207" s="30" t="inlineStr">
        <is>
          <t>i.t</t>
        </is>
      </c>
      <c r="F207" s="30" t="inlineStr">
        <is>
          <t>miscellaneous</t>
        </is>
      </c>
      <c r="G207" s="30" t="inlineStr">
        <is>
          <t>largecap</t>
        </is>
      </c>
      <c r="H207" s="31" t="n">
        <v>112155.03</v>
      </c>
      <c r="I207" s="31" t="n">
        <v>1739</v>
      </c>
      <c r="J207" s="31" t="n">
        <v>-0.71</v>
      </c>
      <c r="K207" s="31" t="n">
        <v>1479094</v>
      </c>
      <c r="L207" s="30" t="n">
        <v>71</v>
      </c>
      <c r="M207" s="30" t="inlineStr">
        <is>
          <t>Outperforming</t>
        </is>
      </c>
      <c r="N207" s="31">
        <f>IF(M207="Underperforming",-5,IF(L207&gt;=95,15,IF(L207&gt;=90,10,IF(L207&gt;=80,5,0))))</f>
        <v/>
      </c>
      <c r="O207" s="31" t="n">
        <v>77.91</v>
      </c>
      <c r="P207" s="31" t="n">
        <v>27.84</v>
      </c>
      <c r="Q207" s="31" t="n">
        <v>1407.43</v>
      </c>
      <c r="R207" s="30" t="inlineStr">
        <is>
          <t>Near 52W High Breakout</t>
        </is>
      </c>
      <c r="S207" s="30" t="inlineStr">
        <is>
          <t>Nifty IT</t>
        </is>
      </c>
      <c r="T207" s="31" t="n">
        <v>-19.99</v>
      </c>
      <c r="U207" s="31" t="n">
        <v>42.66</v>
      </c>
      <c r="V207" s="31" t="n">
        <v>78.31</v>
      </c>
      <c r="W207" s="31" t="n">
        <v>23.15</v>
      </c>
      <c r="X207" s="30" t="inlineStr">
        <is>
          <t>Growing Industry</t>
        </is>
      </c>
      <c r="Y207" s="30">
        <f>IF(X207="Growing Industry",10,IF(X207="Cyclical in an Upturn",5,0))</f>
        <v/>
      </c>
      <c r="Z207" s="30" t="inlineStr">
        <is>
          <t>Too Many Players with High ROCE</t>
        </is>
      </c>
      <c r="AA207" s="30">
        <f>IF(Z207="Monopoly",10,IF(Z207="Oligopoly",5,IF(Z207="Duopoly that cooperate",10,IF(Z207="Duopoly that compete",5,IF(Z207="Too many players with High ROCE",5,0)))))</f>
        <v/>
      </c>
      <c r="AB207" s="30" t="inlineStr">
        <is>
          <t>No</t>
        </is>
      </c>
      <c r="AC207" s="30">
        <f>IF(AB207="No",5,0)</f>
        <v/>
      </c>
      <c r="AD207" s="30" t="inlineStr">
        <is>
          <t>Tailwind</t>
        </is>
      </c>
      <c r="AE207" s="30">
        <f>IF(AD207="Tailwind",10,0)</f>
        <v/>
      </c>
      <c r="AF207" s="30" t="inlineStr">
        <is>
          <t>Structural (10 Years Consistency)</t>
        </is>
      </c>
      <c r="AG207" s="30">
        <f>IF(AF207="Structural (10 Years Consistency)",10,IF(AF207="Shallow Cyclical (2 to 3 years growth)",5,0))</f>
        <v/>
      </c>
      <c r="AH207" s="30" t="inlineStr">
        <is>
          <t>No</t>
        </is>
      </c>
      <c r="AI207" s="30">
        <f>IF(AH207="Yes due to Product Mix change or Operating Leverage",10,IF(AH207="Yes, these are peak margins",-5,IF(AH207="No",5,0)))</f>
        <v/>
      </c>
      <c r="AJ207" s="30" t="inlineStr">
        <is>
          <t>Stable</t>
        </is>
      </c>
      <c r="AK207" s="30">
        <f>IF(AJ207="Stable",10,0)</f>
        <v/>
      </c>
      <c r="AL207" s="30" t="inlineStr">
        <is>
          <t>Yes</t>
        </is>
      </c>
      <c r="AM207" s="30">
        <f>IF(AL207="Yes",10,0)</f>
        <v/>
      </c>
      <c r="AN207" s="30" t="inlineStr">
        <is>
          <t>B2B</t>
        </is>
      </c>
      <c r="AO207" s="30">
        <f>IF(AN207="B2C",10,IF(AN207="B2B",5,0))</f>
        <v/>
      </c>
      <c r="AP207" s="30" t="inlineStr">
        <is>
          <t>Yes</t>
        </is>
      </c>
      <c r="AQ207" s="30">
        <f>IF(AP207="Yes",10,0)</f>
        <v/>
      </c>
      <c r="AR207" s="30" t="inlineStr">
        <is>
          <t>Higher One Time, Lower Annuity</t>
        </is>
      </c>
      <c r="AS207" s="30">
        <f>IF(AR207="Fully Annuity",10,IF(AR207="Higher Annuity, Lower One Time",5,IF(AR207="Higher One Time, Lower Annuity",3,0)))</f>
        <v/>
      </c>
      <c r="AT207" s="30" t="inlineStr">
        <is>
          <t>Good</t>
        </is>
      </c>
      <c r="AU207" s="30">
        <f>IF(AT207="Good",10,0)</f>
        <v/>
      </c>
      <c r="AV207" s="30" t="inlineStr">
        <is>
          <t>Yes for more than 2 years</t>
        </is>
      </c>
      <c r="AW207" s="30">
        <f>IF(AV207="Yes for more than 2 years",10,IF(AV207="Yes only for next 1 to 2 years",5,0))</f>
        <v/>
      </c>
      <c r="AX207" s="30" t="inlineStr">
        <is>
          <t>20 to 40</t>
        </is>
      </c>
      <c r="AY207" s="30">
        <f>IF(AX207="Above 40",20,IF(AX207="20 to 40",10,IF(AX207="0 to 20",-5,0)))</f>
        <v/>
      </c>
      <c r="AZ207" s="30" t="inlineStr">
        <is>
          <t>Above 75</t>
        </is>
      </c>
      <c r="BA207" s="30">
        <f>IF(AZ207="Between 50 to 75",10,IF(AZ207="Above 75",0,0))</f>
        <v/>
      </c>
      <c r="BB207" s="30" t="inlineStr">
        <is>
          <t>Stage 2</t>
        </is>
      </c>
      <c r="BC207" s="30">
        <f>IF(BB207="Stage 2",20,IF(BB207="Stage 1",0,IF(BB207="Stage 3",5,IF(BB207="Stage 4",-5,0))))</f>
        <v/>
      </c>
      <c r="BD207" s="30" t="inlineStr">
        <is>
          <t>Positive Trend</t>
        </is>
      </c>
      <c r="BE207" s="30">
        <f>IF(BD207="Positive Trend",20,IF(BD207="Negative Trend",-10,0))</f>
        <v/>
      </c>
      <c r="BF207" s="30" t="inlineStr">
        <is>
          <t>Uptrend</t>
        </is>
      </c>
      <c r="BG207" s="30">
        <f>IF(BF207="Uptrend",10,IF(BF207="Sideways",5,0))</f>
        <v/>
      </c>
      <c r="BH207" s="30" t="inlineStr">
        <is>
          <t>Uptrend</t>
        </is>
      </c>
      <c r="BI207" s="30">
        <f>IF(BH207="Uptrend",10,IF(BH207="Sideways",5,0))</f>
        <v/>
      </c>
      <c r="BJ207" s="30" t="inlineStr">
        <is>
          <t>Blue sky scenario</t>
        </is>
      </c>
      <c r="BK207" s="30">
        <f>IF(BJ207="Overhead supply in last 2 years in last 2 years",-5,IF(BJ207="Close to 52 week high or retracement",5,IF(BJ207="Blue sky scenario",10,IF(BJ207="Long term Downtrend",-10,0))))</f>
        <v/>
      </c>
      <c r="BL207" s="30" t="inlineStr">
        <is>
          <t>Yes</t>
        </is>
      </c>
      <c r="BM207" s="30">
        <f>IF(BL207="Yes",10,0)</f>
        <v/>
      </c>
      <c r="BN207" s="30" t="inlineStr">
        <is>
          <t>More than 20%</t>
        </is>
      </c>
      <c r="BO207" s="30">
        <f>IF(BN207="More than 20%",10,IF(BN207="Between 12 to 20%",5,IF(BN207="Less than 12%",0,0)))</f>
        <v/>
      </c>
      <c r="BP207" s="30" t="inlineStr">
        <is>
          <t>No</t>
        </is>
      </c>
      <c r="BQ207" s="30">
        <f>IF(BP207="No",10,0)</f>
        <v/>
      </c>
      <c r="BR207" s="30" t="inlineStr">
        <is>
          <t>Yes</t>
        </is>
      </c>
      <c r="BS207" s="30">
        <f>IF(BR207="NO",5,0)</f>
        <v/>
      </c>
      <c r="BT207" s="30" t="inlineStr">
        <is>
          <t>Above 2</t>
        </is>
      </c>
      <c r="BU207" s="30">
        <f>IF(BT207="Above 2",0,IF(BT207="Between 1.5 to 2",5,IF(BT207="Less than 1.5",10,0)))</f>
        <v/>
      </c>
      <c r="BV207" s="30" t="inlineStr">
        <is>
          <t>Above 70%</t>
        </is>
      </c>
      <c r="BW207" s="30">
        <f>IF(BV207="Above 70%",10,IF(BV207="Between 50% to 70%",5,IF(BV207="Less than 50%",0,IF(BV207="Negative",-10,IF(BV207="Less than 50% and Borrowings are increasing",-5,0)))))</f>
        <v/>
      </c>
      <c r="BX207" s="30" t="inlineStr">
        <is>
          <t>Less than 0.7</t>
        </is>
      </c>
      <c r="BY207" s="30">
        <f>IF(BX207="More than 1.2",-10,IF(BX207="Between 0.7 to 1.2",0,IF(BX207="Less than 0.7",10,0)))</f>
        <v/>
      </c>
      <c r="BZ207" s="30" t="inlineStr">
        <is>
          <t>No</t>
        </is>
      </c>
      <c r="CA207" s="30">
        <f>IF(BZ207="Yes",-10,0)</f>
        <v/>
      </c>
      <c r="CB207" s="30" t="inlineStr">
        <is>
          <t>Less than 15%</t>
        </is>
      </c>
      <c r="CC207" s="30">
        <f>IF(CB207="More than 15%",-10,IF(CB207="Less than 15%",10,0))</f>
        <v/>
      </c>
      <c r="CD207" s="30" t="inlineStr">
        <is>
          <t>No</t>
        </is>
      </c>
      <c r="CE207" s="30">
        <f>IF(CD207="Yes, more than 10%",-10,IF(CD207="No",10,0))</f>
        <v/>
      </c>
    </row>
    <row r="208">
      <c r="A208" s="30">
        <f>IF(B208=0,"",RANK(B208,$B$2:$B$331,0))</f>
        <v/>
      </c>
      <c r="B208" s="31">
        <f>SUM(N208,Y208,AA208,AC208,AE208,AG208,AI208,AK208,AM208,AO208,AQ208,AS208,AU208,AW208,AY208,BA208,BC208,BE208,BG208,BI208,BK208,BM208,BO208,BQ208,BS208,BU208,BW208,BY208,CA208,CC208,CE208)</f>
        <v/>
      </c>
      <c r="C208" s="32" t="inlineStr">
        <is>
          <t>QUADFUTURE</t>
        </is>
      </c>
      <c r="D208" s="32" t="inlineStr">
        <is>
          <t>Quadrant Future Tek Ltd</t>
        </is>
      </c>
      <c r="E208" s="30" t="inlineStr">
        <is>
          <t>industrials</t>
        </is>
      </c>
      <c r="F208" s="30" t="inlineStr">
        <is>
          <t>cables - power</t>
        </is>
      </c>
      <c r="G208" s="30" t="inlineStr">
        <is>
          <t>smallcap</t>
        </is>
      </c>
      <c r="H208" s="31" t="n">
        <v>1759.4</v>
      </c>
      <c r="I208" s="31" t="n">
        <v>435.8</v>
      </c>
      <c r="J208" s="31" t="n">
        <v>-0.92</v>
      </c>
      <c r="K208" s="31" t="n">
        <v>431820</v>
      </c>
      <c r="L208" s="30" t="n">
        <v>29</v>
      </c>
      <c r="M208" s="30" t="inlineStr">
        <is>
          <t>Underperforming</t>
        </is>
      </c>
      <c r="N208" s="31">
        <f>IF(M208="Underperforming",-5,IF(L208&gt;=95,15,IF(L208&gt;=90,10,IF(L208&gt;=80,5,0))))</f>
        <v/>
      </c>
      <c r="O208" s="31" t="n">
        <v>61.1</v>
      </c>
      <c r="P208" s="31" t="n">
        <v>36.84</v>
      </c>
      <c r="Q208" s="31" t="n">
        <v>331.67</v>
      </c>
      <c r="R208" s="30" t="inlineStr">
        <is>
          <t>Earnings / Momentum Support</t>
        </is>
      </c>
      <c r="S208" s="30" t="inlineStr">
        <is>
          <t>Nifty Energy</t>
        </is>
      </c>
      <c r="T208" s="31" t="n">
        <v>8.43</v>
      </c>
      <c r="U208" s="31" t="n">
        <v>-7.25</v>
      </c>
      <c r="V208" s="31" t="n">
        <v>-14.46</v>
      </c>
      <c r="W208" s="31" t="n">
        <v>8.970000000000001</v>
      </c>
      <c r="X208" s="30" t="inlineStr">
        <is>
          <t>Cyclical in an Upturn</t>
        </is>
      </c>
      <c r="Y208" s="30">
        <f>IF(X208="Growing Industry",10,IF(X208="Cyclical in an Upturn",5,0))</f>
        <v/>
      </c>
      <c r="Z208" s="30" t="inlineStr">
        <is>
          <t>Too Many Players with High ROCE</t>
        </is>
      </c>
      <c r="AA208" s="30">
        <f>IF(Z208="Monopoly",10,IF(Z208="Oligopoly",5,IF(Z208="Duopoly that cooperate",10,IF(Z208="Duopoly that compete",5,IF(Z208="Too many players with High ROCE",5,0)))))</f>
        <v/>
      </c>
      <c r="AB208" s="30" t="inlineStr">
        <is>
          <t>No</t>
        </is>
      </c>
      <c r="AC208" s="30">
        <f>IF(AB208="No",5,0)</f>
        <v/>
      </c>
      <c r="AD208" s="30" t="inlineStr">
        <is>
          <t>Tailwind</t>
        </is>
      </c>
      <c r="AE208" s="30">
        <f>IF(AD208="Tailwind",10,0)</f>
        <v/>
      </c>
      <c r="AF208" s="30" t="inlineStr">
        <is>
          <t>Structural (10 Years Consistency)</t>
        </is>
      </c>
      <c r="AG208" s="30">
        <f>IF(AF208="Structural (10 Years Consistency)",10,IF(AF208="Shallow Cyclical (2 to 3 years growth)",5,0))</f>
        <v/>
      </c>
      <c r="AH208" s="30" t="inlineStr">
        <is>
          <t>No</t>
        </is>
      </c>
      <c r="AI208" s="30">
        <f>IF(AH208="Yes due to Product Mix change or Operating Leverage",10,IF(AH208="Yes, these are peak margins",-5,IF(AH208="No",5,0)))</f>
        <v/>
      </c>
      <c r="AJ208" s="30" t="inlineStr">
        <is>
          <t>Stable</t>
        </is>
      </c>
      <c r="AK208" s="30">
        <f>IF(AJ208="Stable",10,0)</f>
        <v/>
      </c>
      <c r="AL208" s="30" t="inlineStr">
        <is>
          <t>Yes</t>
        </is>
      </c>
      <c r="AM208" s="30">
        <f>IF(AL208="Yes",10,0)</f>
        <v/>
      </c>
      <c r="AN208" s="30" t="inlineStr">
        <is>
          <t>B2B</t>
        </is>
      </c>
      <c r="AO208" s="30">
        <f>IF(AN208="B2C",10,IF(AN208="B2B",5,0))</f>
        <v/>
      </c>
      <c r="AP208" s="30" t="inlineStr">
        <is>
          <t>No</t>
        </is>
      </c>
      <c r="AQ208" s="30">
        <f>IF(AP208="Yes",10,0)</f>
        <v/>
      </c>
      <c r="AR208" s="30" t="inlineStr">
        <is>
          <t>Higher One Time, Lower Annuity</t>
        </is>
      </c>
      <c r="AS208" s="30">
        <f>IF(AR208="Fully Annuity",10,IF(AR208="Higher Annuity, Lower One Time",5,IF(AR208="Higher One Time, Lower Annuity",3,0)))</f>
        <v/>
      </c>
      <c r="AT208" s="30" t="inlineStr">
        <is>
          <t>Good</t>
        </is>
      </c>
      <c r="AU208" s="30">
        <f>IF(AT208="Good",10,0)</f>
        <v/>
      </c>
      <c r="AV208" s="30" t="inlineStr">
        <is>
          <t>Yes for more than 2 years</t>
        </is>
      </c>
      <c r="AW208" s="30">
        <f>IF(AV208="Yes for more than 2 years",10,IF(AV208="Yes only for next 1 to 2 years",5,0))</f>
        <v/>
      </c>
      <c r="AX208" s="30" t="inlineStr">
        <is>
          <t>20 to 40</t>
        </is>
      </c>
      <c r="AY208" s="30">
        <f>IF(AX208="Above 40",20,IF(AX208="20 to 40",10,IF(AX208="0 to 20",-5,0)))</f>
        <v/>
      </c>
      <c r="AZ208" s="30" t="inlineStr">
        <is>
          <t>Between 50 to 75</t>
        </is>
      </c>
      <c r="BA208" s="30">
        <f>IF(AZ208="Between 50 to 75",10,IF(AZ208="Above 75",0,0))</f>
        <v/>
      </c>
      <c r="BB208" s="30" t="inlineStr">
        <is>
          <t>Stage 2</t>
        </is>
      </c>
      <c r="BC208" s="30">
        <f>IF(BB208="Stage 2",20,IF(BB208="Stage 1",0,IF(BB208="Stage 3",5,IF(BB208="Stage 4",-5,0))))</f>
        <v/>
      </c>
      <c r="BD208" s="30" t="inlineStr">
        <is>
          <t>Positive Trend</t>
        </is>
      </c>
      <c r="BE208" s="30">
        <f>IF(BD208="Positive Trend",20,IF(BD208="Negative Trend",-10,0))</f>
        <v/>
      </c>
      <c r="BF208" s="30" t="inlineStr">
        <is>
          <t>Uptrend</t>
        </is>
      </c>
      <c r="BG208" s="30">
        <f>IF(BF208="Uptrend",10,IF(BF208="Sideways",5,0))</f>
        <v/>
      </c>
      <c r="BH208" s="30" t="inlineStr">
        <is>
          <t>Uptrend</t>
        </is>
      </c>
      <c r="BI208" s="30">
        <f>IF(BH208="Uptrend",10,IF(BH208="Sideways",5,0))</f>
        <v/>
      </c>
      <c r="BJ208" s="30" t="inlineStr">
        <is>
          <t>Close to 52 week high or retracement</t>
        </is>
      </c>
      <c r="BK208" s="30">
        <f>IF(BJ208="Overhead supply in last 2 years in last 2 years",-5,IF(BJ208="Close to 52 week high or retracement",5,IF(BJ208="Blue sky scenario",10,IF(BJ208="Long term Downtrend",-10,0))))</f>
        <v/>
      </c>
      <c r="BL208" s="30" t="inlineStr">
        <is>
          <t>Yes</t>
        </is>
      </c>
      <c r="BM208" s="30">
        <f>IF(BL208="Yes",10,0)</f>
        <v/>
      </c>
      <c r="BN208" s="30" t="inlineStr">
        <is>
          <t>More than 20%</t>
        </is>
      </c>
      <c r="BO208" s="30">
        <f>IF(BN208="More than 20%",10,IF(BN208="Between 12 to 20%",5,IF(BN208="Less than 12%",0,0)))</f>
        <v/>
      </c>
      <c r="BP208" s="30" t="inlineStr">
        <is>
          <t>No</t>
        </is>
      </c>
      <c r="BQ208" s="30">
        <f>IF(BP208="No",10,0)</f>
        <v/>
      </c>
      <c r="BR208" s="30" t="inlineStr">
        <is>
          <t>No</t>
        </is>
      </c>
      <c r="BS208" s="30">
        <f>IF(BR208="NO",5,0)</f>
        <v/>
      </c>
      <c r="BT208" s="30" t="inlineStr">
        <is>
          <t>Less than 1.5</t>
        </is>
      </c>
      <c r="BU208" s="30">
        <f>IF(BT208="Above 2",0,IF(BT208="Between 1.5 to 2",5,IF(BT208="Less than 1.5",10,0)))</f>
        <v/>
      </c>
      <c r="BV208" s="30" t="inlineStr">
        <is>
          <t>Above 70%</t>
        </is>
      </c>
      <c r="BW208" s="30">
        <f>IF(BV208="Above 70%",10,IF(BV208="Between 50% to 70%",5,IF(BV208="Less than 50%",0,IF(BV208="Negative",-10,IF(BV208="Less than 50% and Borrowings are increasing",-5,0)))))</f>
        <v/>
      </c>
      <c r="BX208" s="30" t="inlineStr">
        <is>
          <t>Less than 0.7</t>
        </is>
      </c>
      <c r="BY208" s="30">
        <f>IF(BX208="More than 1.2",-10,IF(BX208="Between 0.7 to 1.2",0,IF(BX208="Less than 0.7",10,0)))</f>
        <v/>
      </c>
      <c r="BZ208" s="30" t="inlineStr">
        <is>
          <t>No</t>
        </is>
      </c>
      <c r="CA208" s="30">
        <f>IF(BZ208="Yes",-10,0)</f>
        <v/>
      </c>
      <c r="CB208" s="30" t="inlineStr">
        <is>
          <t>Less than 15%</t>
        </is>
      </c>
      <c r="CC208" s="30">
        <f>IF(CB208="More than 15%",-10,IF(CB208="Less than 15%",10,0))</f>
        <v/>
      </c>
      <c r="CD208" s="30" t="inlineStr">
        <is>
          <t>No</t>
        </is>
      </c>
      <c r="CE208" s="30">
        <f>IF(CD208="Yes, more than 10%",-10,IF(CD208="No",10,0))</f>
        <v/>
      </c>
    </row>
    <row r="209">
      <c r="A209" s="30">
        <f>IF(B209=0,"",RANK(B209,$B$2:$B$331,0))</f>
        <v/>
      </c>
      <c r="B209" s="31">
        <f>SUM(N209,Y209,AA209,AC209,AE209,AG209,AI209,AK209,AM209,AO209,AQ209,AS209,AU209,AW209,AY209,BA209,BC209,BE209,BG209,BI209,BK209,BM209,BO209,BQ209,BS209,BU209,BW209,BY209,CA209,CC209,CE209)</f>
        <v/>
      </c>
      <c r="C209" s="30" t="inlineStr">
        <is>
          <t>DATAPATTNS</t>
        </is>
      </c>
      <c r="D209" s="30" t="inlineStr">
        <is>
          <t>Data Patterns (India) Ltd</t>
        </is>
      </c>
      <c r="E209" s="30" t="inlineStr">
        <is>
          <t>aerospace &amp; defence</t>
        </is>
      </c>
      <c r="F209" s="30" t="inlineStr">
        <is>
          <t>electronics - components</t>
        </is>
      </c>
      <c r="G209" s="30" t="inlineStr">
        <is>
          <t>largecap</t>
        </is>
      </c>
      <c r="H209" s="31" t="n">
        <v>27338.09</v>
      </c>
      <c r="I209" s="31" t="n">
        <v>4777.2</v>
      </c>
      <c r="J209" s="31" t="n">
        <v>-2.17</v>
      </c>
      <c r="K209" s="31" t="n">
        <v>554842</v>
      </c>
      <c r="L209" s="30" t="n">
        <v>47</v>
      </c>
      <c r="M209" s="30" t="inlineStr">
        <is>
          <t>Outperforming</t>
        </is>
      </c>
      <c r="N209" s="31">
        <f>IF(M209="Underperforming",-5,IF(L209&gt;=95,15,IF(L209&gt;=90,10,IF(L209&gt;=80,5,0))))</f>
        <v/>
      </c>
      <c r="O209" s="31" t="n">
        <v>62.83</v>
      </c>
      <c r="P209" s="31" t="n">
        <v>34.38</v>
      </c>
      <c r="Q209" s="31" t="n">
        <v>3543.96</v>
      </c>
      <c r="R209" s="30" t="inlineStr">
        <is>
          <t>Near 52W High Breakout</t>
        </is>
      </c>
      <c r="S209" s="30" t="inlineStr">
        <is>
          <t>Nifty 50</t>
        </is>
      </c>
      <c r="T209" s="31" t="n">
        <v>-6.52</v>
      </c>
      <c r="U209" s="31" t="n">
        <v>76.59999999999999</v>
      </c>
      <c r="V209" s="31" t="n">
        <v>88.91</v>
      </c>
      <c r="W209" s="31" t="n">
        <v>14.33</v>
      </c>
      <c r="X209" s="30" t="inlineStr">
        <is>
          <t>Growing Industry</t>
        </is>
      </c>
      <c r="Y209" s="30">
        <f>IF(X209="Growing Industry",10,IF(X209="Cyclical in an Upturn",5,0))</f>
        <v/>
      </c>
      <c r="Z209" s="30" t="inlineStr">
        <is>
          <t>Too Many Players with High ROCE</t>
        </is>
      </c>
      <c r="AA209" s="30">
        <f>IF(Z209="Monopoly",10,IF(Z209="Oligopoly",5,IF(Z209="Duopoly that cooperate",10,IF(Z209="Duopoly that compete",5,IF(Z209="Too many players with High ROCE",5,0)))))</f>
        <v/>
      </c>
      <c r="AB209" s="30" t="inlineStr">
        <is>
          <t>No</t>
        </is>
      </c>
      <c r="AC209" s="30">
        <f>IF(AB209="No",5,0)</f>
        <v/>
      </c>
      <c r="AD209" s="30" t="inlineStr">
        <is>
          <t>Tailwind</t>
        </is>
      </c>
      <c r="AE209" s="30">
        <f>IF(AD209="Tailwind",10,0)</f>
        <v/>
      </c>
      <c r="AF209" s="30" t="inlineStr">
        <is>
          <t>Structural (10 Years Consistency)</t>
        </is>
      </c>
      <c r="AG209" s="30">
        <f>IF(AF209="Structural (10 Years Consistency)",10,IF(AF209="Shallow Cyclical (2 to 3 years growth)",5,0))</f>
        <v/>
      </c>
      <c r="AH209" s="30" t="inlineStr">
        <is>
          <t>No</t>
        </is>
      </c>
      <c r="AI209" s="30">
        <f>IF(AH209="Yes due to Product Mix change or Operating Leverage",10,IF(AH209="Yes, these are peak margins",-5,IF(AH209="No",5,0)))</f>
        <v/>
      </c>
      <c r="AJ209" s="30" t="inlineStr">
        <is>
          <t>Stable</t>
        </is>
      </c>
      <c r="AK209" s="30">
        <f>IF(AJ209="Stable",10,0)</f>
        <v/>
      </c>
      <c r="AL209" s="30" t="inlineStr">
        <is>
          <t>Yes</t>
        </is>
      </c>
      <c r="AM209" s="30">
        <f>IF(AL209="Yes",10,0)</f>
        <v/>
      </c>
      <c r="AN209" s="30" t="inlineStr">
        <is>
          <t>B2B</t>
        </is>
      </c>
      <c r="AO209" s="30">
        <f>IF(AN209="B2C",10,IF(AN209="B2B",5,0))</f>
        <v/>
      </c>
      <c r="AP209" s="30" t="inlineStr">
        <is>
          <t>Yes</t>
        </is>
      </c>
      <c r="AQ209" s="30">
        <f>IF(AP209="Yes",10,0)</f>
        <v/>
      </c>
      <c r="AR209" s="30" t="inlineStr">
        <is>
          <t>Higher One Time, Lower Annuity</t>
        </is>
      </c>
      <c r="AS209" s="30">
        <f>IF(AR209="Fully Annuity",10,IF(AR209="Higher Annuity, Lower One Time",5,IF(AR209="Higher One Time, Lower Annuity",3,0)))</f>
        <v/>
      </c>
      <c r="AT209" s="30" t="inlineStr">
        <is>
          <t>Good</t>
        </is>
      </c>
      <c r="AU209" s="30">
        <f>IF(AT209="Good",10,0)</f>
        <v/>
      </c>
      <c r="AV209" s="30" t="inlineStr">
        <is>
          <t>Yes for more than 2 years</t>
        </is>
      </c>
      <c r="AW209" s="30">
        <f>IF(AV209="Yes for more than 2 years",10,IF(AV209="Yes only for next 1 to 2 years",5,0))</f>
        <v/>
      </c>
      <c r="AX209" s="30" t="inlineStr">
        <is>
          <t>20 to 40</t>
        </is>
      </c>
      <c r="AY209" s="30">
        <f>IF(AX209="Above 40",20,IF(AX209="20 to 40",10,IF(AX209="0 to 20",-5,0)))</f>
        <v/>
      </c>
      <c r="AZ209" s="30" t="inlineStr">
        <is>
          <t>Between 50 to 75</t>
        </is>
      </c>
      <c r="BA209" s="30">
        <f>IF(AZ209="Between 50 to 75",10,IF(AZ209="Above 75",0,0))</f>
        <v/>
      </c>
      <c r="BB209" s="30" t="inlineStr">
        <is>
          <t>Stage 2</t>
        </is>
      </c>
      <c r="BC209" s="30">
        <f>IF(BB209="Stage 2",20,IF(BB209="Stage 1",0,IF(BB209="Stage 3",5,IF(BB209="Stage 4",-5,0))))</f>
        <v/>
      </c>
      <c r="BD209" s="30" t="inlineStr">
        <is>
          <t>Positive Trend</t>
        </is>
      </c>
      <c r="BE209" s="30">
        <f>IF(BD209="Positive Trend",20,IF(BD209="Negative Trend",-10,0))</f>
        <v/>
      </c>
      <c r="BF209" s="30" t="inlineStr">
        <is>
          <t>Uptrend</t>
        </is>
      </c>
      <c r="BG209" s="30">
        <f>IF(BF209="Uptrend",10,IF(BF209="Sideways",5,0))</f>
        <v/>
      </c>
      <c r="BH209" s="30" t="inlineStr">
        <is>
          <t>Uptrend</t>
        </is>
      </c>
      <c r="BI209" s="30">
        <f>IF(BH209="Uptrend",10,IF(BH209="Sideways",5,0))</f>
        <v/>
      </c>
      <c r="BJ209" s="30" t="inlineStr">
        <is>
          <t>Blue sky scenario</t>
        </is>
      </c>
      <c r="BK209" s="30">
        <f>IF(BJ209="Overhead supply in last 2 years in last 2 years",-5,IF(BJ209="Close to 52 week high or retracement",5,IF(BJ209="Blue sky scenario",10,IF(BJ209="Long term Downtrend",-10,0))))</f>
        <v/>
      </c>
      <c r="BL209" s="30" t="inlineStr">
        <is>
          <t>Yes</t>
        </is>
      </c>
      <c r="BM209" s="30">
        <f>IF(BL209="Yes",10,0)</f>
        <v/>
      </c>
      <c r="BN209" s="30" t="inlineStr">
        <is>
          <t>Less than 12%</t>
        </is>
      </c>
      <c r="BO209" s="30">
        <f>IF(BN209="More than 20%",10,IF(BN209="Between 12 to 20%",5,IF(BN209="Less than 12%",0,0)))</f>
        <v/>
      </c>
      <c r="BP209" s="30" t="inlineStr">
        <is>
          <t>No</t>
        </is>
      </c>
      <c r="BQ209" s="30">
        <f>IF(BP209="No",10,0)</f>
        <v/>
      </c>
      <c r="BR209" s="30" t="inlineStr">
        <is>
          <t>Yes</t>
        </is>
      </c>
      <c r="BS209" s="30">
        <f>IF(BR209="NO",5,0)</f>
        <v/>
      </c>
      <c r="BT209" s="30" t="inlineStr">
        <is>
          <t>Above 2</t>
        </is>
      </c>
      <c r="BU209" s="30">
        <f>IF(BT209="Above 2",0,IF(BT209="Between 1.5 to 2",5,IF(BT209="Less than 1.5",10,0)))</f>
        <v/>
      </c>
      <c r="BV209" s="30" t="inlineStr">
        <is>
          <t>Above 70%</t>
        </is>
      </c>
      <c r="BW209" s="30">
        <f>IF(BV209="Above 70%",10,IF(BV209="Between 50% to 70%",5,IF(BV209="Less than 50%",0,IF(BV209="Negative",-10,IF(BV209="Less than 50% and Borrowings are increasing",-5,0)))))</f>
        <v/>
      </c>
      <c r="BX209" s="30" t="inlineStr">
        <is>
          <t>Less than 0.7</t>
        </is>
      </c>
      <c r="BY209" s="30">
        <f>IF(BX209="More than 1.2",-10,IF(BX209="Between 0.7 to 1.2",0,IF(BX209="Less than 0.7",10,0)))</f>
        <v/>
      </c>
      <c r="BZ209" s="30" t="inlineStr">
        <is>
          <t>No</t>
        </is>
      </c>
      <c r="CA209" s="30">
        <f>IF(BZ209="Yes",-10,0)</f>
        <v/>
      </c>
      <c r="CB209" s="30" t="inlineStr">
        <is>
          <t>Less than 15%</t>
        </is>
      </c>
      <c r="CC209" s="30">
        <f>IF(CB209="More than 15%",-10,IF(CB209="Less than 15%",10,0))</f>
        <v/>
      </c>
      <c r="CD209" s="30" t="inlineStr">
        <is>
          <t>No</t>
        </is>
      </c>
      <c r="CE209" s="30">
        <f>IF(CD209="Yes, more than 10%",-10,IF(CD209="No",10,0))</f>
        <v/>
      </c>
    </row>
    <row r="210">
      <c r="A210" s="30">
        <f>IF(B210=0,"",RANK(B210,$B$2:$B$331,0))</f>
        <v/>
      </c>
      <c r="B210" s="31">
        <f>SUM(N210,Y210,AA210,AC210,AE210,AG210,AI210,AK210,AM210,AO210,AQ210,AS210,AU210,AW210,AY210,BA210,BC210,BE210,BG210,BI210,BK210,BM210,BO210,BQ210,BS210,BU210,BW210,BY210,CA210,CC210,CE210)</f>
        <v/>
      </c>
      <c r="C210" s="30" t="inlineStr">
        <is>
          <t>RAIN</t>
        </is>
      </c>
      <c r="D210" s="30" t="inlineStr">
        <is>
          <t>Rain Industries Limited</t>
        </is>
      </c>
      <c r="E210" s="30" t="inlineStr">
        <is>
          <t>miscellaneous</t>
        </is>
      </c>
      <c r="F210" s="30" t="inlineStr">
        <is>
          <t>miscellaneous</t>
        </is>
      </c>
      <c r="G210" s="30" t="inlineStr">
        <is>
          <t>midcap</t>
        </is>
      </c>
      <c r="H210" s="31" t="n">
        <v>7483.69</v>
      </c>
      <c r="I210" s="31" t="n">
        <v>217.28</v>
      </c>
      <c r="J210" s="31" t="n">
        <v>-2.35</v>
      </c>
      <c r="K210" s="31" t="n">
        <v>4114741</v>
      </c>
      <c r="L210" s="30" t="n">
        <v>51</v>
      </c>
      <c r="M210" s="30" t="inlineStr">
        <is>
          <t>Outperforming</t>
        </is>
      </c>
      <c r="N210" s="31">
        <f>IF(M210="Underperforming",-5,IF(L210&gt;=95,15,IF(L210&gt;=90,10,IF(L210&gt;=80,5,0))))</f>
        <v/>
      </c>
      <c r="O210" s="31" t="n">
        <v>65.97</v>
      </c>
      <c r="P210" s="31" t="n">
        <v>49.15</v>
      </c>
      <c r="Q210" s="31" t="n">
        <v>168.03</v>
      </c>
      <c r="R210" s="30" t="inlineStr">
        <is>
          <t>Near 52W High Breakout</t>
        </is>
      </c>
      <c r="S210" s="30" t="inlineStr">
        <is>
          <t>Nifty 50</t>
        </is>
      </c>
      <c r="T210" s="31" t="n">
        <v>-6.52</v>
      </c>
      <c r="U210" s="31" t="n">
        <v>57.47</v>
      </c>
      <c r="V210" s="31" t="n">
        <v>68.44</v>
      </c>
      <c r="W210" s="31" t="n">
        <v>15.87</v>
      </c>
      <c r="X210" s="30" t="inlineStr">
        <is>
          <t>Growing Industry</t>
        </is>
      </c>
      <c r="Y210" s="30">
        <f>IF(X210="Growing Industry",10,IF(X210="Cyclical in an Upturn",5,0))</f>
        <v/>
      </c>
      <c r="Z210" s="30" t="inlineStr">
        <is>
          <t>Too Many Players with High ROCE</t>
        </is>
      </c>
      <c r="AA210" s="30">
        <f>IF(Z210="Monopoly",10,IF(Z210="Oligopoly",5,IF(Z210="Duopoly that cooperate",10,IF(Z210="Duopoly that compete",5,IF(Z210="Too many players with High ROCE",5,0)))))</f>
        <v/>
      </c>
      <c r="AB210" s="30" t="inlineStr">
        <is>
          <t>No</t>
        </is>
      </c>
      <c r="AC210" s="30">
        <f>IF(AB210="No",5,0)</f>
        <v/>
      </c>
      <c r="AD210" s="30" t="inlineStr">
        <is>
          <t>Tailwind</t>
        </is>
      </c>
      <c r="AE210" s="30">
        <f>IF(AD210="Tailwind",10,0)</f>
        <v/>
      </c>
      <c r="AF210" s="30" t="inlineStr">
        <is>
          <t>Structural (10 Years Consistency)</t>
        </is>
      </c>
      <c r="AG210" s="30">
        <f>IF(AF210="Structural (10 Years Consistency)",10,IF(AF210="Shallow Cyclical (2 to 3 years growth)",5,0))</f>
        <v/>
      </c>
      <c r="AH210" s="30" t="inlineStr">
        <is>
          <t>No</t>
        </is>
      </c>
      <c r="AI210" s="30">
        <f>IF(AH210="Yes due to Product Mix change or Operating Leverage",10,IF(AH210="Yes, these are peak margins",-5,IF(AH210="No",5,0)))</f>
        <v/>
      </c>
      <c r="AJ210" s="30" t="inlineStr">
        <is>
          <t>Stable</t>
        </is>
      </c>
      <c r="AK210" s="30">
        <f>IF(AJ210="Stable",10,0)</f>
        <v/>
      </c>
      <c r="AL210" s="30" t="inlineStr">
        <is>
          <t>Yes</t>
        </is>
      </c>
      <c r="AM210" s="30">
        <f>IF(AL210="Yes",10,0)</f>
        <v/>
      </c>
      <c r="AN210" s="30" t="inlineStr">
        <is>
          <t>B2B</t>
        </is>
      </c>
      <c r="AO210" s="30">
        <f>IF(AN210="B2C",10,IF(AN210="B2B",5,0))</f>
        <v/>
      </c>
      <c r="AP210" s="30" t="inlineStr">
        <is>
          <t>Yes</t>
        </is>
      </c>
      <c r="AQ210" s="30">
        <f>IF(AP210="Yes",10,0)</f>
        <v/>
      </c>
      <c r="AR210" s="30" t="inlineStr">
        <is>
          <t>Higher One Time, Lower Annuity</t>
        </is>
      </c>
      <c r="AS210" s="30">
        <f>IF(AR210="Fully Annuity",10,IF(AR210="Higher Annuity, Lower One Time",5,IF(AR210="Higher One Time, Lower Annuity",3,0)))</f>
        <v/>
      </c>
      <c r="AT210" s="30" t="inlineStr">
        <is>
          <t>Good</t>
        </is>
      </c>
      <c r="AU210" s="30">
        <f>IF(AT210="Good",10,0)</f>
        <v/>
      </c>
      <c r="AV210" s="30" t="inlineStr">
        <is>
          <t>Yes for more than 2 years</t>
        </is>
      </c>
      <c r="AW210" s="30">
        <f>IF(AV210="Yes for more than 2 years",10,IF(AV210="Yes only for next 1 to 2 years",5,0))</f>
        <v/>
      </c>
      <c r="AX210" s="30" t="inlineStr">
        <is>
          <t>Above 40</t>
        </is>
      </c>
      <c r="AY210" s="30">
        <f>IF(AX210="Above 40",20,IF(AX210="20 to 40",10,IF(AX210="0 to 20",-5,0)))</f>
        <v/>
      </c>
      <c r="AZ210" s="30" t="inlineStr">
        <is>
          <t>Between 50 to 75</t>
        </is>
      </c>
      <c r="BA210" s="30">
        <f>IF(AZ210="Between 50 to 75",10,IF(AZ210="Above 75",0,0))</f>
        <v/>
      </c>
      <c r="BB210" s="30" t="inlineStr">
        <is>
          <t>Stage 2</t>
        </is>
      </c>
      <c r="BC210" s="30">
        <f>IF(BB210="Stage 2",20,IF(BB210="Stage 1",0,IF(BB210="Stage 3",5,IF(BB210="Stage 4",-5,0))))</f>
        <v/>
      </c>
      <c r="BD210" s="30" t="inlineStr">
        <is>
          <t>Positive Trend</t>
        </is>
      </c>
      <c r="BE210" s="30">
        <f>IF(BD210="Positive Trend",20,IF(BD210="Negative Trend",-10,0))</f>
        <v/>
      </c>
      <c r="BF210" s="30" t="inlineStr">
        <is>
          <t>Uptrend</t>
        </is>
      </c>
      <c r="BG210" s="30">
        <f>IF(BF210="Uptrend",10,IF(BF210="Sideways",5,0))</f>
        <v/>
      </c>
      <c r="BH210" s="30" t="inlineStr">
        <is>
          <t>Uptrend</t>
        </is>
      </c>
      <c r="BI210" s="30">
        <f>IF(BH210="Uptrend",10,IF(BH210="Sideways",5,0))</f>
        <v/>
      </c>
      <c r="BJ210" s="30" t="inlineStr">
        <is>
          <t>Blue sky scenario</t>
        </is>
      </c>
      <c r="BK210" s="30">
        <f>IF(BJ210="Overhead supply in last 2 years in last 2 years",-5,IF(BJ210="Close to 52 week high or retracement",5,IF(BJ210="Blue sky scenario",10,IF(BJ210="Long term Downtrend",-10,0))))</f>
        <v/>
      </c>
      <c r="BL210" s="30" t="inlineStr">
        <is>
          <t>Yes</t>
        </is>
      </c>
      <c r="BM210" s="30">
        <f>IF(BL210="Yes",10,0)</f>
        <v/>
      </c>
      <c r="BN210" s="30" t="inlineStr">
        <is>
          <t>More than 20%</t>
        </is>
      </c>
      <c r="BO210" s="30">
        <f>IF(BN210="More than 20%",10,IF(BN210="Between 12 to 20%",5,IF(BN210="Less than 12%",0,0)))</f>
        <v/>
      </c>
      <c r="BP210" s="30" t="inlineStr">
        <is>
          <t>No</t>
        </is>
      </c>
      <c r="BQ210" s="30">
        <f>IF(BP210="No",10,0)</f>
        <v/>
      </c>
      <c r="BR210" s="30" t="inlineStr">
        <is>
          <t>No</t>
        </is>
      </c>
      <c r="BS210" s="30">
        <f>IF(BR210="NO",5,0)</f>
        <v/>
      </c>
      <c r="BT210" s="30" t="inlineStr">
        <is>
          <t>Above 2</t>
        </is>
      </c>
      <c r="BU210" s="30">
        <f>IF(BT210="Above 2",0,IF(BT210="Between 1.5 to 2",5,IF(BT210="Less than 1.5",10,0)))</f>
        <v/>
      </c>
      <c r="BV210" s="30" t="inlineStr">
        <is>
          <t>Between 50% to 70%</t>
        </is>
      </c>
      <c r="BW210" s="30">
        <f>IF(BV210="Above 70%",10,IF(BV210="Between 50% to 70%",5,IF(BV210="Less than 50%",0,IF(BV210="Negative",-10,IF(BV210="Less than 50% and Borrowings are increasing",-5,0)))))</f>
        <v/>
      </c>
      <c r="BX210" s="30" t="inlineStr">
        <is>
          <t>More than 1.2</t>
        </is>
      </c>
      <c r="BY210" s="30">
        <f>IF(BX210="More than 1.2",-10,IF(BX210="Between 0.7 to 1.2",0,IF(BX210="Less than 0.7",10,0)))</f>
        <v/>
      </c>
      <c r="BZ210" s="30" t="inlineStr">
        <is>
          <t>No</t>
        </is>
      </c>
      <c r="CA210" s="30">
        <f>IF(BZ210="Yes",-10,0)</f>
        <v/>
      </c>
      <c r="CB210" s="30" t="inlineStr">
        <is>
          <t>Less than 15%</t>
        </is>
      </c>
      <c r="CC210" s="30">
        <f>IF(CB210="More than 15%",-10,IF(CB210="Less than 15%",10,0))</f>
        <v/>
      </c>
      <c r="CD210" s="30" t="inlineStr">
        <is>
          <t>No</t>
        </is>
      </c>
      <c r="CE210" s="30">
        <f>IF(CD210="Yes, more than 10%",-10,IF(CD210="No",10,0))</f>
        <v/>
      </c>
    </row>
    <row r="211">
      <c r="A211" s="30">
        <f>IF(B211=0,"",RANK(B211,$B$2:$B$331,0))</f>
        <v/>
      </c>
      <c r="B211" s="31">
        <f>SUM(N211,Y211,AA211,AC211,AE211,AG211,AI211,AK211,AM211,AO211,AQ211,AS211,AU211,AW211,AY211,BA211,BC211,BE211,BG211,BI211,BK211,BM211,BO211,BQ211,BS211,BU211,BW211,BY211,CA211,CC211,CE211)</f>
        <v/>
      </c>
      <c r="C211" s="30" t="inlineStr">
        <is>
          <t>BEPL</t>
        </is>
      </c>
      <c r="D211" s="30" t="inlineStr">
        <is>
          <t>Bhansali Engineering Polymers Limited</t>
        </is>
      </c>
      <c r="E211" s="30" t="inlineStr">
        <is>
          <t>energy</t>
        </is>
      </c>
      <c r="F211" s="30" t="inlineStr">
        <is>
          <t>petrochemicals</t>
        </is>
      </c>
      <c r="G211" s="30" t="inlineStr">
        <is>
          <t>smallcap</t>
        </is>
      </c>
      <c r="H211" s="31" t="n">
        <v>3323.75</v>
      </c>
      <c r="I211" s="31" t="n">
        <v>130.29</v>
      </c>
      <c r="J211" s="31" t="n">
        <v>-2.45</v>
      </c>
      <c r="K211" s="31" t="n">
        <v>1382749</v>
      </c>
      <c r="L211" s="30" t="n">
        <v>43</v>
      </c>
      <c r="M211" s="30" t="inlineStr">
        <is>
          <t>Outperforming</t>
        </is>
      </c>
      <c r="N211" s="31">
        <f>IF(M211="Underperforming",-5,IF(L211&gt;=95,15,IF(L211&gt;=90,10,IF(L211&gt;=80,5,0))))</f>
        <v/>
      </c>
      <c r="O211" s="31" t="n">
        <v>73.11</v>
      </c>
      <c r="P211" s="31" t="n">
        <v>57.56</v>
      </c>
      <c r="Q211" s="31" t="n">
        <v>101.75</v>
      </c>
      <c r="R211" s="30" t="inlineStr">
        <is>
          <t>Near 52W High Breakout</t>
        </is>
      </c>
      <c r="S211" s="30" t="inlineStr">
        <is>
          <t>Nifty Energy</t>
        </is>
      </c>
      <c r="T211" s="31" t="n">
        <v>8.43</v>
      </c>
      <c r="U211" s="31" t="n">
        <v>26.26</v>
      </c>
      <c r="V211" s="31" t="n">
        <v>16.44</v>
      </c>
      <c r="W211" s="31" t="n">
        <v>13.03</v>
      </c>
      <c r="X211" s="30" t="inlineStr">
        <is>
          <t>Cyclical in an Upturn</t>
        </is>
      </c>
      <c r="Y211" s="30">
        <f>IF(X211="Growing Industry",10,IF(X211="Cyclical in an Upturn",5,0))</f>
        <v/>
      </c>
      <c r="Z211" s="30" t="inlineStr">
        <is>
          <t>Oligopoly</t>
        </is>
      </c>
      <c r="AA211" s="30">
        <f>IF(Z211="Monopoly",10,IF(Z211="Oligopoly",5,IF(Z211="Duopoly that cooperate",10,IF(Z211="Duopoly that compete",5,IF(Z211="Too many players with High ROCE",5,0)))))</f>
        <v/>
      </c>
      <c r="AB211" s="30" t="inlineStr">
        <is>
          <t>Yes</t>
        </is>
      </c>
      <c r="AC211" s="30">
        <f>IF(AB211="No",5,0)</f>
        <v/>
      </c>
      <c r="AD211" s="30" t="inlineStr">
        <is>
          <t>Tailwind</t>
        </is>
      </c>
      <c r="AE211" s="30">
        <f>IF(AD211="Tailwind",10,0)</f>
        <v/>
      </c>
      <c r="AF211" s="30" t="inlineStr">
        <is>
          <t>Cyclical</t>
        </is>
      </c>
      <c r="AG211" s="30">
        <f>IF(AF211="Structural (10 Years Consistency)",10,IF(AF211="Shallow Cyclical (2 to 3 years growth)",5,0))</f>
        <v/>
      </c>
      <c r="AH211" s="30" t="inlineStr">
        <is>
          <t>No</t>
        </is>
      </c>
      <c r="AI211" s="30">
        <f>IF(AH211="Yes due to Product Mix change or Operating Leverage",10,IF(AH211="Yes, these are peak margins",-5,IF(AH211="No",5,0)))</f>
        <v/>
      </c>
      <c r="AJ211" s="30" t="inlineStr">
        <is>
          <t>Volatile</t>
        </is>
      </c>
      <c r="AK211" s="30">
        <f>IF(AJ211="Stable",10,0)</f>
        <v/>
      </c>
      <c r="AL211" s="30" t="inlineStr">
        <is>
          <t>Yes</t>
        </is>
      </c>
      <c r="AM211" s="30">
        <f>IF(AL211="Yes",10,0)</f>
        <v/>
      </c>
      <c r="AN211" s="30" t="inlineStr">
        <is>
          <t>B2B</t>
        </is>
      </c>
      <c r="AO211" s="30">
        <f>IF(AN211="B2C",10,IF(AN211="B2B",5,0))</f>
        <v/>
      </c>
      <c r="AP211" s="30" t="inlineStr">
        <is>
          <t>Yes</t>
        </is>
      </c>
      <c r="AQ211" s="30">
        <f>IF(AP211="Yes",10,0)</f>
        <v/>
      </c>
      <c r="AR211" s="30" t="inlineStr">
        <is>
          <t>Higher One Time, Lower Annuity</t>
        </is>
      </c>
      <c r="AS211" s="30">
        <f>IF(AR211="Fully Annuity",10,IF(AR211="Higher Annuity, Lower One Time",5,IF(AR211="Higher One Time, Lower Annuity",3,0)))</f>
        <v/>
      </c>
      <c r="AT211" s="30" t="inlineStr">
        <is>
          <t>Good</t>
        </is>
      </c>
      <c r="AU211" s="30">
        <f>IF(AT211="Good",10,0)</f>
        <v/>
      </c>
      <c r="AV211" s="30" t="inlineStr">
        <is>
          <t>Yes for more than 2 years</t>
        </is>
      </c>
      <c r="AW211" s="30">
        <f>IF(AV211="Yes for more than 2 years",10,IF(AV211="Yes only for next 1 to 2 years",5,0))</f>
        <v/>
      </c>
      <c r="AX211" s="30" t="inlineStr">
        <is>
          <t>Above 40</t>
        </is>
      </c>
      <c r="AY211" s="30">
        <f>IF(AX211="Above 40",20,IF(AX211="20 to 40",10,IF(AX211="0 to 20",-5,0)))</f>
        <v/>
      </c>
      <c r="AZ211" s="30" t="inlineStr">
        <is>
          <t>Between 50 to 75</t>
        </is>
      </c>
      <c r="BA211" s="30">
        <f>IF(AZ211="Between 50 to 75",10,IF(AZ211="Above 75",0,0))</f>
        <v/>
      </c>
      <c r="BB211" s="30" t="inlineStr">
        <is>
          <t>Stage 2</t>
        </is>
      </c>
      <c r="BC211" s="30">
        <f>IF(BB211="Stage 2",20,IF(BB211="Stage 1",0,IF(BB211="Stage 3",5,IF(BB211="Stage 4",-5,0))))</f>
        <v/>
      </c>
      <c r="BD211" s="30" t="inlineStr">
        <is>
          <t>Positive Trend</t>
        </is>
      </c>
      <c r="BE211" s="30">
        <f>IF(BD211="Positive Trend",20,IF(BD211="Negative Trend",-10,0))</f>
        <v/>
      </c>
      <c r="BF211" s="30" t="inlineStr">
        <is>
          <t>Uptrend</t>
        </is>
      </c>
      <c r="BG211" s="30">
        <f>IF(BF211="Uptrend",10,IF(BF211="Sideways",5,0))</f>
        <v/>
      </c>
      <c r="BH211" s="30" t="inlineStr">
        <is>
          <t>Uptrend</t>
        </is>
      </c>
      <c r="BI211" s="30">
        <f>IF(BH211="Uptrend",10,IF(BH211="Sideways",5,0))</f>
        <v/>
      </c>
      <c r="BJ211" s="30" t="inlineStr">
        <is>
          <t>Close to 52 week high or retracement</t>
        </is>
      </c>
      <c r="BK211" s="30">
        <f>IF(BJ211="Overhead supply in last 2 years in last 2 years",-5,IF(BJ211="Close to 52 week high or retracement",5,IF(BJ211="Blue sky scenario",10,IF(BJ211="Long term Downtrend",-10,0))))</f>
        <v/>
      </c>
      <c r="BL211" s="30" t="inlineStr">
        <is>
          <t>Yes</t>
        </is>
      </c>
      <c r="BM211" s="30">
        <f>IF(BL211="Yes",10,0)</f>
        <v/>
      </c>
      <c r="BN211" s="30" t="inlineStr">
        <is>
          <t>More than 20%</t>
        </is>
      </c>
      <c r="BO211" s="30">
        <f>IF(BN211="More than 20%",10,IF(BN211="Between 12 to 20%",5,IF(BN211="Less than 12%",0,0)))</f>
        <v/>
      </c>
      <c r="BP211" s="30" t="inlineStr">
        <is>
          <t>No</t>
        </is>
      </c>
      <c r="BQ211" s="30">
        <f>IF(BP211="No",10,0)</f>
        <v/>
      </c>
      <c r="BR211" s="30" t="inlineStr">
        <is>
          <t>No</t>
        </is>
      </c>
      <c r="BS211" s="30">
        <f>IF(BR211="NO",5,0)</f>
        <v/>
      </c>
      <c r="BT211" s="30" t="inlineStr">
        <is>
          <t>Less than 1.5</t>
        </is>
      </c>
      <c r="BU211" s="30">
        <f>IF(BT211="Above 2",0,IF(BT211="Between 1.5 to 2",5,IF(BT211="Less than 1.5",10,0)))</f>
        <v/>
      </c>
      <c r="BV211" s="30" t="inlineStr">
        <is>
          <t>Above 70%</t>
        </is>
      </c>
      <c r="BW211" s="30">
        <f>IF(BV211="Above 70%",10,IF(BV211="Between 50% to 70%",5,IF(BV211="Less than 50%",0,IF(BV211="Negative",-10,IF(BV211="Less than 50% and Borrowings are increasing",-5,0)))))</f>
        <v/>
      </c>
      <c r="BX211" s="30" t="inlineStr">
        <is>
          <t>Less than 0.7</t>
        </is>
      </c>
      <c r="BY211" s="30">
        <f>IF(BX211="More than 1.2",-10,IF(BX211="Between 0.7 to 1.2",0,IF(BX211="Less than 0.7",10,0)))</f>
        <v/>
      </c>
      <c r="BZ211" s="30" t="inlineStr">
        <is>
          <t>No</t>
        </is>
      </c>
      <c r="CA211" s="30">
        <f>IF(BZ211="Yes",-10,0)</f>
        <v/>
      </c>
      <c r="CB211" s="30" t="inlineStr">
        <is>
          <t>Less than 15%</t>
        </is>
      </c>
      <c r="CC211" s="30">
        <f>IF(CB211="More than 15%",-10,IF(CB211="Less than 15%",10,0))</f>
        <v/>
      </c>
      <c r="CD211" s="30" t="inlineStr">
        <is>
          <t>No</t>
        </is>
      </c>
      <c r="CE211" s="30">
        <f>IF(CD211="Yes, more than 10%",-10,IF(CD211="No",10,0))</f>
        <v/>
      </c>
    </row>
    <row r="212">
      <c r="A212" s="30">
        <f>IF(B212=0,"",RANK(B212,$B$2:$B$331,0))</f>
        <v/>
      </c>
      <c r="B212" s="31">
        <f>SUM(N212,Y212,AA212,AC212,AE212,AG212,AI212,AK212,AM212,AO212,AQ212,AS212,AU212,AW212,AY212,BA212,BC212,BE212,BG212,BI212,BK212,BM212,BO212,BQ212,BS212,BU212,BW212,BY212,CA212,CC212,CE212)</f>
        <v/>
      </c>
      <c r="C212" s="30" t="inlineStr">
        <is>
          <t>ANTELOPUS</t>
        </is>
      </c>
      <c r="D212" s="30" t="inlineStr">
        <is>
          <t>Antelopus Selan Energy Ltd</t>
        </is>
      </c>
      <c r="E212" s="30" t="inlineStr">
        <is>
          <t>energy</t>
        </is>
      </c>
      <c r="F212" s="30" t="inlineStr">
        <is>
          <t>oil drilling / allied services</t>
        </is>
      </c>
      <c r="G212" s="30" t="inlineStr">
        <is>
          <t>smallcap</t>
        </is>
      </c>
      <c r="H212" s="31" t="n">
        <v>4111.89</v>
      </c>
      <c r="I212" s="31" t="n">
        <v>1124.1</v>
      </c>
      <c r="J212" s="31" t="n">
        <v>-3.87</v>
      </c>
      <c r="K212" s="31" t="n">
        <v>2976174</v>
      </c>
      <c r="L212" s="30" t="n">
        <v>84</v>
      </c>
      <c r="M212" s="30" t="inlineStr">
        <is>
          <t>Outperforming</t>
        </is>
      </c>
      <c r="N212" s="31">
        <f>IF(M212="Underperforming",-5,IF(L212&gt;=95,15,IF(L212&gt;=90,10,IF(L212&gt;=80,5,0))))</f>
        <v/>
      </c>
      <c r="O212" s="31" t="n">
        <v>73.78</v>
      </c>
      <c r="P212" s="31" t="n">
        <v>45.48</v>
      </c>
      <c r="Q212" s="31" t="n">
        <v>781.4</v>
      </c>
      <c r="R212" s="30" t="inlineStr">
        <is>
          <t>Volume Spike &amp; Near 52W High Breakout</t>
        </is>
      </c>
      <c r="S212" s="30" t="inlineStr">
        <is>
          <t>Nifty Energy</t>
        </is>
      </c>
      <c r="T212" s="31" t="n">
        <v>8.43</v>
      </c>
      <c r="U212" s="31" t="n">
        <v>80.3</v>
      </c>
      <c r="V212" s="31" t="n">
        <v>66.28</v>
      </c>
      <c r="W212" s="31" t="n">
        <v>33.25</v>
      </c>
      <c r="X212" s="30" t="inlineStr">
        <is>
          <t>Cyclical in an Upturn</t>
        </is>
      </c>
      <c r="Y212" s="30">
        <f>IF(X212="Growing Industry",10,IF(X212="Cyclical in an Upturn",5,0))</f>
        <v/>
      </c>
      <c r="Z212" s="30" t="inlineStr">
        <is>
          <t>Oligopoly</t>
        </is>
      </c>
      <c r="AA212" s="30">
        <f>IF(Z212="Monopoly",10,IF(Z212="Oligopoly",5,IF(Z212="Duopoly that cooperate",10,IF(Z212="Duopoly that compete",5,IF(Z212="Too many players with High ROCE",5,0)))))</f>
        <v/>
      </c>
      <c r="AB212" s="30" t="inlineStr">
        <is>
          <t>Yes</t>
        </is>
      </c>
      <c r="AC212" s="30">
        <f>IF(AB212="No",5,0)</f>
        <v/>
      </c>
      <c r="AD212" s="30" t="inlineStr">
        <is>
          <t>Tailwind</t>
        </is>
      </c>
      <c r="AE212" s="30">
        <f>IF(AD212="Tailwind",10,0)</f>
        <v/>
      </c>
      <c r="AF212" s="30" t="inlineStr">
        <is>
          <t>Cyclical</t>
        </is>
      </c>
      <c r="AG212" s="30">
        <f>IF(AF212="Structural (10 Years Consistency)",10,IF(AF212="Shallow Cyclical (2 to 3 years growth)",5,0))</f>
        <v/>
      </c>
      <c r="AH212" s="30" t="inlineStr">
        <is>
          <t>No</t>
        </is>
      </c>
      <c r="AI212" s="30">
        <f>IF(AH212="Yes due to Product Mix change or Operating Leverage",10,IF(AH212="Yes, these are peak margins",-5,IF(AH212="No",5,0)))</f>
        <v/>
      </c>
      <c r="AJ212" s="30" t="inlineStr">
        <is>
          <t>Volatile</t>
        </is>
      </c>
      <c r="AK212" s="30">
        <f>IF(AJ212="Stable",10,0)</f>
        <v/>
      </c>
      <c r="AL212" s="30" t="inlineStr">
        <is>
          <t>Yes</t>
        </is>
      </c>
      <c r="AM212" s="30">
        <f>IF(AL212="Yes",10,0)</f>
        <v/>
      </c>
      <c r="AN212" s="30" t="inlineStr">
        <is>
          <t>B2B</t>
        </is>
      </c>
      <c r="AO212" s="30">
        <f>IF(AN212="B2C",10,IF(AN212="B2B",5,0))</f>
        <v/>
      </c>
      <c r="AP212" s="30" t="inlineStr">
        <is>
          <t>Yes</t>
        </is>
      </c>
      <c r="AQ212" s="30">
        <f>IF(AP212="Yes",10,0)</f>
        <v/>
      </c>
      <c r="AR212" s="30" t="inlineStr">
        <is>
          <t>Higher One Time, Lower Annuity</t>
        </is>
      </c>
      <c r="AS212" s="30">
        <f>IF(AR212="Fully Annuity",10,IF(AR212="Higher Annuity, Lower One Time",5,IF(AR212="Higher One Time, Lower Annuity",3,0)))</f>
        <v/>
      </c>
      <c r="AT212" s="30" t="inlineStr">
        <is>
          <t>Good</t>
        </is>
      </c>
      <c r="AU212" s="30">
        <f>IF(AT212="Good",10,0)</f>
        <v/>
      </c>
      <c r="AV212" s="30" t="inlineStr">
        <is>
          <t>Yes for more than 2 years</t>
        </is>
      </c>
      <c r="AW212" s="30">
        <f>IF(AV212="Yes for more than 2 years",10,IF(AV212="Yes only for next 1 to 2 years",5,0))</f>
        <v/>
      </c>
      <c r="AX212" s="30" t="inlineStr">
        <is>
          <t>Above 40</t>
        </is>
      </c>
      <c r="AY212" s="30">
        <f>IF(AX212="Above 40",20,IF(AX212="20 to 40",10,IF(AX212="0 to 20",-5,0)))</f>
        <v/>
      </c>
      <c r="AZ212" s="30" t="inlineStr">
        <is>
          <t>Between 50 to 75</t>
        </is>
      </c>
      <c r="BA212" s="30">
        <f>IF(AZ212="Between 50 to 75",10,IF(AZ212="Above 75",0,0))</f>
        <v/>
      </c>
      <c r="BB212" s="30" t="inlineStr">
        <is>
          <t>Stage 2</t>
        </is>
      </c>
      <c r="BC212" s="30">
        <f>IF(BB212="Stage 2",20,IF(BB212="Stage 1",0,IF(BB212="Stage 3",5,IF(BB212="Stage 4",-5,0))))</f>
        <v/>
      </c>
      <c r="BD212" s="30" t="inlineStr">
        <is>
          <t>Positive Trend</t>
        </is>
      </c>
      <c r="BE212" s="30">
        <f>IF(BD212="Positive Trend",20,IF(BD212="Negative Trend",-10,0))</f>
        <v/>
      </c>
      <c r="BF212" s="30" t="inlineStr">
        <is>
          <t>Uptrend</t>
        </is>
      </c>
      <c r="BG212" s="30">
        <f>IF(BF212="Uptrend",10,IF(BF212="Sideways",5,0))</f>
        <v/>
      </c>
      <c r="BH212" s="30" t="inlineStr">
        <is>
          <t>Uptrend</t>
        </is>
      </c>
      <c r="BI212" s="30">
        <f>IF(BH212="Uptrend",10,IF(BH212="Sideways",5,0))</f>
        <v/>
      </c>
      <c r="BJ212" s="30" t="inlineStr">
        <is>
          <t>Blue sky scenario</t>
        </is>
      </c>
      <c r="BK212" s="30">
        <f>IF(BJ212="Overhead supply in last 2 years in last 2 years",-5,IF(BJ212="Close to 52 week high or retracement",5,IF(BJ212="Blue sky scenario",10,IF(BJ212="Long term Downtrend",-10,0))))</f>
        <v/>
      </c>
      <c r="BL212" s="30" t="inlineStr">
        <is>
          <t>Yes</t>
        </is>
      </c>
      <c r="BM212" s="30">
        <f>IF(BL212="Yes",10,0)</f>
        <v/>
      </c>
      <c r="BN212" s="30" t="inlineStr">
        <is>
          <t>More than 20%</t>
        </is>
      </c>
      <c r="BO212" s="30">
        <f>IF(BN212="More than 20%",10,IF(BN212="Between 12 to 20%",5,IF(BN212="Less than 12%",0,0)))</f>
        <v/>
      </c>
      <c r="BP212" s="30" t="inlineStr">
        <is>
          <t>No</t>
        </is>
      </c>
      <c r="BQ212" s="30">
        <f>IF(BP212="No",10,0)</f>
        <v/>
      </c>
      <c r="BR212" s="30" t="inlineStr">
        <is>
          <t>No</t>
        </is>
      </c>
      <c r="BS212" s="30">
        <f>IF(BR212="NO",5,0)</f>
        <v/>
      </c>
      <c r="BT212" s="30" t="inlineStr">
        <is>
          <t>Above 2</t>
        </is>
      </c>
      <c r="BU212" s="30">
        <f>IF(BT212="Above 2",0,IF(BT212="Between 1.5 to 2",5,IF(BT212="Less than 1.5",10,0)))</f>
        <v/>
      </c>
      <c r="BV212" s="30" t="inlineStr">
        <is>
          <t>Above 70%</t>
        </is>
      </c>
      <c r="BW212" s="30">
        <f>IF(BV212="Above 70%",10,IF(BV212="Between 50% to 70%",5,IF(BV212="Less than 50%",0,IF(BV212="Negative",-10,IF(BV212="Less than 50% and Borrowings are increasing",-5,0)))))</f>
        <v/>
      </c>
      <c r="BX212" s="30" t="inlineStr">
        <is>
          <t>Less than 0.7</t>
        </is>
      </c>
      <c r="BY212" s="30">
        <f>IF(BX212="More than 1.2",-10,IF(BX212="Between 0.7 to 1.2",0,IF(BX212="Less than 0.7",10,0)))</f>
        <v/>
      </c>
      <c r="BZ212" s="30" t="inlineStr">
        <is>
          <t>No</t>
        </is>
      </c>
      <c r="CA212" s="30">
        <f>IF(BZ212="Yes",-10,0)</f>
        <v/>
      </c>
      <c r="CB212" s="30" t="inlineStr">
        <is>
          <t>Less than 15%</t>
        </is>
      </c>
      <c r="CC212" s="30">
        <f>IF(CB212="More than 15%",-10,IF(CB212="Less than 15%",10,0))</f>
        <v/>
      </c>
      <c r="CD212" s="30" t="inlineStr">
        <is>
          <t>No</t>
        </is>
      </c>
      <c r="CE212" s="30">
        <f>IF(CD212="Yes, more than 10%",-10,IF(CD212="No",10,0))</f>
        <v/>
      </c>
    </row>
    <row r="213">
      <c r="A213" s="30">
        <f>IF(B213=0,"",RANK(B213,$B$2:$B$331,0))</f>
        <v/>
      </c>
      <c r="B213" s="31">
        <f>SUM(N213,Y213,AA213,AC213,AE213,AG213,AI213,AK213,AM213,AO213,AQ213,AS213,AU213,AW213,AY213,BA213,BC213,BE213,BG213,BI213,BK213,BM213,BO213,BQ213,BS213,BU213,BW213,BY213,CA213,CC213,CE213)</f>
        <v/>
      </c>
      <c r="C213" s="30" t="inlineStr">
        <is>
          <t>SMLMAH</t>
        </is>
      </c>
      <c r="D213" s="30" t="inlineStr">
        <is>
          <t>SML Mahindra Ltd</t>
        </is>
      </c>
      <c r="E213" s="30" t="inlineStr">
        <is>
          <t>auto</t>
        </is>
      </c>
      <c r="F213" s="30" t="inlineStr">
        <is>
          <t>automobiles - lcvs / hcvs</t>
        </is>
      </c>
      <c r="G213" s="30" t="inlineStr">
        <is>
          <t>midcap</t>
        </is>
      </c>
      <c r="H213" s="31" t="n">
        <v>9507.870000000001</v>
      </c>
      <c r="I213" s="31" t="n">
        <v>6278</v>
      </c>
      <c r="J213" s="31" t="n">
        <v>-4.44</v>
      </c>
      <c r="K213" s="31" t="n">
        <v>70105</v>
      </c>
      <c r="L213" s="30" t="n">
        <v>76</v>
      </c>
      <c r="M213" s="30" t="inlineStr">
        <is>
          <t>Outperforming</t>
        </is>
      </c>
      <c r="N213" s="31">
        <f>IF(M213="Underperforming",-5,IF(L213&gt;=95,15,IF(L213&gt;=90,10,IF(L213&gt;=80,5,0))))</f>
        <v/>
      </c>
      <c r="O213" s="31" t="n">
        <v>70.18000000000001</v>
      </c>
      <c r="P213" s="31" t="n">
        <v>23.54</v>
      </c>
      <c r="Q213" s="31" t="n">
        <v>4618.94</v>
      </c>
      <c r="R213" s="30" t="inlineStr">
        <is>
          <t>Near 52W High Breakout</t>
        </is>
      </c>
      <c r="S213" s="30" t="inlineStr">
        <is>
          <t>Nifty Auto</t>
        </is>
      </c>
      <c r="T213" s="31" t="n">
        <v>15.81</v>
      </c>
      <c r="U213" s="31" t="n">
        <v>66.20999999999999</v>
      </c>
      <c r="V213" s="31" t="n">
        <v>43.52</v>
      </c>
      <c r="W213" s="31" t="n">
        <v>26.82</v>
      </c>
      <c r="X213" s="30" t="inlineStr">
        <is>
          <t>Growing Industry</t>
        </is>
      </c>
      <c r="Y213" s="30">
        <f>IF(X213="Growing Industry",10,IF(X213="Cyclical in an Upturn",5,0))</f>
        <v/>
      </c>
      <c r="Z213" s="30" t="inlineStr">
        <is>
          <t>Too Many Players with High ROCE</t>
        </is>
      </c>
      <c r="AA213" s="30">
        <f>IF(Z213="Monopoly",10,IF(Z213="Oligopoly",5,IF(Z213="Duopoly that cooperate",10,IF(Z213="Duopoly that compete",5,IF(Z213="Too many players with High ROCE",5,0)))))</f>
        <v/>
      </c>
      <c r="AB213" s="30" t="inlineStr">
        <is>
          <t>No</t>
        </is>
      </c>
      <c r="AC213" s="30">
        <f>IF(AB213="No",5,0)</f>
        <v/>
      </c>
      <c r="AD213" s="30" t="inlineStr">
        <is>
          <t>Tailwind</t>
        </is>
      </c>
      <c r="AE213" s="30">
        <f>IF(AD213="Tailwind",10,0)</f>
        <v/>
      </c>
      <c r="AF213" s="30" t="inlineStr">
        <is>
          <t>Structural (10 Years Consistency)</t>
        </is>
      </c>
      <c r="AG213" s="30">
        <f>IF(AF213="Structural (10 Years Consistency)",10,IF(AF213="Shallow Cyclical (2 to 3 years growth)",5,0))</f>
        <v/>
      </c>
      <c r="AH213" s="30" t="inlineStr">
        <is>
          <t>No</t>
        </is>
      </c>
      <c r="AI213" s="30">
        <f>IF(AH213="Yes due to Product Mix change or Operating Leverage",10,IF(AH213="Yes, these are peak margins",-5,IF(AH213="No",5,0)))</f>
        <v/>
      </c>
      <c r="AJ213" s="30" t="inlineStr">
        <is>
          <t>Stable</t>
        </is>
      </c>
      <c r="AK213" s="30">
        <f>IF(AJ213="Stable",10,0)</f>
        <v/>
      </c>
      <c r="AL213" s="30" t="inlineStr">
        <is>
          <t>Yes</t>
        </is>
      </c>
      <c r="AM213" s="30">
        <f>IF(AL213="Yes",10,0)</f>
        <v/>
      </c>
      <c r="AN213" s="30" t="inlineStr">
        <is>
          <t>B2B</t>
        </is>
      </c>
      <c r="AO213" s="30">
        <f>IF(AN213="B2C",10,IF(AN213="B2B",5,0))</f>
        <v/>
      </c>
      <c r="AP213" s="30" t="inlineStr">
        <is>
          <t>Yes</t>
        </is>
      </c>
      <c r="AQ213" s="30">
        <f>IF(AP213="Yes",10,0)</f>
        <v/>
      </c>
      <c r="AR213" s="30" t="inlineStr">
        <is>
          <t>Higher One Time, Lower Annuity</t>
        </is>
      </c>
      <c r="AS213" s="30">
        <f>IF(AR213="Fully Annuity",10,IF(AR213="Higher Annuity, Lower One Time",5,IF(AR213="Higher One Time, Lower Annuity",3,0)))</f>
        <v/>
      </c>
      <c r="AT213" s="30" t="inlineStr">
        <is>
          <t>Good</t>
        </is>
      </c>
      <c r="AU213" s="30">
        <f>IF(AT213="Good",10,0)</f>
        <v/>
      </c>
      <c r="AV213" s="30" t="inlineStr">
        <is>
          <t>Yes for more than 2 years</t>
        </is>
      </c>
      <c r="AW213" s="30">
        <f>IF(AV213="Yes for more than 2 years",10,IF(AV213="Yes only for next 1 to 2 years",5,0))</f>
        <v/>
      </c>
      <c r="AX213" s="30" t="inlineStr">
        <is>
          <t>20 to 40</t>
        </is>
      </c>
      <c r="AY213" s="30">
        <f>IF(AX213="Above 40",20,IF(AX213="20 to 40",10,IF(AX213="0 to 20",-5,0)))</f>
        <v/>
      </c>
      <c r="AZ213" s="30" t="inlineStr">
        <is>
          <t>Between 50 to 75</t>
        </is>
      </c>
      <c r="BA213" s="30">
        <f>IF(AZ213="Between 50 to 75",10,IF(AZ213="Above 75",0,0))</f>
        <v/>
      </c>
      <c r="BB213" s="30" t="inlineStr">
        <is>
          <t>Stage 2</t>
        </is>
      </c>
      <c r="BC213" s="30">
        <f>IF(BB213="Stage 2",20,IF(BB213="Stage 1",0,IF(BB213="Stage 3",5,IF(BB213="Stage 4",-5,0))))</f>
        <v/>
      </c>
      <c r="BD213" s="30" t="inlineStr">
        <is>
          <t>Positive Trend</t>
        </is>
      </c>
      <c r="BE213" s="30">
        <f>IF(BD213="Positive Trend",20,IF(BD213="Negative Trend",-10,0))</f>
        <v/>
      </c>
      <c r="BF213" s="30" t="inlineStr">
        <is>
          <t>Uptrend</t>
        </is>
      </c>
      <c r="BG213" s="30">
        <f>IF(BF213="Uptrend",10,IF(BF213="Sideways",5,0))</f>
        <v/>
      </c>
      <c r="BH213" s="30" t="inlineStr">
        <is>
          <t>Uptrend</t>
        </is>
      </c>
      <c r="BI213" s="30">
        <f>IF(BH213="Uptrend",10,IF(BH213="Sideways",5,0))</f>
        <v/>
      </c>
      <c r="BJ213" s="30" t="inlineStr">
        <is>
          <t>Blue sky scenario</t>
        </is>
      </c>
      <c r="BK213" s="30">
        <f>IF(BJ213="Overhead supply in last 2 years in last 2 years",-5,IF(BJ213="Close to 52 week high or retracement",5,IF(BJ213="Blue sky scenario",10,IF(BJ213="Long term Downtrend",-10,0))))</f>
        <v/>
      </c>
      <c r="BL213" s="30" t="inlineStr">
        <is>
          <t>Yes</t>
        </is>
      </c>
      <c r="BM213" s="30">
        <f>IF(BL213="Yes",10,0)</f>
        <v/>
      </c>
      <c r="BN213" s="30" t="inlineStr">
        <is>
          <t>Less than 12%</t>
        </is>
      </c>
      <c r="BO213" s="30">
        <f>IF(BN213="More than 20%",10,IF(BN213="Between 12 to 20%",5,IF(BN213="Less than 12%",0,0)))</f>
        <v/>
      </c>
      <c r="BP213" s="30" t="inlineStr">
        <is>
          <t>No</t>
        </is>
      </c>
      <c r="BQ213" s="30">
        <f>IF(BP213="No",10,0)</f>
        <v/>
      </c>
      <c r="BR213" s="30" t="inlineStr">
        <is>
          <t>Yes</t>
        </is>
      </c>
      <c r="BS213" s="30">
        <f>IF(BR213="NO",5,0)</f>
        <v/>
      </c>
      <c r="BT213" s="30" t="inlineStr">
        <is>
          <t>Above 2</t>
        </is>
      </c>
      <c r="BU213" s="30">
        <f>IF(BT213="Above 2",0,IF(BT213="Between 1.5 to 2",5,IF(BT213="Less than 1.5",10,0)))</f>
        <v/>
      </c>
      <c r="BV213" s="30" t="inlineStr">
        <is>
          <t>Above 70%</t>
        </is>
      </c>
      <c r="BW213" s="30">
        <f>IF(BV213="Above 70%",10,IF(BV213="Between 50% to 70%",5,IF(BV213="Less than 50%",0,IF(BV213="Negative",-10,IF(BV213="Less than 50% and Borrowings are increasing",-5,0)))))</f>
        <v/>
      </c>
      <c r="BX213" s="30" t="inlineStr">
        <is>
          <t>Less than 0.7</t>
        </is>
      </c>
      <c r="BY213" s="30">
        <f>IF(BX213="More than 1.2",-10,IF(BX213="Between 0.7 to 1.2",0,IF(BX213="Less than 0.7",10,0)))</f>
        <v/>
      </c>
      <c r="BZ213" s="30" t="inlineStr">
        <is>
          <t>No</t>
        </is>
      </c>
      <c r="CA213" s="30">
        <f>IF(BZ213="Yes",-10,0)</f>
        <v/>
      </c>
      <c r="CB213" s="30" t="inlineStr">
        <is>
          <t>Less than 15%</t>
        </is>
      </c>
      <c r="CC213" s="30">
        <f>IF(CB213="More than 15%",-10,IF(CB213="Less than 15%",10,0))</f>
        <v/>
      </c>
      <c r="CD213" s="30" t="inlineStr">
        <is>
          <t>No</t>
        </is>
      </c>
      <c r="CE213" s="30">
        <f>IF(CD213="Yes, more than 10%",-10,IF(CD213="No",10,0))</f>
        <v/>
      </c>
    </row>
    <row r="214">
      <c r="A214" s="30">
        <f>IF(B214=0,"",RANK(B214,$B$2:$B$331,0))</f>
        <v/>
      </c>
      <c r="B214" s="31">
        <f>SUM(N214,Y214,AA214,AC214,AE214,AG214,AI214,AK214,AM214,AO214,AQ214,AS214,AU214,AW214,AY214,BA214,BC214,BE214,BG214,BI214,BK214,BM214,BO214,BQ214,BS214,BU214,BW214,BY214,CA214,CC214,CE214)</f>
        <v/>
      </c>
      <c r="C214" s="32" t="inlineStr">
        <is>
          <t>SIGACHI</t>
        </is>
      </c>
      <c r="D214" s="32" t="inlineStr">
        <is>
          <t>Sigachi Industries Ltd</t>
        </is>
      </c>
      <c r="E214" s="30" t="inlineStr">
        <is>
          <t>healthcare</t>
        </is>
      </c>
      <c r="F214" s="30" t="inlineStr">
        <is>
          <t>pharmaceuticals - indian - bulk drugs &amp; formln</t>
        </is>
      </c>
      <c r="G214" s="30" t="inlineStr">
        <is>
          <t>smallcap</t>
        </is>
      </c>
      <c r="H214" s="31" t="n">
        <v>1347.73</v>
      </c>
      <c r="I214" s="31" t="n">
        <v>37.56</v>
      </c>
      <c r="J214" s="31" t="n">
        <v>6.49</v>
      </c>
      <c r="K214" s="31" t="n">
        <v>13529422</v>
      </c>
      <c r="L214" s="30" t="n">
        <v>68</v>
      </c>
      <c r="M214" s="30" t="inlineStr">
        <is>
          <t>Underperforming</t>
        </is>
      </c>
      <c r="N214" s="31">
        <f>IF(M214="Underperforming",-5,IF(L214&gt;=95,15,IF(L214&gt;=90,10,IF(L214&gt;=80,5,0))))</f>
        <v/>
      </c>
      <c r="O214" s="31" t="n">
        <v>74.28</v>
      </c>
      <c r="P214" s="31" t="n">
        <v>21.46</v>
      </c>
      <c r="Q214" s="31" t="n">
        <v>28.22</v>
      </c>
      <c r="R214" s="30" t="inlineStr">
        <is>
          <t>Volume Spike / Accumulation</t>
        </is>
      </c>
      <c r="S214" s="30" t="inlineStr">
        <is>
          <t>Nifty Pharma</t>
        </is>
      </c>
      <c r="T214" s="31" t="n">
        <v>18.86</v>
      </c>
      <c r="U214" s="31" t="n">
        <v>-12.19</v>
      </c>
      <c r="V214" s="31" t="n">
        <v>-26.12</v>
      </c>
      <c r="W214" s="31" t="n">
        <v>21.89</v>
      </c>
      <c r="X214" s="30" t="inlineStr">
        <is>
          <t>Growing Industry</t>
        </is>
      </c>
      <c r="Y214" s="30">
        <f>IF(X214="Growing Industry",10,IF(X214="Cyclical in an Upturn",5,0))</f>
        <v/>
      </c>
      <c r="Z214" s="30" t="inlineStr">
        <is>
          <t>Too Many Players with High ROCE</t>
        </is>
      </c>
      <c r="AA214" s="30">
        <f>IF(Z214="Monopoly",10,IF(Z214="Oligopoly",5,IF(Z214="Duopoly that cooperate",10,IF(Z214="Duopoly that compete",5,IF(Z214="Too many players with High ROCE",5,0)))))</f>
        <v/>
      </c>
      <c r="AB214" s="30" t="inlineStr">
        <is>
          <t>Yes</t>
        </is>
      </c>
      <c r="AC214" s="30">
        <f>IF(AB214="No",5,0)</f>
        <v/>
      </c>
      <c r="AD214" s="30" t="inlineStr">
        <is>
          <t>Tailwind</t>
        </is>
      </c>
      <c r="AE214" s="30">
        <f>IF(AD214="Tailwind",10,0)</f>
        <v/>
      </c>
      <c r="AF214" s="30" t="inlineStr">
        <is>
          <t>Structural (10 Years Consistency)</t>
        </is>
      </c>
      <c r="AG214" s="30">
        <f>IF(AF214="Structural (10 Years Consistency)",10,IF(AF214="Shallow Cyclical (2 to 3 years growth)",5,0))</f>
        <v/>
      </c>
      <c r="AH214" s="30" t="inlineStr">
        <is>
          <t>No</t>
        </is>
      </c>
      <c r="AI214" s="30">
        <f>IF(AH214="Yes due to Product Mix change or Operating Leverage",10,IF(AH214="Yes, these are peak margins",-5,IF(AH214="No",5,0)))</f>
        <v/>
      </c>
      <c r="AJ214" s="30" t="inlineStr">
        <is>
          <t>Stable</t>
        </is>
      </c>
      <c r="AK214" s="30">
        <f>IF(AJ214="Stable",10,0)</f>
        <v/>
      </c>
      <c r="AL214" s="30" t="inlineStr">
        <is>
          <t>Yes</t>
        </is>
      </c>
      <c r="AM214" s="30">
        <f>IF(AL214="Yes",10,0)</f>
        <v/>
      </c>
      <c r="AN214" s="30" t="inlineStr">
        <is>
          <t>B2B</t>
        </is>
      </c>
      <c r="AO214" s="30">
        <f>IF(AN214="B2C",10,IF(AN214="B2B",5,0))</f>
        <v/>
      </c>
      <c r="AP214" s="30" t="inlineStr">
        <is>
          <t>Yes</t>
        </is>
      </c>
      <c r="AQ214" s="30">
        <f>IF(AP214="Yes",10,0)</f>
        <v/>
      </c>
      <c r="AR214" s="30" t="inlineStr">
        <is>
          <t>Higher Annuity, Lower One Time</t>
        </is>
      </c>
      <c r="AS214" s="30">
        <f>IF(AR214="Fully Annuity",10,IF(AR214="Higher Annuity, Lower One Time",5,IF(AR214="Higher One Time, Lower Annuity",3,0)))</f>
        <v/>
      </c>
      <c r="AT214" s="30" t="inlineStr">
        <is>
          <t>Good</t>
        </is>
      </c>
      <c r="AU214" s="30">
        <f>IF(AT214="Good",10,0)</f>
        <v/>
      </c>
      <c r="AV214" s="30" t="inlineStr">
        <is>
          <t>Yes for more than 2 years</t>
        </is>
      </c>
      <c r="AW214" s="30">
        <f>IF(AV214="Yes for more than 2 years",10,IF(AV214="Yes only for next 1 to 2 years",5,0))</f>
        <v/>
      </c>
      <c r="AX214" s="30" t="inlineStr">
        <is>
          <t>20 to 40</t>
        </is>
      </c>
      <c r="AY214" s="30">
        <f>IF(AX214="Above 40",20,IF(AX214="20 to 40",10,IF(AX214="0 to 20",-5,0)))</f>
        <v/>
      </c>
      <c r="AZ214" s="30" t="inlineStr">
        <is>
          <t>Between 50 to 75</t>
        </is>
      </c>
      <c r="BA214" s="30">
        <f>IF(AZ214="Between 50 to 75",10,IF(AZ214="Above 75",0,0))</f>
        <v/>
      </c>
      <c r="BB214" s="30" t="inlineStr">
        <is>
          <t>Stage 2</t>
        </is>
      </c>
      <c r="BC214" s="30">
        <f>IF(BB214="Stage 2",20,IF(BB214="Stage 1",0,IF(BB214="Stage 3",5,IF(BB214="Stage 4",-5,0))))</f>
        <v/>
      </c>
      <c r="BD214" s="30" t="inlineStr">
        <is>
          <t>Positive Trend</t>
        </is>
      </c>
      <c r="BE214" s="30">
        <f>IF(BD214="Positive Trend",20,IF(BD214="Negative Trend",-10,0))</f>
        <v/>
      </c>
      <c r="BF214" s="30" t="inlineStr">
        <is>
          <t>Uptrend</t>
        </is>
      </c>
      <c r="BG214" s="30">
        <f>IF(BF214="Uptrend",10,IF(BF214="Sideways",5,0))</f>
        <v/>
      </c>
      <c r="BH214" s="30" t="inlineStr">
        <is>
          <t>Uptrend</t>
        </is>
      </c>
      <c r="BI214" s="30">
        <f>IF(BH214="Uptrend",10,IF(BH214="Sideways",5,0))</f>
        <v/>
      </c>
      <c r="BJ214" s="30" t="inlineStr">
        <is>
          <t>Close to 52 week high or retracement</t>
        </is>
      </c>
      <c r="BK214" s="30">
        <f>IF(BJ214="Overhead supply in last 2 years in last 2 years",-5,IF(BJ214="Close to 52 week high or retracement",5,IF(BJ214="Blue sky scenario",10,IF(BJ214="Long term Downtrend",-10,0))))</f>
        <v/>
      </c>
      <c r="BL214" s="30" t="inlineStr">
        <is>
          <t>Yes</t>
        </is>
      </c>
      <c r="BM214" s="30">
        <f>IF(BL214="Yes",10,0)</f>
        <v/>
      </c>
      <c r="BN214" s="30" t="inlineStr">
        <is>
          <t>More than 20%</t>
        </is>
      </c>
      <c r="BO214" s="30">
        <f>IF(BN214="More than 20%",10,IF(BN214="Between 12 to 20%",5,IF(BN214="Less than 12%",0,0)))</f>
        <v/>
      </c>
      <c r="BP214" s="30" t="inlineStr">
        <is>
          <t>No</t>
        </is>
      </c>
      <c r="BQ214" s="30">
        <f>IF(BP214="No",10,0)</f>
        <v/>
      </c>
      <c r="BR214" s="30" t="inlineStr">
        <is>
          <t>Yes</t>
        </is>
      </c>
      <c r="BS214" s="30">
        <f>IF(BR214="NO",5,0)</f>
        <v/>
      </c>
      <c r="BT214" s="30" t="inlineStr">
        <is>
          <t>Above 2</t>
        </is>
      </c>
      <c r="BU214" s="30">
        <f>IF(BT214="Above 2",0,IF(BT214="Between 1.5 to 2",5,IF(BT214="Less than 1.5",10,0)))</f>
        <v/>
      </c>
      <c r="BV214" s="30" t="inlineStr">
        <is>
          <t>Above 70%</t>
        </is>
      </c>
      <c r="BW214" s="30">
        <f>IF(BV214="Above 70%",10,IF(BV214="Between 50% to 70%",5,IF(BV214="Less than 50%",0,IF(BV214="Negative",-10,IF(BV214="Less than 50% and Borrowings are increasing",-5,0)))))</f>
        <v/>
      </c>
      <c r="BX214" s="30" t="inlineStr">
        <is>
          <t>Less than 0.7</t>
        </is>
      </c>
      <c r="BY214" s="30">
        <f>IF(BX214="More than 1.2",-10,IF(BX214="Between 0.7 to 1.2",0,IF(BX214="Less than 0.7",10,0)))</f>
        <v/>
      </c>
      <c r="BZ214" s="30" t="inlineStr">
        <is>
          <t>No</t>
        </is>
      </c>
      <c r="CA214" s="30">
        <f>IF(BZ214="Yes",-10,0)</f>
        <v/>
      </c>
      <c r="CB214" s="30" t="inlineStr">
        <is>
          <t>Less than 15%</t>
        </is>
      </c>
      <c r="CC214" s="30">
        <f>IF(CB214="More than 15%",-10,IF(CB214="Less than 15%",10,0))</f>
        <v/>
      </c>
      <c r="CD214" s="30" t="inlineStr">
        <is>
          <t>No</t>
        </is>
      </c>
      <c r="CE214" s="30">
        <f>IF(CD214="Yes, more than 10%",-10,IF(CD214="No",10,0))</f>
        <v/>
      </c>
    </row>
    <row r="215">
      <c r="A215" s="30">
        <f>IF(B215=0,"",RANK(B215,$B$2:$B$331,0))</f>
        <v/>
      </c>
      <c r="B215" s="31">
        <f>SUM(N215,Y215,AA215,AC215,AE215,AG215,AI215,AK215,AM215,AO215,AQ215,AS215,AU215,AW215,AY215,BA215,BC215,BE215,BG215,BI215,BK215,BM215,BO215,BQ215,BS215,BU215,BW215,BY215,CA215,CC215,CE215)</f>
        <v/>
      </c>
      <c r="C215" s="32" t="inlineStr">
        <is>
          <t>BECTORFOOD</t>
        </is>
      </c>
      <c r="D215" s="32" t="inlineStr">
        <is>
          <t>Mrs Bectors Food Specialities Ltd</t>
        </is>
      </c>
      <c r="E215" s="30" t="inlineStr">
        <is>
          <t>fmcg</t>
        </is>
      </c>
      <c r="F215" s="30" t="inlineStr">
        <is>
          <t>food - processing - indian</t>
        </is>
      </c>
      <c r="G215" s="30" t="inlineStr">
        <is>
          <t>midcap</t>
        </is>
      </c>
      <c r="H215" s="31" t="n">
        <v>7430.71</v>
      </c>
      <c r="I215" s="31" t="n">
        <v>245.44</v>
      </c>
      <c r="J215" s="31" t="n">
        <v>1.4</v>
      </c>
      <c r="K215" s="31" t="n">
        <v>1400466</v>
      </c>
      <c r="L215" s="30" t="n">
        <v>7</v>
      </c>
      <c r="M215" s="30" t="inlineStr">
        <is>
          <t>Underperforming</t>
        </is>
      </c>
      <c r="N215" s="31">
        <f>IF(M215="Underperforming",-5,IF(L215&gt;=95,15,IF(L215&gt;=90,10,IF(L215&gt;=80,5,0))))</f>
        <v/>
      </c>
      <c r="O215" s="31" t="n">
        <v>61.7</v>
      </c>
      <c r="P215" s="31" t="n">
        <v>21.56</v>
      </c>
      <c r="Q215" s="31" t="n">
        <v>196.07</v>
      </c>
      <c r="R215" s="30" t="inlineStr">
        <is>
          <t>Earnings / Momentum Support</t>
        </is>
      </c>
      <c r="S215" s="30" t="inlineStr">
        <is>
          <t>Nifty FMCG</t>
        </is>
      </c>
      <c r="T215" s="31" t="n">
        <v>-17.21</v>
      </c>
      <c r="U215" s="31" t="n">
        <v>-18.94</v>
      </c>
      <c r="V215" s="31" t="n">
        <v>-2.09</v>
      </c>
      <c r="W215" s="31" t="n">
        <v>2.27</v>
      </c>
      <c r="X215" s="30" t="inlineStr">
        <is>
          <t>Growing Industry</t>
        </is>
      </c>
      <c r="Y215" s="30">
        <f>IF(X215="Growing Industry",10,IF(X215="Cyclical in an Upturn",5,0))</f>
        <v/>
      </c>
      <c r="Z215" s="30" t="inlineStr">
        <is>
          <t>Too Many Players with High ROCE</t>
        </is>
      </c>
      <c r="AA215" s="30">
        <f>IF(Z215="Monopoly",10,IF(Z215="Oligopoly",5,IF(Z215="Duopoly that cooperate",10,IF(Z215="Duopoly that compete",5,IF(Z215="Too many players with High ROCE",5,0)))))</f>
        <v/>
      </c>
      <c r="AB215" s="30" t="inlineStr">
        <is>
          <t>No</t>
        </is>
      </c>
      <c r="AC215" s="30">
        <f>IF(AB215="No",5,0)</f>
        <v/>
      </c>
      <c r="AD215" s="30" t="inlineStr">
        <is>
          <t>Tailwind</t>
        </is>
      </c>
      <c r="AE215" s="30">
        <f>IF(AD215="Tailwind",10,0)</f>
        <v/>
      </c>
      <c r="AF215" s="30" t="inlineStr">
        <is>
          <t>Structural (10 Years Consistency)</t>
        </is>
      </c>
      <c r="AG215" s="30">
        <f>IF(AF215="Structural (10 Years Consistency)",10,IF(AF215="Shallow Cyclical (2 to 3 years growth)",5,0))</f>
        <v/>
      </c>
      <c r="AH215" s="30" t="inlineStr">
        <is>
          <t>No</t>
        </is>
      </c>
      <c r="AI215" s="30">
        <f>IF(AH215="Yes due to Product Mix change or Operating Leverage",10,IF(AH215="Yes, these are peak margins",-5,IF(AH215="No",5,0)))</f>
        <v/>
      </c>
      <c r="AJ215" s="30" t="inlineStr">
        <is>
          <t>Stable</t>
        </is>
      </c>
      <c r="AK215" s="30">
        <f>IF(AJ215="Stable",10,0)</f>
        <v/>
      </c>
      <c r="AL215" s="30" t="inlineStr">
        <is>
          <t>Yes</t>
        </is>
      </c>
      <c r="AM215" s="30">
        <f>IF(AL215="Yes",10,0)</f>
        <v/>
      </c>
      <c r="AN215" s="30" t="inlineStr">
        <is>
          <t>B2C</t>
        </is>
      </c>
      <c r="AO215" s="30">
        <f>IF(AN215="B2C",10,IF(AN215="B2B",5,0))</f>
        <v/>
      </c>
      <c r="AP215" s="30" t="inlineStr">
        <is>
          <t>No</t>
        </is>
      </c>
      <c r="AQ215" s="30">
        <f>IF(AP215="Yes",10,0)</f>
        <v/>
      </c>
      <c r="AR215" s="30" t="inlineStr">
        <is>
          <t>Higher Annuity, Lower One Time</t>
        </is>
      </c>
      <c r="AS215" s="30">
        <f>IF(AR215="Fully Annuity",10,IF(AR215="Higher Annuity, Lower One Time",5,IF(AR215="Higher One Time, Lower Annuity",3,0)))</f>
        <v/>
      </c>
      <c r="AT215" s="30" t="inlineStr">
        <is>
          <t>Good</t>
        </is>
      </c>
      <c r="AU215" s="30">
        <f>IF(AT215="Good",10,0)</f>
        <v/>
      </c>
      <c r="AV215" s="30" t="inlineStr">
        <is>
          <t>Yes for more than 2 years</t>
        </is>
      </c>
      <c r="AW215" s="30">
        <f>IF(AV215="Yes for more than 2 years",10,IF(AV215="Yes only for next 1 to 2 years",5,0))</f>
        <v/>
      </c>
      <c r="AX215" s="30" t="inlineStr">
        <is>
          <t>20 to 40</t>
        </is>
      </c>
      <c r="AY215" s="30">
        <f>IF(AX215="Above 40",20,IF(AX215="20 to 40",10,IF(AX215="0 to 20",-5,0)))</f>
        <v/>
      </c>
      <c r="AZ215" s="30" t="inlineStr">
        <is>
          <t>Between 50 to 75</t>
        </is>
      </c>
      <c r="BA215" s="30">
        <f>IF(AZ215="Between 50 to 75",10,IF(AZ215="Above 75",0,0))</f>
        <v/>
      </c>
      <c r="BB215" s="30" t="inlineStr">
        <is>
          <t>Stage 2</t>
        </is>
      </c>
      <c r="BC215" s="30">
        <f>IF(BB215="Stage 2",20,IF(BB215="Stage 1",0,IF(BB215="Stage 3",5,IF(BB215="Stage 4",-5,0))))</f>
        <v/>
      </c>
      <c r="BD215" s="30" t="inlineStr">
        <is>
          <t>Positive Trend</t>
        </is>
      </c>
      <c r="BE215" s="30">
        <f>IF(BD215="Positive Trend",20,IF(BD215="Negative Trend",-10,0))</f>
        <v/>
      </c>
      <c r="BF215" s="30" t="inlineStr">
        <is>
          <t>Uptrend</t>
        </is>
      </c>
      <c r="BG215" s="30">
        <f>IF(BF215="Uptrend",10,IF(BF215="Sideways",5,0))</f>
        <v/>
      </c>
      <c r="BH215" s="30" t="inlineStr">
        <is>
          <t>Uptrend</t>
        </is>
      </c>
      <c r="BI215" s="30">
        <f>IF(BH215="Uptrend",10,IF(BH215="Sideways",5,0))</f>
        <v/>
      </c>
      <c r="BJ215" s="30" t="inlineStr">
        <is>
          <t>Close to 52 week high or retracement</t>
        </is>
      </c>
      <c r="BK215" s="30">
        <f>IF(BJ215="Overhead supply in last 2 years in last 2 years",-5,IF(BJ215="Close to 52 week high or retracement",5,IF(BJ215="Blue sky scenario",10,IF(BJ215="Long term Downtrend",-10,0))))</f>
        <v/>
      </c>
      <c r="BL215" s="30" t="inlineStr">
        <is>
          <t>Yes</t>
        </is>
      </c>
      <c r="BM215" s="30">
        <f>IF(BL215="Yes",10,0)</f>
        <v/>
      </c>
      <c r="BN215" s="30" t="inlineStr">
        <is>
          <t>More than 20%</t>
        </is>
      </c>
      <c r="BO215" s="30">
        <f>IF(BN215="More than 20%",10,IF(BN215="Between 12 to 20%",5,IF(BN215="Less than 12%",0,0)))</f>
        <v/>
      </c>
      <c r="BP215" s="30" t="inlineStr">
        <is>
          <t>No</t>
        </is>
      </c>
      <c r="BQ215" s="30">
        <f>IF(BP215="No",10,0)</f>
        <v/>
      </c>
      <c r="BR215" s="30" t="inlineStr">
        <is>
          <t>Yes</t>
        </is>
      </c>
      <c r="BS215" s="30">
        <f>IF(BR215="NO",5,0)</f>
        <v/>
      </c>
      <c r="BT215" s="30" t="inlineStr">
        <is>
          <t>Above 2</t>
        </is>
      </c>
      <c r="BU215" s="30">
        <f>IF(BT215="Above 2",0,IF(BT215="Between 1.5 to 2",5,IF(BT215="Less than 1.5",10,0)))</f>
        <v/>
      </c>
      <c r="BV215" s="30" t="inlineStr">
        <is>
          <t>Above 70%</t>
        </is>
      </c>
      <c r="BW215" s="30">
        <f>IF(BV215="Above 70%",10,IF(BV215="Between 50% to 70%",5,IF(BV215="Less than 50%",0,IF(BV215="Negative",-10,IF(BV215="Less than 50% and Borrowings are increasing",-5,0)))))</f>
        <v/>
      </c>
      <c r="BX215" s="30" t="inlineStr">
        <is>
          <t>Less than 0.7</t>
        </is>
      </c>
      <c r="BY215" s="30">
        <f>IF(BX215="More than 1.2",-10,IF(BX215="Between 0.7 to 1.2",0,IF(BX215="Less than 0.7",10,0)))</f>
        <v/>
      </c>
      <c r="BZ215" s="30" t="inlineStr">
        <is>
          <t>No</t>
        </is>
      </c>
      <c r="CA215" s="30">
        <f>IF(BZ215="Yes",-10,0)</f>
        <v/>
      </c>
      <c r="CB215" s="30" t="inlineStr">
        <is>
          <t>Less than 15%</t>
        </is>
      </c>
      <c r="CC215" s="30">
        <f>IF(CB215="More than 15%",-10,IF(CB215="Less than 15%",10,0))</f>
        <v/>
      </c>
      <c r="CD215" s="30" t="inlineStr">
        <is>
          <t>No</t>
        </is>
      </c>
      <c r="CE215" s="30">
        <f>IF(CD215="Yes, more than 10%",-10,IF(CD215="No",10,0))</f>
        <v/>
      </c>
    </row>
    <row r="216">
      <c r="A216" s="30">
        <f>IF(B216=0,"",RANK(B216,$B$2:$B$331,0))</f>
        <v/>
      </c>
      <c r="B216" s="31">
        <f>SUM(N216,Y216,AA216,AC216,AE216,AG216,AI216,AK216,AM216,AO216,AQ216,AS216,AU216,AW216,AY216,BA216,BC216,BE216,BG216,BI216,BK216,BM216,BO216,BQ216,BS216,BU216,BW216,BY216,CA216,CC216,CE216)</f>
        <v/>
      </c>
      <c r="C216" s="30" t="inlineStr">
        <is>
          <t>SUPRIYA</t>
        </is>
      </c>
      <c r="D216" s="30" t="inlineStr">
        <is>
          <t>Supriya Lifescience Ltd</t>
        </is>
      </c>
      <c r="E216" s="30" t="inlineStr">
        <is>
          <t>healthcare</t>
        </is>
      </c>
      <c r="F216" s="30" t="inlineStr">
        <is>
          <t>pharmaceuticals - indian - bulk drugs &amp; formln</t>
        </is>
      </c>
      <c r="G216" s="30" t="inlineStr">
        <is>
          <t>midcap</t>
        </is>
      </c>
      <c r="H216" s="31" t="n">
        <v>7335.2</v>
      </c>
      <c r="I216" s="31" t="n">
        <v>917.45</v>
      </c>
      <c r="J216" s="31" t="n">
        <v>0.66</v>
      </c>
      <c r="K216" s="31" t="n">
        <v>244416</v>
      </c>
      <c r="L216" s="30" t="n">
        <v>32</v>
      </c>
      <c r="M216" s="30" t="inlineStr">
        <is>
          <t>Outperforming</t>
        </is>
      </c>
      <c r="N216" s="31">
        <f>IF(M216="Underperforming",-5,IF(L216&gt;=95,15,IF(L216&gt;=90,10,IF(L216&gt;=80,5,0))))</f>
        <v/>
      </c>
      <c r="O216" s="31" t="n">
        <v>59.36</v>
      </c>
      <c r="P216" s="31" t="n">
        <v>41.5</v>
      </c>
      <c r="Q216" s="31" t="n">
        <v>726.53</v>
      </c>
      <c r="R216" s="30" t="inlineStr">
        <is>
          <t>Earnings / Momentum Support</t>
        </is>
      </c>
      <c r="S216" s="30" t="inlineStr">
        <is>
          <t>Nifty Pharma</t>
        </is>
      </c>
      <c r="T216" s="31" t="n">
        <v>18.86</v>
      </c>
      <c r="U216" s="31" t="n">
        <v>41.84</v>
      </c>
      <c r="V216" s="31" t="n">
        <v>19.33</v>
      </c>
      <c r="W216" s="31" t="n">
        <v>9.970000000000001</v>
      </c>
      <c r="X216" s="30" t="inlineStr">
        <is>
          <t>Growing Industry</t>
        </is>
      </c>
      <c r="Y216" s="30">
        <f>IF(X216="Growing Industry",10,IF(X216="Cyclical in an Upturn",5,0))</f>
        <v/>
      </c>
      <c r="Z216" s="30" t="inlineStr">
        <is>
          <t>Too Many Players with High ROCE</t>
        </is>
      </c>
      <c r="AA216" s="30">
        <f>IF(Z216="Monopoly",10,IF(Z216="Oligopoly",5,IF(Z216="Duopoly that cooperate",10,IF(Z216="Duopoly that compete",5,IF(Z216="Too many players with High ROCE",5,0)))))</f>
        <v/>
      </c>
      <c r="AB216" s="30" t="inlineStr">
        <is>
          <t>Yes</t>
        </is>
      </c>
      <c r="AC216" s="30">
        <f>IF(AB216="No",5,0)</f>
        <v/>
      </c>
      <c r="AD216" s="30" t="inlineStr">
        <is>
          <t>Tailwind</t>
        </is>
      </c>
      <c r="AE216" s="30">
        <f>IF(AD216="Tailwind",10,0)</f>
        <v/>
      </c>
      <c r="AF216" s="30" t="inlineStr">
        <is>
          <t>Structural (10 Years Consistency)</t>
        </is>
      </c>
      <c r="AG216" s="30">
        <f>IF(AF216="Structural (10 Years Consistency)",10,IF(AF216="Shallow Cyclical (2 to 3 years growth)",5,0))</f>
        <v/>
      </c>
      <c r="AH216" s="30" t="inlineStr">
        <is>
          <t>No</t>
        </is>
      </c>
      <c r="AI216" s="30">
        <f>IF(AH216="Yes due to Product Mix change or Operating Leverage",10,IF(AH216="Yes, these are peak margins",-5,IF(AH216="No",5,0)))</f>
        <v/>
      </c>
      <c r="AJ216" s="30" t="inlineStr">
        <is>
          <t>Stable</t>
        </is>
      </c>
      <c r="AK216" s="30">
        <f>IF(AJ216="Stable",10,0)</f>
        <v/>
      </c>
      <c r="AL216" s="30" t="inlineStr">
        <is>
          <t>Yes</t>
        </is>
      </c>
      <c r="AM216" s="30">
        <f>IF(AL216="Yes",10,0)</f>
        <v/>
      </c>
      <c r="AN216" s="30" t="inlineStr">
        <is>
          <t>B2B</t>
        </is>
      </c>
      <c r="AO216" s="30">
        <f>IF(AN216="B2C",10,IF(AN216="B2B",5,0))</f>
        <v/>
      </c>
      <c r="AP216" s="30" t="inlineStr">
        <is>
          <t>No</t>
        </is>
      </c>
      <c r="AQ216" s="30">
        <f>IF(AP216="Yes",10,0)</f>
        <v/>
      </c>
      <c r="AR216" s="30" t="inlineStr">
        <is>
          <t>Higher Annuity, Lower One Time</t>
        </is>
      </c>
      <c r="AS216" s="30">
        <f>IF(AR216="Fully Annuity",10,IF(AR216="Higher Annuity, Lower One Time",5,IF(AR216="Higher One Time, Lower Annuity",3,0)))</f>
        <v/>
      </c>
      <c r="AT216" s="30" t="inlineStr">
        <is>
          <t>Good</t>
        </is>
      </c>
      <c r="AU216" s="30">
        <f>IF(AT216="Good",10,0)</f>
        <v/>
      </c>
      <c r="AV216" s="30" t="inlineStr">
        <is>
          <t>Yes for more than 2 years</t>
        </is>
      </c>
      <c r="AW216" s="30">
        <f>IF(AV216="Yes for more than 2 years",10,IF(AV216="Yes only for next 1 to 2 years",5,0))</f>
        <v/>
      </c>
      <c r="AX216" s="30" t="inlineStr">
        <is>
          <t>Above 40</t>
        </is>
      </c>
      <c r="AY216" s="30">
        <f>IF(AX216="Above 40",20,IF(AX216="20 to 40",10,IF(AX216="0 to 20",-5,0)))</f>
        <v/>
      </c>
      <c r="AZ216" s="30" t="inlineStr">
        <is>
          <t>Between 50 to 75</t>
        </is>
      </c>
      <c r="BA216" s="30">
        <f>IF(AZ216="Between 50 to 75",10,IF(AZ216="Above 75",0,0))</f>
        <v/>
      </c>
      <c r="BB216" s="30" t="inlineStr">
        <is>
          <t>Stage 2</t>
        </is>
      </c>
      <c r="BC216" s="30">
        <f>IF(BB216="Stage 2",20,IF(BB216="Stage 1",0,IF(BB216="Stage 3",5,IF(BB216="Stage 4",-5,0))))</f>
        <v/>
      </c>
      <c r="BD216" s="30" t="inlineStr">
        <is>
          <t>Positive Trend</t>
        </is>
      </c>
      <c r="BE216" s="30">
        <f>IF(BD216="Positive Trend",20,IF(BD216="Negative Trend",-10,0))</f>
        <v/>
      </c>
      <c r="BF216" s="30" t="inlineStr">
        <is>
          <t>Uptrend</t>
        </is>
      </c>
      <c r="BG216" s="30">
        <f>IF(BF216="Uptrend",10,IF(BF216="Sideways",5,0))</f>
        <v/>
      </c>
      <c r="BH216" s="30" t="inlineStr">
        <is>
          <t>Uptrend</t>
        </is>
      </c>
      <c r="BI216" s="30">
        <f>IF(BH216="Uptrend",10,IF(BH216="Sideways",5,0))</f>
        <v/>
      </c>
      <c r="BJ216" s="30" t="inlineStr">
        <is>
          <t>Close to 52 week high or retracement</t>
        </is>
      </c>
      <c r="BK216" s="30">
        <f>IF(BJ216="Overhead supply in last 2 years in last 2 years",-5,IF(BJ216="Close to 52 week high or retracement",5,IF(BJ216="Blue sky scenario",10,IF(BJ216="Long term Downtrend",-10,0))))</f>
        <v/>
      </c>
      <c r="BL216" s="30" t="inlineStr">
        <is>
          <t>Yes</t>
        </is>
      </c>
      <c r="BM216" s="30">
        <f>IF(BL216="Yes",10,0)</f>
        <v/>
      </c>
      <c r="BN216" s="30" t="inlineStr">
        <is>
          <t>Less than 12%</t>
        </is>
      </c>
      <c r="BO216" s="30">
        <f>IF(BN216="More than 20%",10,IF(BN216="Between 12 to 20%",5,IF(BN216="Less than 12%",0,0)))</f>
        <v/>
      </c>
      <c r="BP216" s="30" t="inlineStr">
        <is>
          <t>No</t>
        </is>
      </c>
      <c r="BQ216" s="30">
        <f>IF(BP216="No",10,0)</f>
        <v/>
      </c>
      <c r="BR216" s="30" t="inlineStr">
        <is>
          <t>No</t>
        </is>
      </c>
      <c r="BS216" s="30">
        <f>IF(BR216="NO",5,0)</f>
        <v/>
      </c>
      <c r="BT216" s="30" t="inlineStr">
        <is>
          <t>Above 2</t>
        </is>
      </c>
      <c r="BU216" s="30">
        <f>IF(BT216="Above 2",0,IF(BT216="Between 1.5 to 2",5,IF(BT216="Less than 1.5",10,0)))</f>
        <v/>
      </c>
      <c r="BV216" s="30" t="inlineStr">
        <is>
          <t>Above 70%</t>
        </is>
      </c>
      <c r="BW216" s="30">
        <f>IF(BV216="Above 70%",10,IF(BV216="Between 50% to 70%",5,IF(BV216="Less than 50%",0,IF(BV216="Negative",-10,IF(BV216="Less than 50% and Borrowings are increasing",-5,0)))))</f>
        <v/>
      </c>
      <c r="BX216" s="30" t="inlineStr">
        <is>
          <t>Less than 0.7</t>
        </is>
      </c>
      <c r="BY216" s="30">
        <f>IF(BX216="More than 1.2",-10,IF(BX216="Between 0.7 to 1.2",0,IF(BX216="Less than 0.7",10,0)))</f>
        <v/>
      </c>
      <c r="BZ216" s="30" t="inlineStr">
        <is>
          <t>No</t>
        </is>
      </c>
      <c r="CA216" s="30">
        <f>IF(BZ216="Yes",-10,0)</f>
        <v/>
      </c>
      <c r="CB216" s="30" t="inlineStr">
        <is>
          <t>Less than 15%</t>
        </is>
      </c>
      <c r="CC216" s="30">
        <f>IF(CB216="More than 15%",-10,IF(CB216="Less than 15%",10,0))</f>
        <v/>
      </c>
      <c r="CD216" s="30" t="inlineStr">
        <is>
          <t>No</t>
        </is>
      </c>
      <c r="CE216" s="30">
        <f>IF(CD216="Yes, more than 10%",-10,IF(CD216="No",10,0))</f>
        <v/>
      </c>
    </row>
    <row r="217">
      <c r="A217" s="30">
        <f>IF(B217=0,"",RANK(B217,$B$2:$B$331,0))</f>
        <v/>
      </c>
      <c r="B217" s="31">
        <f>SUM(N217,Y217,AA217,AC217,AE217,AG217,AI217,AK217,AM217,AO217,AQ217,AS217,AU217,AW217,AY217,BA217,BC217,BE217,BG217,BI217,BK217,BM217,BO217,BQ217,BS217,BU217,BW217,BY217,CA217,CC217,CE217)</f>
        <v/>
      </c>
      <c r="C217" s="30" t="inlineStr">
        <is>
          <t>ARTEMISMED</t>
        </is>
      </c>
      <c r="D217" s="30" t="inlineStr">
        <is>
          <t>Artemis Medicare Services Ltd</t>
        </is>
      </c>
      <c r="E217" s="30" t="inlineStr">
        <is>
          <t>healthcare</t>
        </is>
      </c>
      <c r="F217" s="30" t="inlineStr">
        <is>
          <t>healthcare</t>
        </is>
      </c>
      <c r="G217" s="30" t="inlineStr">
        <is>
          <t>midcap</t>
        </is>
      </c>
      <c r="H217" s="31" t="n">
        <v>5608.79</v>
      </c>
      <c r="I217" s="31" t="n">
        <v>348.55</v>
      </c>
      <c r="J217" s="31" t="n">
        <v>-1.62</v>
      </c>
      <c r="K217" s="31" t="n">
        <v>724459</v>
      </c>
      <c r="L217" s="30" t="n">
        <v>51</v>
      </c>
      <c r="M217" s="30" t="inlineStr">
        <is>
          <t>Outperforming</t>
        </is>
      </c>
      <c r="N217" s="31">
        <f>IF(M217="Underperforming",-5,IF(L217&gt;=95,15,IF(L217&gt;=90,10,IF(L217&gt;=80,5,0))))</f>
        <v/>
      </c>
      <c r="O217" s="31" t="n">
        <v>75.48999999999999</v>
      </c>
      <c r="P217" s="31" t="n">
        <v>38.18</v>
      </c>
      <c r="Q217" s="31" t="n">
        <v>284.78</v>
      </c>
      <c r="R217" s="30" t="inlineStr">
        <is>
          <t>Near 52W High Breakout</t>
        </is>
      </c>
      <c r="S217" s="30" t="inlineStr">
        <is>
          <t>Nifty Pharma</t>
        </is>
      </c>
      <c r="T217" s="31" t="n">
        <v>18.86</v>
      </c>
      <c r="U217" s="31" t="n">
        <v>45.99</v>
      </c>
      <c r="V217" s="31" t="n">
        <v>22.82</v>
      </c>
      <c r="W217" s="31" t="n">
        <v>16</v>
      </c>
      <c r="X217" s="30" t="inlineStr">
        <is>
          <t>Growing Industry</t>
        </is>
      </c>
      <c r="Y217" s="30">
        <f>IF(X217="Growing Industry",10,IF(X217="Cyclical in an Upturn",5,0))</f>
        <v/>
      </c>
      <c r="Z217" s="30" t="inlineStr">
        <is>
          <t>Too Many Players with High ROCE</t>
        </is>
      </c>
      <c r="AA217" s="30">
        <f>IF(Z217="Monopoly",10,IF(Z217="Oligopoly",5,IF(Z217="Duopoly that cooperate",10,IF(Z217="Duopoly that compete",5,IF(Z217="Too many players with High ROCE",5,0)))))</f>
        <v/>
      </c>
      <c r="AB217" s="30" t="inlineStr">
        <is>
          <t>Yes</t>
        </is>
      </c>
      <c r="AC217" s="30">
        <f>IF(AB217="No",5,0)</f>
        <v/>
      </c>
      <c r="AD217" s="30" t="inlineStr">
        <is>
          <t>Tailwind</t>
        </is>
      </c>
      <c r="AE217" s="30">
        <f>IF(AD217="Tailwind",10,0)</f>
        <v/>
      </c>
      <c r="AF217" s="30" t="inlineStr">
        <is>
          <t>Structural (10 Years Consistency)</t>
        </is>
      </c>
      <c r="AG217" s="30">
        <f>IF(AF217="Structural (10 Years Consistency)",10,IF(AF217="Shallow Cyclical (2 to 3 years growth)",5,0))</f>
        <v/>
      </c>
      <c r="AH217" s="30" t="inlineStr">
        <is>
          <t>No</t>
        </is>
      </c>
      <c r="AI217" s="30">
        <f>IF(AH217="Yes due to Product Mix change or Operating Leverage",10,IF(AH217="Yes, these are peak margins",-5,IF(AH217="No",5,0)))</f>
        <v/>
      </c>
      <c r="AJ217" s="30" t="inlineStr">
        <is>
          <t>Stable</t>
        </is>
      </c>
      <c r="AK217" s="30">
        <f>IF(AJ217="Stable",10,0)</f>
        <v/>
      </c>
      <c r="AL217" s="30" t="inlineStr">
        <is>
          <t>Yes</t>
        </is>
      </c>
      <c r="AM217" s="30">
        <f>IF(AL217="Yes",10,0)</f>
        <v/>
      </c>
      <c r="AN217" s="30" t="inlineStr">
        <is>
          <t>B2B</t>
        </is>
      </c>
      <c r="AO217" s="30">
        <f>IF(AN217="B2C",10,IF(AN217="B2B",5,0))</f>
        <v/>
      </c>
      <c r="AP217" s="30" t="inlineStr">
        <is>
          <t>Yes</t>
        </is>
      </c>
      <c r="AQ217" s="30">
        <f>IF(AP217="Yes",10,0)</f>
        <v/>
      </c>
      <c r="AR217" s="30" t="inlineStr">
        <is>
          <t>Higher Annuity, Lower One Time</t>
        </is>
      </c>
      <c r="AS217" s="30">
        <f>IF(AR217="Fully Annuity",10,IF(AR217="Higher Annuity, Lower One Time",5,IF(AR217="Higher One Time, Lower Annuity",3,0)))</f>
        <v/>
      </c>
      <c r="AT217" s="30" t="inlineStr">
        <is>
          <t>Good</t>
        </is>
      </c>
      <c r="AU217" s="30">
        <f>IF(AT217="Good",10,0)</f>
        <v/>
      </c>
      <c r="AV217" s="30" t="inlineStr">
        <is>
          <t>Yes for more than 2 years</t>
        </is>
      </c>
      <c r="AW217" s="30">
        <f>IF(AV217="Yes for more than 2 years",10,IF(AV217="Yes only for next 1 to 2 years",5,0))</f>
        <v/>
      </c>
      <c r="AX217" s="30" t="inlineStr">
        <is>
          <t>20 to 40</t>
        </is>
      </c>
      <c r="AY217" s="30">
        <f>IF(AX217="Above 40",20,IF(AX217="20 to 40",10,IF(AX217="0 to 20",-5,0)))</f>
        <v/>
      </c>
      <c r="AZ217" s="30" t="inlineStr">
        <is>
          <t>Above 75</t>
        </is>
      </c>
      <c r="BA217" s="30">
        <f>IF(AZ217="Between 50 to 75",10,IF(AZ217="Above 75",0,0))</f>
        <v/>
      </c>
      <c r="BB217" s="30" t="inlineStr">
        <is>
          <t>Stage 2</t>
        </is>
      </c>
      <c r="BC217" s="30">
        <f>IF(BB217="Stage 2",20,IF(BB217="Stage 1",0,IF(BB217="Stage 3",5,IF(BB217="Stage 4",-5,0))))</f>
        <v/>
      </c>
      <c r="BD217" s="30" t="inlineStr">
        <is>
          <t>Positive Trend</t>
        </is>
      </c>
      <c r="BE217" s="30">
        <f>IF(BD217="Positive Trend",20,IF(BD217="Negative Trend",-10,0))</f>
        <v/>
      </c>
      <c r="BF217" s="30" t="inlineStr">
        <is>
          <t>Uptrend</t>
        </is>
      </c>
      <c r="BG217" s="30">
        <f>IF(BF217="Uptrend",10,IF(BF217="Sideways",5,0))</f>
        <v/>
      </c>
      <c r="BH217" s="30" t="inlineStr">
        <is>
          <t>Uptrend</t>
        </is>
      </c>
      <c r="BI217" s="30">
        <f>IF(BH217="Uptrend",10,IF(BH217="Sideways",5,0))</f>
        <v/>
      </c>
      <c r="BJ217" s="30" t="inlineStr">
        <is>
          <t>Blue sky scenario</t>
        </is>
      </c>
      <c r="BK217" s="30">
        <f>IF(BJ217="Overhead supply in last 2 years in last 2 years",-5,IF(BJ217="Close to 52 week high or retracement",5,IF(BJ217="Blue sky scenario",10,IF(BJ217="Long term Downtrend",-10,0))))</f>
        <v/>
      </c>
      <c r="BL217" s="30" t="inlineStr">
        <is>
          <t>Yes</t>
        </is>
      </c>
      <c r="BM217" s="30">
        <f>IF(BL217="Yes",10,0)</f>
        <v/>
      </c>
      <c r="BN217" s="30" t="inlineStr">
        <is>
          <t>More than 20%</t>
        </is>
      </c>
      <c r="BO217" s="30">
        <f>IF(BN217="More than 20%",10,IF(BN217="Between 12 to 20%",5,IF(BN217="Less than 12%",0,0)))</f>
        <v/>
      </c>
      <c r="BP217" s="30" t="inlineStr">
        <is>
          <t>No</t>
        </is>
      </c>
      <c r="BQ217" s="30">
        <f>IF(BP217="No",10,0)</f>
        <v/>
      </c>
      <c r="BR217" s="30" t="inlineStr">
        <is>
          <t>Yes</t>
        </is>
      </c>
      <c r="BS217" s="30">
        <f>IF(BR217="NO",5,0)</f>
        <v/>
      </c>
      <c r="BT217" s="30" t="inlineStr">
        <is>
          <t>Above 2</t>
        </is>
      </c>
      <c r="BU217" s="30">
        <f>IF(BT217="Above 2",0,IF(BT217="Between 1.5 to 2",5,IF(BT217="Less than 1.5",10,0)))</f>
        <v/>
      </c>
      <c r="BV217" s="30" t="inlineStr">
        <is>
          <t>Above 70%</t>
        </is>
      </c>
      <c r="BW217" s="30">
        <f>IF(BV217="Above 70%",10,IF(BV217="Between 50% to 70%",5,IF(BV217="Less than 50%",0,IF(BV217="Negative",-10,IF(BV217="Less than 50% and Borrowings are increasing",-5,0)))))</f>
        <v/>
      </c>
      <c r="BX217" s="30" t="inlineStr">
        <is>
          <t>Less than 0.7</t>
        </is>
      </c>
      <c r="BY217" s="30">
        <f>IF(BX217="More than 1.2",-10,IF(BX217="Between 0.7 to 1.2",0,IF(BX217="Less than 0.7",10,0)))</f>
        <v/>
      </c>
      <c r="BZ217" s="30" t="inlineStr">
        <is>
          <t>No</t>
        </is>
      </c>
      <c r="CA217" s="30">
        <f>IF(BZ217="Yes",-10,0)</f>
        <v/>
      </c>
      <c r="CB217" s="30" t="inlineStr">
        <is>
          <t>Less than 15%</t>
        </is>
      </c>
      <c r="CC217" s="30">
        <f>IF(CB217="More than 15%",-10,IF(CB217="Less than 15%",10,0))</f>
        <v/>
      </c>
      <c r="CD217" s="30" t="inlineStr">
        <is>
          <t>No</t>
        </is>
      </c>
      <c r="CE217" s="30">
        <f>IF(CD217="Yes, more than 10%",-10,IF(CD217="No",10,0))</f>
        <v/>
      </c>
    </row>
    <row r="218">
      <c r="A218" s="30">
        <f>IF(B218=0,"",RANK(B218,$B$2:$B$331,0))</f>
        <v/>
      </c>
      <c r="B218" s="31">
        <f>SUM(N218,Y218,AA218,AC218,AE218,AG218,AI218,AK218,AM218,AO218,AQ218,AS218,AU218,AW218,AY218,BA218,BC218,BE218,BG218,BI218,BK218,BM218,BO218,BQ218,BS218,BU218,BW218,BY218,CA218,CC218,CE218)</f>
        <v/>
      </c>
      <c r="C218" s="30" t="inlineStr">
        <is>
          <t>GLAND</t>
        </is>
      </c>
      <c r="D218" s="30" t="inlineStr">
        <is>
          <t>Gland Pharma Ltd</t>
        </is>
      </c>
      <c r="E218" s="30" t="inlineStr">
        <is>
          <t>healthcare</t>
        </is>
      </c>
      <c r="F218" s="30" t="inlineStr">
        <is>
          <t>pharmaceuticals - indian - formulations</t>
        </is>
      </c>
      <c r="G218" s="30" t="inlineStr">
        <is>
          <t>largecap</t>
        </is>
      </c>
      <c r="H218" s="31" t="n">
        <v>49920.1</v>
      </c>
      <c r="I218" s="31" t="n">
        <v>2946.9</v>
      </c>
      <c r="J218" s="31" t="n">
        <v>-2.62</v>
      </c>
      <c r="K218" s="31" t="n">
        <v>368835</v>
      </c>
      <c r="L218" s="30" t="n">
        <v>52</v>
      </c>
      <c r="M218" s="30" t="inlineStr">
        <is>
          <t>Outperforming</t>
        </is>
      </c>
      <c r="N218" s="31">
        <f>IF(M218="Underperforming",-5,IF(L218&gt;=95,15,IF(L218&gt;=90,10,IF(L218&gt;=80,5,0))))</f>
        <v/>
      </c>
      <c r="O218" s="31" t="n">
        <v>74.18000000000001</v>
      </c>
      <c r="P218" s="31" t="n">
        <v>62.92</v>
      </c>
      <c r="Q218" s="31" t="n">
        <v>2443.02</v>
      </c>
      <c r="R218" s="30" t="inlineStr">
        <is>
          <t>Near 52W High Breakout</t>
        </is>
      </c>
      <c r="S218" s="30" t="inlineStr">
        <is>
          <t>Nifty Pharma</t>
        </is>
      </c>
      <c r="T218" s="31" t="n">
        <v>18.86</v>
      </c>
      <c r="U218" s="31" t="n">
        <v>46.9</v>
      </c>
      <c r="V218" s="31" t="n">
        <v>23.59</v>
      </c>
      <c r="W218" s="31" t="n">
        <v>16.31</v>
      </c>
      <c r="X218" s="30" t="inlineStr">
        <is>
          <t>Growing Industry</t>
        </is>
      </c>
      <c r="Y218" s="30">
        <f>IF(X218="Growing Industry",10,IF(X218="Cyclical in an Upturn",5,0))</f>
        <v/>
      </c>
      <c r="Z218" s="30" t="inlineStr">
        <is>
          <t>Too Many Players with High ROCE</t>
        </is>
      </c>
      <c r="AA218" s="30">
        <f>IF(Z218="Monopoly",10,IF(Z218="Oligopoly",5,IF(Z218="Duopoly that cooperate",10,IF(Z218="Duopoly that compete",5,IF(Z218="Too many players with High ROCE",5,0)))))</f>
        <v/>
      </c>
      <c r="AB218" s="30" t="inlineStr">
        <is>
          <t>Yes</t>
        </is>
      </c>
      <c r="AC218" s="30">
        <f>IF(AB218="No",5,0)</f>
        <v/>
      </c>
      <c r="AD218" s="30" t="inlineStr">
        <is>
          <t>Tailwind</t>
        </is>
      </c>
      <c r="AE218" s="30">
        <f>IF(AD218="Tailwind",10,0)</f>
        <v/>
      </c>
      <c r="AF218" s="30" t="inlineStr">
        <is>
          <t>Structural (10 Years Consistency)</t>
        </is>
      </c>
      <c r="AG218" s="30">
        <f>IF(AF218="Structural (10 Years Consistency)",10,IF(AF218="Shallow Cyclical (2 to 3 years growth)",5,0))</f>
        <v/>
      </c>
      <c r="AH218" s="30" t="inlineStr">
        <is>
          <t>No</t>
        </is>
      </c>
      <c r="AI218" s="30">
        <f>IF(AH218="Yes due to Product Mix change or Operating Leverage",10,IF(AH218="Yes, these are peak margins",-5,IF(AH218="No",5,0)))</f>
        <v/>
      </c>
      <c r="AJ218" s="30" t="inlineStr">
        <is>
          <t>Stable</t>
        </is>
      </c>
      <c r="AK218" s="30">
        <f>IF(AJ218="Stable",10,0)</f>
        <v/>
      </c>
      <c r="AL218" s="30" t="inlineStr">
        <is>
          <t>Yes</t>
        </is>
      </c>
      <c r="AM218" s="30">
        <f>IF(AL218="Yes",10,0)</f>
        <v/>
      </c>
      <c r="AN218" s="30" t="inlineStr">
        <is>
          <t>B2B</t>
        </is>
      </c>
      <c r="AO218" s="30">
        <f>IF(AN218="B2C",10,IF(AN218="B2B",5,0))</f>
        <v/>
      </c>
      <c r="AP218" s="30" t="inlineStr">
        <is>
          <t>Yes</t>
        </is>
      </c>
      <c r="AQ218" s="30">
        <f>IF(AP218="Yes",10,0)</f>
        <v/>
      </c>
      <c r="AR218" s="30" t="inlineStr">
        <is>
          <t>Higher Annuity, Lower One Time</t>
        </is>
      </c>
      <c r="AS218" s="30">
        <f>IF(AR218="Fully Annuity",10,IF(AR218="Higher Annuity, Lower One Time",5,IF(AR218="Higher One Time, Lower Annuity",3,0)))</f>
        <v/>
      </c>
      <c r="AT218" s="30" t="inlineStr">
        <is>
          <t>Good</t>
        </is>
      </c>
      <c r="AU218" s="30">
        <f>IF(AT218="Good",10,0)</f>
        <v/>
      </c>
      <c r="AV218" s="30" t="inlineStr">
        <is>
          <t>Yes for more than 2 years</t>
        </is>
      </c>
      <c r="AW218" s="30">
        <f>IF(AV218="Yes for more than 2 years",10,IF(AV218="Yes only for next 1 to 2 years",5,0))</f>
        <v/>
      </c>
      <c r="AX218" s="30" t="inlineStr">
        <is>
          <t>Above 40</t>
        </is>
      </c>
      <c r="AY218" s="30">
        <f>IF(AX218="Above 40",20,IF(AX218="20 to 40",10,IF(AX218="0 to 20",-5,0)))</f>
        <v/>
      </c>
      <c r="AZ218" s="30" t="inlineStr">
        <is>
          <t>Between 50 to 75</t>
        </is>
      </c>
      <c r="BA218" s="30">
        <f>IF(AZ218="Between 50 to 75",10,IF(AZ218="Above 75",0,0))</f>
        <v/>
      </c>
      <c r="BB218" s="30" t="inlineStr">
        <is>
          <t>Stage 2</t>
        </is>
      </c>
      <c r="BC218" s="30">
        <f>IF(BB218="Stage 2",20,IF(BB218="Stage 1",0,IF(BB218="Stage 3",5,IF(BB218="Stage 4",-5,0))))</f>
        <v/>
      </c>
      <c r="BD218" s="30" t="inlineStr">
        <is>
          <t>Negative Trend</t>
        </is>
      </c>
      <c r="BE218" s="30">
        <f>IF(BD218="Positive Trend",20,IF(BD218="Negative Trend",-10,0))</f>
        <v/>
      </c>
      <c r="BF218" s="30" t="inlineStr">
        <is>
          <t>Uptrend</t>
        </is>
      </c>
      <c r="BG218" s="30">
        <f>IF(BF218="Uptrend",10,IF(BF218="Sideways",5,0))</f>
        <v/>
      </c>
      <c r="BH218" s="30" t="inlineStr">
        <is>
          <t>Uptrend</t>
        </is>
      </c>
      <c r="BI218" s="30">
        <f>IF(BH218="Uptrend",10,IF(BH218="Sideways",5,0))</f>
        <v/>
      </c>
      <c r="BJ218" s="30" t="inlineStr">
        <is>
          <t>Blue sky scenario</t>
        </is>
      </c>
      <c r="BK218" s="30">
        <f>IF(BJ218="Overhead supply in last 2 years in last 2 years",-5,IF(BJ218="Close to 52 week high or retracement",5,IF(BJ218="Blue sky scenario",10,IF(BJ218="Long term Downtrend",-10,0))))</f>
        <v/>
      </c>
      <c r="BL218" s="30" t="inlineStr">
        <is>
          <t>Yes</t>
        </is>
      </c>
      <c r="BM218" s="30">
        <f>IF(BL218="Yes",10,0)</f>
        <v/>
      </c>
      <c r="BN218" s="30" t="inlineStr">
        <is>
          <t>More than 20%</t>
        </is>
      </c>
      <c r="BO218" s="30">
        <f>IF(BN218="More than 20%",10,IF(BN218="Between 12 to 20%",5,IF(BN218="Less than 12%",0,0)))</f>
        <v/>
      </c>
      <c r="BP218" s="30" t="inlineStr">
        <is>
          <t>No</t>
        </is>
      </c>
      <c r="BQ218" s="30">
        <f>IF(BP218="No",10,0)</f>
        <v/>
      </c>
      <c r="BR218" s="30" t="inlineStr">
        <is>
          <t>Yes</t>
        </is>
      </c>
      <c r="BS218" s="30">
        <f>IF(BR218="NO",5,0)</f>
        <v/>
      </c>
      <c r="BT218" s="30" t="inlineStr">
        <is>
          <t>Less than 1.5</t>
        </is>
      </c>
      <c r="BU218" s="30">
        <f>IF(BT218="Above 2",0,IF(BT218="Between 1.5 to 2",5,IF(BT218="Less than 1.5",10,0)))</f>
        <v/>
      </c>
      <c r="BV218" s="30" t="inlineStr">
        <is>
          <t>Above 70%</t>
        </is>
      </c>
      <c r="BW218" s="30">
        <f>IF(BV218="Above 70%",10,IF(BV218="Between 50% to 70%",5,IF(BV218="Less than 50%",0,IF(BV218="Negative",-10,IF(BV218="Less than 50% and Borrowings are increasing",-5,0)))))</f>
        <v/>
      </c>
      <c r="BX218" s="30" t="inlineStr">
        <is>
          <t>Less than 0.7</t>
        </is>
      </c>
      <c r="BY218" s="30">
        <f>IF(BX218="More than 1.2",-10,IF(BX218="Between 0.7 to 1.2",0,IF(BX218="Less than 0.7",10,0)))</f>
        <v/>
      </c>
      <c r="BZ218" s="30" t="inlineStr">
        <is>
          <t>No</t>
        </is>
      </c>
      <c r="CA218" s="30">
        <f>IF(BZ218="Yes",-10,0)</f>
        <v/>
      </c>
      <c r="CB218" s="30" t="inlineStr">
        <is>
          <t>Less than 15%</t>
        </is>
      </c>
      <c r="CC218" s="30">
        <f>IF(CB218="More than 15%",-10,IF(CB218="Less than 15%",10,0))</f>
        <v/>
      </c>
      <c r="CD218" s="30" t="inlineStr">
        <is>
          <t>No</t>
        </is>
      </c>
      <c r="CE218" s="30">
        <f>IF(CD218="Yes, more than 10%",-10,IF(CD218="No",10,0))</f>
        <v/>
      </c>
    </row>
    <row r="219">
      <c r="A219" s="30">
        <f>IF(B219=0,"",RANK(B219,$B$2:$B$331,0))</f>
        <v/>
      </c>
      <c r="B219" s="31">
        <f>SUM(N219,Y219,AA219,AC219,AE219,AG219,AI219,AK219,AM219,AO219,AQ219,AS219,AU219,AW219,AY219,BA219,BC219,BE219,BG219,BI219,BK219,BM219,BO219,BQ219,BS219,BU219,BW219,BY219,CA219,CC219,CE219)</f>
        <v/>
      </c>
      <c r="C219" s="32" t="inlineStr">
        <is>
          <t>ANUHPHR</t>
        </is>
      </c>
      <c r="D219" s="32" t="inlineStr">
        <is>
          <t>Anuh Pharma Ltd</t>
        </is>
      </c>
      <c r="E219" s="30" t="inlineStr">
        <is>
          <t>healthcare</t>
        </is>
      </c>
      <c r="F219" s="30" t="inlineStr">
        <is>
          <t>pharmaceuticals - indian - bulk drugs</t>
        </is>
      </c>
      <c r="G219" s="30" t="inlineStr">
        <is>
          <t>smallcap</t>
        </is>
      </c>
      <c r="H219" s="31" t="n">
        <v>969.5700000000001</v>
      </c>
      <c r="I219" s="31" t="n">
        <v>91.20999999999999</v>
      </c>
      <c r="J219" s="31" t="n">
        <v>-5.72</v>
      </c>
      <c r="K219" s="31" t="n">
        <v>400127</v>
      </c>
      <c r="L219" s="30" t="n">
        <v>15</v>
      </c>
      <c r="M219" s="30" t="inlineStr">
        <is>
          <t>Underperforming</t>
        </is>
      </c>
      <c r="N219" s="31">
        <f>IF(M219="Underperforming",-5,IF(L219&gt;=95,15,IF(L219&gt;=90,10,IF(L219&gt;=80,5,0))))</f>
        <v/>
      </c>
      <c r="O219" s="31" t="n">
        <v>66.40000000000001</v>
      </c>
      <c r="P219" s="31" t="n">
        <v>13.01</v>
      </c>
      <c r="Q219" s="31" t="n">
        <v>72.14</v>
      </c>
      <c r="R219" s="30" t="inlineStr">
        <is>
          <t>Volume Spike &amp; Near 52W High Breakout</t>
        </is>
      </c>
      <c r="S219" s="30" t="inlineStr">
        <is>
          <t>Nifty Pharma</t>
        </is>
      </c>
      <c r="T219" s="31" t="n">
        <v>18.86</v>
      </c>
      <c r="U219" s="31" t="n">
        <v>5.44</v>
      </c>
      <c r="V219" s="31" t="n">
        <v>-11.3</v>
      </c>
      <c r="W219" s="31" t="n">
        <v>4.79</v>
      </c>
      <c r="X219" s="30" t="inlineStr">
        <is>
          <t>Growing Industry</t>
        </is>
      </c>
      <c r="Y219" s="30">
        <f>IF(X219="Growing Industry",10,IF(X219="Cyclical in an Upturn",5,0))</f>
        <v/>
      </c>
      <c r="Z219" s="30" t="inlineStr">
        <is>
          <t>Too Many Players with High ROCE</t>
        </is>
      </c>
      <c r="AA219" s="30">
        <f>IF(Z219="Monopoly",10,IF(Z219="Oligopoly",5,IF(Z219="Duopoly that cooperate",10,IF(Z219="Duopoly that compete",5,IF(Z219="Too many players with High ROCE",5,0)))))</f>
        <v/>
      </c>
      <c r="AB219" s="30" t="inlineStr">
        <is>
          <t>Yes</t>
        </is>
      </c>
      <c r="AC219" s="30">
        <f>IF(AB219="No",5,0)</f>
        <v/>
      </c>
      <c r="AD219" s="30" t="inlineStr">
        <is>
          <t>Tailwind</t>
        </is>
      </c>
      <c r="AE219" s="30">
        <f>IF(AD219="Tailwind",10,0)</f>
        <v/>
      </c>
      <c r="AF219" s="30" t="inlineStr">
        <is>
          <t>Structural (10 Years Consistency)</t>
        </is>
      </c>
      <c r="AG219" s="30">
        <f>IF(AF219="Structural (10 Years Consistency)",10,IF(AF219="Shallow Cyclical (2 to 3 years growth)",5,0))</f>
        <v/>
      </c>
      <c r="AH219" s="30" t="inlineStr">
        <is>
          <t>No</t>
        </is>
      </c>
      <c r="AI219" s="30">
        <f>IF(AH219="Yes due to Product Mix change or Operating Leverage",10,IF(AH219="Yes, these are peak margins",-5,IF(AH219="No",5,0)))</f>
        <v/>
      </c>
      <c r="AJ219" s="30" t="inlineStr">
        <is>
          <t>Stable</t>
        </is>
      </c>
      <c r="AK219" s="30">
        <f>IF(AJ219="Stable",10,0)</f>
        <v/>
      </c>
      <c r="AL219" s="30" t="inlineStr">
        <is>
          <t>Yes</t>
        </is>
      </c>
      <c r="AM219" s="30">
        <f>IF(AL219="Yes",10,0)</f>
        <v/>
      </c>
      <c r="AN219" s="30" t="inlineStr">
        <is>
          <t>B2B</t>
        </is>
      </c>
      <c r="AO219" s="30">
        <f>IF(AN219="B2C",10,IF(AN219="B2B",5,0))</f>
        <v/>
      </c>
      <c r="AP219" s="30" t="inlineStr">
        <is>
          <t>Yes</t>
        </is>
      </c>
      <c r="AQ219" s="30">
        <f>IF(AP219="Yes",10,0)</f>
        <v/>
      </c>
      <c r="AR219" s="30" t="inlineStr">
        <is>
          <t>Higher Annuity, Lower One Time</t>
        </is>
      </c>
      <c r="AS219" s="30">
        <f>IF(AR219="Fully Annuity",10,IF(AR219="Higher Annuity, Lower One Time",5,IF(AR219="Higher One Time, Lower Annuity",3,0)))</f>
        <v/>
      </c>
      <c r="AT219" s="30" t="inlineStr">
        <is>
          <t>Good</t>
        </is>
      </c>
      <c r="AU219" s="30">
        <f>IF(AT219="Good",10,0)</f>
        <v/>
      </c>
      <c r="AV219" s="30" t="inlineStr">
        <is>
          <t>Yes for more than 2 years</t>
        </is>
      </c>
      <c r="AW219" s="30">
        <f>IF(AV219="Yes for more than 2 years",10,IF(AV219="Yes only for next 1 to 2 years",5,0))</f>
        <v/>
      </c>
      <c r="AX219" s="30" t="inlineStr">
        <is>
          <t>0 to 20</t>
        </is>
      </c>
      <c r="AY219" s="30">
        <f>IF(AX219="Above 40",20,IF(AX219="20 to 40",10,IF(AX219="0 to 20",-5,0)))</f>
        <v/>
      </c>
      <c r="AZ219" s="30" t="inlineStr">
        <is>
          <t>Between 50 to 75</t>
        </is>
      </c>
      <c r="BA219" s="30">
        <f>IF(AZ219="Between 50 to 75",10,IF(AZ219="Above 75",0,0))</f>
        <v/>
      </c>
      <c r="BB219" s="30" t="inlineStr">
        <is>
          <t>Stage 2</t>
        </is>
      </c>
      <c r="BC219" s="30">
        <f>IF(BB219="Stage 2",20,IF(BB219="Stage 1",0,IF(BB219="Stage 3",5,IF(BB219="Stage 4",-5,0))))</f>
        <v/>
      </c>
      <c r="BD219" s="30" t="inlineStr">
        <is>
          <t>Positive Trend</t>
        </is>
      </c>
      <c r="BE219" s="30">
        <f>IF(BD219="Positive Trend",20,IF(BD219="Negative Trend",-10,0))</f>
        <v/>
      </c>
      <c r="BF219" s="30" t="inlineStr">
        <is>
          <t>Uptrend</t>
        </is>
      </c>
      <c r="BG219" s="30">
        <f>IF(BF219="Uptrend",10,IF(BF219="Sideways",5,0))</f>
        <v/>
      </c>
      <c r="BH219" s="30" t="inlineStr">
        <is>
          <t>Uptrend</t>
        </is>
      </c>
      <c r="BI219" s="30">
        <f>IF(BH219="Uptrend",10,IF(BH219="Sideways",5,0))</f>
        <v/>
      </c>
      <c r="BJ219" s="30" t="inlineStr">
        <is>
          <t>Close to 52 week high or retracement</t>
        </is>
      </c>
      <c r="BK219" s="30">
        <f>IF(BJ219="Overhead supply in last 2 years in last 2 years",-5,IF(BJ219="Close to 52 week high or retracement",5,IF(BJ219="Blue sky scenario",10,IF(BJ219="Long term Downtrend",-10,0))))</f>
        <v/>
      </c>
      <c r="BL219" s="30" t="inlineStr">
        <is>
          <t>Yes</t>
        </is>
      </c>
      <c r="BM219" s="30">
        <f>IF(BL219="Yes",10,0)</f>
        <v/>
      </c>
      <c r="BN219" s="30" t="inlineStr">
        <is>
          <t>More than 20%</t>
        </is>
      </c>
      <c r="BO219" s="30">
        <f>IF(BN219="More than 20%",10,IF(BN219="Between 12 to 20%",5,IF(BN219="Less than 12%",0,0)))</f>
        <v/>
      </c>
      <c r="BP219" s="30" t="inlineStr">
        <is>
          <t>No</t>
        </is>
      </c>
      <c r="BQ219" s="30">
        <f>IF(BP219="No",10,0)</f>
        <v/>
      </c>
      <c r="BR219" s="30" t="inlineStr">
        <is>
          <t>No</t>
        </is>
      </c>
      <c r="BS219" s="30">
        <f>IF(BR219="NO",5,0)</f>
        <v/>
      </c>
      <c r="BT219" s="30" t="inlineStr">
        <is>
          <t>Less than 1.5</t>
        </is>
      </c>
      <c r="BU219" s="30">
        <f>IF(BT219="Above 2",0,IF(BT219="Between 1.5 to 2",5,IF(BT219="Less than 1.5",10,0)))</f>
        <v/>
      </c>
      <c r="BV219" s="30" t="inlineStr">
        <is>
          <t>Above 70%</t>
        </is>
      </c>
      <c r="BW219" s="30">
        <f>IF(BV219="Above 70%",10,IF(BV219="Between 50% to 70%",5,IF(BV219="Less than 50%",0,IF(BV219="Negative",-10,IF(BV219="Less than 50% and Borrowings are increasing",-5,0)))))</f>
        <v/>
      </c>
      <c r="BX219" s="30" t="inlineStr">
        <is>
          <t>Less than 0.7</t>
        </is>
      </c>
      <c r="BY219" s="30">
        <f>IF(BX219="More than 1.2",-10,IF(BX219="Between 0.7 to 1.2",0,IF(BX219="Less than 0.7",10,0)))</f>
        <v/>
      </c>
      <c r="BZ219" s="30" t="inlineStr">
        <is>
          <t>No</t>
        </is>
      </c>
      <c r="CA219" s="30">
        <f>IF(BZ219="Yes",-10,0)</f>
        <v/>
      </c>
      <c r="CB219" s="30" t="inlineStr">
        <is>
          <t>Less than 15%</t>
        </is>
      </c>
      <c r="CC219" s="30">
        <f>IF(CB219="More than 15%",-10,IF(CB219="Less than 15%",10,0))</f>
        <v/>
      </c>
      <c r="CD219" s="30" t="inlineStr">
        <is>
          <t>No</t>
        </is>
      </c>
      <c r="CE219" s="30">
        <f>IF(CD219="Yes, more than 10%",-10,IF(CD219="No",10,0))</f>
        <v/>
      </c>
    </row>
    <row r="220">
      <c r="A220" s="30">
        <f>IF(B220=0,"",RANK(B220,$B$2:$B$331,0))</f>
        <v/>
      </c>
      <c r="B220" s="31">
        <f>SUM(N220,Y220,AA220,AC220,AE220,AG220,AI220,AK220,AM220,AO220,AQ220,AS220,AU220,AW220,AY220,BA220,BC220,BE220,BG220,BI220,BK220,BM220,BO220,BQ220,BS220,BU220,BW220,BY220,CA220,CC220,CE220)</f>
        <v/>
      </c>
      <c r="C220" s="30" t="inlineStr">
        <is>
          <t>MANINDS</t>
        </is>
      </c>
      <c r="D220" s="30" t="inlineStr">
        <is>
          <t>Man Industries (india) Limited</t>
        </is>
      </c>
      <c r="E220" s="30" t="inlineStr">
        <is>
          <t>metals &amp; mining</t>
        </is>
      </c>
      <c r="F220" s="30" t="inlineStr">
        <is>
          <t>steel - medium / small</t>
        </is>
      </c>
      <c r="G220" s="30" t="inlineStr">
        <is>
          <t>midcap</t>
        </is>
      </c>
      <c r="H220" s="31" t="n">
        <v>5944.88</v>
      </c>
      <c r="I220" s="31" t="n">
        <v>876.45</v>
      </c>
      <c r="J220" s="31" t="n">
        <v>10.59</v>
      </c>
      <c r="K220" s="31" t="n">
        <v>8839846</v>
      </c>
      <c r="L220" s="30" t="n">
        <v>84</v>
      </c>
      <c r="M220" s="30" t="inlineStr">
        <is>
          <t>Outperforming</t>
        </is>
      </c>
      <c r="N220" s="31">
        <f>IF(M220="Underperforming",-5,IF(L220&gt;=95,15,IF(L220&gt;=90,10,IF(L220&gt;=80,5,0))))</f>
        <v/>
      </c>
      <c r="O220" s="31" t="n">
        <v>80.22</v>
      </c>
      <c r="P220" s="31" t="n">
        <v>35.76</v>
      </c>
      <c r="Q220" s="31" t="n">
        <v>665.11</v>
      </c>
      <c r="R220" s="30" t="inlineStr">
        <is>
          <t>Volume Spike &amp; Near 52W High Breakout</t>
        </is>
      </c>
      <c r="S220" s="30" t="inlineStr">
        <is>
          <t>Nifty Metal</t>
        </is>
      </c>
      <c r="T220" s="31" t="n">
        <v>41.17</v>
      </c>
      <c r="U220" s="31" t="n">
        <v>105.72</v>
      </c>
      <c r="V220" s="31" t="n">
        <v>45.73</v>
      </c>
      <c r="W220" s="31" t="n">
        <v>33.27</v>
      </c>
      <c r="X220" s="30" t="inlineStr">
        <is>
          <t>Cyclical in an Upturn</t>
        </is>
      </c>
      <c r="Y220" s="30">
        <f>IF(X220="Growing Industry",10,IF(X220="Cyclical in an Upturn",5,0))</f>
        <v/>
      </c>
      <c r="Z220" s="30" t="inlineStr">
        <is>
          <t>Too Many Players with High ROCE</t>
        </is>
      </c>
      <c r="AA220" s="30">
        <f>IF(Z220="Monopoly",10,IF(Z220="Oligopoly",5,IF(Z220="Duopoly that cooperate",10,IF(Z220="Duopoly that compete",5,IF(Z220="Too many players with High ROCE",5,0)))))</f>
        <v/>
      </c>
      <c r="AB220" s="30" t="inlineStr">
        <is>
          <t>No</t>
        </is>
      </c>
      <c r="AC220" s="30">
        <f>IF(AB220="No",5,0)</f>
        <v/>
      </c>
      <c r="AD220" s="30" t="inlineStr">
        <is>
          <t>Tailwind</t>
        </is>
      </c>
      <c r="AE220" s="30">
        <f>IF(AD220="Tailwind",10,0)</f>
        <v/>
      </c>
      <c r="AF220" s="30" t="inlineStr">
        <is>
          <t>Cyclical</t>
        </is>
      </c>
      <c r="AG220" s="30">
        <f>IF(AF220="Structural (10 Years Consistency)",10,IF(AF220="Shallow Cyclical (2 to 3 years growth)",5,0))</f>
        <v/>
      </c>
      <c r="AH220" s="30" t="inlineStr">
        <is>
          <t>No</t>
        </is>
      </c>
      <c r="AI220" s="30">
        <f>IF(AH220="Yes due to Product Mix change or Operating Leverage",10,IF(AH220="Yes, these are peak margins",-5,IF(AH220="No",5,0)))</f>
        <v/>
      </c>
      <c r="AJ220" s="30" t="inlineStr">
        <is>
          <t>Volatile</t>
        </is>
      </c>
      <c r="AK220" s="30">
        <f>IF(AJ220="Stable",10,0)</f>
        <v/>
      </c>
      <c r="AL220" s="30" t="inlineStr">
        <is>
          <t>Yes</t>
        </is>
      </c>
      <c r="AM220" s="30">
        <f>IF(AL220="Yes",10,0)</f>
        <v/>
      </c>
      <c r="AN220" s="30" t="inlineStr">
        <is>
          <t>B2B</t>
        </is>
      </c>
      <c r="AO220" s="30">
        <f>IF(AN220="B2C",10,IF(AN220="B2B",5,0))</f>
        <v/>
      </c>
      <c r="AP220" s="30" t="inlineStr">
        <is>
          <t>Yes</t>
        </is>
      </c>
      <c r="AQ220" s="30">
        <f>IF(AP220="Yes",10,0)</f>
        <v/>
      </c>
      <c r="AR220" s="30" t="inlineStr">
        <is>
          <t>Higher One Time, Lower Annuity</t>
        </is>
      </c>
      <c r="AS220" s="30">
        <f>IF(AR220="Fully Annuity",10,IF(AR220="Higher Annuity, Lower One Time",5,IF(AR220="Higher One Time, Lower Annuity",3,0)))</f>
        <v/>
      </c>
      <c r="AT220" s="30" t="inlineStr">
        <is>
          <t>Good</t>
        </is>
      </c>
      <c r="AU220" s="30">
        <f>IF(AT220="Good",10,0)</f>
        <v/>
      </c>
      <c r="AV220" s="30" t="inlineStr">
        <is>
          <t>Yes for more than 2 years</t>
        </is>
      </c>
      <c r="AW220" s="30">
        <f>IF(AV220="Yes for more than 2 years",10,IF(AV220="Yes only for next 1 to 2 years",5,0))</f>
        <v/>
      </c>
      <c r="AX220" s="30" t="inlineStr">
        <is>
          <t>20 to 40</t>
        </is>
      </c>
      <c r="AY220" s="30">
        <f>IF(AX220="Above 40",20,IF(AX220="20 to 40",10,IF(AX220="0 to 20",-5,0)))</f>
        <v/>
      </c>
      <c r="AZ220" s="30" t="inlineStr">
        <is>
          <t>Above 75</t>
        </is>
      </c>
      <c r="BA220" s="30">
        <f>IF(AZ220="Between 50 to 75",10,IF(AZ220="Above 75",0,0))</f>
        <v/>
      </c>
      <c r="BB220" s="30" t="inlineStr">
        <is>
          <t>Stage 2</t>
        </is>
      </c>
      <c r="BC220" s="30">
        <f>IF(BB220="Stage 2",20,IF(BB220="Stage 1",0,IF(BB220="Stage 3",5,IF(BB220="Stage 4",-5,0))))</f>
        <v/>
      </c>
      <c r="BD220" s="30" t="inlineStr">
        <is>
          <t>Positive Trend</t>
        </is>
      </c>
      <c r="BE220" s="30">
        <f>IF(BD220="Positive Trend",20,IF(BD220="Negative Trend",-10,0))</f>
        <v/>
      </c>
      <c r="BF220" s="30" t="inlineStr">
        <is>
          <t>Uptrend</t>
        </is>
      </c>
      <c r="BG220" s="30">
        <f>IF(BF220="Uptrend",10,IF(BF220="Sideways",5,0))</f>
        <v/>
      </c>
      <c r="BH220" s="30" t="inlineStr">
        <is>
          <t>Uptrend</t>
        </is>
      </c>
      <c r="BI220" s="30">
        <f>IF(BH220="Uptrend",10,IF(BH220="Sideways",5,0))</f>
        <v/>
      </c>
      <c r="BJ220" s="30" t="inlineStr">
        <is>
          <t>Blue sky scenario</t>
        </is>
      </c>
      <c r="BK220" s="30">
        <f>IF(BJ220="Overhead supply in last 2 years in last 2 years",-5,IF(BJ220="Close to 52 week high or retracement",5,IF(BJ220="Blue sky scenario",10,IF(BJ220="Long term Downtrend",-10,0))))</f>
        <v/>
      </c>
      <c r="BL220" s="30" t="inlineStr">
        <is>
          <t>Yes</t>
        </is>
      </c>
      <c r="BM220" s="30">
        <f>IF(BL220="Yes",10,0)</f>
        <v/>
      </c>
      <c r="BN220" s="30" t="inlineStr">
        <is>
          <t>More than 20%</t>
        </is>
      </c>
      <c r="BO220" s="30">
        <f>IF(BN220="More than 20%",10,IF(BN220="Between 12 to 20%",5,IF(BN220="Less than 12%",0,0)))</f>
        <v/>
      </c>
      <c r="BP220" s="30" t="inlineStr">
        <is>
          <t>No</t>
        </is>
      </c>
      <c r="BQ220" s="30">
        <f>IF(BP220="No",10,0)</f>
        <v/>
      </c>
      <c r="BR220" s="30" t="inlineStr">
        <is>
          <t>No</t>
        </is>
      </c>
      <c r="BS220" s="30">
        <f>IF(BR220="NO",5,0)</f>
        <v/>
      </c>
      <c r="BT220" s="30" t="inlineStr">
        <is>
          <t>Less than 1.5</t>
        </is>
      </c>
      <c r="BU220" s="30">
        <f>IF(BT220="Above 2",0,IF(BT220="Between 1.5 to 2",5,IF(BT220="Less than 1.5",10,0)))</f>
        <v/>
      </c>
      <c r="BV220" s="30" t="inlineStr">
        <is>
          <t>Above 70%</t>
        </is>
      </c>
      <c r="BW220" s="30">
        <f>IF(BV220="Above 70%",10,IF(BV220="Between 50% to 70%",5,IF(BV220="Less than 50%",0,IF(BV220="Negative",-10,IF(BV220="Less than 50% and Borrowings are increasing",-5,0)))))</f>
        <v/>
      </c>
      <c r="BX220" s="30" t="inlineStr">
        <is>
          <t>Less than 0.7</t>
        </is>
      </c>
      <c r="BY220" s="30">
        <f>IF(BX220="More than 1.2",-10,IF(BX220="Between 0.7 to 1.2",0,IF(BX220="Less than 0.7",10,0)))</f>
        <v/>
      </c>
      <c r="BZ220" s="30" t="inlineStr">
        <is>
          <t>No</t>
        </is>
      </c>
      <c r="CA220" s="30">
        <f>IF(BZ220="Yes",-10,0)</f>
        <v/>
      </c>
      <c r="CB220" s="30" t="inlineStr">
        <is>
          <t>Less than 15%</t>
        </is>
      </c>
      <c r="CC220" s="30">
        <f>IF(CB220="More than 15%",-10,IF(CB220="Less than 15%",10,0))</f>
        <v/>
      </c>
      <c r="CD220" s="30" t="inlineStr">
        <is>
          <t>No</t>
        </is>
      </c>
      <c r="CE220" s="30">
        <f>IF(CD220="Yes, more than 10%",-10,IF(CD220="No",10,0))</f>
        <v/>
      </c>
    </row>
    <row r="221">
      <c r="A221" s="30">
        <f>IF(B221=0,"",RANK(B221,$B$2:$B$331,0))</f>
        <v/>
      </c>
      <c r="B221" s="31">
        <f>SUM(N221,Y221,AA221,AC221,AE221,AG221,AI221,AK221,AM221,AO221,AQ221,AS221,AU221,AW221,AY221,BA221,BC221,BE221,BG221,BI221,BK221,BM221,BO221,BQ221,BS221,BU221,BW221,BY221,CA221,CC221,CE221)</f>
        <v/>
      </c>
      <c r="C221" s="30" t="inlineStr">
        <is>
          <t>INOXINDIA</t>
        </is>
      </c>
      <c r="D221" s="30" t="inlineStr">
        <is>
          <t>Inox India Ltd</t>
        </is>
      </c>
      <c r="E221" s="30" t="inlineStr">
        <is>
          <t>industrials</t>
        </is>
      </c>
      <c r="F221" s="30" t="inlineStr">
        <is>
          <t>packaging</t>
        </is>
      </c>
      <c r="G221" s="30" t="inlineStr">
        <is>
          <t>midcap</t>
        </is>
      </c>
      <c r="H221" s="31" t="n">
        <v>19836.36</v>
      </c>
      <c r="I221" s="31" t="n">
        <v>2295.8</v>
      </c>
      <c r="J221" s="31" t="n">
        <v>5.05</v>
      </c>
      <c r="K221" s="31" t="n">
        <v>853734</v>
      </c>
      <c r="L221" s="30" t="n">
        <v>69</v>
      </c>
      <c r="M221" s="30" t="inlineStr">
        <is>
          <t>Outperforming</t>
        </is>
      </c>
      <c r="N221" s="31">
        <f>IF(M221="Underperforming",-5,IF(L221&gt;=95,15,IF(L221&gt;=90,10,IF(L221&gt;=80,5,0))))</f>
        <v/>
      </c>
      <c r="O221" s="31" t="n">
        <v>82.15000000000001</v>
      </c>
      <c r="P221" s="31" t="n">
        <v>64.93000000000001</v>
      </c>
      <c r="Q221" s="31" t="n">
        <v>1765.95</v>
      </c>
      <c r="R221" s="30" t="inlineStr">
        <is>
          <t>Near 52W High Breakout</t>
        </is>
      </c>
      <c r="S221" s="30" t="inlineStr">
        <is>
          <t>Nifty 50</t>
        </is>
      </c>
      <c r="T221" s="31" t="n">
        <v>-6.52</v>
      </c>
      <c r="U221" s="31" t="n">
        <v>96.51000000000001</v>
      </c>
      <c r="V221" s="31" t="n">
        <v>110.2</v>
      </c>
      <c r="W221" s="31" t="n">
        <v>22.08</v>
      </c>
      <c r="X221" s="30" t="inlineStr">
        <is>
          <t>Cyclical in an Upturn</t>
        </is>
      </c>
      <c r="Y221" s="30">
        <f>IF(X221="Growing Industry",10,IF(X221="Cyclical in an Upturn",5,0))</f>
        <v/>
      </c>
      <c r="Z221" s="30" t="inlineStr">
        <is>
          <t>Too Many Players with High ROCE</t>
        </is>
      </c>
      <c r="AA221" s="30">
        <f>IF(Z221="Monopoly",10,IF(Z221="Oligopoly",5,IF(Z221="Duopoly that cooperate",10,IF(Z221="Duopoly that compete",5,IF(Z221="Too many players with High ROCE",5,0)))))</f>
        <v/>
      </c>
      <c r="AB221" s="30" t="inlineStr">
        <is>
          <t>No</t>
        </is>
      </c>
      <c r="AC221" s="30">
        <f>IF(AB221="No",5,0)</f>
        <v/>
      </c>
      <c r="AD221" s="30" t="inlineStr">
        <is>
          <t>Tailwind</t>
        </is>
      </c>
      <c r="AE221" s="30">
        <f>IF(AD221="Tailwind",10,0)</f>
        <v/>
      </c>
      <c r="AF221" s="30" t="inlineStr">
        <is>
          <t>Structural (10 Years Consistency)</t>
        </is>
      </c>
      <c r="AG221" s="30">
        <f>IF(AF221="Structural (10 Years Consistency)",10,IF(AF221="Shallow Cyclical (2 to 3 years growth)",5,0))</f>
        <v/>
      </c>
      <c r="AH221" s="30" t="inlineStr">
        <is>
          <t>No</t>
        </is>
      </c>
      <c r="AI221" s="30">
        <f>IF(AH221="Yes due to Product Mix change or Operating Leverage",10,IF(AH221="Yes, these are peak margins",-5,IF(AH221="No",5,0)))</f>
        <v/>
      </c>
      <c r="AJ221" s="30" t="inlineStr">
        <is>
          <t>Stable</t>
        </is>
      </c>
      <c r="AK221" s="30">
        <f>IF(AJ221="Stable",10,0)</f>
        <v/>
      </c>
      <c r="AL221" s="30" t="inlineStr">
        <is>
          <t>Yes</t>
        </is>
      </c>
      <c r="AM221" s="30">
        <f>IF(AL221="Yes",10,0)</f>
        <v/>
      </c>
      <c r="AN221" s="30" t="inlineStr">
        <is>
          <t>B2B</t>
        </is>
      </c>
      <c r="AO221" s="30">
        <f>IF(AN221="B2C",10,IF(AN221="B2B",5,0))</f>
        <v/>
      </c>
      <c r="AP221" s="30" t="inlineStr">
        <is>
          <t>Yes</t>
        </is>
      </c>
      <c r="AQ221" s="30">
        <f>IF(AP221="Yes",10,0)</f>
        <v/>
      </c>
      <c r="AR221" s="30" t="inlineStr">
        <is>
          <t>Higher One Time, Lower Annuity</t>
        </is>
      </c>
      <c r="AS221" s="30">
        <f>IF(AR221="Fully Annuity",10,IF(AR221="Higher Annuity, Lower One Time",5,IF(AR221="Higher One Time, Lower Annuity",3,0)))</f>
        <v/>
      </c>
      <c r="AT221" s="30" t="inlineStr">
        <is>
          <t>Good</t>
        </is>
      </c>
      <c r="AU221" s="30">
        <f>IF(AT221="Good",10,0)</f>
        <v/>
      </c>
      <c r="AV221" s="30" t="inlineStr">
        <is>
          <t>Yes for more than 2 years</t>
        </is>
      </c>
      <c r="AW221" s="30">
        <f>IF(AV221="Yes for more than 2 years",10,IF(AV221="Yes only for next 1 to 2 years",5,0))</f>
        <v/>
      </c>
      <c r="AX221" s="30" t="inlineStr">
        <is>
          <t>Above 40</t>
        </is>
      </c>
      <c r="AY221" s="30">
        <f>IF(AX221="Above 40",20,IF(AX221="20 to 40",10,IF(AX221="0 to 20",-5,0)))</f>
        <v/>
      </c>
      <c r="AZ221" s="30" t="inlineStr">
        <is>
          <t>Above 75</t>
        </is>
      </c>
      <c r="BA221" s="30">
        <f>IF(AZ221="Between 50 to 75",10,IF(AZ221="Above 75",0,0))</f>
        <v/>
      </c>
      <c r="BB221" s="30" t="inlineStr">
        <is>
          <t>Stage 2</t>
        </is>
      </c>
      <c r="BC221" s="30">
        <f>IF(BB221="Stage 2",20,IF(BB221="Stage 1",0,IF(BB221="Stage 3",5,IF(BB221="Stage 4",-5,0))))</f>
        <v/>
      </c>
      <c r="BD221" s="30" t="inlineStr">
        <is>
          <t>Positive Trend</t>
        </is>
      </c>
      <c r="BE221" s="30">
        <f>IF(BD221="Positive Trend",20,IF(BD221="Negative Trend",-10,0))</f>
        <v/>
      </c>
      <c r="BF221" s="30" t="inlineStr">
        <is>
          <t>Uptrend</t>
        </is>
      </c>
      <c r="BG221" s="30">
        <f>IF(BF221="Uptrend",10,IF(BF221="Sideways",5,0))</f>
        <v/>
      </c>
      <c r="BH221" s="30" t="inlineStr">
        <is>
          <t>Uptrend</t>
        </is>
      </c>
      <c r="BI221" s="30">
        <f>IF(BH221="Uptrend",10,IF(BH221="Sideways",5,0))</f>
        <v/>
      </c>
      <c r="BJ221" s="30" t="inlineStr">
        <is>
          <t>Blue sky scenario</t>
        </is>
      </c>
      <c r="BK221" s="30">
        <f>IF(BJ221="Overhead supply in last 2 years in last 2 years",-5,IF(BJ221="Close to 52 week high or retracement",5,IF(BJ221="Blue sky scenario",10,IF(BJ221="Long term Downtrend",-10,0))))</f>
        <v/>
      </c>
      <c r="BL221" s="30" t="inlineStr">
        <is>
          <t>Yes</t>
        </is>
      </c>
      <c r="BM221" s="30">
        <f>IF(BL221="Yes",10,0)</f>
        <v/>
      </c>
      <c r="BN221" s="30" t="inlineStr">
        <is>
          <t>Less than 12%</t>
        </is>
      </c>
      <c r="BO221" s="30">
        <f>IF(BN221="More than 20%",10,IF(BN221="Between 12 to 20%",5,IF(BN221="Less than 12%",0,0)))</f>
        <v/>
      </c>
      <c r="BP221" s="30" t="inlineStr">
        <is>
          <t>No</t>
        </is>
      </c>
      <c r="BQ221" s="30">
        <f>IF(BP221="No",10,0)</f>
        <v/>
      </c>
      <c r="BR221" s="30" t="inlineStr">
        <is>
          <t>Yes</t>
        </is>
      </c>
      <c r="BS221" s="30">
        <f>IF(BR221="NO",5,0)</f>
        <v/>
      </c>
      <c r="BT221" s="30" t="inlineStr">
        <is>
          <t>Above 2</t>
        </is>
      </c>
      <c r="BU221" s="30">
        <f>IF(BT221="Above 2",0,IF(BT221="Between 1.5 to 2",5,IF(BT221="Less than 1.5",10,0)))</f>
        <v/>
      </c>
      <c r="BV221" s="30" t="inlineStr">
        <is>
          <t>Above 70%</t>
        </is>
      </c>
      <c r="BW221" s="30">
        <f>IF(BV221="Above 70%",10,IF(BV221="Between 50% to 70%",5,IF(BV221="Less than 50%",0,IF(BV221="Negative",-10,IF(BV221="Less than 50% and Borrowings are increasing",-5,0)))))</f>
        <v/>
      </c>
      <c r="BX221" s="30" t="inlineStr">
        <is>
          <t>Less than 0.7</t>
        </is>
      </c>
      <c r="BY221" s="30">
        <f>IF(BX221="More than 1.2",-10,IF(BX221="Between 0.7 to 1.2",0,IF(BX221="Less than 0.7",10,0)))</f>
        <v/>
      </c>
      <c r="BZ221" s="30" t="inlineStr">
        <is>
          <t>No</t>
        </is>
      </c>
      <c r="CA221" s="30">
        <f>IF(BZ221="Yes",-10,0)</f>
        <v/>
      </c>
      <c r="CB221" s="30" t="inlineStr">
        <is>
          <t>Less than 15%</t>
        </is>
      </c>
      <c r="CC221" s="30">
        <f>IF(CB221="More than 15%",-10,IF(CB221="Less than 15%",10,0))</f>
        <v/>
      </c>
      <c r="CD221" s="30" t="inlineStr">
        <is>
          <t>No</t>
        </is>
      </c>
      <c r="CE221" s="30">
        <f>IF(CD221="Yes, more than 10%",-10,IF(CD221="No",10,0))</f>
        <v/>
      </c>
    </row>
    <row r="222">
      <c r="A222" s="30">
        <f>IF(B222=0,"",RANK(B222,$B$2:$B$331,0))</f>
        <v/>
      </c>
      <c r="B222" s="31">
        <f>SUM(N222,Y222,AA222,AC222,AE222,AG222,AI222,AK222,AM222,AO222,AQ222,AS222,AU222,AW222,AY222,BA222,BC222,BE222,BG222,BI222,BK222,BM222,BO222,BQ222,BS222,BU222,BW222,BY222,CA222,CC222,CE222)</f>
        <v/>
      </c>
      <c r="C222" s="30" t="inlineStr">
        <is>
          <t>WELENT</t>
        </is>
      </c>
      <c r="D222" s="30" t="inlineStr">
        <is>
          <t>Welspun Enterprises Limited</t>
        </is>
      </c>
      <c r="E222" s="30" t="inlineStr">
        <is>
          <t>realty</t>
        </is>
      </c>
      <c r="F222" s="30" t="inlineStr">
        <is>
          <t>construction</t>
        </is>
      </c>
      <c r="G222" s="30" t="inlineStr">
        <is>
          <t>midcap</t>
        </is>
      </c>
      <c r="H222" s="31" t="n">
        <v>10835.73</v>
      </c>
      <c r="I222" s="31" t="n">
        <v>797.95</v>
      </c>
      <c r="J222" s="31" t="n">
        <v>1.93</v>
      </c>
      <c r="K222" s="31" t="n">
        <v>305587</v>
      </c>
      <c r="L222" s="30" t="n">
        <v>72</v>
      </c>
      <c r="M222" s="30" t="inlineStr">
        <is>
          <t>Outperforming</t>
        </is>
      </c>
      <c r="N222" s="31">
        <f>IF(M222="Underperforming",-5,IF(L222&gt;=95,15,IF(L222&gt;=90,10,IF(L222&gt;=80,5,0))))</f>
        <v/>
      </c>
      <c r="O222" s="31" t="n">
        <v>77.62</v>
      </c>
      <c r="P222" s="31" t="n">
        <v>31.24</v>
      </c>
      <c r="Q222" s="31" t="n">
        <v>652.39</v>
      </c>
      <c r="R222" s="30" t="inlineStr">
        <is>
          <t>Near 52W High Breakout</t>
        </is>
      </c>
      <c r="S222" s="30" t="inlineStr">
        <is>
          <t>Nifty Realty</t>
        </is>
      </c>
      <c r="T222" s="31" t="n">
        <v>-8.26</v>
      </c>
      <c r="U222" s="31" t="n">
        <v>61.1</v>
      </c>
      <c r="V222" s="31" t="n">
        <v>75.61</v>
      </c>
      <c r="W222" s="31" t="n">
        <v>24.16</v>
      </c>
      <c r="X222" s="30" t="inlineStr">
        <is>
          <t>Growing Industry</t>
        </is>
      </c>
      <c r="Y222" s="30">
        <f>IF(X222="Growing Industry",10,IF(X222="Cyclical in an Upturn",5,0))</f>
        <v/>
      </c>
      <c r="Z222" s="30" t="inlineStr">
        <is>
          <t>Too Many Players with High ROCE</t>
        </is>
      </c>
      <c r="AA222" s="30">
        <f>IF(Z222="Monopoly",10,IF(Z222="Oligopoly",5,IF(Z222="Duopoly that cooperate",10,IF(Z222="Duopoly that compete",5,IF(Z222="Too many players with High ROCE",5,0)))))</f>
        <v/>
      </c>
      <c r="AB222" s="30" t="inlineStr">
        <is>
          <t>No</t>
        </is>
      </c>
      <c r="AC222" s="30">
        <f>IF(AB222="No",5,0)</f>
        <v/>
      </c>
      <c r="AD222" s="30" t="inlineStr">
        <is>
          <t>Tailwind</t>
        </is>
      </c>
      <c r="AE222" s="30">
        <f>IF(AD222="Tailwind",10,0)</f>
        <v/>
      </c>
      <c r="AF222" s="30" t="inlineStr">
        <is>
          <t>Structural (10 Years Consistency)</t>
        </is>
      </c>
      <c r="AG222" s="30">
        <f>IF(AF222="Structural (10 Years Consistency)",10,IF(AF222="Shallow Cyclical (2 to 3 years growth)",5,0))</f>
        <v/>
      </c>
      <c r="AH222" s="30" t="inlineStr">
        <is>
          <t>No</t>
        </is>
      </c>
      <c r="AI222" s="30">
        <f>IF(AH222="Yes due to Product Mix change or Operating Leverage",10,IF(AH222="Yes, these are peak margins",-5,IF(AH222="No",5,0)))</f>
        <v/>
      </c>
      <c r="AJ222" s="30" t="inlineStr">
        <is>
          <t>Stable</t>
        </is>
      </c>
      <c r="AK222" s="30">
        <f>IF(AJ222="Stable",10,0)</f>
        <v/>
      </c>
      <c r="AL222" s="30" t="inlineStr">
        <is>
          <t>Yes</t>
        </is>
      </c>
      <c r="AM222" s="30">
        <f>IF(AL222="Yes",10,0)</f>
        <v/>
      </c>
      <c r="AN222" s="30" t="inlineStr">
        <is>
          <t>B2B</t>
        </is>
      </c>
      <c r="AO222" s="30">
        <f>IF(AN222="B2C",10,IF(AN222="B2B",5,0))</f>
        <v/>
      </c>
      <c r="AP222" s="30" t="inlineStr">
        <is>
          <t>Yes</t>
        </is>
      </c>
      <c r="AQ222" s="30">
        <f>IF(AP222="Yes",10,0)</f>
        <v/>
      </c>
      <c r="AR222" s="30" t="inlineStr">
        <is>
          <t>Higher One Time, Lower Annuity</t>
        </is>
      </c>
      <c r="AS222" s="30">
        <f>IF(AR222="Fully Annuity",10,IF(AR222="Higher Annuity, Lower One Time",5,IF(AR222="Higher One Time, Lower Annuity",3,0)))</f>
        <v/>
      </c>
      <c r="AT222" s="30" t="inlineStr">
        <is>
          <t>Good</t>
        </is>
      </c>
      <c r="AU222" s="30">
        <f>IF(AT222="Good",10,0)</f>
        <v/>
      </c>
      <c r="AV222" s="30" t="inlineStr">
        <is>
          <t>Yes for more than 2 years</t>
        </is>
      </c>
      <c r="AW222" s="30">
        <f>IF(AV222="Yes for more than 2 years",10,IF(AV222="Yes only for next 1 to 2 years",5,0))</f>
        <v/>
      </c>
      <c r="AX222" s="30" t="inlineStr">
        <is>
          <t>20 to 40</t>
        </is>
      </c>
      <c r="AY222" s="30">
        <f>IF(AX222="Above 40",20,IF(AX222="20 to 40",10,IF(AX222="0 to 20",-5,0)))</f>
        <v/>
      </c>
      <c r="AZ222" s="30" t="inlineStr">
        <is>
          <t>Above 75</t>
        </is>
      </c>
      <c r="BA222" s="30">
        <f>IF(AZ222="Between 50 to 75",10,IF(AZ222="Above 75",0,0))</f>
        <v/>
      </c>
      <c r="BB222" s="30" t="inlineStr">
        <is>
          <t>Stage 2</t>
        </is>
      </c>
      <c r="BC222" s="30">
        <f>IF(BB222="Stage 2",20,IF(BB222="Stage 1",0,IF(BB222="Stage 3",5,IF(BB222="Stage 4",-5,0))))</f>
        <v/>
      </c>
      <c r="BD222" s="30" t="inlineStr">
        <is>
          <t>Positive Trend</t>
        </is>
      </c>
      <c r="BE222" s="30">
        <f>IF(BD222="Positive Trend",20,IF(BD222="Negative Trend",-10,0))</f>
        <v/>
      </c>
      <c r="BF222" s="30" t="inlineStr">
        <is>
          <t>Uptrend</t>
        </is>
      </c>
      <c r="BG222" s="30">
        <f>IF(BF222="Uptrend",10,IF(BF222="Sideways",5,0))</f>
        <v/>
      </c>
      <c r="BH222" s="30" t="inlineStr">
        <is>
          <t>Uptrend</t>
        </is>
      </c>
      <c r="BI222" s="30">
        <f>IF(BH222="Uptrend",10,IF(BH222="Sideways",5,0))</f>
        <v/>
      </c>
      <c r="BJ222" s="30" t="inlineStr">
        <is>
          <t>Blue sky scenario</t>
        </is>
      </c>
      <c r="BK222" s="30">
        <f>IF(BJ222="Overhead supply in last 2 years in last 2 years",-5,IF(BJ222="Close to 52 week high or retracement",5,IF(BJ222="Blue sky scenario",10,IF(BJ222="Long term Downtrend",-10,0))))</f>
        <v/>
      </c>
      <c r="BL222" s="30" t="inlineStr">
        <is>
          <t>Yes</t>
        </is>
      </c>
      <c r="BM222" s="30">
        <f>IF(BL222="Yes",10,0)</f>
        <v/>
      </c>
      <c r="BN222" s="30" t="inlineStr">
        <is>
          <t>Less than 12%</t>
        </is>
      </c>
      <c r="BO222" s="30">
        <f>IF(BN222="More than 20%",10,IF(BN222="Between 12 to 20%",5,IF(BN222="Less than 12%",0,0)))</f>
        <v/>
      </c>
      <c r="BP222" s="30" t="inlineStr">
        <is>
          <t>No</t>
        </is>
      </c>
      <c r="BQ222" s="30">
        <f>IF(BP222="No",10,0)</f>
        <v/>
      </c>
      <c r="BR222" s="30" t="inlineStr">
        <is>
          <t>No</t>
        </is>
      </c>
      <c r="BS222" s="30">
        <f>IF(BR222="NO",5,0)</f>
        <v/>
      </c>
      <c r="BT222" s="30" t="inlineStr">
        <is>
          <t>Above 2</t>
        </is>
      </c>
      <c r="BU222" s="30">
        <f>IF(BT222="Above 2",0,IF(BT222="Between 1.5 to 2",5,IF(BT222="Less than 1.5",10,0)))</f>
        <v/>
      </c>
      <c r="BV222" s="30" t="inlineStr">
        <is>
          <t>Above 70%</t>
        </is>
      </c>
      <c r="BW222" s="30">
        <f>IF(BV222="Above 70%",10,IF(BV222="Between 50% to 70%",5,IF(BV222="Less than 50%",0,IF(BV222="Negative",-10,IF(BV222="Less than 50% and Borrowings are increasing",-5,0)))))</f>
        <v/>
      </c>
      <c r="BX222" s="30" t="inlineStr">
        <is>
          <t>Less than 0.7</t>
        </is>
      </c>
      <c r="BY222" s="30">
        <f>IF(BX222="More than 1.2",-10,IF(BX222="Between 0.7 to 1.2",0,IF(BX222="Less than 0.7",10,0)))</f>
        <v/>
      </c>
      <c r="BZ222" s="30" t="inlineStr">
        <is>
          <t>No</t>
        </is>
      </c>
      <c r="CA222" s="30">
        <f>IF(BZ222="Yes",-10,0)</f>
        <v/>
      </c>
      <c r="CB222" s="30" t="inlineStr">
        <is>
          <t>Less than 15%</t>
        </is>
      </c>
      <c r="CC222" s="30">
        <f>IF(CB222="More than 15%",-10,IF(CB222="Less than 15%",10,0))</f>
        <v/>
      </c>
      <c r="CD222" s="30" t="inlineStr">
        <is>
          <t>No</t>
        </is>
      </c>
      <c r="CE222" s="30">
        <f>IF(CD222="Yes, more than 10%",-10,IF(CD222="No",10,0))</f>
        <v/>
      </c>
    </row>
    <row r="223">
      <c r="A223" s="30">
        <f>IF(B223=0,"",RANK(B223,$B$2:$B$331,0))</f>
        <v/>
      </c>
      <c r="B223" s="31">
        <f>SUM(N223,Y223,AA223,AC223,AE223,AG223,AI223,AK223,AM223,AO223,AQ223,AS223,AU223,AW223,AY223,BA223,BC223,BE223,BG223,BI223,BK223,BM223,BO223,BQ223,BS223,BU223,BW223,BY223,CA223,CC223,CE223)</f>
        <v/>
      </c>
      <c r="C223" s="32" t="inlineStr">
        <is>
          <t>SAMBHV</t>
        </is>
      </c>
      <c r="D223" s="32" t="inlineStr">
        <is>
          <t>Sambhv Steel Tubes Ltd</t>
        </is>
      </c>
      <c r="E223" s="30" t="inlineStr">
        <is>
          <t>metals &amp; mining</t>
        </is>
      </c>
      <c r="F223" s="30" t="inlineStr">
        <is>
          <t>steel - medium / small</t>
        </is>
      </c>
      <c r="G223" s="30" t="inlineStr">
        <is>
          <t>smallcap</t>
        </is>
      </c>
      <c r="H223" s="31" t="n">
        <v>3843.69</v>
      </c>
      <c r="I223" s="31" t="n">
        <v>132.51</v>
      </c>
      <c r="J223" s="31" t="n">
        <v>1.59</v>
      </c>
      <c r="K223" s="31" t="n">
        <v>2348033</v>
      </c>
      <c r="L223" s="30" t="n">
        <v>13</v>
      </c>
      <c r="M223" s="30" t="inlineStr">
        <is>
          <t>Underperforming</t>
        </is>
      </c>
      <c r="N223" s="31">
        <f>IF(M223="Underperforming",-5,IF(L223&gt;=95,15,IF(L223&gt;=90,10,IF(L223&gt;=80,5,0))))</f>
        <v/>
      </c>
      <c r="O223" s="31" t="n">
        <v>67.45</v>
      </c>
      <c r="P223" s="31" t="n">
        <v>34.36</v>
      </c>
      <c r="Q223" s="31" t="n">
        <v>102.07</v>
      </c>
      <c r="R223" s="30" t="inlineStr">
        <is>
          <t>Near 52W High Breakout</t>
        </is>
      </c>
      <c r="S223" s="30" t="inlineStr">
        <is>
          <t>Nifty Metal</t>
        </is>
      </c>
      <c r="T223" s="31" t="n">
        <v>41.17</v>
      </c>
      <c r="U223" s="31" t="n">
        <v>-0.1</v>
      </c>
      <c r="V223" s="31" t="n">
        <v>-29.23</v>
      </c>
      <c r="W223" s="31" t="n">
        <v>4.55</v>
      </c>
      <c r="X223" s="30" t="inlineStr">
        <is>
          <t>Cyclical in an Upturn</t>
        </is>
      </c>
      <c r="Y223" s="30">
        <f>IF(X223="Growing Industry",10,IF(X223="Cyclical in an Upturn",5,0))</f>
        <v/>
      </c>
      <c r="Z223" s="30" t="inlineStr">
        <is>
          <t>Too Many Players with High ROCE</t>
        </is>
      </c>
      <c r="AA223" s="30">
        <f>IF(Z223="Monopoly",10,IF(Z223="Oligopoly",5,IF(Z223="Duopoly that cooperate",10,IF(Z223="Duopoly that compete",5,IF(Z223="Too many players with High ROCE",5,0)))))</f>
        <v/>
      </c>
      <c r="AB223" s="30" t="inlineStr">
        <is>
          <t>No</t>
        </is>
      </c>
      <c r="AC223" s="30">
        <f>IF(AB223="No",5,0)</f>
        <v/>
      </c>
      <c r="AD223" s="30" t="inlineStr">
        <is>
          <t>Tailwind</t>
        </is>
      </c>
      <c r="AE223" s="30">
        <f>IF(AD223="Tailwind",10,0)</f>
        <v/>
      </c>
      <c r="AF223" s="30" t="inlineStr">
        <is>
          <t>Cyclical</t>
        </is>
      </c>
      <c r="AG223" s="30">
        <f>IF(AF223="Structural (10 Years Consistency)",10,IF(AF223="Shallow Cyclical (2 to 3 years growth)",5,0))</f>
        <v/>
      </c>
      <c r="AH223" s="30" t="inlineStr">
        <is>
          <t>No</t>
        </is>
      </c>
      <c r="AI223" s="30">
        <f>IF(AH223="Yes due to Product Mix change or Operating Leverage",10,IF(AH223="Yes, these are peak margins",-5,IF(AH223="No",5,0)))</f>
        <v/>
      </c>
      <c r="AJ223" s="30" t="inlineStr">
        <is>
          <t>Volatile</t>
        </is>
      </c>
      <c r="AK223" s="30">
        <f>IF(AJ223="Stable",10,0)</f>
        <v/>
      </c>
      <c r="AL223" s="30" t="inlineStr">
        <is>
          <t>Yes</t>
        </is>
      </c>
      <c r="AM223" s="30">
        <f>IF(AL223="Yes",10,0)</f>
        <v/>
      </c>
      <c r="AN223" s="30" t="inlineStr">
        <is>
          <t>B2B</t>
        </is>
      </c>
      <c r="AO223" s="30">
        <f>IF(AN223="B2C",10,IF(AN223="B2B",5,0))</f>
        <v/>
      </c>
      <c r="AP223" s="30" t="inlineStr">
        <is>
          <t>Yes</t>
        </is>
      </c>
      <c r="AQ223" s="30">
        <f>IF(AP223="Yes",10,0)</f>
        <v/>
      </c>
      <c r="AR223" s="30" t="inlineStr">
        <is>
          <t>Higher One Time, Lower Annuity</t>
        </is>
      </c>
      <c r="AS223" s="30">
        <f>IF(AR223="Fully Annuity",10,IF(AR223="Higher Annuity, Lower One Time",5,IF(AR223="Higher One Time, Lower Annuity",3,0)))</f>
        <v/>
      </c>
      <c r="AT223" s="30" t="inlineStr">
        <is>
          <t>Good</t>
        </is>
      </c>
      <c r="AU223" s="30">
        <f>IF(AT223="Good",10,0)</f>
        <v/>
      </c>
      <c r="AV223" s="30" t="inlineStr">
        <is>
          <t>Yes for more than 2 years</t>
        </is>
      </c>
      <c r="AW223" s="30">
        <f>IF(AV223="Yes for more than 2 years",10,IF(AV223="Yes only for next 1 to 2 years",5,0))</f>
        <v/>
      </c>
      <c r="AX223" s="30" t="inlineStr">
        <is>
          <t>20 to 40</t>
        </is>
      </c>
      <c r="AY223" s="30">
        <f>IF(AX223="Above 40",20,IF(AX223="20 to 40",10,IF(AX223="0 to 20",-5,0)))</f>
        <v/>
      </c>
      <c r="AZ223" s="30" t="inlineStr">
        <is>
          <t>Between 50 to 75</t>
        </is>
      </c>
      <c r="BA223" s="30">
        <f>IF(AZ223="Between 50 to 75",10,IF(AZ223="Above 75",0,0))</f>
        <v/>
      </c>
      <c r="BB223" s="30" t="inlineStr">
        <is>
          <t>Stage 2</t>
        </is>
      </c>
      <c r="BC223" s="30">
        <f>IF(BB223="Stage 2",20,IF(BB223="Stage 1",0,IF(BB223="Stage 3",5,IF(BB223="Stage 4",-5,0))))</f>
        <v/>
      </c>
      <c r="BD223" s="30" t="inlineStr">
        <is>
          <t>Positive Trend</t>
        </is>
      </c>
      <c r="BE223" s="30">
        <f>IF(BD223="Positive Trend",20,IF(BD223="Negative Trend",-10,0))</f>
        <v/>
      </c>
      <c r="BF223" s="30" t="inlineStr">
        <is>
          <t>Uptrend</t>
        </is>
      </c>
      <c r="BG223" s="30">
        <f>IF(BF223="Uptrend",10,IF(BF223="Sideways",5,0))</f>
        <v/>
      </c>
      <c r="BH223" s="30" t="inlineStr">
        <is>
          <t>Uptrend</t>
        </is>
      </c>
      <c r="BI223" s="30">
        <f>IF(BH223="Uptrend",10,IF(BH223="Sideways",5,0))</f>
        <v/>
      </c>
      <c r="BJ223" s="30" t="inlineStr">
        <is>
          <t>Blue sky scenario</t>
        </is>
      </c>
      <c r="BK223" s="30">
        <f>IF(BJ223="Overhead supply in last 2 years in last 2 years",-5,IF(BJ223="Close to 52 week high or retracement",5,IF(BJ223="Blue sky scenario",10,IF(BJ223="Long term Downtrend",-10,0))))</f>
        <v/>
      </c>
      <c r="BL223" s="30" t="inlineStr">
        <is>
          <t>Yes</t>
        </is>
      </c>
      <c r="BM223" s="30">
        <f>IF(BL223="Yes",10,0)</f>
        <v/>
      </c>
      <c r="BN223" s="30" t="inlineStr">
        <is>
          <t>More than 20%</t>
        </is>
      </c>
      <c r="BO223" s="30">
        <f>IF(BN223="More than 20%",10,IF(BN223="Between 12 to 20%",5,IF(BN223="Less than 12%",0,0)))</f>
        <v/>
      </c>
      <c r="BP223" s="30" t="inlineStr">
        <is>
          <t>No</t>
        </is>
      </c>
      <c r="BQ223" s="30">
        <f>IF(BP223="No",10,0)</f>
        <v/>
      </c>
      <c r="BR223" s="30" t="inlineStr">
        <is>
          <t>No</t>
        </is>
      </c>
      <c r="BS223" s="30">
        <f>IF(BR223="NO",5,0)</f>
        <v/>
      </c>
      <c r="BT223" s="30" t="inlineStr">
        <is>
          <t>Less than 1.5</t>
        </is>
      </c>
      <c r="BU223" s="30">
        <f>IF(BT223="Above 2",0,IF(BT223="Between 1.5 to 2",5,IF(BT223="Less than 1.5",10,0)))</f>
        <v/>
      </c>
      <c r="BV223" s="30" t="inlineStr">
        <is>
          <t>Above 70%</t>
        </is>
      </c>
      <c r="BW223" s="30">
        <f>IF(BV223="Above 70%",10,IF(BV223="Between 50% to 70%",5,IF(BV223="Less than 50%",0,IF(BV223="Negative",-10,IF(BV223="Less than 50% and Borrowings are increasing",-5,0)))))</f>
        <v/>
      </c>
      <c r="BX223" s="30" t="inlineStr">
        <is>
          <t>Less than 0.7</t>
        </is>
      </c>
      <c r="BY223" s="30">
        <f>IF(BX223="More than 1.2",-10,IF(BX223="Between 0.7 to 1.2",0,IF(BX223="Less than 0.7",10,0)))</f>
        <v/>
      </c>
      <c r="BZ223" s="30" t="inlineStr">
        <is>
          <t>No</t>
        </is>
      </c>
      <c r="CA223" s="30">
        <f>IF(BZ223="Yes",-10,0)</f>
        <v/>
      </c>
      <c r="CB223" s="30" t="inlineStr">
        <is>
          <t>Less than 15%</t>
        </is>
      </c>
      <c r="CC223" s="30">
        <f>IF(CB223="More than 15%",-10,IF(CB223="Less than 15%",10,0))</f>
        <v/>
      </c>
      <c r="CD223" s="30" t="inlineStr">
        <is>
          <t>No</t>
        </is>
      </c>
      <c r="CE223" s="30">
        <f>IF(CD223="Yes, more than 10%",-10,IF(CD223="No",10,0))</f>
        <v/>
      </c>
    </row>
    <row r="224">
      <c r="A224" s="30">
        <f>IF(B224=0,"",RANK(B224,$B$2:$B$331,0))</f>
        <v/>
      </c>
      <c r="B224" s="31">
        <f>SUM(N224,Y224,AA224,AC224,AE224,AG224,AI224,AK224,AM224,AO224,AQ224,AS224,AU224,AW224,AY224,BA224,BC224,BE224,BG224,BI224,BK224,BM224,BO224,BQ224,BS224,BU224,BW224,BY224,CA224,CC224,CE224)</f>
        <v/>
      </c>
      <c r="C224" s="32" t="inlineStr">
        <is>
          <t>SHYAMMETL</t>
        </is>
      </c>
      <c r="D224" s="32" t="inlineStr">
        <is>
          <t>Shyam Metalics &amp; Energy Ltd</t>
        </is>
      </c>
      <c r="E224" s="30" t="inlineStr">
        <is>
          <t>metals &amp; mining</t>
        </is>
      </c>
      <c r="F224" s="30" t="inlineStr">
        <is>
          <t>steel - large</t>
        </is>
      </c>
      <c r="G224" s="30" t="inlineStr">
        <is>
          <t>largecap</t>
        </is>
      </c>
      <c r="H224" s="31" t="n">
        <v>29970.39</v>
      </c>
      <c r="I224" s="31" t="n">
        <v>1086.1</v>
      </c>
      <c r="J224" s="31" t="n">
        <v>1.15</v>
      </c>
      <c r="K224" s="31" t="n">
        <v>128947</v>
      </c>
      <c r="L224" s="30" t="n">
        <v>34</v>
      </c>
      <c r="M224" s="30" t="inlineStr">
        <is>
          <t>Underperforming</t>
        </is>
      </c>
      <c r="N224" s="31">
        <f>IF(M224="Underperforming",-5,IF(L224&gt;=95,15,IF(L224&gt;=90,10,IF(L224&gt;=80,5,0))))</f>
        <v/>
      </c>
      <c r="O224" s="31" t="n">
        <v>65.76000000000001</v>
      </c>
      <c r="P224" s="31" t="n">
        <v>26.05</v>
      </c>
      <c r="Q224" s="31" t="n">
        <v>919.34</v>
      </c>
      <c r="R224" s="30" t="inlineStr">
        <is>
          <t>Near 52W High Breakout</t>
        </is>
      </c>
      <c r="S224" s="30" t="inlineStr">
        <is>
          <t>Nifty Metal</t>
        </is>
      </c>
      <c r="T224" s="31" t="n">
        <v>41.17</v>
      </c>
      <c r="U224" s="31" t="n">
        <v>13.05</v>
      </c>
      <c r="V224" s="31" t="n">
        <v>-19.92</v>
      </c>
      <c r="W224" s="31" t="n">
        <v>10.21</v>
      </c>
      <c r="X224" s="30" t="inlineStr">
        <is>
          <t>Cyclical in an Upturn</t>
        </is>
      </c>
      <c r="Y224" s="30">
        <f>IF(X224="Growing Industry",10,IF(X224="Cyclical in an Upturn",5,0))</f>
        <v/>
      </c>
      <c r="Z224" s="30" t="inlineStr">
        <is>
          <t>Too Many Players with High ROCE</t>
        </is>
      </c>
      <c r="AA224" s="30">
        <f>IF(Z224="Monopoly",10,IF(Z224="Oligopoly",5,IF(Z224="Duopoly that cooperate",10,IF(Z224="Duopoly that compete",5,IF(Z224="Too many players with High ROCE",5,0)))))</f>
        <v/>
      </c>
      <c r="AB224" s="30" t="inlineStr">
        <is>
          <t>No</t>
        </is>
      </c>
      <c r="AC224" s="30">
        <f>IF(AB224="No",5,0)</f>
        <v/>
      </c>
      <c r="AD224" s="30" t="inlineStr">
        <is>
          <t>Tailwind</t>
        </is>
      </c>
      <c r="AE224" s="30">
        <f>IF(AD224="Tailwind",10,0)</f>
        <v/>
      </c>
      <c r="AF224" s="30" t="inlineStr">
        <is>
          <t>Cyclical</t>
        </is>
      </c>
      <c r="AG224" s="30">
        <f>IF(AF224="Structural (10 Years Consistency)",10,IF(AF224="Shallow Cyclical (2 to 3 years growth)",5,0))</f>
        <v/>
      </c>
      <c r="AH224" s="30" t="inlineStr">
        <is>
          <t>No</t>
        </is>
      </c>
      <c r="AI224" s="30">
        <f>IF(AH224="Yes due to Product Mix change or Operating Leverage",10,IF(AH224="Yes, these are peak margins",-5,IF(AH224="No",5,0)))</f>
        <v/>
      </c>
      <c r="AJ224" s="30" t="inlineStr">
        <is>
          <t>Volatile</t>
        </is>
      </c>
      <c r="AK224" s="30">
        <f>IF(AJ224="Stable",10,0)</f>
        <v/>
      </c>
      <c r="AL224" s="30" t="inlineStr">
        <is>
          <t>Yes</t>
        </is>
      </c>
      <c r="AM224" s="30">
        <f>IF(AL224="Yes",10,0)</f>
        <v/>
      </c>
      <c r="AN224" s="30" t="inlineStr">
        <is>
          <t>B2B</t>
        </is>
      </c>
      <c r="AO224" s="30">
        <f>IF(AN224="B2C",10,IF(AN224="B2B",5,0))</f>
        <v/>
      </c>
      <c r="AP224" s="30" t="inlineStr">
        <is>
          <t>Yes</t>
        </is>
      </c>
      <c r="AQ224" s="30">
        <f>IF(AP224="Yes",10,0)</f>
        <v/>
      </c>
      <c r="AR224" s="30" t="inlineStr">
        <is>
          <t>Higher One Time, Lower Annuity</t>
        </is>
      </c>
      <c r="AS224" s="30">
        <f>IF(AR224="Fully Annuity",10,IF(AR224="Higher Annuity, Lower One Time",5,IF(AR224="Higher One Time, Lower Annuity",3,0)))</f>
        <v/>
      </c>
      <c r="AT224" s="30" t="inlineStr">
        <is>
          <t>Good</t>
        </is>
      </c>
      <c r="AU224" s="30">
        <f>IF(AT224="Good",10,0)</f>
        <v/>
      </c>
      <c r="AV224" s="30" t="inlineStr">
        <is>
          <t>Yes for more than 2 years</t>
        </is>
      </c>
      <c r="AW224" s="30">
        <f>IF(AV224="Yes for more than 2 years",10,IF(AV224="Yes only for next 1 to 2 years",5,0))</f>
        <v/>
      </c>
      <c r="AX224" s="30" t="inlineStr">
        <is>
          <t>20 to 40</t>
        </is>
      </c>
      <c r="AY224" s="30">
        <f>IF(AX224="Above 40",20,IF(AX224="20 to 40",10,IF(AX224="0 to 20",-5,0)))</f>
        <v/>
      </c>
      <c r="AZ224" s="30" t="inlineStr">
        <is>
          <t>Between 50 to 75</t>
        </is>
      </c>
      <c r="BA224" s="30">
        <f>IF(AZ224="Between 50 to 75",10,IF(AZ224="Above 75",0,0))</f>
        <v/>
      </c>
      <c r="BB224" s="30" t="inlineStr">
        <is>
          <t>Stage 2</t>
        </is>
      </c>
      <c r="BC224" s="30">
        <f>IF(BB224="Stage 2",20,IF(BB224="Stage 1",0,IF(BB224="Stage 3",5,IF(BB224="Stage 4",-5,0))))</f>
        <v/>
      </c>
      <c r="BD224" s="30" t="inlineStr">
        <is>
          <t>Positive Trend</t>
        </is>
      </c>
      <c r="BE224" s="30">
        <f>IF(BD224="Positive Trend",20,IF(BD224="Negative Trend",-10,0))</f>
        <v/>
      </c>
      <c r="BF224" s="30" t="inlineStr">
        <is>
          <t>Uptrend</t>
        </is>
      </c>
      <c r="BG224" s="30">
        <f>IF(BF224="Uptrend",10,IF(BF224="Sideways",5,0))</f>
        <v/>
      </c>
      <c r="BH224" s="30" t="inlineStr">
        <is>
          <t>Uptrend</t>
        </is>
      </c>
      <c r="BI224" s="30">
        <f>IF(BH224="Uptrend",10,IF(BH224="Sideways",5,0))</f>
        <v/>
      </c>
      <c r="BJ224" s="30" t="inlineStr">
        <is>
          <t>Blue sky scenario</t>
        </is>
      </c>
      <c r="BK224" s="30">
        <f>IF(BJ224="Overhead supply in last 2 years in last 2 years",-5,IF(BJ224="Close to 52 week high or retracement",5,IF(BJ224="Blue sky scenario",10,IF(BJ224="Long term Downtrend",-10,0))))</f>
        <v/>
      </c>
      <c r="BL224" s="30" t="inlineStr">
        <is>
          <t>Yes</t>
        </is>
      </c>
      <c r="BM224" s="30">
        <f>IF(BL224="Yes",10,0)</f>
        <v/>
      </c>
      <c r="BN224" s="30" t="inlineStr">
        <is>
          <t>More than 20%</t>
        </is>
      </c>
      <c r="BO224" s="30">
        <f>IF(BN224="More than 20%",10,IF(BN224="Between 12 to 20%",5,IF(BN224="Less than 12%",0,0)))</f>
        <v/>
      </c>
      <c r="BP224" s="30" t="inlineStr">
        <is>
          <t>No</t>
        </is>
      </c>
      <c r="BQ224" s="30">
        <f>IF(BP224="No",10,0)</f>
        <v/>
      </c>
      <c r="BR224" s="30" t="inlineStr">
        <is>
          <t>No</t>
        </is>
      </c>
      <c r="BS224" s="30">
        <f>IF(BR224="NO",5,0)</f>
        <v/>
      </c>
      <c r="BT224" s="30" t="inlineStr">
        <is>
          <t>Less than 1.5</t>
        </is>
      </c>
      <c r="BU224" s="30">
        <f>IF(BT224="Above 2",0,IF(BT224="Between 1.5 to 2",5,IF(BT224="Less than 1.5",10,0)))</f>
        <v/>
      </c>
      <c r="BV224" s="30" t="inlineStr">
        <is>
          <t>Above 70%</t>
        </is>
      </c>
      <c r="BW224" s="30">
        <f>IF(BV224="Above 70%",10,IF(BV224="Between 50% to 70%",5,IF(BV224="Less than 50%",0,IF(BV224="Negative",-10,IF(BV224="Less than 50% and Borrowings are increasing",-5,0)))))</f>
        <v/>
      </c>
      <c r="BX224" s="30" t="inlineStr">
        <is>
          <t>Less than 0.7</t>
        </is>
      </c>
      <c r="BY224" s="30">
        <f>IF(BX224="More than 1.2",-10,IF(BX224="Between 0.7 to 1.2",0,IF(BX224="Less than 0.7",10,0)))</f>
        <v/>
      </c>
      <c r="BZ224" s="30" t="inlineStr">
        <is>
          <t>No</t>
        </is>
      </c>
      <c r="CA224" s="30">
        <f>IF(BZ224="Yes",-10,0)</f>
        <v/>
      </c>
      <c r="CB224" s="30" t="inlineStr">
        <is>
          <t>Less than 15%</t>
        </is>
      </c>
      <c r="CC224" s="30">
        <f>IF(CB224="More than 15%",-10,IF(CB224="Less than 15%",10,0))</f>
        <v/>
      </c>
      <c r="CD224" s="30" t="inlineStr">
        <is>
          <t>No</t>
        </is>
      </c>
      <c r="CE224" s="30">
        <f>IF(CD224="Yes, more than 10%",-10,IF(CD224="No",10,0))</f>
        <v/>
      </c>
    </row>
    <row r="225">
      <c r="A225" s="30">
        <f>IF(B225=0,"",RANK(B225,$B$2:$B$331,0))</f>
        <v/>
      </c>
      <c r="B225" s="31">
        <f>SUM(N225,Y225,AA225,AC225,AE225,AG225,AI225,AK225,AM225,AO225,AQ225,AS225,AU225,AW225,AY225,BA225,BC225,BE225,BG225,BI225,BK225,BM225,BO225,BQ225,BS225,BU225,BW225,BY225,CA225,CC225,CE225)</f>
        <v/>
      </c>
      <c r="C225" s="30" t="inlineStr">
        <is>
          <t>JASH</t>
        </is>
      </c>
      <c r="D225" s="30" t="inlineStr">
        <is>
          <t>Jash Engineering Ltd</t>
        </is>
      </c>
      <c r="E225" s="30" t="inlineStr">
        <is>
          <t>industrials</t>
        </is>
      </c>
      <c r="F225" s="30" t="inlineStr">
        <is>
          <t>engineering</t>
        </is>
      </c>
      <c r="G225" s="30" t="inlineStr">
        <is>
          <t>smallcap</t>
        </is>
      </c>
      <c r="H225" s="31" t="n">
        <v>3278.17</v>
      </c>
      <c r="I225" s="31" t="n">
        <v>521.45</v>
      </c>
      <c r="J225" s="31" t="n">
        <v>0.52</v>
      </c>
      <c r="K225" s="31" t="n">
        <v>189537</v>
      </c>
      <c r="L225" s="30" t="n">
        <v>11</v>
      </c>
      <c r="M225" s="30" t="inlineStr">
        <is>
          <t>Outperforming</t>
        </is>
      </c>
      <c r="N225" s="31">
        <f>IF(M225="Underperforming",-5,IF(L225&gt;=95,15,IF(L225&gt;=90,10,IF(L225&gt;=80,5,0))))</f>
        <v/>
      </c>
      <c r="O225" s="31" t="n">
        <v>60.41</v>
      </c>
      <c r="P225" s="31" t="n">
        <v>21.25</v>
      </c>
      <c r="Q225" s="31" t="n">
        <v>428.37</v>
      </c>
      <c r="R225" s="30" t="inlineStr">
        <is>
          <t>Earnings / Momentum Support</t>
        </is>
      </c>
      <c r="S225" s="30" t="inlineStr">
        <is>
          <t>Nifty 50</t>
        </is>
      </c>
      <c r="T225" s="31" t="n">
        <v>-6.52</v>
      </c>
      <c r="U225" s="31" t="n">
        <v>1.06</v>
      </c>
      <c r="V225" s="31" t="n">
        <v>8.1</v>
      </c>
      <c r="W225" s="31" t="n">
        <v>3.99</v>
      </c>
      <c r="X225" s="30" t="inlineStr">
        <is>
          <t>Cyclical in an Upturn</t>
        </is>
      </c>
      <c r="Y225" s="30">
        <f>IF(X225="Growing Industry",10,IF(X225="Cyclical in an Upturn",5,0))</f>
        <v/>
      </c>
      <c r="Z225" s="30" t="inlineStr">
        <is>
          <t>Too Many Players with High ROCE</t>
        </is>
      </c>
      <c r="AA225" s="30">
        <f>IF(Z225="Monopoly",10,IF(Z225="Oligopoly",5,IF(Z225="Duopoly that cooperate",10,IF(Z225="Duopoly that compete",5,IF(Z225="Too many players with High ROCE",5,0)))))</f>
        <v/>
      </c>
      <c r="AB225" s="30" t="inlineStr">
        <is>
          <t>No</t>
        </is>
      </c>
      <c r="AC225" s="30">
        <f>IF(AB225="No",5,0)</f>
        <v/>
      </c>
      <c r="AD225" s="30" t="inlineStr">
        <is>
          <t>Tailwind</t>
        </is>
      </c>
      <c r="AE225" s="30">
        <f>IF(AD225="Tailwind",10,0)</f>
        <v/>
      </c>
      <c r="AF225" s="30" t="inlineStr">
        <is>
          <t>Structural (10 Years Consistency)</t>
        </is>
      </c>
      <c r="AG225" s="30">
        <f>IF(AF225="Structural (10 Years Consistency)",10,IF(AF225="Shallow Cyclical (2 to 3 years growth)",5,0))</f>
        <v/>
      </c>
      <c r="AH225" s="30" t="inlineStr">
        <is>
          <t>No</t>
        </is>
      </c>
      <c r="AI225" s="30">
        <f>IF(AH225="Yes due to Product Mix change or Operating Leverage",10,IF(AH225="Yes, these are peak margins",-5,IF(AH225="No",5,0)))</f>
        <v/>
      </c>
      <c r="AJ225" s="30" t="inlineStr">
        <is>
          <t>Stable</t>
        </is>
      </c>
      <c r="AK225" s="30">
        <f>IF(AJ225="Stable",10,0)</f>
        <v/>
      </c>
      <c r="AL225" s="30" t="inlineStr">
        <is>
          <t>Yes</t>
        </is>
      </c>
      <c r="AM225" s="30">
        <f>IF(AL225="Yes",10,0)</f>
        <v/>
      </c>
      <c r="AN225" s="30" t="inlineStr">
        <is>
          <t>B2B</t>
        </is>
      </c>
      <c r="AO225" s="30">
        <f>IF(AN225="B2C",10,IF(AN225="B2B",5,0))</f>
        <v/>
      </c>
      <c r="AP225" s="30" t="inlineStr">
        <is>
          <t>No</t>
        </is>
      </c>
      <c r="AQ225" s="30">
        <f>IF(AP225="Yes",10,0)</f>
        <v/>
      </c>
      <c r="AR225" s="30" t="inlineStr">
        <is>
          <t>Higher One Time, Lower Annuity</t>
        </is>
      </c>
      <c r="AS225" s="30">
        <f>IF(AR225="Fully Annuity",10,IF(AR225="Higher Annuity, Lower One Time",5,IF(AR225="Higher One Time, Lower Annuity",3,0)))</f>
        <v/>
      </c>
      <c r="AT225" s="30" t="inlineStr">
        <is>
          <t>Good</t>
        </is>
      </c>
      <c r="AU225" s="30">
        <f>IF(AT225="Good",10,0)</f>
        <v/>
      </c>
      <c r="AV225" s="30" t="inlineStr">
        <is>
          <t>Yes for more than 2 years</t>
        </is>
      </c>
      <c r="AW225" s="30">
        <f>IF(AV225="Yes for more than 2 years",10,IF(AV225="Yes only for next 1 to 2 years",5,0))</f>
        <v/>
      </c>
      <c r="AX225" s="30" t="inlineStr">
        <is>
          <t>20 to 40</t>
        </is>
      </c>
      <c r="AY225" s="30">
        <f>IF(AX225="Above 40",20,IF(AX225="20 to 40",10,IF(AX225="0 to 20",-5,0)))</f>
        <v/>
      </c>
      <c r="AZ225" s="30" t="inlineStr">
        <is>
          <t>Between 50 to 75</t>
        </is>
      </c>
      <c r="BA225" s="30">
        <f>IF(AZ225="Between 50 to 75",10,IF(AZ225="Above 75",0,0))</f>
        <v/>
      </c>
      <c r="BB225" s="30" t="inlineStr">
        <is>
          <t>Stage 2</t>
        </is>
      </c>
      <c r="BC225" s="30">
        <f>IF(BB225="Stage 2",20,IF(BB225="Stage 1",0,IF(BB225="Stage 3",5,IF(BB225="Stage 4",-5,0))))</f>
        <v/>
      </c>
      <c r="BD225" s="30" t="inlineStr">
        <is>
          <t>Positive Trend</t>
        </is>
      </c>
      <c r="BE225" s="30">
        <f>IF(BD225="Positive Trend",20,IF(BD225="Negative Trend",-10,0))</f>
        <v/>
      </c>
      <c r="BF225" s="30" t="inlineStr">
        <is>
          <t>Uptrend</t>
        </is>
      </c>
      <c r="BG225" s="30">
        <f>IF(BF225="Uptrend",10,IF(BF225="Sideways",5,0))</f>
        <v/>
      </c>
      <c r="BH225" s="30" t="inlineStr">
        <is>
          <t>Uptrend</t>
        </is>
      </c>
      <c r="BI225" s="30">
        <f>IF(BH225="Uptrend",10,IF(BH225="Sideways",5,0))</f>
        <v/>
      </c>
      <c r="BJ225" s="30" t="inlineStr">
        <is>
          <t>Close to 52 week high or retracement</t>
        </is>
      </c>
      <c r="BK225" s="30">
        <f>IF(BJ225="Overhead supply in last 2 years in last 2 years",-5,IF(BJ225="Close to 52 week high or retracement",5,IF(BJ225="Blue sky scenario",10,IF(BJ225="Long term Downtrend",-10,0))))</f>
        <v/>
      </c>
      <c r="BL225" s="30" t="inlineStr">
        <is>
          <t>Yes</t>
        </is>
      </c>
      <c r="BM225" s="30">
        <f>IF(BL225="Yes",10,0)</f>
        <v/>
      </c>
      <c r="BN225" s="30" t="inlineStr">
        <is>
          <t>More than 20%</t>
        </is>
      </c>
      <c r="BO225" s="30">
        <f>IF(BN225="More than 20%",10,IF(BN225="Between 12 to 20%",5,IF(BN225="Less than 12%",0,0)))</f>
        <v/>
      </c>
      <c r="BP225" s="30" t="inlineStr">
        <is>
          <t>No</t>
        </is>
      </c>
      <c r="BQ225" s="30">
        <f>IF(BP225="No",10,0)</f>
        <v/>
      </c>
      <c r="BR225" s="30" t="inlineStr">
        <is>
          <t>No</t>
        </is>
      </c>
      <c r="BS225" s="30">
        <f>IF(BR225="NO",5,0)</f>
        <v/>
      </c>
      <c r="BT225" s="30" t="inlineStr">
        <is>
          <t>Above 2</t>
        </is>
      </c>
      <c r="BU225" s="30">
        <f>IF(BT225="Above 2",0,IF(BT225="Between 1.5 to 2",5,IF(BT225="Less than 1.5",10,0)))</f>
        <v/>
      </c>
      <c r="BV225" s="30" t="inlineStr">
        <is>
          <t>Above 70%</t>
        </is>
      </c>
      <c r="BW225" s="30">
        <f>IF(BV225="Above 70%",10,IF(BV225="Between 50% to 70%",5,IF(BV225="Less than 50%",0,IF(BV225="Negative",-10,IF(BV225="Less than 50% and Borrowings are increasing",-5,0)))))</f>
        <v/>
      </c>
      <c r="BX225" s="30" t="inlineStr">
        <is>
          <t>Less than 0.7</t>
        </is>
      </c>
      <c r="BY225" s="30">
        <f>IF(BX225="More than 1.2",-10,IF(BX225="Between 0.7 to 1.2",0,IF(BX225="Less than 0.7",10,0)))</f>
        <v/>
      </c>
      <c r="BZ225" s="30" t="inlineStr">
        <is>
          <t>No</t>
        </is>
      </c>
      <c r="CA225" s="30">
        <f>IF(BZ225="Yes",-10,0)</f>
        <v/>
      </c>
      <c r="CB225" s="30" t="inlineStr">
        <is>
          <t>Less than 15%</t>
        </is>
      </c>
      <c r="CC225" s="30">
        <f>IF(CB225="More than 15%",-10,IF(CB225="Less than 15%",10,0))</f>
        <v/>
      </c>
      <c r="CD225" s="30" t="inlineStr">
        <is>
          <t>No</t>
        </is>
      </c>
      <c r="CE225" s="30">
        <f>IF(CD225="Yes, more than 10%",-10,IF(CD225="No",10,0))</f>
        <v/>
      </c>
    </row>
    <row r="226">
      <c r="A226" s="30">
        <f>IF(B226=0,"",RANK(B226,$B$2:$B$331,0))</f>
        <v/>
      </c>
      <c r="B226" s="31">
        <f>SUM(N226,Y226,AA226,AC226,AE226,AG226,AI226,AK226,AM226,AO226,AQ226,AS226,AU226,AW226,AY226,BA226,BC226,BE226,BG226,BI226,BK226,BM226,BO226,BQ226,BS226,BU226,BW226,BY226,CA226,CC226,CE226)</f>
        <v/>
      </c>
      <c r="C226" s="30" t="inlineStr">
        <is>
          <t>ETERNAL</t>
        </is>
      </c>
      <c r="D226" s="30" t="inlineStr">
        <is>
          <t>Eternal Ltd</t>
        </is>
      </c>
      <c r="E226" s="30" t="inlineStr">
        <is>
          <t>i.t</t>
        </is>
      </c>
      <c r="F226" s="30" t="inlineStr">
        <is>
          <t>miscellaneous</t>
        </is>
      </c>
      <c r="G226" s="30" t="inlineStr">
        <is>
          <t>largecap</t>
        </is>
      </c>
      <c r="H226" s="31" t="n">
        <v>309390.24</v>
      </c>
      <c r="I226" s="31" t="n">
        <v>322.1</v>
      </c>
      <c r="J226" s="31" t="n">
        <v>0.47</v>
      </c>
      <c r="K226" s="31" t="n">
        <v>15557911</v>
      </c>
      <c r="L226" s="30" t="n">
        <v>27</v>
      </c>
      <c r="M226" s="30" t="inlineStr">
        <is>
          <t>Outperforming</t>
        </is>
      </c>
      <c r="N226" s="31">
        <f>IF(M226="Underperforming",-5,IF(L226&gt;=95,15,IF(L226&gt;=90,10,IF(L226&gt;=80,5,0))))</f>
        <v/>
      </c>
      <c r="O226" s="31" t="n">
        <v>65.16</v>
      </c>
      <c r="P226" s="31" t="n">
        <v>25.91</v>
      </c>
      <c r="Q226" s="31" t="n">
        <v>270.74</v>
      </c>
      <c r="R226" s="30" t="inlineStr">
        <is>
          <t>Earnings / Momentum Support</t>
        </is>
      </c>
      <c r="S226" s="30" t="inlineStr">
        <is>
          <t>Nifty IT</t>
        </is>
      </c>
      <c r="T226" s="31" t="n">
        <v>-19.99</v>
      </c>
      <c r="U226" s="31" t="n">
        <v>0.22</v>
      </c>
      <c r="V226" s="31" t="n">
        <v>25.26</v>
      </c>
      <c r="W226" s="31" t="n">
        <v>8.470000000000001</v>
      </c>
      <c r="X226" s="30" t="inlineStr">
        <is>
          <t>Growing Industry</t>
        </is>
      </c>
      <c r="Y226" s="30">
        <f>IF(X226="Growing Industry",10,IF(X226="Cyclical in an Upturn",5,0))</f>
        <v/>
      </c>
      <c r="Z226" s="30" t="inlineStr">
        <is>
          <t>Too Many Players with High ROCE</t>
        </is>
      </c>
      <c r="AA226" s="30">
        <f>IF(Z226="Monopoly",10,IF(Z226="Oligopoly",5,IF(Z226="Duopoly that cooperate",10,IF(Z226="Duopoly that compete",5,IF(Z226="Too many players with High ROCE",5,0)))))</f>
        <v/>
      </c>
      <c r="AB226" s="30" t="inlineStr">
        <is>
          <t>No</t>
        </is>
      </c>
      <c r="AC226" s="30">
        <f>IF(AB226="No",5,0)</f>
        <v/>
      </c>
      <c r="AD226" s="30" t="inlineStr">
        <is>
          <t>Tailwind</t>
        </is>
      </c>
      <c r="AE226" s="30">
        <f>IF(AD226="Tailwind",10,0)</f>
        <v/>
      </c>
      <c r="AF226" s="30" t="inlineStr">
        <is>
          <t>Structural (10 Years Consistency)</t>
        </is>
      </c>
      <c r="AG226" s="30">
        <f>IF(AF226="Structural (10 Years Consistency)",10,IF(AF226="Shallow Cyclical (2 to 3 years growth)",5,0))</f>
        <v/>
      </c>
      <c r="AH226" s="30" t="inlineStr">
        <is>
          <t>No</t>
        </is>
      </c>
      <c r="AI226" s="30">
        <f>IF(AH226="Yes due to Product Mix change or Operating Leverage",10,IF(AH226="Yes, these are peak margins",-5,IF(AH226="No",5,0)))</f>
        <v/>
      </c>
      <c r="AJ226" s="30" t="inlineStr">
        <is>
          <t>Stable</t>
        </is>
      </c>
      <c r="AK226" s="30">
        <f>IF(AJ226="Stable",10,0)</f>
        <v/>
      </c>
      <c r="AL226" s="30" t="inlineStr">
        <is>
          <t>Yes</t>
        </is>
      </c>
      <c r="AM226" s="30">
        <f>IF(AL226="Yes",10,0)</f>
        <v/>
      </c>
      <c r="AN226" s="30" t="inlineStr">
        <is>
          <t>B2B</t>
        </is>
      </c>
      <c r="AO226" s="30">
        <f>IF(AN226="B2C",10,IF(AN226="B2B",5,0))</f>
        <v/>
      </c>
      <c r="AP226" s="30" t="inlineStr">
        <is>
          <t>No</t>
        </is>
      </c>
      <c r="AQ226" s="30">
        <f>IF(AP226="Yes",10,0)</f>
        <v/>
      </c>
      <c r="AR226" s="30" t="inlineStr">
        <is>
          <t>Higher One Time, Lower Annuity</t>
        </is>
      </c>
      <c r="AS226" s="30">
        <f>IF(AR226="Fully Annuity",10,IF(AR226="Higher Annuity, Lower One Time",5,IF(AR226="Higher One Time, Lower Annuity",3,0)))</f>
        <v/>
      </c>
      <c r="AT226" s="30" t="inlineStr">
        <is>
          <t>Good</t>
        </is>
      </c>
      <c r="AU226" s="30">
        <f>IF(AT226="Good",10,0)</f>
        <v/>
      </c>
      <c r="AV226" s="30" t="inlineStr">
        <is>
          <t>Yes for more than 2 years</t>
        </is>
      </c>
      <c r="AW226" s="30">
        <f>IF(AV226="Yes for more than 2 years",10,IF(AV226="Yes only for next 1 to 2 years",5,0))</f>
        <v/>
      </c>
      <c r="AX226" s="30" t="inlineStr">
        <is>
          <t>20 to 40</t>
        </is>
      </c>
      <c r="AY226" s="30">
        <f>IF(AX226="Above 40",20,IF(AX226="20 to 40",10,IF(AX226="0 to 20",-5,0)))</f>
        <v/>
      </c>
      <c r="AZ226" s="30" t="inlineStr">
        <is>
          <t>Between 50 to 75</t>
        </is>
      </c>
      <c r="BA226" s="30">
        <f>IF(AZ226="Between 50 to 75",10,IF(AZ226="Above 75",0,0))</f>
        <v/>
      </c>
      <c r="BB226" s="30" t="inlineStr">
        <is>
          <t>Stage 2</t>
        </is>
      </c>
      <c r="BC226" s="30">
        <f>IF(BB226="Stage 2",20,IF(BB226="Stage 1",0,IF(BB226="Stage 3",5,IF(BB226="Stage 4",-5,0))))</f>
        <v/>
      </c>
      <c r="BD226" s="30" t="inlineStr">
        <is>
          <t>Positive Trend</t>
        </is>
      </c>
      <c r="BE226" s="30">
        <f>IF(BD226="Positive Trend",20,IF(BD226="Negative Trend",-10,0))</f>
        <v/>
      </c>
      <c r="BF226" s="30" t="inlineStr">
        <is>
          <t>Uptrend</t>
        </is>
      </c>
      <c r="BG226" s="30">
        <f>IF(BF226="Uptrend",10,IF(BF226="Sideways",5,0))</f>
        <v/>
      </c>
      <c r="BH226" s="30" t="inlineStr">
        <is>
          <t>Uptrend</t>
        </is>
      </c>
      <c r="BI226" s="30">
        <f>IF(BH226="Uptrend",10,IF(BH226="Sideways",5,0))</f>
        <v/>
      </c>
      <c r="BJ226" s="30" t="inlineStr">
        <is>
          <t>Close to 52 week high or retracement</t>
        </is>
      </c>
      <c r="BK226" s="30">
        <f>IF(BJ226="Overhead supply in last 2 years in last 2 years",-5,IF(BJ226="Close to 52 week high or retracement",5,IF(BJ226="Blue sky scenario",10,IF(BJ226="Long term Downtrend",-10,0))))</f>
        <v/>
      </c>
      <c r="BL226" s="30" t="inlineStr">
        <is>
          <t>Yes</t>
        </is>
      </c>
      <c r="BM226" s="30">
        <f>IF(BL226="Yes",10,0)</f>
        <v/>
      </c>
      <c r="BN226" s="30" t="inlineStr">
        <is>
          <t>More than 20%</t>
        </is>
      </c>
      <c r="BO226" s="30">
        <f>IF(BN226="More than 20%",10,IF(BN226="Between 12 to 20%",5,IF(BN226="Less than 12%",0,0)))</f>
        <v/>
      </c>
      <c r="BP226" s="30" t="inlineStr">
        <is>
          <t>No</t>
        </is>
      </c>
      <c r="BQ226" s="30">
        <f>IF(BP226="No",10,0)</f>
        <v/>
      </c>
      <c r="BR226" s="30" t="inlineStr">
        <is>
          <t>Yes</t>
        </is>
      </c>
      <c r="BS226" s="30">
        <f>IF(BR226="NO",5,0)</f>
        <v/>
      </c>
      <c r="BT226" s="30" t="inlineStr">
        <is>
          <t>Above 2</t>
        </is>
      </c>
      <c r="BU226" s="30">
        <f>IF(BT226="Above 2",0,IF(BT226="Between 1.5 to 2",5,IF(BT226="Less than 1.5",10,0)))</f>
        <v/>
      </c>
      <c r="BV226" s="30" t="inlineStr">
        <is>
          <t>Above 70%</t>
        </is>
      </c>
      <c r="BW226" s="30">
        <f>IF(BV226="Above 70%",10,IF(BV226="Between 50% to 70%",5,IF(BV226="Less than 50%",0,IF(BV226="Negative",-10,IF(BV226="Less than 50% and Borrowings are increasing",-5,0)))))</f>
        <v/>
      </c>
      <c r="BX226" s="30" t="inlineStr">
        <is>
          <t>Less than 0.7</t>
        </is>
      </c>
      <c r="BY226" s="30">
        <f>IF(BX226="More than 1.2",-10,IF(BX226="Between 0.7 to 1.2",0,IF(BX226="Less than 0.7",10,0)))</f>
        <v/>
      </c>
      <c r="BZ226" s="30" t="inlineStr">
        <is>
          <t>No</t>
        </is>
      </c>
      <c r="CA226" s="30">
        <f>IF(BZ226="Yes",-10,0)</f>
        <v/>
      </c>
      <c r="CB226" s="30" t="inlineStr">
        <is>
          <t>Less than 15%</t>
        </is>
      </c>
      <c r="CC226" s="30">
        <f>IF(CB226="More than 15%",-10,IF(CB226="Less than 15%",10,0))</f>
        <v/>
      </c>
      <c r="CD226" s="30" t="inlineStr">
        <is>
          <t>No</t>
        </is>
      </c>
      <c r="CE226" s="30">
        <f>IF(CD226="Yes, more than 10%",-10,IF(CD226="No",10,0))</f>
        <v/>
      </c>
    </row>
    <row r="227">
      <c r="A227" s="30">
        <f>IF(B227=0,"",RANK(B227,$B$2:$B$331,0))</f>
        <v/>
      </c>
      <c r="B227" s="31">
        <f>SUM(N227,Y227,AA227,AC227,AE227,AG227,AI227,AK227,AM227,AO227,AQ227,AS227,AU227,AW227,AY227,BA227,BC227,BE227,BG227,BI227,BK227,BM227,BO227,BQ227,BS227,BU227,BW227,BY227,CA227,CC227,CE227)</f>
        <v/>
      </c>
      <c r="C227" s="30" t="inlineStr">
        <is>
          <t>MAHASTEEL</t>
        </is>
      </c>
      <c r="D227" s="30" t="inlineStr">
        <is>
          <t>Mahamaya Steel Industries Limited</t>
        </is>
      </c>
      <c r="E227" s="30" t="inlineStr">
        <is>
          <t>metals &amp; mining</t>
        </is>
      </c>
      <c r="F227" s="30" t="inlineStr">
        <is>
          <t>steel - medium / small</t>
        </is>
      </c>
      <c r="G227" s="30" t="inlineStr">
        <is>
          <t>smallcap</t>
        </is>
      </c>
      <c r="H227" s="31" t="n">
        <v>2178.54</v>
      </c>
      <c r="I227" s="31" t="n">
        <v>1331.6</v>
      </c>
      <c r="J227" s="31" t="n">
        <v>0.45</v>
      </c>
      <c r="K227" s="31" t="n">
        <v>2443</v>
      </c>
      <c r="L227" s="30" t="n">
        <v>92</v>
      </c>
      <c r="M227" s="30" t="inlineStr">
        <is>
          <t>Outperforming</t>
        </is>
      </c>
      <c r="N227" s="31">
        <f>IF(M227="Underperforming",-5,IF(L227&gt;=95,15,IF(L227&gt;=90,10,IF(L227&gt;=80,5,0))))</f>
        <v/>
      </c>
      <c r="O227" s="31" t="n">
        <v>72.43000000000001</v>
      </c>
      <c r="P227" s="31" t="n">
        <v>23.38</v>
      </c>
      <c r="Q227" s="31" t="n">
        <v>972.75</v>
      </c>
      <c r="R227" s="30" t="inlineStr">
        <is>
          <t>Near 52W High Breakout</t>
        </is>
      </c>
      <c r="S227" s="30" t="inlineStr">
        <is>
          <t>Nifty Metal</t>
        </is>
      </c>
      <c r="T227" s="31" t="n">
        <v>41.17</v>
      </c>
      <c r="U227" s="31" t="n">
        <v>269.89</v>
      </c>
      <c r="V227" s="31" t="n">
        <v>162.03</v>
      </c>
      <c r="W227" s="31" t="n">
        <v>44.03</v>
      </c>
      <c r="X227" s="30" t="inlineStr">
        <is>
          <t>Cyclical in an Upturn</t>
        </is>
      </c>
      <c r="Y227" s="30">
        <f>IF(X227="Growing Industry",10,IF(X227="Cyclical in an Upturn",5,0))</f>
        <v/>
      </c>
      <c r="Z227" s="30" t="inlineStr">
        <is>
          <t>Too Many Players with High ROCE</t>
        </is>
      </c>
      <c r="AA227" s="30">
        <f>IF(Z227="Monopoly",10,IF(Z227="Oligopoly",5,IF(Z227="Duopoly that cooperate",10,IF(Z227="Duopoly that compete",5,IF(Z227="Too many players with High ROCE",5,0)))))</f>
        <v/>
      </c>
      <c r="AB227" s="30" t="inlineStr">
        <is>
          <t>No</t>
        </is>
      </c>
      <c r="AC227" s="30">
        <f>IF(AB227="No",5,0)</f>
        <v/>
      </c>
      <c r="AD227" s="30" t="inlineStr">
        <is>
          <t>Tailwind</t>
        </is>
      </c>
      <c r="AE227" s="30">
        <f>IF(AD227="Tailwind",10,0)</f>
        <v/>
      </c>
      <c r="AF227" s="30" t="inlineStr">
        <is>
          <t>Cyclical</t>
        </is>
      </c>
      <c r="AG227" s="30">
        <f>IF(AF227="Structural (10 Years Consistency)",10,IF(AF227="Shallow Cyclical (2 to 3 years growth)",5,0))</f>
        <v/>
      </c>
      <c r="AH227" s="30" t="inlineStr">
        <is>
          <t>No</t>
        </is>
      </c>
      <c r="AI227" s="30">
        <f>IF(AH227="Yes due to Product Mix change or Operating Leverage",10,IF(AH227="Yes, these are peak margins",-5,IF(AH227="No",5,0)))</f>
        <v/>
      </c>
      <c r="AJ227" s="30" t="inlineStr">
        <is>
          <t>Volatile</t>
        </is>
      </c>
      <c r="AK227" s="30">
        <f>IF(AJ227="Stable",10,0)</f>
        <v/>
      </c>
      <c r="AL227" s="30" t="inlineStr">
        <is>
          <t>Yes</t>
        </is>
      </c>
      <c r="AM227" s="30">
        <f>IF(AL227="Yes",10,0)</f>
        <v/>
      </c>
      <c r="AN227" s="30" t="inlineStr">
        <is>
          <t>B2B</t>
        </is>
      </c>
      <c r="AO227" s="30">
        <f>IF(AN227="B2C",10,IF(AN227="B2B",5,0))</f>
        <v/>
      </c>
      <c r="AP227" s="30" t="inlineStr">
        <is>
          <t>Yes</t>
        </is>
      </c>
      <c r="AQ227" s="30">
        <f>IF(AP227="Yes",10,0)</f>
        <v/>
      </c>
      <c r="AR227" s="30" t="inlineStr">
        <is>
          <t>Higher One Time, Lower Annuity</t>
        </is>
      </c>
      <c r="AS227" s="30">
        <f>IF(AR227="Fully Annuity",10,IF(AR227="Higher Annuity, Lower One Time",5,IF(AR227="Higher One Time, Lower Annuity",3,0)))</f>
        <v/>
      </c>
      <c r="AT227" s="30" t="inlineStr">
        <is>
          <t>Good</t>
        </is>
      </c>
      <c r="AU227" s="30">
        <f>IF(AT227="Good",10,0)</f>
        <v/>
      </c>
      <c r="AV227" s="30" t="inlineStr">
        <is>
          <t>Yes for more than 2 years</t>
        </is>
      </c>
      <c r="AW227" s="30">
        <f>IF(AV227="Yes for more than 2 years",10,IF(AV227="Yes only for next 1 to 2 years",5,0))</f>
        <v/>
      </c>
      <c r="AX227" s="30" t="inlineStr">
        <is>
          <t>20 to 40</t>
        </is>
      </c>
      <c r="AY227" s="30">
        <f>IF(AX227="Above 40",20,IF(AX227="20 to 40",10,IF(AX227="0 to 20",-5,0)))</f>
        <v/>
      </c>
      <c r="AZ227" s="30" t="inlineStr">
        <is>
          <t>Between 50 to 75</t>
        </is>
      </c>
      <c r="BA227" s="30">
        <f>IF(AZ227="Between 50 to 75",10,IF(AZ227="Above 75",0,0))</f>
        <v/>
      </c>
      <c r="BB227" s="30" t="inlineStr">
        <is>
          <t>Stage 2</t>
        </is>
      </c>
      <c r="BC227" s="30">
        <f>IF(BB227="Stage 2",20,IF(BB227="Stage 1",0,IF(BB227="Stage 3",5,IF(BB227="Stage 4",-5,0))))</f>
        <v/>
      </c>
      <c r="BD227" s="30" t="inlineStr">
        <is>
          <t>Positive Trend</t>
        </is>
      </c>
      <c r="BE227" s="30">
        <f>IF(BD227="Positive Trend",20,IF(BD227="Negative Trend",-10,0))</f>
        <v/>
      </c>
      <c r="BF227" s="30" t="inlineStr">
        <is>
          <t>Uptrend</t>
        </is>
      </c>
      <c r="BG227" s="30">
        <f>IF(BF227="Uptrend",10,IF(BF227="Sideways",5,0))</f>
        <v/>
      </c>
      <c r="BH227" s="30" t="inlineStr">
        <is>
          <t>Uptrend</t>
        </is>
      </c>
      <c r="BI227" s="30">
        <f>IF(BH227="Uptrend",10,IF(BH227="Sideways",5,0))</f>
        <v/>
      </c>
      <c r="BJ227" s="30" t="inlineStr">
        <is>
          <t>Blue sky scenario</t>
        </is>
      </c>
      <c r="BK227" s="30">
        <f>IF(BJ227="Overhead supply in last 2 years in last 2 years",-5,IF(BJ227="Close to 52 week high or retracement",5,IF(BJ227="Blue sky scenario",10,IF(BJ227="Long term Downtrend",-10,0))))</f>
        <v/>
      </c>
      <c r="BL227" s="30" t="inlineStr">
        <is>
          <t>Yes</t>
        </is>
      </c>
      <c r="BM227" s="30">
        <f>IF(BL227="Yes",10,0)</f>
        <v/>
      </c>
      <c r="BN227" s="30" t="inlineStr">
        <is>
          <t>More than 20%</t>
        </is>
      </c>
      <c r="BO227" s="30">
        <f>IF(BN227="More than 20%",10,IF(BN227="Between 12 to 20%",5,IF(BN227="Less than 12%",0,0)))</f>
        <v/>
      </c>
      <c r="BP227" s="30" t="inlineStr">
        <is>
          <t>No</t>
        </is>
      </c>
      <c r="BQ227" s="30">
        <f>IF(BP227="No",10,0)</f>
        <v/>
      </c>
      <c r="BR227" s="30" t="inlineStr">
        <is>
          <t>Yes</t>
        </is>
      </c>
      <c r="BS227" s="30">
        <f>IF(BR227="NO",5,0)</f>
        <v/>
      </c>
      <c r="BT227" s="30" t="inlineStr">
        <is>
          <t>Above 2</t>
        </is>
      </c>
      <c r="BU227" s="30">
        <f>IF(BT227="Above 2",0,IF(BT227="Between 1.5 to 2",5,IF(BT227="Less than 1.5",10,0)))</f>
        <v/>
      </c>
      <c r="BV227" s="30" t="inlineStr">
        <is>
          <t>Above 70%</t>
        </is>
      </c>
      <c r="BW227" s="30">
        <f>IF(BV227="Above 70%",10,IF(BV227="Between 50% to 70%",5,IF(BV227="Less than 50%",0,IF(BV227="Negative",-10,IF(BV227="Less than 50% and Borrowings are increasing",-5,0)))))</f>
        <v/>
      </c>
      <c r="BX227" s="30" t="inlineStr">
        <is>
          <t>Less than 0.7</t>
        </is>
      </c>
      <c r="BY227" s="30">
        <f>IF(BX227="More than 1.2",-10,IF(BX227="Between 0.7 to 1.2",0,IF(BX227="Less than 0.7",10,0)))</f>
        <v/>
      </c>
      <c r="BZ227" s="30" t="inlineStr">
        <is>
          <t>No</t>
        </is>
      </c>
      <c r="CA227" s="30">
        <f>IF(BZ227="Yes",-10,0)</f>
        <v/>
      </c>
      <c r="CB227" s="30" t="inlineStr">
        <is>
          <t>Less than 15%</t>
        </is>
      </c>
      <c r="CC227" s="30">
        <f>IF(CB227="More than 15%",-10,IF(CB227="Less than 15%",10,0))</f>
        <v/>
      </c>
      <c r="CD227" s="30" t="inlineStr">
        <is>
          <t>No</t>
        </is>
      </c>
      <c r="CE227" s="30">
        <f>IF(CD227="Yes, more than 10%",-10,IF(CD227="No",10,0))</f>
        <v/>
      </c>
    </row>
    <row r="228">
      <c r="A228" s="30">
        <f>IF(B228=0,"",RANK(B228,$B$2:$B$331,0))</f>
        <v/>
      </c>
      <c r="B228" s="31">
        <f>SUM(N228,Y228,AA228,AC228,AE228,AG228,AI228,AK228,AM228,AO228,AQ228,AS228,AU228,AW228,AY228,BA228,BC228,BE228,BG228,BI228,BK228,BM228,BO228,BQ228,BS228,BU228,BW228,BY228,CA228,CC228,CE228)</f>
        <v/>
      </c>
      <c r="C228" s="30" t="inlineStr">
        <is>
          <t>CARYSIL</t>
        </is>
      </c>
      <c r="D228" s="30" t="inlineStr">
        <is>
          <t>Carysil Ltd</t>
        </is>
      </c>
      <c r="E228" s="30" t="inlineStr">
        <is>
          <t>consumer discretionary</t>
        </is>
      </c>
      <c r="F228" s="30" t="inlineStr">
        <is>
          <t>domestic appliances</t>
        </is>
      </c>
      <c r="G228" s="30" t="inlineStr">
        <is>
          <t>smallcap</t>
        </is>
      </c>
      <c r="H228" s="31" t="n">
        <v>3357.08</v>
      </c>
      <c r="I228" s="31" t="n">
        <v>1178.5</v>
      </c>
      <c r="J228" s="31" t="n">
        <v>-0.15</v>
      </c>
      <c r="K228" s="31" t="n">
        <v>150482</v>
      </c>
      <c r="L228" s="30" t="n">
        <v>22</v>
      </c>
      <c r="M228" s="30" t="inlineStr">
        <is>
          <t>Outperforming</t>
        </is>
      </c>
      <c r="N228" s="31">
        <f>IF(M228="Underperforming",-5,IF(L228&gt;=95,15,IF(L228&gt;=90,10,IF(L228&gt;=80,5,0))))</f>
        <v/>
      </c>
      <c r="O228" s="31" t="n">
        <v>62.12</v>
      </c>
      <c r="P228" s="31" t="n">
        <v>29.81</v>
      </c>
      <c r="Q228" s="31" t="n">
        <v>921.84</v>
      </c>
      <c r="R228" s="30" t="inlineStr">
        <is>
          <t>Near 52W High Breakout</t>
        </is>
      </c>
      <c r="S228" s="30" t="inlineStr">
        <is>
          <t>Nifty 50</t>
        </is>
      </c>
      <c r="T228" s="31" t="n">
        <v>-6.52</v>
      </c>
      <c r="U228" s="31" t="n">
        <v>25.31</v>
      </c>
      <c r="V228" s="31" t="n">
        <v>34.04</v>
      </c>
      <c r="W228" s="31" t="n">
        <v>6.67</v>
      </c>
      <c r="X228" s="30" t="inlineStr">
        <is>
          <t>Growing Industry</t>
        </is>
      </c>
      <c r="Y228" s="30">
        <f>IF(X228="Growing Industry",10,IF(X228="Cyclical in an Upturn",5,0))</f>
        <v/>
      </c>
      <c r="Z228" s="30" t="inlineStr">
        <is>
          <t>Too Many Players with High ROCE</t>
        </is>
      </c>
      <c r="AA228" s="30">
        <f>IF(Z228="Monopoly",10,IF(Z228="Oligopoly",5,IF(Z228="Duopoly that cooperate",10,IF(Z228="Duopoly that compete",5,IF(Z228="Too many players with High ROCE",5,0)))))</f>
        <v/>
      </c>
      <c r="AB228" s="30" t="inlineStr">
        <is>
          <t>No</t>
        </is>
      </c>
      <c r="AC228" s="30">
        <f>IF(AB228="No",5,0)</f>
        <v/>
      </c>
      <c r="AD228" s="30" t="inlineStr">
        <is>
          <t>Tailwind</t>
        </is>
      </c>
      <c r="AE228" s="30">
        <f>IF(AD228="Tailwind",10,0)</f>
        <v/>
      </c>
      <c r="AF228" s="30" t="inlineStr">
        <is>
          <t>Structural (10 Years Consistency)</t>
        </is>
      </c>
      <c r="AG228" s="30">
        <f>IF(AF228="Structural (10 Years Consistency)",10,IF(AF228="Shallow Cyclical (2 to 3 years growth)",5,0))</f>
        <v/>
      </c>
      <c r="AH228" s="30" t="inlineStr">
        <is>
          <t>No</t>
        </is>
      </c>
      <c r="AI228" s="30">
        <f>IF(AH228="Yes due to Product Mix change or Operating Leverage",10,IF(AH228="Yes, these are peak margins",-5,IF(AH228="No",5,0)))</f>
        <v/>
      </c>
      <c r="AJ228" s="30" t="inlineStr">
        <is>
          <t>Stable</t>
        </is>
      </c>
      <c r="AK228" s="30">
        <f>IF(AJ228="Stable",10,0)</f>
        <v/>
      </c>
      <c r="AL228" s="30" t="inlineStr">
        <is>
          <t>Yes</t>
        </is>
      </c>
      <c r="AM228" s="30">
        <f>IF(AL228="Yes",10,0)</f>
        <v/>
      </c>
      <c r="AN228" s="30" t="inlineStr">
        <is>
          <t>B2B</t>
        </is>
      </c>
      <c r="AO228" s="30">
        <f>IF(AN228="B2C",10,IF(AN228="B2B",5,0))</f>
        <v/>
      </c>
      <c r="AP228" s="30" t="inlineStr">
        <is>
          <t>Yes</t>
        </is>
      </c>
      <c r="AQ228" s="30">
        <f>IF(AP228="Yes",10,0)</f>
        <v/>
      </c>
      <c r="AR228" s="30" t="inlineStr">
        <is>
          <t>Higher One Time, Lower Annuity</t>
        </is>
      </c>
      <c r="AS228" s="30">
        <f>IF(AR228="Fully Annuity",10,IF(AR228="Higher Annuity, Lower One Time",5,IF(AR228="Higher One Time, Lower Annuity",3,0)))</f>
        <v/>
      </c>
      <c r="AT228" s="30" t="inlineStr">
        <is>
          <t>Good</t>
        </is>
      </c>
      <c r="AU228" s="30">
        <f>IF(AT228="Good",10,0)</f>
        <v/>
      </c>
      <c r="AV228" s="30" t="inlineStr">
        <is>
          <t>Yes for more than 2 years</t>
        </is>
      </c>
      <c r="AW228" s="30">
        <f>IF(AV228="Yes for more than 2 years",10,IF(AV228="Yes only for next 1 to 2 years",5,0))</f>
        <v/>
      </c>
      <c r="AX228" s="30" t="inlineStr">
        <is>
          <t>20 to 40</t>
        </is>
      </c>
      <c r="AY228" s="30">
        <f>IF(AX228="Above 40",20,IF(AX228="20 to 40",10,IF(AX228="0 to 20",-5,0)))</f>
        <v/>
      </c>
      <c r="AZ228" s="30" t="inlineStr">
        <is>
          <t>Between 50 to 75</t>
        </is>
      </c>
      <c r="BA228" s="30">
        <f>IF(AZ228="Between 50 to 75",10,IF(AZ228="Above 75",0,0))</f>
        <v/>
      </c>
      <c r="BB228" s="30" t="inlineStr">
        <is>
          <t>Stage 2</t>
        </is>
      </c>
      <c r="BC228" s="30">
        <f>IF(BB228="Stage 2",20,IF(BB228="Stage 1",0,IF(BB228="Stage 3",5,IF(BB228="Stage 4",-5,0))))</f>
        <v/>
      </c>
      <c r="BD228" s="30" t="inlineStr">
        <is>
          <t>Negative Trend</t>
        </is>
      </c>
      <c r="BE228" s="30">
        <f>IF(BD228="Positive Trend",20,IF(BD228="Negative Trend",-10,0))</f>
        <v/>
      </c>
      <c r="BF228" s="30" t="inlineStr">
        <is>
          <t>Uptrend</t>
        </is>
      </c>
      <c r="BG228" s="30">
        <f>IF(BF228="Uptrend",10,IF(BF228="Sideways",5,0))</f>
        <v/>
      </c>
      <c r="BH228" s="30" t="inlineStr">
        <is>
          <t>Uptrend</t>
        </is>
      </c>
      <c r="BI228" s="30">
        <f>IF(BH228="Uptrend",10,IF(BH228="Sideways",5,0))</f>
        <v/>
      </c>
      <c r="BJ228" s="30" t="inlineStr">
        <is>
          <t>Blue sky scenario</t>
        </is>
      </c>
      <c r="BK228" s="30">
        <f>IF(BJ228="Overhead supply in last 2 years in last 2 years",-5,IF(BJ228="Close to 52 week high or retracement",5,IF(BJ228="Blue sky scenario",10,IF(BJ228="Long term Downtrend",-10,0))))</f>
        <v/>
      </c>
      <c r="BL228" s="30" t="inlineStr">
        <is>
          <t>Yes</t>
        </is>
      </c>
      <c r="BM228" s="30">
        <f>IF(BL228="Yes",10,0)</f>
        <v/>
      </c>
      <c r="BN228" s="30" t="inlineStr">
        <is>
          <t>More than 20%</t>
        </is>
      </c>
      <c r="BO228" s="30">
        <f>IF(BN228="More than 20%",10,IF(BN228="Between 12 to 20%",5,IF(BN228="Less than 12%",0,0)))</f>
        <v/>
      </c>
      <c r="BP228" s="30" t="inlineStr">
        <is>
          <t>No</t>
        </is>
      </c>
      <c r="BQ228" s="30">
        <f>IF(BP228="No",10,0)</f>
        <v/>
      </c>
      <c r="BR228" s="30" t="inlineStr">
        <is>
          <t>No</t>
        </is>
      </c>
      <c r="BS228" s="30">
        <f>IF(BR228="NO",5,0)</f>
        <v/>
      </c>
      <c r="BT228" s="30" t="inlineStr">
        <is>
          <t>Less than 1.5</t>
        </is>
      </c>
      <c r="BU228" s="30">
        <f>IF(BT228="Above 2",0,IF(BT228="Between 1.5 to 2",5,IF(BT228="Less than 1.5",10,0)))</f>
        <v/>
      </c>
      <c r="BV228" s="30" t="inlineStr">
        <is>
          <t>Above 70%</t>
        </is>
      </c>
      <c r="BW228" s="30">
        <f>IF(BV228="Above 70%",10,IF(BV228="Between 50% to 70%",5,IF(BV228="Less than 50%",0,IF(BV228="Negative",-10,IF(BV228="Less than 50% and Borrowings are increasing",-5,0)))))</f>
        <v/>
      </c>
      <c r="BX228" s="30" t="inlineStr">
        <is>
          <t>Less than 0.7</t>
        </is>
      </c>
      <c r="BY228" s="30">
        <f>IF(BX228="More than 1.2",-10,IF(BX228="Between 0.7 to 1.2",0,IF(BX228="Less than 0.7",10,0)))</f>
        <v/>
      </c>
      <c r="BZ228" s="30" t="inlineStr">
        <is>
          <t>No</t>
        </is>
      </c>
      <c r="CA228" s="30">
        <f>IF(BZ228="Yes",-10,0)</f>
        <v/>
      </c>
      <c r="CB228" s="30" t="inlineStr">
        <is>
          <t>Less than 15%</t>
        </is>
      </c>
      <c r="CC228" s="30">
        <f>IF(CB228="More than 15%",-10,IF(CB228="Less than 15%",10,0))</f>
        <v/>
      </c>
      <c r="CD228" s="30" t="inlineStr">
        <is>
          <t>No</t>
        </is>
      </c>
      <c r="CE228" s="30">
        <f>IF(CD228="Yes, more than 10%",-10,IF(CD228="No",10,0))</f>
        <v/>
      </c>
    </row>
    <row r="229">
      <c r="A229" s="30">
        <f>IF(B229=0,"",RANK(B229,$B$2:$B$331,0))</f>
        <v/>
      </c>
      <c r="B229" s="31">
        <f>SUM(N229,Y229,AA229,AC229,AE229,AG229,AI229,AK229,AM229,AO229,AQ229,AS229,AU229,AW229,AY229,BA229,BC229,BE229,BG229,BI229,BK229,BM229,BO229,BQ229,BS229,BU229,BW229,BY229,CA229,CC229,CE229)</f>
        <v/>
      </c>
      <c r="C229" s="30" t="inlineStr">
        <is>
          <t>GLOBAL</t>
        </is>
      </c>
      <c r="D229" s="30" t="inlineStr">
        <is>
          <t>Global Education Ltd</t>
        </is>
      </c>
      <c r="E229" s="30" t="inlineStr">
        <is>
          <t>services</t>
        </is>
      </c>
      <c r="F229" s="30" t="inlineStr">
        <is>
          <t>miscellaneous</t>
        </is>
      </c>
      <c r="G229" s="30" t="inlineStr">
        <is>
          <t>smallcap</t>
        </is>
      </c>
      <c r="H229" s="31" t="n">
        <v>641.05</v>
      </c>
      <c r="I229" s="31" t="n">
        <v>123.56</v>
      </c>
      <c r="J229" s="31" t="n">
        <v>-1.89</v>
      </c>
      <c r="K229" s="31" t="n">
        <v>81499</v>
      </c>
      <c r="L229" s="30" t="n">
        <v>62</v>
      </c>
      <c r="M229" s="30" t="inlineStr">
        <is>
          <t>Outperforming</t>
        </is>
      </c>
      <c r="N229" s="31">
        <f>IF(M229="Underperforming",-5,IF(L229&gt;=95,15,IF(L229&gt;=90,10,IF(L229&gt;=80,5,0))))</f>
        <v/>
      </c>
      <c r="O229" s="31" t="n">
        <v>69.5</v>
      </c>
      <c r="P229" s="31" t="n">
        <v>37.32</v>
      </c>
      <c r="Q229" s="31" t="n">
        <v>92.14</v>
      </c>
      <c r="R229" s="30" t="inlineStr">
        <is>
          <t>Near 52W High Breakout</t>
        </is>
      </c>
      <c r="S229" s="30" t="inlineStr">
        <is>
          <t>Nifty 50</t>
        </is>
      </c>
      <c r="T229" s="31" t="n">
        <v>-6.52</v>
      </c>
      <c r="U229" s="31" t="n">
        <v>95.56</v>
      </c>
      <c r="V229" s="31" t="n">
        <v>109.19</v>
      </c>
      <c r="W229" s="31" t="n">
        <v>19.31</v>
      </c>
      <c r="X229" s="30" t="inlineStr">
        <is>
          <t>Growing Industry</t>
        </is>
      </c>
      <c r="Y229" s="30">
        <f>IF(X229="Growing Industry",10,IF(X229="Cyclical in an Upturn",5,0))</f>
        <v/>
      </c>
      <c r="Z229" s="30" t="inlineStr">
        <is>
          <t>Too Many Players with High ROCE</t>
        </is>
      </c>
      <c r="AA229" s="30">
        <f>IF(Z229="Monopoly",10,IF(Z229="Oligopoly",5,IF(Z229="Duopoly that cooperate",10,IF(Z229="Duopoly that compete",5,IF(Z229="Too many players with High ROCE",5,0)))))</f>
        <v/>
      </c>
      <c r="AB229" s="30" t="inlineStr">
        <is>
          <t>No</t>
        </is>
      </c>
      <c r="AC229" s="30">
        <f>IF(AB229="No",5,0)</f>
        <v/>
      </c>
      <c r="AD229" s="30" t="inlineStr">
        <is>
          <t>Tailwind</t>
        </is>
      </c>
      <c r="AE229" s="30">
        <f>IF(AD229="Tailwind",10,0)</f>
        <v/>
      </c>
      <c r="AF229" s="30" t="inlineStr">
        <is>
          <t>Structural (10 Years Consistency)</t>
        </is>
      </c>
      <c r="AG229" s="30">
        <f>IF(AF229="Structural (10 Years Consistency)",10,IF(AF229="Shallow Cyclical (2 to 3 years growth)",5,0))</f>
        <v/>
      </c>
      <c r="AH229" s="30" t="inlineStr">
        <is>
          <t>No</t>
        </is>
      </c>
      <c r="AI229" s="30">
        <f>IF(AH229="Yes due to Product Mix change or Operating Leverage",10,IF(AH229="Yes, these are peak margins",-5,IF(AH229="No",5,0)))</f>
        <v/>
      </c>
      <c r="AJ229" s="30" t="inlineStr">
        <is>
          <t>Stable</t>
        </is>
      </c>
      <c r="AK229" s="30">
        <f>IF(AJ229="Stable",10,0)</f>
        <v/>
      </c>
      <c r="AL229" s="30" t="inlineStr">
        <is>
          <t>Yes</t>
        </is>
      </c>
      <c r="AM229" s="30">
        <f>IF(AL229="Yes",10,0)</f>
        <v/>
      </c>
      <c r="AN229" s="30" t="inlineStr">
        <is>
          <t>B2B</t>
        </is>
      </c>
      <c r="AO229" s="30">
        <f>IF(AN229="B2C",10,IF(AN229="B2B",5,0))</f>
        <v/>
      </c>
      <c r="AP229" s="30" t="inlineStr">
        <is>
          <t>Yes</t>
        </is>
      </c>
      <c r="AQ229" s="30">
        <f>IF(AP229="Yes",10,0)</f>
        <v/>
      </c>
      <c r="AR229" s="30" t="inlineStr">
        <is>
          <t>Higher One Time, Lower Annuity</t>
        </is>
      </c>
      <c r="AS229" s="30">
        <f>IF(AR229="Fully Annuity",10,IF(AR229="Higher Annuity, Lower One Time",5,IF(AR229="Higher One Time, Lower Annuity",3,0)))</f>
        <v/>
      </c>
      <c r="AT229" s="30" t="inlineStr">
        <is>
          <t>Good</t>
        </is>
      </c>
      <c r="AU229" s="30">
        <f>IF(AT229="Good",10,0)</f>
        <v/>
      </c>
      <c r="AV229" s="30" t="inlineStr">
        <is>
          <t>Yes for more than 2 years</t>
        </is>
      </c>
      <c r="AW229" s="30">
        <f>IF(AV229="Yes for more than 2 years",10,IF(AV229="Yes only for next 1 to 2 years",5,0))</f>
        <v/>
      </c>
      <c r="AX229" s="30" t="inlineStr">
        <is>
          <t>20 to 40</t>
        </is>
      </c>
      <c r="AY229" s="30">
        <f>IF(AX229="Above 40",20,IF(AX229="20 to 40",10,IF(AX229="0 to 20",-5,0)))</f>
        <v/>
      </c>
      <c r="AZ229" s="30" t="inlineStr">
        <is>
          <t>Between 50 to 75</t>
        </is>
      </c>
      <c r="BA229" s="30">
        <f>IF(AZ229="Between 50 to 75",10,IF(AZ229="Above 75",0,0))</f>
        <v/>
      </c>
      <c r="BB229" s="30" t="inlineStr">
        <is>
          <t>Stage 2</t>
        </is>
      </c>
      <c r="BC229" s="30">
        <f>IF(BB229="Stage 2",20,IF(BB229="Stage 1",0,IF(BB229="Stage 3",5,IF(BB229="Stage 4",-5,0))))</f>
        <v/>
      </c>
      <c r="BD229" s="30" t="inlineStr">
        <is>
          <t>Positive Trend</t>
        </is>
      </c>
      <c r="BE229" s="30">
        <f>IF(BD229="Positive Trend",20,IF(BD229="Negative Trend",-10,0))</f>
        <v/>
      </c>
      <c r="BF229" s="30" t="inlineStr">
        <is>
          <t>Uptrend</t>
        </is>
      </c>
      <c r="BG229" s="30">
        <f>IF(BF229="Uptrend",10,IF(BF229="Sideways",5,0))</f>
        <v/>
      </c>
      <c r="BH229" s="30" t="inlineStr">
        <is>
          <t>Uptrend</t>
        </is>
      </c>
      <c r="BI229" s="30">
        <f>IF(BH229="Uptrend",10,IF(BH229="Sideways",5,0))</f>
        <v/>
      </c>
      <c r="BJ229" s="30" t="inlineStr">
        <is>
          <t>Blue sky scenario</t>
        </is>
      </c>
      <c r="BK229" s="30">
        <f>IF(BJ229="Overhead supply in last 2 years in last 2 years",-5,IF(BJ229="Close to 52 week high or retracement",5,IF(BJ229="Blue sky scenario",10,IF(BJ229="Long term Downtrend",-10,0))))</f>
        <v/>
      </c>
      <c r="BL229" s="30" t="inlineStr">
        <is>
          <t>Yes</t>
        </is>
      </c>
      <c r="BM229" s="30">
        <f>IF(BL229="Yes",10,0)</f>
        <v/>
      </c>
      <c r="BN229" s="30" t="inlineStr">
        <is>
          <t>Less than 12%</t>
        </is>
      </c>
      <c r="BO229" s="30">
        <f>IF(BN229="More than 20%",10,IF(BN229="Between 12 to 20%",5,IF(BN229="Less than 12%",0,0)))</f>
        <v/>
      </c>
      <c r="BP229" s="30" t="inlineStr">
        <is>
          <t>No</t>
        </is>
      </c>
      <c r="BQ229" s="30">
        <f>IF(BP229="No",10,0)</f>
        <v/>
      </c>
      <c r="BR229" s="30" t="inlineStr">
        <is>
          <t>No</t>
        </is>
      </c>
      <c r="BS229" s="30">
        <f>IF(BR229="NO",5,0)</f>
        <v/>
      </c>
      <c r="BT229" s="30" t="inlineStr">
        <is>
          <t>Above 2</t>
        </is>
      </c>
      <c r="BU229" s="30">
        <f>IF(BT229="Above 2",0,IF(BT229="Between 1.5 to 2",5,IF(BT229="Less than 1.5",10,0)))</f>
        <v/>
      </c>
      <c r="BV229" s="30" t="inlineStr">
        <is>
          <t>Less than 50%</t>
        </is>
      </c>
      <c r="BW229" s="30">
        <f>IF(BV229="Above 70%",10,IF(BV229="Between 50% to 70%",5,IF(BV229="Less than 50%",0,IF(BV229="Negative",-10,IF(BV229="Less than 50% and Borrowings are increasing",-5,0)))))</f>
        <v/>
      </c>
      <c r="BX229" s="30" t="inlineStr">
        <is>
          <t>Less than 0.7</t>
        </is>
      </c>
      <c r="BY229" s="30">
        <f>IF(BX229="More than 1.2",-10,IF(BX229="Between 0.7 to 1.2",0,IF(BX229="Less than 0.7",10,0)))</f>
        <v/>
      </c>
      <c r="BZ229" s="30" t="inlineStr">
        <is>
          <t>No</t>
        </is>
      </c>
      <c r="CA229" s="30">
        <f>IF(BZ229="Yes",-10,0)</f>
        <v/>
      </c>
      <c r="CB229" s="30" t="inlineStr">
        <is>
          <t>Less than 15%</t>
        </is>
      </c>
      <c r="CC229" s="30">
        <f>IF(CB229="More than 15%",-10,IF(CB229="Less than 15%",10,0))</f>
        <v/>
      </c>
      <c r="CD229" s="30" t="inlineStr">
        <is>
          <t>No</t>
        </is>
      </c>
      <c r="CE229" s="30">
        <f>IF(CD229="Yes, more than 10%",-10,IF(CD229="No",10,0))</f>
        <v/>
      </c>
    </row>
    <row r="230">
      <c r="A230" s="30">
        <f>IF(B230=0,"",RANK(B230,$B$2:$B$331,0))</f>
        <v/>
      </c>
      <c r="B230" s="31">
        <f>SUM(N230,Y230,AA230,AC230,AE230,AG230,AI230,AK230,AM230,AO230,AQ230,AS230,AU230,AW230,AY230,BA230,BC230,BE230,BG230,BI230,BK230,BM230,BO230,BQ230,BS230,BU230,BW230,BY230,CA230,CC230,CE230)</f>
        <v/>
      </c>
      <c r="C230" s="30" t="inlineStr">
        <is>
          <t>OAL</t>
        </is>
      </c>
      <c r="D230" s="30" t="inlineStr">
        <is>
          <t>Oriental Aromatics Ltd</t>
        </is>
      </c>
      <c r="E230" s="30" t="inlineStr">
        <is>
          <t>chemicals</t>
        </is>
      </c>
      <c r="F230" s="30" t="inlineStr">
        <is>
          <t>chemicals</t>
        </is>
      </c>
      <c r="G230" s="30" t="inlineStr">
        <is>
          <t>smallcap</t>
        </is>
      </c>
      <c r="H230" s="31" t="n">
        <v>1818.3</v>
      </c>
      <c r="I230" s="31" t="n">
        <v>524.7</v>
      </c>
      <c r="J230" s="31" t="n">
        <v>-2.89</v>
      </c>
      <c r="K230" s="31" t="n">
        <v>64967</v>
      </c>
      <c r="L230" s="30" t="n">
        <v>74</v>
      </c>
      <c r="M230" s="30" t="inlineStr">
        <is>
          <t>Outperforming</t>
        </is>
      </c>
      <c r="N230" s="31">
        <f>IF(M230="Underperforming",-5,IF(L230&gt;=95,15,IF(L230&gt;=90,10,IF(L230&gt;=80,5,0))))</f>
        <v/>
      </c>
      <c r="O230" s="31" t="n">
        <v>76.73999999999999</v>
      </c>
      <c r="P230" s="31" t="n">
        <v>33.66</v>
      </c>
      <c r="Q230" s="31" t="n">
        <v>384.7</v>
      </c>
      <c r="R230" s="30" t="inlineStr">
        <is>
          <t>Near 52W High Breakout</t>
        </is>
      </c>
      <c r="S230" s="30" t="inlineStr">
        <is>
          <t>Nifty IT</t>
        </is>
      </c>
      <c r="T230" s="31" t="n">
        <v>-19.99</v>
      </c>
      <c r="U230" s="31" t="n">
        <v>55.81</v>
      </c>
      <c r="V230" s="31" t="n">
        <v>94.75</v>
      </c>
      <c r="W230" s="31" t="n">
        <v>24.93</v>
      </c>
      <c r="X230" s="30" t="inlineStr">
        <is>
          <t>Growing Industry</t>
        </is>
      </c>
      <c r="Y230" s="30">
        <f>IF(X230="Growing Industry",10,IF(X230="Cyclical in an Upturn",5,0))</f>
        <v/>
      </c>
      <c r="Z230" s="30" t="inlineStr">
        <is>
          <t>Too Many Players with High ROCE</t>
        </is>
      </c>
      <c r="AA230" s="30">
        <f>IF(Z230="Monopoly",10,IF(Z230="Oligopoly",5,IF(Z230="Duopoly that cooperate",10,IF(Z230="Duopoly that compete",5,IF(Z230="Too many players with High ROCE",5,0)))))</f>
        <v/>
      </c>
      <c r="AB230" s="30" t="inlineStr">
        <is>
          <t>No</t>
        </is>
      </c>
      <c r="AC230" s="30">
        <f>IF(AB230="No",5,0)</f>
        <v/>
      </c>
      <c r="AD230" s="30" t="inlineStr">
        <is>
          <t>Tailwind</t>
        </is>
      </c>
      <c r="AE230" s="30">
        <f>IF(AD230="Tailwind",10,0)</f>
        <v/>
      </c>
      <c r="AF230" s="30" t="inlineStr">
        <is>
          <t>Structural (10 Years Consistency)</t>
        </is>
      </c>
      <c r="AG230" s="30">
        <f>IF(AF230="Structural (10 Years Consistency)",10,IF(AF230="Shallow Cyclical (2 to 3 years growth)",5,0))</f>
        <v/>
      </c>
      <c r="AH230" s="30" t="inlineStr">
        <is>
          <t>No</t>
        </is>
      </c>
      <c r="AI230" s="30">
        <f>IF(AH230="Yes due to Product Mix change or Operating Leverage",10,IF(AH230="Yes, these are peak margins",-5,IF(AH230="No",5,0)))</f>
        <v/>
      </c>
      <c r="AJ230" s="30" t="inlineStr">
        <is>
          <t>Stable</t>
        </is>
      </c>
      <c r="AK230" s="30">
        <f>IF(AJ230="Stable",10,0)</f>
        <v/>
      </c>
      <c r="AL230" s="30" t="inlineStr">
        <is>
          <t>Yes</t>
        </is>
      </c>
      <c r="AM230" s="30">
        <f>IF(AL230="Yes",10,0)</f>
        <v/>
      </c>
      <c r="AN230" s="30" t="inlineStr">
        <is>
          <t>B2B</t>
        </is>
      </c>
      <c r="AO230" s="30">
        <f>IF(AN230="B2C",10,IF(AN230="B2B",5,0))</f>
        <v/>
      </c>
      <c r="AP230" s="30" t="inlineStr">
        <is>
          <t>Yes</t>
        </is>
      </c>
      <c r="AQ230" s="30">
        <f>IF(AP230="Yes",10,0)</f>
        <v/>
      </c>
      <c r="AR230" s="30" t="inlineStr">
        <is>
          <t>Higher One Time, Lower Annuity</t>
        </is>
      </c>
      <c r="AS230" s="30">
        <f>IF(AR230="Fully Annuity",10,IF(AR230="Higher Annuity, Lower One Time",5,IF(AR230="Higher One Time, Lower Annuity",3,0)))</f>
        <v/>
      </c>
      <c r="AT230" s="30" t="inlineStr">
        <is>
          <t>Good</t>
        </is>
      </c>
      <c r="AU230" s="30">
        <f>IF(AT230="Good",10,0)</f>
        <v/>
      </c>
      <c r="AV230" s="30" t="inlineStr">
        <is>
          <t>Yes for more than 2 years</t>
        </is>
      </c>
      <c r="AW230" s="30">
        <f>IF(AV230="Yes for more than 2 years",10,IF(AV230="Yes only for next 1 to 2 years",5,0))</f>
        <v/>
      </c>
      <c r="AX230" s="30" t="inlineStr">
        <is>
          <t>20 to 40</t>
        </is>
      </c>
      <c r="AY230" s="30">
        <f>IF(AX230="Above 40",20,IF(AX230="20 to 40",10,IF(AX230="0 to 20",-5,0)))</f>
        <v/>
      </c>
      <c r="AZ230" s="30" t="inlineStr">
        <is>
          <t>Above 75</t>
        </is>
      </c>
      <c r="BA230" s="30">
        <f>IF(AZ230="Between 50 to 75",10,IF(AZ230="Above 75",0,0))</f>
        <v/>
      </c>
      <c r="BB230" s="30" t="inlineStr">
        <is>
          <t>Stage 2</t>
        </is>
      </c>
      <c r="BC230" s="30">
        <f>IF(BB230="Stage 2",20,IF(BB230="Stage 1",0,IF(BB230="Stage 3",5,IF(BB230="Stage 4",-5,0))))</f>
        <v/>
      </c>
      <c r="BD230" s="30" t="inlineStr">
        <is>
          <t>Positive Trend</t>
        </is>
      </c>
      <c r="BE230" s="30">
        <f>IF(BD230="Positive Trend",20,IF(BD230="Negative Trend",-10,0))</f>
        <v/>
      </c>
      <c r="BF230" s="30" t="inlineStr">
        <is>
          <t>Uptrend</t>
        </is>
      </c>
      <c r="BG230" s="30">
        <f>IF(BF230="Uptrend",10,IF(BF230="Sideways",5,0))</f>
        <v/>
      </c>
      <c r="BH230" s="30" t="inlineStr">
        <is>
          <t>Uptrend</t>
        </is>
      </c>
      <c r="BI230" s="30">
        <f>IF(BH230="Uptrend",10,IF(BH230="Sideways",5,0))</f>
        <v/>
      </c>
      <c r="BJ230" s="30" t="inlineStr">
        <is>
          <t>Close to 52 week high or retracement</t>
        </is>
      </c>
      <c r="BK230" s="30">
        <f>IF(BJ230="Overhead supply in last 2 years in last 2 years",-5,IF(BJ230="Close to 52 week high or retracement",5,IF(BJ230="Blue sky scenario",10,IF(BJ230="Long term Downtrend",-10,0))))</f>
        <v/>
      </c>
      <c r="BL230" s="30" t="inlineStr">
        <is>
          <t>Yes</t>
        </is>
      </c>
      <c r="BM230" s="30">
        <f>IF(BL230="Yes",10,0)</f>
        <v/>
      </c>
      <c r="BN230" s="30" t="inlineStr">
        <is>
          <t>More than 20%</t>
        </is>
      </c>
      <c r="BO230" s="30">
        <f>IF(BN230="More than 20%",10,IF(BN230="Between 12 to 20%",5,IF(BN230="Less than 12%",0,0)))</f>
        <v/>
      </c>
      <c r="BP230" s="30" t="inlineStr">
        <is>
          <t>No</t>
        </is>
      </c>
      <c r="BQ230" s="30">
        <f>IF(BP230="No",10,0)</f>
        <v/>
      </c>
      <c r="BR230" s="30" t="inlineStr">
        <is>
          <t>Yes</t>
        </is>
      </c>
      <c r="BS230" s="30">
        <f>IF(BR230="NO",5,0)</f>
        <v/>
      </c>
      <c r="BT230" s="30" t="inlineStr">
        <is>
          <t>Above 2</t>
        </is>
      </c>
      <c r="BU230" s="30">
        <f>IF(BT230="Above 2",0,IF(BT230="Between 1.5 to 2",5,IF(BT230="Less than 1.5",10,0)))</f>
        <v/>
      </c>
      <c r="BV230" s="30" t="inlineStr">
        <is>
          <t>Above 70%</t>
        </is>
      </c>
      <c r="BW230" s="30">
        <f>IF(BV230="Above 70%",10,IF(BV230="Between 50% to 70%",5,IF(BV230="Less than 50%",0,IF(BV230="Negative",-10,IF(BV230="Less than 50% and Borrowings are increasing",-5,0)))))</f>
        <v/>
      </c>
      <c r="BX230" s="30" t="inlineStr">
        <is>
          <t>Less than 0.7</t>
        </is>
      </c>
      <c r="BY230" s="30">
        <f>IF(BX230="More than 1.2",-10,IF(BX230="Between 0.7 to 1.2",0,IF(BX230="Less than 0.7",10,0)))</f>
        <v/>
      </c>
      <c r="BZ230" s="30" t="inlineStr">
        <is>
          <t>No</t>
        </is>
      </c>
      <c r="CA230" s="30">
        <f>IF(BZ230="Yes",-10,0)</f>
        <v/>
      </c>
      <c r="CB230" s="30" t="inlineStr">
        <is>
          <t>Less than 15%</t>
        </is>
      </c>
      <c r="CC230" s="30">
        <f>IF(CB230="More than 15%",-10,IF(CB230="Less than 15%",10,0))</f>
        <v/>
      </c>
      <c r="CD230" s="30" t="inlineStr">
        <is>
          <t>No</t>
        </is>
      </c>
      <c r="CE230" s="30">
        <f>IF(CD230="Yes, more than 10%",-10,IF(CD230="No",10,0))</f>
        <v/>
      </c>
    </row>
    <row r="231">
      <c r="A231" s="30">
        <f>IF(B231=0,"",RANK(B231,$B$2:$B$331,0))</f>
        <v/>
      </c>
      <c r="B231" s="31">
        <f>SUM(N231,Y231,AA231,AC231,AE231,AG231,AI231,AK231,AM231,AO231,AQ231,AS231,AU231,AW231,AY231,BA231,BC231,BE231,BG231,BI231,BK231,BM231,BO231,BQ231,BS231,BU231,BW231,BY231,CA231,CC231,CE231)</f>
        <v/>
      </c>
      <c r="C231" s="30" t="inlineStr">
        <is>
          <t>QPOWER</t>
        </is>
      </c>
      <c r="D231" s="30" t="inlineStr">
        <is>
          <t>Quality Power Electrical Equipments Ltd</t>
        </is>
      </c>
      <c r="E231" s="30" t="inlineStr">
        <is>
          <t>industrials</t>
        </is>
      </c>
      <c r="F231" s="30" t="inlineStr">
        <is>
          <t>electric equipment</t>
        </is>
      </c>
      <c r="G231" s="30" t="inlineStr">
        <is>
          <t>midcap</t>
        </is>
      </c>
      <c r="H231" s="31" t="n">
        <v>11718.84</v>
      </c>
      <c r="I231" s="31" t="n">
        <v>1458.2</v>
      </c>
      <c r="J231" s="31" t="n">
        <v>-3.63</v>
      </c>
      <c r="K231" s="31" t="n">
        <v>213213</v>
      </c>
      <c r="L231" s="30" t="n">
        <v>52</v>
      </c>
      <c r="M231" s="30" t="inlineStr">
        <is>
          <t>Outperforming</t>
        </is>
      </c>
      <c r="N231" s="31">
        <f>IF(M231="Underperforming",-5,IF(L231&gt;=95,15,IF(L231&gt;=90,10,IF(L231&gt;=80,5,0))))</f>
        <v/>
      </c>
      <c r="O231" s="31" t="n">
        <v>65.27</v>
      </c>
      <c r="P231" s="31" t="n">
        <v>19.01</v>
      </c>
      <c r="Q231" s="31" t="n">
        <v>1101.43</v>
      </c>
      <c r="R231" s="30" t="inlineStr">
        <is>
          <t>Near 52W High Breakout</t>
        </is>
      </c>
      <c r="S231" s="30" t="inlineStr">
        <is>
          <t>Nifty 50</t>
        </is>
      </c>
      <c r="T231" s="31" t="n">
        <v>-6.52</v>
      </c>
      <c r="U231" s="31" t="n">
        <v>54.58</v>
      </c>
      <c r="V231" s="31" t="n">
        <v>65.36</v>
      </c>
      <c r="W231" s="31" t="n">
        <v>16.23</v>
      </c>
      <c r="X231" s="30" t="inlineStr">
        <is>
          <t>Cyclical in an Upturn</t>
        </is>
      </c>
      <c r="Y231" s="30">
        <f>IF(X231="Growing Industry",10,IF(X231="Cyclical in an Upturn",5,0))</f>
        <v/>
      </c>
      <c r="Z231" s="30" t="inlineStr">
        <is>
          <t>Too Many Players with High ROCE</t>
        </is>
      </c>
      <c r="AA231" s="30">
        <f>IF(Z231="Monopoly",10,IF(Z231="Oligopoly",5,IF(Z231="Duopoly that cooperate",10,IF(Z231="Duopoly that compete",5,IF(Z231="Too many players with High ROCE",5,0)))))</f>
        <v/>
      </c>
      <c r="AB231" s="30" t="inlineStr">
        <is>
          <t>No</t>
        </is>
      </c>
      <c r="AC231" s="30">
        <f>IF(AB231="No",5,0)</f>
        <v/>
      </c>
      <c r="AD231" s="30" t="inlineStr">
        <is>
          <t>Tailwind</t>
        </is>
      </c>
      <c r="AE231" s="30">
        <f>IF(AD231="Tailwind",10,0)</f>
        <v/>
      </c>
      <c r="AF231" s="30" t="inlineStr">
        <is>
          <t>Structural (10 Years Consistency)</t>
        </is>
      </c>
      <c r="AG231" s="30">
        <f>IF(AF231="Structural (10 Years Consistency)",10,IF(AF231="Shallow Cyclical (2 to 3 years growth)",5,0))</f>
        <v/>
      </c>
      <c r="AH231" s="30" t="inlineStr">
        <is>
          <t>No</t>
        </is>
      </c>
      <c r="AI231" s="30">
        <f>IF(AH231="Yes due to Product Mix change or Operating Leverage",10,IF(AH231="Yes, these are peak margins",-5,IF(AH231="No",5,0)))</f>
        <v/>
      </c>
      <c r="AJ231" s="30" t="inlineStr">
        <is>
          <t>Stable</t>
        </is>
      </c>
      <c r="AK231" s="30">
        <f>IF(AJ231="Stable",10,0)</f>
        <v/>
      </c>
      <c r="AL231" s="30" t="inlineStr">
        <is>
          <t>Yes</t>
        </is>
      </c>
      <c r="AM231" s="30">
        <f>IF(AL231="Yes",10,0)</f>
        <v/>
      </c>
      <c r="AN231" s="30" t="inlineStr">
        <is>
          <t>B2B</t>
        </is>
      </c>
      <c r="AO231" s="30">
        <f>IF(AN231="B2C",10,IF(AN231="B2B",5,0))</f>
        <v/>
      </c>
      <c r="AP231" s="30" t="inlineStr">
        <is>
          <t>Yes</t>
        </is>
      </c>
      <c r="AQ231" s="30">
        <f>IF(AP231="Yes",10,0)</f>
        <v/>
      </c>
      <c r="AR231" s="30" t="inlineStr">
        <is>
          <t>Higher One Time, Lower Annuity</t>
        </is>
      </c>
      <c r="AS231" s="30">
        <f>IF(AR231="Fully Annuity",10,IF(AR231="Higher Annuity, Lower One Time",5,IF(AR231="Higher One Time, Lower Annuity",3,0)))</f>
        <v/>
      </c>
      <c r="AT231" s="30" t="inlineStr">
        <is>
          <t>Good</t>
        </is>
      </c>
      <c r="AU231" s="30">
        <f>IF(AT231="Good",10,0)</f>
        <v/>
      </c>
      <c r="AV231" s="30" t="inlineStr">
        <is>
          <t>Yes for more than 2 years</t>
        </is>
      </c>
      <c r="AW231" s="30">
        <f>IF(AV231="Yes for more than 2 years",10,IF(AV231="Yes only for next 1 to 2 years",5,0))</f>
        <v/>
      </c>
      <c r="AX231" s="30" t="inlineStr">
        <is>
          <t>0 to 20</t>
        </is>
      </c>
      <c r="AY231" s="30">
        <f>IF(AX231="Above 40",20,IF(AX231="20 to 40",10,IF(AX231="0 to 20",-5,0)))</f>
        <v/>
      </c>
      <c r="AZ231" s="30" t="inlineStr">
        <is>
          <t>Between 50 to 75</t>
        </is>
      </c>
      <c r="BA231" s="30">
        <f>IF(AZ231="Between 50 to 75",10,IF(AZ231="Above 75",0,0))</f>
        <v/>
      </c>
      <c r="BB231" s="30" t="inlineStr">
        <is>
          <t>Stage 2</t>
        </is>
      </c>
      <c r="BC231" s="30">
        <f>IF(BB231="Stage 2",20,IF(BB231="Stage 1",0,IF(BB231="Stage 3",5,IF(BB231="Stage 4",-5,0))))</f>
        <v/>
      </c>
      <c r="BD231" s="30" t="inlineStr">
        <is>
          <t>Positive Trend</t>
        </is>
      </c>
      <c r="BE231" s="30">
        <f>IF(BD231="Positive Trend",20,IF(BD231="Negative Trend",-10,0))</f>
        <v/>
      </c>
      <c r="BF231" s="30" t="inlineStr">
        <is>
          <t>Uptrend</t>
        </is>
      </c>
      <c r="BG231" s="30">
        <f>IF(BF231="Uptrend",10,IF(BF231="Sideways",5,0))</f>
        <v/>
      </c>
      <c r="BH231" s="30" t="inlineStr">
        <is>
          <t>Uptrend</t>
        </is>
      </c>
      <c r="BI231" s="30">
        <f>IF(BH231="Uptrend",10,IF(BH231="Sideways",5,0))</f>
        <v/>
      </c>
      <c r="BJ231" s="30" t="inlineStr">
        <is>
          <t>Blue sky scenario</t>
        </is>
      </c>
      <c r="BK231" s="30">
        <f>IF(BJ231="Overhead supply in last 2 years in last 2 years",-5,IF(BJ231="Close to 52 week high or retracement",5,IF(BJ231="Blue sky scenario",10,IF(BJ231="Long term Downtrend",-10,0))))</f>
        <v/>
      </c>
      <c r="BL231" s="30" t="inlineStr">
        <is>
          <t>Yes</t>
        </is>
      </c>
      <c r="BM231" s="30">
        <f>IF(BL231="Yes",10,0)</f>
        <v/>
      </c>
      <c r="BN231" s="30" t="inlineStr">
        <is>
          <t>More than 20%</t>
        </is>
      </c>
      <c r="BO231" s="30">
        <f>IF(BN231="More than 20%",10,IF(BN231="Between 12 to 20%",5,IF(BN231="Less than 12%",0,0)))</f>
        <v/>
      </c>
      <c r="BP231" s="30" t="inlineStr">
        <is>
          <t>No</t>
        </is>
      </c>
      <c r="BQ231" s="30">
        <f>IF(BP231="No",10,0)</f>
        <v/>
      </c>
      <c r="BR231" s="30" t="inlineStr">
        <is>
          <t>Yes</t>
        </is>
      </c>
      <c r="BS231" s="30">
        <f>IF(BR231="NO",5,0)</f>
        <v/>
      </c>
      <c r="BT231" s="30" t="inlineStr">
        <is>
          <t>Between 1.5 to 2</t>
        </is>
      </c>
      <c r="BU231" s="30">
        <f>IF(BT231="Above 2",0,IF(BT231="Between 1.5 to 2",5,IF(BT231="Less than 1.5",10,0)))</f>
        <v/>
      </c>
      <c r="BV231" s="30" t="inlineStr">
        <is>
          <t>Above 70%</t>
        </is>
      </c>
      <c r="BW231" s="30">
        <f>IF(BV231="Above 70%",10,IF(BV231="Between 50% to 70%",5,IF(BV231="Less than 50%",0,IF(BV231="Negative",-10,IF(BV231="Less than 50% and Borrowings are increasing",-5,0)))))</f>
        <v/>
      </c>
      <c r="BX231" s="30" t="inlineStr">
        <is>
          <t>Less than 0.7</t>
        </is>
      </c>
      <c r="BY231" s="30">
        <f>IF(BX231="More than 1.2",-10,IF(BX231="Between 0.7 to 1.2",0,IF(BX231="Less than 0.7",10,0)))</f>
        <v/>
      </c>
      <c r="BZ231" s="30" t="inlineStr">
        <is>
          <t>No</t>
        </is>
      </c>
      <c r="CA231" s="30">
        <f>IF(BZ231="Yes",-10,0)</f>
        <v/>
      </c>
      <c r="CB231" s="30" t="inlineStr">
        <is>
          <t>Less than 15%</t>
        </is>
      </c>
      <c r="CC231" s="30">
        <f>IF(CB231="More than 15%",-10,IF(CB231="Less than 15%",10,0))</f>
        <v/>
      </c>
      <c r="CD231" s="30" t="inlineStr">
        <is>
          <t>No</t>
        </is>
      </c>
      <c r="CE231" s="30">
        <f>IF(CD231="Yes, more than 10%",-10,IF(CD231="No",10,0))</f>
        <v/>
      </c>
    </row>
    <row r="232">
      <c r="A232" s="30">
        <f>IF(B232=0,"",RANK(B232,$B$2:$B$331,0))</f>
        <v/>
      </c>
      <c r="B232" s="31">
        <f>SUM(N232,Y232,AA232,AC232,AE232,AG232,AI232,AK232,AM232,AO232,AQ232,AS232,AU232,AW232,AY232,BA232,BC232,BE232,BG232,BI232,BK232,BM232,BO232,BQ232,BS232,BU232,BW232,BY232,CA232,CC232,CE232)</f>
        <v/>
      </c>
      <c r="C232" s="30" t="inlineStr">
        <is>
          <t>DOLPHIN</t>
        </is>
      </c>
      <c r="D232" s="30" t="inlineStr">
        <is>
          <t>Dolphin Offshore Enterprises (India) Ltd</t>
        </is>
      </c>
      <c r="E232" s="30" t="inlineStr">
        <is>
          <t>energy</t>
        </is>
      </c>
      <c r="F232" s="30" t="inlineStr">
        <is>
          <t>oil drilling / allied services</t>
        </is>
      </c>
      <c r="G232" s="30" t="inlineStr">
        <is>
          <t>smallcap</t>
        </is>
      </c>
      <c r="H232" s="31" t="n">
        <v>2740.31</v>
      </c>
      <c r="I232" s="31" t="n">
        <v>654</v>
      </c>
      <c r="J232" s="31" t="n">
        <v>-4.53</v>
      </c>
      <c r="K232" s="31" t="n">
        <v>33629</v>
      </c>
      <c r="L232" s="30" t="n">
        <v>70</v>
      </c>
      <c r="M232" s="30" t="inlineStr">
        <is>
          <t>Outperforming</t>
        </is>
      </c>
      <c r="N232" s="31">
        <f>IF(M232="Underperforming",-5,IF(L232&gt;=95,15,IF(L232&gt;=90,10,IF(L232&gt;=80,5,0))))</f>
        <v/>
      </c>
      <c r="O232" s="31" t="n">
        <v>74.95</v>
      </c>
      <c r="P232" s="31" t="n">
        <v>36.77</v>
      </c>
      <c r="Q232" s="31" t="n">
        <v>491.36</v>
      </c>
      <c r="R232" s="30" t="inlineStr">
        <is>
          <t>Near 52W High Breakout</t>
        </is>
      </c>
      <c r="S232" s="30" t="inlineStr">
        <is>
          <t>Nifty Energy</t>
        </is>
      </c>
      <c r="T232" s="31" t="n">
        <v>8.43</v>
      </c>
      <c r="U232" s="31" t="n">
        <v>48.01</v>
      </c>
      <c r="V232" s="31" t="n">
        <v>36.5</v>
      </c>
      <c r="W232" s="31" t="n">
        <v>22.44</v>
      </c>
      <c r="X232" s="30" t="inlineStr">
        <is>
          <t>Cyclical in an Upturn</t>
        </is>
      </c>
      <c r="Y232" s="30">
        <f>IF(X232="Growing Industry",10,IF(X232="Cyclical in an Upturn",5,0))</f>
        <v/>
      </c>
      <c r="Z232" s="30" t="inlineStr">
        <is>
          <t>Oligopoly</t>
        </is>
      </c>
      <c r="AA232" s="30">
        <f>IF(Z232="Monopoly",10,IF(Z232="Oligopoly",5,IF(Z232="Duopoly that cooperate",10,IF(Z232="Duopoly that compete",5,IF(Z232="Too many players with High ROCE",5,0)))))</f>
        <v/>
      </c>
      <c r="AB232" s="30" t="inlineStr">
        <is>
          <t>Yes</t>
        </is>
      </c>
      <c r="AC232" s="30">
        <f>IF(AB232="No",5,0)</f>
        <v/>
      </c>
      <c r="AD232" s="30" t="inlineStr">
        <is>
          <t>Tailwind</t>
        </is>
      </c>
      <c r="AE232" s="30">
        <f>IF(AD232="Tailwind",10,0)</f>
        <v/>
      </c>
      <c r="AF232" s="30" t="inlineStr">
        <is>
          <t>Cyclical</t>
        </is>
      </c>
      <c r="AG232" s="30">
        <f>IF(AF232="Structural (10 Years Consistency)",10,IF(AF232="Shallow Cyclical (2 to 3 years growth)",5,0))</f>
        <v/>
      </c>
      <c r="AH232" s="30" t="inlineStr">
        <is>
          <t>No</t>
        </is>
      </c>
      <c r="AI232" s="30">
        <f>IF(AH232="Yes due to Product Mix change or Operating Leverage",10,IF(AH232="Yes, these are peak margins",-5,IF(AH232="No",5,0)))</f>
        <v/>
      </c>
      <c r="AJ232" s="30" t="inlineStr">
        <is>
          <t>Volatile</t>
        </is>
      </c>
      <c r="AK232" s="30">
        <f>IF(AJ232="Stable",10,0)</f>
        <v/>
      </c>
      <c r="AL232" s="30" t="inlineStr">
        <is>
          <t>Yes</t>
        </is>
      </c>
      <c r="AM232" s="30">
        <f>IF(AL232="Yes",10,0)</f>
        <v/>
      </c>
      <c r="AN232" s="30" t="inlineStr">
        <is>
          <t>B2B</t>
        </is>
      </c>
      <c r="AO232" s="30">
        <f>IF(AN232="B2C",10,IF(AN232="B2B",5,0))</f>
        <v/>
      </c>
      <c r="AP232" s="30" t="inlineStr">
        <is>
          <t>Yes</t>
        </is>
      </c>
      <c r="AQ232" s="30">
        <f>IF(AP232="Yes",10,0)</f>
        <v/>
      </c>
      <c r="AR232" s="30" t="inlineStr">
        <is>
          <t>Higher One Time, Lower Annuity</t>
        </is>
      </c>
      <c r="AS232" s="30">
        <f>IF(AR232="Fully Annuity",10,IF(AR232="Higher Annuity, Lower One Time",5,IF(AR232="Higher One Time, Lower Annuity",3,0)))</f>
        <v/>
      </c>
      <c r="AT232" s="30" t="inlineStr">
        <is>
          <t>Good</t>
        </is>
      </c>
      <c r="AU232" s="30">
        <f>IF(AT232="Good",10,0)</f>
        <v/>
      </c>
      <c r="AV232" s="30" t="inlineStr">
        <is>
          <t>Yes for more than 2 years</t>
        </is>
      </c>
      <c r="AW232" s="30">
        <f>IF(AV232="Yes for more than 2 years",10,IF(AV232="Yes only for next 1 to 2 years",5,0))</f>
        <v/>
      </c>
      <c r="AX232" s="30" t="inlineStr">
        <is>
          <t>20 to 40</t>
        </is>
      </c>
      <c r="AY232" s="30">
        <f>IF(AX232="Above 40",20,IF(AX232="20 to 40",10,IF(AX232="0 to 20",-5,0)))</f>
        <v/>
      </c>
      <c r="AZ232" s="30" t="inlineStr">
        <is>
          <t>Between 50 to 75</t>
        </is>
      </c>
      <c r="BA232" s="30">
        <f>IF(AZ232="Between 50 to 75",10,IF(AZ232="Above 75",0,0))</f>
        <v/>
      </c>
      <c r="BB232" s="30" t="inlineStr">
        <is>
          <t>Stage 2</t>
        </is>
      </c>
      <c r="BC232" s="30">
        <f>IF(BB232="Stage 2",20,IF(BB232="Stage 1",0,IF(BB232="Stage 3",5,IF(BB232="Stage 4",-5,0))))</f>
        <v/>
      </c>
      <c r="BD232" s="30" t="inlineStr">
        <is>
          <t>Positive Trend</t>
        </is>
      </c>
      <c r="BE232" s="30">
        <f>IF(BD232="Positive Trend",20,IF(BD232="Negative Trend",-10,0))</f>
        <v/>
      </c>
      <c r="BF232" s="30" t="inlineStr">
        <is>
          <t>Uptrend</t>
        </is>
      </c>
      <c r="BG232" s="30">
        <f>IF(BF232="Uptrend",10,IF(BF232="Sideways",5,0))</f>
        <v/>
      </c>
      <c r="BH232" s="30" t="inlineStr">
        <is>
          <t>Uptrend</t>
        </is>
      </c>
      <c r="BI232" s="30">
        <f>IF(BH232="Uptrend",10,IF(BH232="Sideways",5,0))</f>
        <v/>
      </c>
      <c r="BJ232" s="30" t="inlineStr">
        <is>
          <t>Blue sky scenario</t>
        </is>
      </c>
      <c r="BK232" s="30">
        <f>IF(BJ232="Overhead supply in last 2 years in last 2 years",-5,IF(BJ232="Close to 52 week high or retracement",5,IF(BJ232="Blue sky scenario",10,IF(BJ232="Long term Downtrend",-10,0))))</f>
        <v/>
      </c>
      <c r="BL232" s="30" t="inlineStr">
        <is>
          <t>Yes</t>
        </is>
      </c>
      <c r="BM232" s="30">
        <f>IF(BL232="Yes",10,0)</f>
        <v/>
      </c>
      <c r="BN232" s="30" t="inlineStr">
        <is>
          <t>More than 20%</t>
        </is>
      </c>
      <c r="BO232" s="30">
        <f>IF(BN232="More than 20%",10,IF(BN232="Between 12 to 20%",5,IF(BN232="Less than 12%",0,0)))</f>
        <v/>
      </c>
      <c r="BP232" s="30" t="inlineStr">
        <is>
          <t>No</t>
        </is>
      </c>
      <c r="BQ232" s="30">
        <f>IF(BP232="No",10,0)</f>
        <v/>
      </c>
      <c r="BR232" s="30" t="inlineStr">
        <is>
          <t>No</t>
        </is>
      </c>
      <c r="BS232" s="30">
        <f>IF(BR232="NO",5,0)</f>
        <v/>
      </c>
      <c r="BT232" s="30" t="inlineStr">
        <is>
          <t>Less than 1.5</t>
        </is>
      </c>
      <c r="BU232" s="30">
        <f>IF(BT232="Above 2",0,IF(BT232="Between 1.5 to 2",5,IF(BT232="Less than 1.5",10,0)))</f>
        <v/>
      </c>
      <c r="BV232" s="30" t="inlineStr">
        <is>
          <t>Above 70%</t>
        </is>
      </c>
      <c r="BW232" s="30">
        <f>IF(BV232="Above 70%",10,IF(BV232="Between 50% to 70%",5,IF(BV232="Less than 50%",0,IF(BV232="Negative",-10,IF(BV232="Less than 50% and Borrowings are increasing",-5,0)))))</f>
        <v/>
      </c>
      <c r="BX232" s="30" t="inlineStr">
        <is>
          <t>Less than 0.7</t>
        </is>
      </c>
      <c r="BY232" s="30">
        <f>IF(BX232="More than 1.2",-10,IF(BX232="Between 0.7 to 1.2",0,IF(BX232="Less than 0.7",10,0)))</f>
        <v/>
      </c>
      <c r="BZ232" s="30" t="inlineStr">
        <is>
          <t>No</t>
        </is>
      </c>
      <c r="CA232" s="30">
        <f>IF(BZ232="Yes",-10,0)</f>
        <v/>
      </c>
      <c r="CB232" s="30" t="inlineStr">
        <is>
          <t>Less than 15%</t>
        </is>
      </c>
      <c r="CC232" s="30">
        <f>IF(CB232="More than 15%",-10,IF(CB232="Less than 15%",10,0))</f>
        <v/>
      </c>
      <c r="CD232" s="30" t="inlineStr">
        <is>
          <t>No</t>
        </is>
      </c>
      <c r="CE232" s="30">
        <f>IF(CD232="Yes, more than 10%",-10,IF(CD232="No",10,0))</f>
        <v/>
      </c>
    </row>
    <row r="233">
      <c r="A233" s="30">
        <f>IF(B233=0,"",RANK(B233,$B$2:$B$331,0))</f>
        <v/>
      </c>
      <c r="B233" s="31">
        <f>SUM(N233,Y233,AA233,AC233,AE233,AG233,AI233,AK233,AM233,AO233,AQ233,AS233,AU233,AW233,AY233,BA233,BC233,BE233,BG233,BI233,BK233,BM233,BO233,BQ233,BS233,BU233,BW233,BY233,CA233,CC233,CE233)</f>
        <v/>
      </c>
      <c r="C233" s="30" t="inlineStr">
        <is>
          <t>MUKKA</t>
        </is>
      </c>
      <c r="D233" s="30" t="inlineStr">
        <is>
          <t>Mukka Proteins Ltd</t>
        </is>
      </c>
      <c r="E233" s="30" t="inlineStr">
        <is>
          <t>fmcg</t>
        </is>
      </c>
      <c r="F233" s="30" t="inlineStr">
        <is>
          <t>food - processing - indian</t>
        </is>
      </c>
      <c r="G233" s="30" t="inlineStr">
        <is>
          <t>smallcap</t>
        </is>
      </c>
      <c r="H233" s="31" t="n">
        <v>895.8</v>
      </c>
      <c r="I233" s="31" t="n">
        <v>30.57</v>
      </c>
      <c r="J233" s="31" t="n">
        <v>2.38</v>
      </c>
      <c r="K233" s="31" t="n">
        <v>873584</v>
      </c>
      <c r="L233" s="30" t="n">
        <v>25</v>
      </c>
      <c r="M233" s="30" t="inlineStr">
        <is>
          <t>Outperforming</t>
        </is>
      </c>
      <c r="N233" s="31">
        <f>IF(M233="Underperforming",-5,IF(L233&gt;=95,15,IF(L233&gt;=90,10,IF(L233&gt;=80,5,0))))</f>
        <v/>
      </c>
      <c r="O233" s="31" t="n">
        <v>68.3</v>
      </c>
      <c r="P233" s="31" t="n">
        <v>14.98</v>
      </c>
      <c r="Q233" s="31" t="n">
        <v>23.32</v>
      </c>
      <c r="R233" s="30" t="inlineStr">
        <is>
          <t>Volume Spike &amp; Near 52W High Breakout</t>
        </is>
      </c>
      <c r="S233" s="30" t="inlineStr">
        <is>
          <t>Nifty FMCG</t>
        </is>
      </c>
      <c r="T233" s="31" t="n">
        <v>-17.21</v>
      </c>
      <c r="U233" s="31" t="n">
        <v>5.12</v>
      </c>
      <c r="V233" s="31" t="n">
        <v>26.98</v>
      </c>
      <c r="W233" s="31" t="n">
        <v>7.52</v>
      </c>
      <c r="X233" s="30" t="inlineStr">
        <is>
          <t>Growing Industry</t>
        </is>
      </c>
      <c r="Y233" s="30">
        <f>IF(X233="Growing Industry",10,IF(X233="Cyclical in an Upturn",5,0))</f>
        <v/>
      </c>
      <c r="Z233" s="30" t="inlineStr">
        <is>
          <t>Too Many Players with High ROCE</t>
        </is>
      </c>
      <c r="AA233" s="30">
        <f>IF(Z233="Monopoly",10,IF(Z233="Oligopoly",5,IF(Z233="Duopoly that cooperate",10,IF(Z233="Duopoly that compete",5,IF(Z233="Too many players with High ROCE",5,0)))))</f>
        <v/>
      </c>
      <c r="AB233" s="30" t="inlineStr">
        <is>
          <t>No</t>
        </is>
      </c>
      <c r="AC233" s="30">
        <f>IF(AB233="No",5,0)</f>
        <v/>
      </c>
      <c r="AD233" s="30" t="inlineStr">
        <is>
          <t>Tailwind</t>
        </is>
      </c>
      <c r="AE233" s="30">
        <f>IF(AD233="Tailwind",10,0)</f>
        <v/>
      </c>
      <c r="AF233" s="30" t="inlineStr">
        <is>
          <t>Structural (10 Years Consistency)</t>
        </is>
      </c>
      <c r="AG233" s="30">
        <f>IF(AF233="Structural (10 Years Consistency)",10,IF(AF233="Shallow Cyclical (2 to 3 years growth)",5,0))</f>
        <v/>
      </c>
      <c r="AH233" s="30" t="inlineStr">
        <is>
          <t>No</t>
        </is>
      </c>
      <c r="AI233" s="30">
        <f>IF(AH233="Yes due to Product Mix change or Operating Leverage",10,IF(AH233="Yes, these are peak margins",-5,IF(AH233="No",5,0)))</f>
        <v/>
      </c>
      <c r="AJ233" s="30" t="inlineStr">
        <is>
          <t>Stable</t>
        </is>
      </c>
      <c r="AK233" s="30">
        <f>IF(AJ233="Stable",10,0)</f>
        <v/>
      </c>
      <c r="AL233" s="30" t="inlineStr">
        <is>
          <t>Yes</t>
        </is>
      </c>
      <c r="AM233" s="30">
        <f>IF(AL233="Yes",10,0)</f>
        <v/>
      </c>
      <c r="AN233" s="30" t="inlineStr">
        <is>
          <t>B2C</t>
        </is>
      </c>
      <c r="AO233" s="30">
        <f>IF(AN233="B2C",10,IF(AN233="B2B",5,0))</f>
        <v/>
      </c>
      <c r="AP233" s="30" t="inlineStr">
        <is>
          <t>Yes</t>
        </is>
      </c>
      <c r="AQ233" s="30">
        <f>IF(AP233="Yes",10,0)</f>
        <v/>
      </c>
      <c r="AR233" s="30" t="inlineStr">
        <is>
          <t>Higher Annuity, Lower One Time</t>
        </is>
      </c>
      <c r="AS233" s="30">
        <f>IF(AR233="Fully Annuity",10,IF(AR233="Higher Annuity, Lower One Time",5,IF(AR233="Higher One Time, Lower Annuity",3,0)))</f>
        <v/>
      </c>
      <c r="AT233" s="30" t="inlineStr">
        <is>
          <t>Good</t>
        </is>
      </c>
      <c r="AU233" s="30">
        <f>IF(AT233="Good",10,0)</f>
        <v/>
      </c>
      <c r="AV233" s="30" t="inlineStr">
        <is>
          <t>Yes for more than 2 years</t>
        </is>
      </c>
      <c r="AW233" s="30">
        <f>IF(AV233="Yes for more than 2 years",10,IF(AV233="Yes only for next 1 to 2 years",5,0))</f>
        <v/>
      </c>
      <c r="AX233" s="30" t="inlineStr">
        <is>
          <t>0 to 20</t>
        </is>
      </c>
      <c r="AY233" s="30">
        <f>IF(AX233="Above 40",20,IF(AX233="20 to 40",10,IF(AX233="0 to 20",-5,0)))</f>
        <v/>
      </c>
      <c r="AZ233" s="30" t="inlineStr">
        <is>
          <t>Between 50 to 75</t>
        </is>
      </c>
      <c r="BA233" s="30">
        <f>IF(AZ233="Between 50 to 75",10,IF(AZ233="Above 75",0,0))</f>
        <v/>
      </c>
      <c r="BB233" s="30" t="inlineStr">
        <is>
          <t>Stage 2</t>
        </is>
      </c>
      <c r="BC233" s="30">
        <f>IF(BB233="Stage 2",20,IF(BB233="Stage 1",0,IF(BB233="Stage 3",5,IF(BB233="Stage 4",-5,0))))</f>
        <v/>
      </c>
      <c r="BD233" s="30" t="inlineStr">
        <is>
          <t>Positive Trend</t>
        </is>
      </c>
      <c r="BE233" s="30">
        <f>IF(BD233="Positive Trend",20,IF(BD233="Negative Trend",-10,0))</f>
        <v/>
      </c>
      <c r="BF233" s="30" t="inlineStr">
        <is>
          <t>Uptrend</t>
        </is>
      </c>
      <c r="BG233" s="30">
        <f>IF(BF233="Uptrend",10,IF(BF233="Sideways",5,0))</f>
        <v/>
      </c>
      <c r="BH233" s="30" t="inlineStr">
        <is>
          <t>Uptrend</t>
        </is>
      </c>
      <c r="BI233" s="30">
        <f>IF(BH233="Uptrend",10,IF(BH233="Sideways",5,0))</f>
        <v/>
      </c>
      <c r="BJ233" s="30" t="inlineStr">
        <is>
          <t>Close to 52 week high or retracement</t>
        </is>
      </c>
      <c r="BK233" s="30">
        <f>IF(BJ233="Overhead supply in last 2 years in last 2 years",-5,IF(BJ233="Close to 52 week high or retracement",5,IF(BJ233="Blue sky scenario",10,IF(BJ233="Long term Downtrend",-10,0))))</f>
        <v/>
      </c>
      <c r="BL233" s="30" t="inlineStr">
        <is>
          <t>Yes</t>
        </is>
      </c>
      <c r="BM233" s="30">
        <f>IF(BL233="Yes",10,0)</f>
        <v/>
      </c>
      <c r="BN233" s="30" t="inlineStr">
        <is>
          <t>More than 20%</t>
        </is>
      </c>
      <c r="BO233" s="30">
        <f>IF(BN233="More than 20%",10,IF(BN233="Between 12 to 20%",5,IF(BN233="Less than 12%",0,0)))</f>
        <v/>
      </c>
      <c r="BP233" s="30" t="inlineStr">
        <is>
          <t>No</t>
        </is>
      </c>
      <c r="BQ233" s="30">
        <f>IF(BP233="No",10,0)</f>
        <v/>
      </c>
      <c r="BR233" s="30" t="inlineStr">
        <is>
          <t>No</t>
        </is>
      </c>
      <c r="BS233" s="30">
        <f>IF(BR233="NO",5,0)</f>
        <v/>
      </c>
      <c r="BT233" s="30" t="inlineStr">
        <is>
          <t>Less than 1.5</t>
        </is>
      </c>
      <c r="BU233" s="30">
        <f>IF(BT233="Above 2",0,IF(BT233="Between 1.5 to 2",5,IF(BT233="Less than 1.5",10,0)))</f>
        <v/>
      </c>
      <c r="BV233" s="30" t="inlineStr">
        <is>
          <t>Above 70%</t>
        </is>
      </c>
      <c r="BW233" s="30">
        <f>IF(BV233="Above 70%",10,IF(BV233="Between 50% to 70%",5,IF(BV233="Less than 50%",0,IF(BV233="Negative",-10,IF(BV233="Less than 50% and Borrowings are increasing",-5,0)))))</f>
        <v/>
      </c>
      <c r="BX233" s="30" t="inlineStr">
        <is>
          <t>More than 1.2</t>
        </is>
      </c>
      <c r="BY233" s="30">
        <f>IF(BX233="More than 1.2",-10,IF(BX233="Between 0.7 to 1.2",0,IF(BX233="Less than 0.7",10,0)))</f>
        <v/>
      </c>
      <c r="BZ233" s="30" t="inlineStr">
        <is>
          <t>No</t>
        </is>
      </c>
      <c r="CA233" s="30">
        <f>IF(BZ233="Yes",-10,0)</f>
        <v/>
      </c>
      <c r="CB233" s="30" t="inlineStr">
        <is>
          <t>Less than 15%</t>
        </is>
      </c>
      <c r="CC233" s="30">
        <f>IF(CB233="More than 15%",-10,IF(CB233="Less than 15%",10,0))</f>
        <v/>
      </c>
      <c r="CD233" s="30" t="inlineStr">
        <is>
          <t>No</t>
        </is>
      </c>
      <c r="CE233" s="30">
        <f>IF(CD233="Yes, more than 10%",-10,IF(CD233="No",10,0))</f>
        <v/>
      </c>
    </row>
    <row r="234">
      <c r="A234" s="30">
        <f>IF(B234=0,"",RANK(B234,$B$2:$B$331,0))</f>
        <v/>
      </c>
      <c r="B234" s="31">
        <f>SUM(N234,Y234,AA234,AC234,AE234,AG234,AI234,AK234,AM234,AO234,AQ234,AS234,AU234,AW234,AY234,BA234,BC234,BE234,BG234,BI234,BK234,BM234,BO234,BQ234,BS234,BU234,BW234,BY234,CA234,CC234,CE234)</f>
        <v/>
      </c>
      <c r="C234" s="30" t="inlineStr">
        <is>
          <t>MARKSANS</t>
        </is>
      </c>
      <c r="D234" s="30" t="inlineStr">
        <is>
          <t>Marksans Pharma Limited</t>
        </is>
      </c>
      <c r="E234" s="30" t="inlineStr">
        <is>
          <t>healthcare</t>
        </is>
      </c>
      <c r="F234" s="30" t="inlineStr">
        <is>
          <t>pharmaceuticals - indian - formulations</t>
        </is>
      </c>
      <c r="G234" s="30" t="inlineStr">
        <is>
          <t>midcap</t>
        </is>
      </c>
      <c r="H234" s="31" t="n">
        <v>14961.2</v>
      </c>
      <c r="I234" s="31" t="n">
        <v>330.4</v>
      </c>
      <c r="J234" s="31" t="n">
        <v>0.08</v>
      </c>
      <c r="K234" s="31" t="n">
        <v>1295256</v>
      </c>
      <c r="L234" s="30" t="n">
        <v>70</v>
      </c>
      <c r="M234" s="30" t="inlineStr">
        <is>
          <t>Outperforming</t>
        </is>
      </c>
      <c r="N234" s="31">
        <f>IF(M234="Underperforming",-5,IF(L234&gt;=95,15,IF(L234&gt;=90,10,IF(L234&gt;=80,5,0))))</f>
        <v/>
      </c>
      <c r="O234" s="31" t="n">
        <v>73.97</v>
      </c>
      <c r="P234" s="31" t="n">
        <v>59.51</v>
      </c>
      <c r="Q234" s="31" t="n">
        <v>258.17</v>
      </c>
      <c r="R234" s="30" t="inlineStr">
        <is>
          <t>Near 52W High Breakout</t>
        </is>
      </c>
      <c r="S234" s="30" t="inlineStr">
        <is>
          <t>Nifty Pharma</t>
        </is>
      </c>
      <c r="T234" s="31" t="n">
        <v>18.86</v>
      </c>
      <c r="U234" s="31" t="n">
        <v>91.59</v>
      </c>
      <c r="V234" s="31" t="n">
        <v>61.18</v>
      </c>
      <c r="W234" s="31" t="n">
        <v>22.38</v>
      </c>
      <c r="X234" s="30" t="inlineStr">
        <is>
          <t>Growing Industry</t>
        </is>
      </c>
      <c r="Y234" s="30">
        <f>IF(X234="Growing Industry",10,IF(X234="Cyclical in an Upturn",5,0))</f>
        <v/>
      </c>
      <c r="Z234" s="30" t="inlineStr">
        <is>
          <t>Too Many Players with High ROCE</t>
        </is>
      </c>
      <c r="AA234" s="30">
        <f>IF(Z234="Monopoly",10,IF(Z234="Oligopoly",5,IF(Z234="Duopoly that cooperate",10,IF(Z234="Duopoly that compete",5,IF(Z234="Too many players with High ROCE",5,0)))))</f>
        <v/>
      </c>
      <c r="AB234" s="30" t="inlineStr">
        <is>
          <t>Yes</t>
        </is>
      </c>
      <c r="AC234" s="30">
        <f>IF(AB234="No",5,0)</f>
        <v/>
      </c>
      <c r="AD234" s="30" t="inlineStr">
        <is>
          <t>Tailwind</t>
        </is>
      </c>
      <c r="AE234" s="30">
        <f>IF(AD234="Tailwind",10,0)</f>
        <v/>
      </c>
      <c r="AF234" s="30" t="inlineStr">
        <is>
          <t>Structural (10 Years Consistency)</t>
        </is>
      </c>
      <c r="AG234" s="30">
        <f>IF(AF234="Structural (10 Years Consistency)",10,IF(AF234="Shallow Cyclical (2 to 3 years growth)",5,0))</f>
        <v/>
      </c>
      <c r="AH234" s="30" t="inlineStr">
        <is>
          <t>No</t>
        </is>
      </c>
      <c r="AI234" s="30">
        <f>IF(AH234="Yes due to Product Mix change or Operating Leverage",10,IF(AH234="Yes, these are peak margins",-5,IF(AH234="No",5,0)))</f>
        <v/>
      </c>
      <c r="AJ234" s="30" t="inlineStr">
        <is>
          <t>Stable</t>
        </is>
      </c>
      <c r="AK234" s="30">
        <f>IF(AJ234="Stable",10,0)</f>
        <v/>
      </c>
      <c r="AL234" s="30" t="inlineStr">
        <is>
          <t>Yes</t>
        </is>
      </c>
      <c r="AM234" s="30">
        <f>IF(AL234="Yes",10,0)</f>
        <v/>
      </c>
      <c r="AN234" s="30" t="inlineStr">
        <is>
          <t>B2B</t>
        </is>
      </c>
      <c r="AO234" s="30">
        <f>IF(AN234="B2C",10,IF(AN234="B2B",5,0))</f>
        <v/>
      </c>
      <c r="AP234" s="30" t="inlineStr">
        <is>
          <t>Yes</t>
        </is>
      </c>
      <c r="AQ234" s="30">
        <f>IF(AP234="Yes",10,0)</f>
        <v/>
      </c>
      <c r="AR234" s="30" t="inlineStr">
        <is>
          <t>Higher Annuity, Lower One Time</t>
        </is>
      </c>
      <c r="AS234" s="30">
        <f>IF(AR234="Fully Annuity",10,IF(AR234="Higher Annuity, Lower One Time",5,IF(AR234="Higher One Time, Lower Annuity",3,0)))</f>
        <v/>
      </c>
      <c r="AT234" s="30" t="inlineStr">
        <is>
          <t>Good</t>
        </is>
      </c>
      <c r="AU234" s="30">
        <f>IF(AT234="Good",10,0)</f>
        <v/>
      </c>
      <c r="AV234" s="30" t="inlineStr">
        <is>
          <t>Yes for more than 2 years</t>
        </is>
      </c>
      <c r="AW234" s="30">
        <f>IF(AV234="Yes for more than 2 years",10,IF(AV234="Yes only for next 1 to 2 years",5,0))</f>
        <v/>
      </c>
      <c r="AX234" s="30" t="inlineStr">
        <is>
          <t>Above 40</t>
        </is>
      </c>
      <c r="AY234" s="30">
        <f>IF(AX234="Above 40",20,IF(AX234="20 to 40",10,IF(AX234="0 to 20",-5,0)))</f>
        <v/>
      </c>
      <c r="AZ234" s="30" t="inlineStr">
        <is>
          <t>Between 50 to 75</t>
        </is>
      </c>
      <c r="BA234" s="30">
        <f>IF(AZ234="Between 50 to 75",10,IF(AZ234="Above 75",0,0))</f>
        <v/>
      </c>
      <c r="BB234" s="30" t="inlineStr">
        <is>
          <t>Stage 2</t>
        </is>
      </c>
      <c r="BC234" s="30">
        <f>IF(BB234="Stage 2",20,IF(BB234="Stage 1",0,IF(BB234="Stage 3",5,IF(BB234="Stage 4",-5,0))))</f>
        <v/>
      </c>
      <c r="BD234" s="30" t="inlineStr">
        <is>
          <t>Negative Trend</t>
        </is>
      </c>
      <c r="BE234" s="30">
        <f>IF(BD234="Positive Trend",20,IF(BD234="Negative Trend",-10,0))</f>
        <v/>
      </c>
      <c r="BF234" s="30" t="inlineStr">
        <is>
          <t>Uptrend</t>
        </is>
      </c>
      <c r="BG234" s="30">
        <f>IF(BF234="Uptrend",10,IF(BF234="Sideways",5,0))</f>
        <v/>
      </c>
      <c r="BH234" s="30" t="inlineStr">
        <is>
          <t>Uptrend</t>
        </is>
      </c>
      <c r="BI234" s="30">
        <f>IF(BH234="Uptrend",10,IF(BH234="Sideways",5,0))</f>
        <v/>
      </c>
      <c r="BJ234" s="30" t="inlineStr">
        <is>
          <t>Blue sky scenario</t>
        </is>
      </c>
      <c r="BK234" s="30">
        <f>IF(BJ234="Overhead supply in last 2 years in last 2 years",-5,IF(BJ234="Close to 52 week high or retracement",5,IF(BJ234="Blue sky scenario",10,IF(BJ234="Long term Downtrend",-10,0))))</f>
        <v/>
      </c>
      <c r="BL234" s="30" t="inlineStr">
        <is>
          <t>Yes</t>
        </is>
      </c>
      <c r="BM234" s="30">
        <f>IF(BL234="Yes",10,0)</f>
        <v/>
      </c>
      <c r="BN234" s="30" t="inlineStr">
        <is>
          <t>More than 20%</t>
        </is>
      </c>
      <c r="BO234" s="30">
        <f>IF(BN234="More than 20%",10,IF(BN234="Between 12 to 20%",5,IF(BN234="Less than 12%",0,0)))</f>
        <v/>
      </c>
      <c r="BP234" s="30" t="inlineStr">
        <is>
          <t>No</t>
        </is>
      </c>
      <c r="BQ234" s="30">
        <f>IF(BP234="No",10,0)</f>
        <v/>
      </c>
      <c r="BR234" s="30" t="inlineStr">
        <is>
          <t>No</t>
        </is>
      </c>
      <c r="BS234" s="30">
        <f>IF(BR234="NO",5,0)</f>
        <v/>
      </c>
      <c r="BT234" s="30" t="inlineStr">
        <is>
          <t>Above 2</t>
        </is>
      </c>
      <c r="BU234" s="30">
        <f>IF(BT234="Above 2",0,IF(BT234="Between 1.5 to 2",5,IF(BT234="Less than 1.5",10,0)))</f>
        <v/>
      </c>
      <c r="BV234" s="30" t="inlineStr">
        <is>
          <t>Above 70%</t>
        </is>
      </c>
      <c r="BW234" s="30">
        <f>IF(BV234="Above 70%",10,IF(BV234="Between 50% to 70%",5,IF(BV234="Less than 50%",0,IF(BV234="Negative",-10,IF(BV234="Less than 50% and Borrowings are increasing",-5,0)))))</f>
        <v/>
      </c>
      <c r="BX234" s="30" t="inlineStr">
        <is>
          <t>Less than 0.7</t>
        </is>
      </c>
      <c r="BY234" s="30">
        <f>IF(BX234="More than 1.2",-10,IF(BX234="Between 0.7 to 1.2",0,IF(BX234="Less than 0.7",10,0)))</f>
        <v/>
      </c>
      <c r="BZ234" s="30" t="inlineStr">
        <is>
          <t>No</t>
        </is>
      </c>
      <c r="CA234" s="30">
        <f>IF(BZ234="Yes",-10,0)</f>
        <v/>
      </c>
      <c r="CB234" s="30" t="inlineStr">
        <is>
          <t>Less than 15%</t>
        </is>
      </c>
      <c r="CC234" s="30">
        <f>IF(CB234="More than 15%",-10,IF(CB234="Less than 15%",10,0))</f>
        <v/>
      </c>
      <c r="CD234" s="30" t="inlineStr">
        <is>
          <t>No</t>
        </is>
      </c>
      <c r="CE234" s="30">
        <f>IF(CD234="Yes, more than 10%",-10,IF(CD234="No",10,0))</f>
        <v/>
      </c>
    </row>
    <row r="235">
      <c r="A235" s="30">
        <f>IF(B235=0,"",RANK(B235,$B$2:$B$331,0))</f>
        <v/>
      </c>
      <c r="B235" s="31">
        <f>SUM(N235,Y235,AA235,AC235,AE235,AG235,AI235,AK235,AM235,AO235,AQ235,AS235,AU235,AW235,AY235,BA235,BC235,BE235,BG235,BI235,BK235,BM235,BO235,BQ235,BS235,BU235,BW235,BY235,CA235,CC235,CE235)</f>
        <v/>
      </c>
      <c r="C235" s="32" t="inlineStr">
        <is>
          <t>SURAKSHA</t>
        </is>
      </c>
      <c r="D235" s="32" t="inlineStr">
        <is>
          <t>Suraksha Diagnostic Ltd</t>
        </is>
      </c>
      <c r="E235" s="30" t="inlineStr">
        <is>
          <t>healthcare</t>
        </is>
      </c>
      <c r="F235" s="30" t="inlineStr">
        <is>
          <t>healthcare</t>
        </is>
      </c>
      <c r="G235" s="30" t="inlineStr">
        <is>
          <t>smallcap</t>
        </is>
      </c>
      <c r="H235" s="31" t="n">
        <v>1748.09</v>
      </c>
      <c r="I235" s="31" t="n">
        <v>327.85</v>
      </c>
      <c r="J235" s="31" t="n">
        <v>-2.32</v>
      </c>
      <c r="K235" s="31" t="n">
        <v>44852</v>
      </c>
      <c r="L235" s="30" t="n">
        <v>19</v>
      </c>
      <c r="M235" s="30" t="inlineStr">
        <is>
          <t>Underperforming</t>
        </is>
      </c>
      <c r="N235" s="31">
        <f>IF(M235="Underperforming",-5,IF(L235&gt;=95,15,IF(L235&gt;=90,10,IF(L235&gt;=80,5,0))))</f>
        <v/>
      </c>
      <c r="O235" s="31" t="n">
        <v>63.75</v>
      </c>
      <c r="P235" s="31" t="n">
        <v>19.44</v>
      </c>
      <c r="Q235" s="31" t="n">
        <v>268.24</v>
      </c>
      <c r="R235" s="30" t="inlineStr">
        <is>
          <t>Near 52W High Breakout</t>
        </is>
      </c>
      <c r="S235" s="30" t="inlineStr">
        <is>
          <t>Nifty Pharma</t>
        </is>
      </c>
      <c r="T235" s="31" t="n">
        <v>18.86</v>
      </c>
      <c r="U235" s="31" t="n">
        <v>5.66</v>
      </c>
      <c r="V235" s="31" t="n">
        <v>-11.11</v>
      </c>
      <c r="W235" s="31" t="n">
        <v>6.16</v>
      </c>
      <c r="X235" s="30" t="inlineStr">
        <is>
          <t>Growing Industry</t>
        </is>
      </c>
      <c r="Y235" s="30">
        <f>IF(X235="Growing Industry",10,IF(X235="Cyclical in an Upturn",5,0))</f>
        <v/>
      </c>
      <c r="Z235" s="30" t="inlineStr">
        <is>
          <t>Too Many Players with High ROCE</t>
        </is>
      </c>
      <c r="AA235" s="30">
        <f>IF(Z235="Monopoly",10,IF(Z235="Oligopoly",5,IF(Z235="Duopoly that cooperate",10,IF(Z235="Duopoly that compete",5,IF(Z235="Too many players with High ROCE",5,0)))))</f>
        <v/>
      </c>
      <c r="AB235" s="30" t="inlineStr">
        <is>
          <t>Yes</t>
        </is>
      </c>
      <c r="AC235" s="30">
        <f>IF(AB235="No",5,0)</f>
        <v/>
      </c>
      <c r="AD235" s="30" t="inlineStr">
        <is>
          <t>Tailwind</t>
        </is>
      </c>
      <c r="AE235" s="30">
        <f>IF(AD235="Tailwind",10,0)</f>
        <v/>
      </c>
      <c r="AF235" s="30" t="inlineStr">
        <is>
          <t>Structural (10 Years Consistency)</t>
        </is>
      </c>
      <c r="AG235" s="30">
        <f>IF(AF235="Structural (10 Years Consistency)",10,IF(AF235="Shallow Cyclical (2 to 3 years growth)",5,0))</f>
        <v/>
      </c>
      <c r="AH235" s="30" t="inlineStr">
        <is>
          <t>No</t>
        </is>
      </c>
      <c r="AI235" s="30">
        <f>IF(AH235="Yes due to Product Mix change or Operating Leverage",10,IF(AH235="Yes, these are peak margins",-5,IF(AH235="No",5,0)))</f>
        <v/>
      </c>
      <c r="AJ235" s="30" t="inlineStr">
        <is>
          <t>Stable</t>
        </is>
      </c>
      <c r="AK235" s="30">
        <f>IF(AJ235="Stable",10,0)</f>
        <v/>
      </c>
      <c r="AL235" s="30" t="inlineStr">
        <is>
          <t>Yes</t>
        </is>
      </c>
      <c r="AM235" s="30">
        <f>IF(AL235="Yes",10,0)</f>
        <v/>
      </c>
      <c r="AN235" s="30" t="inlineStr">
        <is>
          <t>B2B</t>
        </is>
      </c>
      <c r="AO235" s="30">
        <f>IF(AN235="B2C",10,IF(AN235="B2B",5,0))</f>
        <v/>
      </c>
      <c r="AP235" s="30" t="inlineStr">
        <is>
          <t>Yes</t>
        </is>
      </c>
      <c r="AQ235" s="30">
        <f>IF(AP235="Yes",10,0)</f>
        <v/>
      </c>
      <c r="AR235" s="30" t="inlineStr">
        <is>
          <t>Higher Annuity, Lower One Time</t>
        </is>
      </c>
      <c r="AS235" s="30">
        <f>IF(AR235="Fully Annuity",10,IF(AR235="Higher Annuity, Lower One Time",5,IF(AR235="Higher One Time, Lower Annuity",3,0)))</f>
        <v/>
      </c>
      <c r="AT235" s="30" t="inlineStr">
        <is>
          <t>Good</t>
        </is>
      </c>
      <c r="AU235" s="30">
        <f>IF(AT235="Good",10,0)</f>
        <v/>
      </c>
      <c r="AV235" s="30" t="inlineStr">
        <is>
          <t>Yes for more than 2 years</t>
        </is>
      </c>
      <c r="AW235" s="30">
        <f>IF(AV235="Yes for more than 2 years",10,IF(AV235="Yes only for next 1 to 2 years",5,0))</f>
        <v/>
      </c>
      <c r="AX235" s="30" t="inlineStr">
        <is>
          <t>0 to 20</t>
        </is>
      </c>
      <c r="AY235" s="30">
        <f>IF(AX235="Above 40",20,IF(AX235="20 to 40",10,IF(AX235="0 to 20",-5,0)))</f>
        <v/>
      </c>
      <c r="AZ235" s="30" t="inlineStr">
        <is>
          <t>Between 50 to 75</t>
        </is>
      </c>
      <c r="BA235" s="30">
        <f>IF(AZ235="Between 50 to 75",10,IF(AZ235="Above 75",0,0))</f>
        <v/>
      </c>
      <c r="BB235" s="30" t="inlineStr">
        <is>
          <t>Stage 2</t>
        </is>
      </c>
      <c r="BC235" s="30">
        <f>IF(BB235="Stage 2",20,IF(BB235="Stage 1",0,IF(BB235="Stage 3",5,IF(BB235="Stage 4",-5,0))))</f>
        <v/>
      </c>
      <c r="BD235" s="30" t="inlineStr">
        <is>
          <t>Positive Trend</t>
        </is>
      </c>
      <c r="BE235" s="30">
        <f>IF(BD235="Positive Trend",20,IF(BD235="Negative Trend",-10,0))</f>
        <v/>
      </c>
      <c r="BF235" s="30" t="inlineStr">
        <is>
          <t>Uptrend</t>
        </is>
      </c>
      <c r="BG235" s="30">
        <f>IF(BF235="Uptrend",10,IF(BF235="Sideways",5,0))</f>
        <v/>
      </c>
      <c r="BH235" s="30" t="inlineStr">
        <is>
          <t>Uptrend</t>
        </is>
      </c>
      <c r="BI235" s="30">
        <f>IF(BH235="Uptrend",10,IF(BH235="Sideways",5,0))</f>
        <v/>
      </c>
      <c r="BJ235" s="30" t="inlineStr">
        <is>
          <t>Close to 52 week high or retracement</t>
        </is>
      </c>
      <c r="BK235" s="30">
        <f>IF(BJ235="Overhead supply in last 2 years in last 2 years",-5,IF(BJ235="Close to 52 week high or retracement",5,IF(BJ235="Blue sky scenario",10,IF(BJ235="Long term Downtrend",-10,0))))</f>
        <v/>
      </c>
      <c r="BL235" s="30" t="inlineStr">
        <is>
          <t>Yes</t>
        </is>
      </c>
      <c r="BM235" s="30">
        <f>IF(BL235="Yes",10,0)</f>
        <v/>
      </c>
      <c r="BN235" s="30" t="inlineStr">
        <is>
          <t>More than 20%</t>
        </is>
      </c>
      <c r="BO235" s="30">
        <f>IF(BN235="More than 20%",10,IF(BN235="Between 12 to 20%",5,IF(BN235="Less than 12%",0,0)))</f>
        <v/>
      </c>
      <c r="BP235" s="30" t="inlineStr">
        <is>
          <t>No</t>
        </is>
      </c>
      <c r="BQ235" s="30">
        <f>IF(BP235="No",10,0)</f>
        <v/>
      </c>
      <c r="BR235" s="30" t="inlineStr">
        <is>
          <t>Yes</t>
        </is>
      </c>
      <c r="BS235" s="30">
        <f>IF(BR235="NO",5,0)</f>
        <v/>
      </c>
      <c r="BT235" s="30" t="inlineStr">
        <is>
          <t>Less than 1.5</t>
        </is>
      </c>
      <c r="BU235" s="30">
        <f>IF(BT235="Above 2",0,IF(BT235="Between 1.5 to 2",5,IF(BT235="Less than 1.5",10,0)))</f>
        <v/>
      </c>
      <c r="BV235" s="30" t="inlineStr">
        <is>
          <t>Above 70%</t>
        </is>
      </c>
      <c r="BW235" s="30">
        <f>IF(BV235="Above 70%",10,IF(BV235="Between 50% to 70%",5,IF(BV235="Less than 50%",0,IF(BV235="Negative",-10,IF(BV235="Less than 50% and Borrowings are increasing",-5,0)))))</f>
        <v/>
      </c>
      <c r="BX235" s="30" t="inlineStr">
        <is>
          <t>Less than 0.7</t>
        </is>
      </c>
      <c r="BY235" s="30">
        <f>IF(BX235="More than 1.2",-10,IF(BX235="Between 0.7 to 1.2",0,IF(BX235="Less than 0.7",10,0)))</f>
        <v/>
      </c>
      <c r="BZ235" s="30" t="inlineStr">
        <is>
          <t>No</t>
        </is>
      </c>
      <c r="CA235" s="30">
        <f>IF(BZ235="Yes",-10,0)</f>
        <v/>
      </c>
      <c r="CB235" s="30" t="inlineStr">
        <is>
          <t>Less than 15%</t>
        </is>
      </c>
      <c r="CC235" s="30">
        <f>IF(CB235="More than 15%",-10,IF(CB235="Less than 15%",10,0))</f>
        <v/>
      </c>
      <c r="CD235" s="30" t="inlineStr">
        <is>
          <t>No</t>
        </is>
      </c>
      <c r="CE235" s="30">
        <f>IF(CD235="Yes, more than 10%",-10,IF(CD235="No",10,0))</f>
        <v/>
      </c>
    </row>
    <row r="236">
      <c r="A236" s="30">
        <f>IF(B236=0,"",RANK(B236,$B$2:$B$331,0))</f>
        <v/>
      </c>
      <c r="B236" s="31">
        <f>SUM(N236,Y236,AA236,AC236,AE236,AG236,AI236,AK236,AM236,AO236,AQ236,AS236,AU236,AW236,AY236,BA236,BC236,BE236,BG236,BI236,BK236,BM236,BO236,BQ236,BS236,BU236,BW236,BY236,CA236,CC236,CE236)</f>
        <v/>
      </c>
      <c r="C236" s="30" t="inlineStr">
        <is>
          <t>VSSL</t>
        </is>
      </c>
      <c r="D236" s="30" t="inlineStr">
        <is>
          <t>Vardhman Special Steels Limited</t>
        </is>
      </c>
      <c r="E236" s="30" t="inlineStr">
        <is>
          <t>metals &amp; mining</t>
        </is>
      </c>
      <c r="F236" s="30" t="inlineStr">
        <is>
          <t>steel - medium / small</t>
        </is>
      </c>
      <c r="G236" s="30" t="inlineStr">
        <is>
          <t>smallcap</t>
        </is>
      </c>
      <c r="H236" s="31" t="n">
        <v>3507.27</v>
      </c>
      <c r="I236" s="31" t="n">
        <v>392</v>
      </c>
      <c r="J236" s="31" t="n">
        <v>8.06</v>
      </c>
      <c r="K236" s="31" t="n">
        <v>8306199</v>
      </c>
      <c r="L236" s="30" t="n">
        <v>68</v>
      </c>
      <c r="M236" s="30" t="inlineStr">
        <is>
          <t>Outperforming</t>
        </is>
      </c>
      <c r="N236" s="31">
        <f>IF(M236="Underperforming",-5,IF(L236&gt;=95,15,IF(L236&gt;=90,10,IF(L236&gt;=80,5,0))))</f>
        <v/>
      </c>
      <c r="O236" s="31" t="n">
        <v>81.8</v>
      </c>
      <c r="P236" s="31" t="n">
        <v>38.53</v>
      </c>
      <c r="Q236" s="31" t="n">
        <v>308.12</v>
      </c>
      <c r="R236" s="30" t="inlineStr">
        <is>
          <t>Volume Spike &amp; Near 52W High Breakout</t>
        </is>
      </c>
      <c r="S236" s="30" t="inlineStr">
        <is>
          <t>Nifty Metal</t>
        </is>
      </c>
      <c r="T236" s="31" t="n">
        <v>41.17</v>
      </c>
      <c r="U236" s="31" t="n">
        <v>55.13</v>
      </c>
      <c r="V236" s="31" t="n">
        <v>9.9</v>
      </c>
      <c r="W236" s="31" t="n">
        <v>21.48</v>
      </c>
      <c r="X236" s="30" t="inlineStr">
        <is>
          <t>Cyclical in an Upturn</t>
        </is>
      </c>
      <c r="Y236" s="30">
        <f>IF(X236="Growing Industry",10,IF(X236="Cyclical in an Upturn",5,0))</f>
        <v/>
      </c>
      <c r="Z236" s="30" t="inlineStr">
        <is>
          <t>Too Many Players with High ROCE</t>
        </is>
      </c>
      <c r="AA236" s="30">
        <f>IF(Z236="Monopoly",10,IF(Z236="Oligopoly",5,IF(Z236="Duopoly that cooperate",10,IF(Z236="Duopoly that compete",5,IF(Z236="Too many players with High ROCE",5,0)))))</f>
        <v/>
      </c>
      <c r="AB236" s="30" t="inlineStr">
        <is>
          <t>No</t>
        </is>
      </c>
      <c r="AC236" s="30">
        <f>IF(AB236="No",5,0)</f>
        <v/>
      </c>
      <c r="AD236" s="30" t="inlineStr">
        <is>
          <t>Tailwind</t>
        </is>
      </c>
      <c r="AE236" s="30">
        <f>IF(AD236="Tailwind",10,0)</f>
        <v/>
      </c>
      <c r="AF236" s="30" t="inlineStr">
        <is>
          <t>Cyclical</t>
        </is>
      </c>
      <c r="AG236" s="30">
        <f>IF(AF236="Structural (10 Years Consistency)",10,IF(AF236="Shallow Cyclical (2 to 3 years growth)",5,0))</f>
        <v/>
      </c>
      <c r="AH236" s="30" t="inlineStr">
        <is>
          <t>No</t>
        </is>
      </c>
      <c r="AI236" s="30">
        <f>IF(AH236="Yes due to Product Mix change or Operating Leverage",10,IF(AH236="Yes, these are peak margins",-5,IF(AH236="No",5,0)))</f>
        <v/>
      </c>
      <c r="AJ236" s="30" t="inlineStr">
        <is>
          <t>Volatile</t>
        </is>
      </c>
      <c r="AK236" s="30">
        <f>IF(AJ236="Stable",10,0)</f>
        <v/>
      </c>
      <c r="AL236" s="30" t="inlineStr">
        <is>
          <t>Yes</t>
        </is>
      </c>
      <c r="AM236" s="30">
        <f>IF(AL236="Yes",10,0)</f>
        <v/>
      </c>
      <c r="AN236" s="30" t="inlineStr">
        <is>
          <t>B2B</t>
        </is>
      </c>
      <c r="AO236" s="30">
        <f>IF(AN236="B2C",10,IF(AN236="B2B",5,0))</f>
        <v/>
      </c>
      <c r="AP236" s="30" t="inlineStr">
        <is>
          <t>Yes</t>
        </is>
      </c>
      <c r="AQ236" s="30">
        <f>IF(AP236="Yes",10,0)</f>
        <v/>
      </c>
      <c r="AR236" s="30" t="inlineStr">
        <is>
          <t>Higher One Time, Lower Annuity</t>
        </is>
      </c>
      <c r="AS236" s="30">
        <f>IF(AR236="Fully Annuity",10,IF(AR236="Higher Annuity, Lower One Time",5,IF(AR236="Higher One Time, Lower Annuity",3,0)))</f>
        <v/>
      </c>
      <c r="AT236" s="30" t="inlineStr">
        <is>
          <t>Good</t>
        </is>
      </c>
      <c r="AU236" s="30">
        <f>IF(AT236="Good",10,0)</f>
        <v/>
      </c>
      <c r="AV236" s="30" t="inlineStr">
        <is>
          <t>Yes for more than 2 years</t>
        </is>
      </c>
      <c r="AW236" s="30">
        <f>IF(AV236="Yes for more than 2 years",10,IF(AV236="Yes only for next 1 to 2 years",5,0))</f>
        <v/>
      </c>
      <c r="AX236" s="30" t="inlineStr">
        <is>
          <t>20 to 40</t>
        </is>
      </c>
      <c r="AY236" s="30">
        <f>IF(AX236="Above 40",20,IF(AX236="20 to 40",10,IF(AX236="0 to 20",-5,0)))</f>
        <v/>
      </c>
      <c r="AZ236" s="30" t="inlineStr">
        <is>
          <t>Above 75</t>
        </is>
      </c>
      <c r="BA236" s="30">
        <f>IF(AZ236="Between 50 to 75",10,IF(AZ236="Above 75",0,0))</f>
        <v/>
      </c>
      <c r="BB236" s="30" t="inlineStr">
        <is>
          <t>Stage 2</t>
        </is>
      </c>
      <c r="BC236" s="30">
        <f>IF(BB236="Stage 2",20,IF(BB236="Stage 1",0,IF(BB236="Stage 3",5,IF(BB236="Stage 4",-5,0))))</f>
        <v/>
      </c>
      <c r="BD236" s="30" t="inlineStr">
        <is>
          <t>Positive Trend</t>
        </is>
      </c>
      <c r="BE236" s="30">
        <f>IF(BD236="Positive Trend",20,IF(BD236="Negative Trend",-10,0))</f>
        <v/>
      </c>
      <c r="BF236" s="30" t="inlineStr">
        <is>
          <t>Uptrend</t>
        </is>
      </c>
      <c r="BG236" s="30">
        <f>IF(BF236="Uptrend",10,IF(BF236="Sideways",5,0))</f>
        <v/>
      </c>
      <c r="BH236" s="30" t="inlineStr">
        <is>
          <t>Uptrend</t>
        </is>
      </c>
      <c r="BI236" s="30">
        <f>IF(BH236="Uptrend",10,IF(BH236="Sideways",5,0))</f>
        <v/>
      </c>
      <c r="BJ236" s="30" t="inlineStr">
        <is>
          <t>Blue sky scenario</t>
        </is>
      </c>
      <c r="BK236" s="30">
        <f>IF(BJ236="Overhead supply in last 2 years in last 2 years",-5,IF(BJ236="Close to 52 week high or retracement",5,IF(BJ236="Blue sky scenario",10,IF(BJ236="Long term Downtrend",-10,0))))</f>
        <v/>
      </c>
      <c r="BL236" s="30" t="inlineStr">
        <is>
          <t>Yes</t>
        </is>
      </c>
      <c r="BM236" s="30">
        <f>IF(BL236="Yes",10,0)</f>
        <v/>
      </c>
      <c r="BN236" s="30" t="inlineStr">
        <is>
          <t>More than 20%</t>
        </is>
      </c>
      <c r="BO236" s="30">
        <f>IF(BN236="More than 20%",10,IF(BN236="Between 12 to 20%",5,IF(BN236="Less than 12%",0,0)))</f>
        <v/>
      </c>
      <c r="BP236" s="30" t="inlineStr">
        <is>
          <t>No</t>
        </is>
      </c>
      <c r="BQ236" s="30">
        <f>IF(BP236="No",10,0)</f>
        <v/>
      </c>
      <c r="BR236" s="30" t="inlineStr">
        <is>
          <t>No</t>
        </is>
      </c>
      <c r="BS236" s="30">
        <f>IF(BR236="NO",5,0)</f>
        <v/>
      </c>
      <c r="BT236" s="30" t="inlineStr">
        <is>
          <t>Less than 1.5</t>
        </is>
      </c>
      <c r="BU236" s="30">
        <f>IF(BT236="Above 2",0,IF(BT236="Between 1.5 to 2",5,IF(BT236="Less than 1.5",10,0)))</f>
        <v/>
      </c>
      <c r="BV236" s="30" t="inlineStr">
        <is>
          <t>Above 70%</t>
        </is>
      </c>
      <c r="BW236" s="30">
        <f>IF(BV236="Above 70%",10,IF(BV236="Between 50% to 70%",5,IF(BV236="Less than 50%",0,IF(BV236="Negative",-10,IF(BV236="Less than 50% and Borrowings are increasing",-5,0)))))</f>
        <v/>
      </c>
      <c r="BX236" s="30" t="inlineStr">
        <is>
          <t>Less than 0.7</t>
        </is>
      </c>
      <c r="BY236" s="30">
        <f>IF(BX236="More than 1.2",-10,IF(BX236="Between 0.7 to 1.2",0,IF(BX236="Less than 0.7",10,0)))</f>
        <v/>
      </c>
      <c r="BZ236" s="30" t="inlineStr">
        <is>
          <t>No</t>
        </is>
      </c>
      <c r="CA236" s="30">
        <f>IF(BZ236="Yes",-10,0)</f>
        <v/>
      </c>
      <c r="CB236" s="30" t="inlineStr">
        <is>
          <t>Less than 15%</t>
        </is>
      </c>
      <c r="CC236" s="30">
        <f>IF(CB236="More than 15%",-10,IF(CB236="Less than 15%",10,0))</f>
        <v/>
      </c>
      <c r="CD236" s="30" t="inlineStr">
        <is>
          <t>No</t>
        </is>
      </c>
      <c r="CE236" s="30">
        <f>IF(CD236="Yes, more than 10%",-10,IF(CD236="No",10,0))</f>
        <v/>
      </c>
    </row>
    <row r="237">
      <c r="A237" s="30">
        <f>IF(B237=0,"",RANK(B237,$B$2:$B$331,0))</f>
        <v/>
      </c>
      <c r="B237" s="31">
        <f>SUM(N237,Y237,AA237,AC237,AE237,AG237,AI237,AK237,AM237,AO237,AQ237,AS237,AU237,AW237,AY237,BA237,BC237,BE237,BG237,BI237,BK237,BM237,BO237,BQ237,BS237,BU237,BW237,BY237,CA237,CC237,CE237)</f>
        <v/>
      </c>
      <c r="C237" s="30" t="inlineStr">
        <is>
          <t>EMIL</t>
        </is>
      </c>
      <c r="D237" s="30" t="inlineStr">
        <is>
          <t>Electronics Mart India Ltd</t>
        </is>
      </c>
      <c r="E237" s="30" t="inlineStr">
        <is>
          <t>consumer discretionary</t>
        </is>
      </c>
      <c r="F237" s="30" t="inlineStr">
        <is>
          <t>trading</t>
        </is>
      </c>
      <c r="G237" s="30" t="inlineStr">
        <is>
          <t>midcap</t>
        </is>
      </c>
      <c r="H237" s="31" t="n">
        <v>7027.44</v>
      </c>
      <c r="I237" s="31" t="n">
        <v>191.82</v>
      </c>
      <c r="J237" s="31" t="n">
        <v>5.02</v>
      </c>
      <c r="K237" s="31" t="n">
        <v>7121916</v>
      </c>
      <c r="L237" s="30" t="n">
        <v>76</v>
      </c>
      <c r="M237" s="30" t="inlineStr">
        <is>
          <t>Outperforming</t>
        </is>
      </c>
      <c r="N237" s="31">
        <f>IF(M237="Underperforming",-5,IF(L237&gt;=95,15,IF(L237&gt;=90,10,IF(L237&gt;=80,5,0))))</f>
        <v/>
      </c>
      <c r="O237" s="31" t="n">
        <v>72.23</v>
      </c>
      <c r="P237" s="31" t="n">
        <v>36.16</v>
      </c>
      <c r="Q237" s="31" t="n">
        <v>145.98</v>
      </c>
      <c r="R237" s="30" t="inlineStr">
        <is>
          <t>Near 52W High Breakout</t>
        </is>
      </c>
      <c r="S237" s="30" t="inlineStr">
        <is>
          <t>Nifty 50</t>
        </is>
      </c>
      <c r="T237" s="31" t="n">
        <v>-6.52</v>
      </c>
      <c r="U237" s="31" t="n">
        <v>28.86</v>
      </c>
      <c r="V237" s="31" t="n">
        <v>37.84</v>
      </c>
      <c r="W237" s="31" t="n">
        <v>27.16</v>
      </c>
      <c r="X237" s="30" t="inlineStr">
        <is>
          <t>Growing Industry</t>
        </is>
      </c>
      <c r="Y237" s="30">
        <f>IF(X237="Growing Industry",10,IF(X237="Cyclical in an Upturn",5,0))</f>
        <v/>
      </c>
      <c r="Z237" s="30" t="inlineStr">
        <is>
          <t>Too Many Players with High ROCE</t>
        </is>
      </c>
      <c r="AA237" s="30">
        <f>IF(Z237="Monopoly",10,IF(Z237="Oligopoly",5,IF(Z237="Duopoly that cooperate",10,IF(Z237="Duopoly that compete",5,IF(Z237="Too many players with High ROCE",5,0)))))</f>
        <v/>
      </c>
      <c r="AB237" s="30" t="inlineStr">
        <is>
          <t>No</t>
        </is>
      </c>
      <c r="AC237" s="30">
        <f>IF(AB237="No",5,0)</f>
        <v/>
      </c>
      <c r="AD237" s="30" t="inlineStr">
        <is>
          <t>Tailwind</t>
        </is>
      </c>
      <c r="AE237" s="30">
        <f>IF(AD237="Tailwind",10,0)</f>
        <v/>
      </c>
      <c r="AF237" s="30" t="inlineStr">
        <is>
          <t>Structural (10 Years Consistency)</t>
        </is>
      </c>
      <c r="AG237" s="30">
        <f>IF(AF237="Structural (10 Years Consistency)",10,IF(AF237="Shallow Cyclical (2 to 3 years growth)",5,0))</f>
        <v/>
      </c>
      <c r="AH237" s="30" t="inlineStr">
        <is>
          <t>No</t>
        </is>
      </c>
      <c r="AI237" s="30">
        <f>IF(AH237="Yes due to Product Mix change or Operating Leverage",10,IF(AH237="Yes, these are peak margins",-5,IF(AH237="No",5,0)))</f>
        <v/>
      </c>
      <c r="AJ237" s="30" t="inlineStr">
        <is>
          <t>Stable</t>
        </is>
      </c>
      <c r="AK237" s="30">
        <f>IF(AJ237="Stable",10,0)</f>
        <v/>
      </c>
      <c r="AL237" s="30" t="inlineStr">
        <is>
          <t>Yes</t>
        </is>
      </c>
      <c r="AM237" s="30">
        <f>IF(AL237="Yes",10,0)</f>
        <v/>
      </c>
      <c r="AN237" s="30" t="inlineStr">
        <is>
          <t>B2B</t>
        </is>
      </c>
      <c r="AO237" s="30">
        <f>IF(AN237="B2C",10,IF(AN237="B2B",5,0))</f>
        <v/>
      </c>
      <c r="AP237" s="30" t="inlineStr">
        <is>
          <t>Yes</t>
        </is>
      </c>
      <c r="AQ237" s="30">
        <f>IF(AP237="Yes",10,0)</f>
        <v/>
      </c>
      <c r="AR237" s="30" t="inlineStr">
        <is>
          <t>Higher One Time, Lower Annuity</t>
        </is>
      </c>
      <c r="AS237" s="30">
        <f>IF(AR237="Fully Annuity",10,IF(AR237="Higher Annuity, Lower One Time",5,IF(AR237="Higher One Time, Lower Annuity",3,0)))</f>
        <v/>
      </c>
      <c r="AT237" s="30" t="inlineStr">
        <is>
          <t>Good</t>
        </is>
      </c>
      <c r="AU237" s="30">
        <f>IF(AT237="Good",10,0)</f>
        <v/>
      </c>
      <c r="AV237" s="30" t="inlineStr">
        <is>
          <t>Yes for more than 2 years</t>
        </is>
      </c>
      <c r="AW237" s="30">
        <f>IF(AV237="Yes for more than 2 years",10,IF(AV237="Yes only for next 1 to 2 years",5,0))</f>
        <v/>
      </c>
      <c r="AX237" s="30" t="inlineStr">
        <is>
          <t>20 to 40</t>
        </is>
      </c>
      <c r="AY237" s="30">
        <f>IF(AX237="Above 40",20,IF(AX237="20 to 40",10,IF(AX237="0 to 20",-5,0)))</f>
        <v/>
      </c>
      <c r="AZ237" s="30" t="inlineStr">
        <is>
          <t>Between 50 to 75</t>
        </is>
      </c>
      <c r="BA237" s="30">
        <f>IF(AZ237="Between 50 to 75",10,IF(AZ237="Above 75",0,0))</f>
        <v/>
      </c>
      <c r="BB237" s="30" t="inlineStr">
        <is>
          <t>Stage 2</t>
        </is>
      </c>
      <c r="BC237" s="30">
        <f>IF(BB237="Stage 2",20,IF(BB237="Stage 1",0,IF(BB237="Stage 3",5,IF(BB237="Stage 4",-5,0))))</f>
        <v/>
      </c>
      <c r="BD237" s="30" t="inlineStr">
        <is>
          <t>Positive Trend</t>
        </is>
      </c>
      <c r="BE237" s="30">
        <f>IF(BD237="Positive Trend",20,IF(BD237="Negative Trend",-10,0))</f>
        <v/>
      </c>
      <c r="BF237" s="30" t="inlineStr">
        <is>
          <t>Uptrend</t>
        </is>
      </c>
      <c r="BG237" s="30">
        <f>IF(BF237="Uptrend",10,IF(BF237="Sideways",5,0))</f>
        <v/>
      </c>
      <c r="BH237" s="30" t="inlineStr">
        <is>
          <t>Uptrend</t>
        </is>
      </c>
      <c r="BI237" s="30">
        <f>IF(BH237="Uptrend",10,IF(BH237="Sideways",5,0))</f>
        <v/>
      </c>
      <c r="BJ237" s="30" t="inlineStr">
        <is>
          <t>Close to 52 week high or retracement</t>
        </is>
      </c>
      <c r="BK237" s="30">
        <f>IF(BJ237="Overhead supply in last 2 years in last 2 years",-5,IF(BJ237="Close to 52 week high or retracement",5,IF(BJ237="Blue sky scenario",10,IF(BJ237="Long term Downtrend",-10,0))))</f>
        <v/>
      </c>
      <c r="BL237" s="30" t="inlineStr">
        <is>
          <t>Yes</t>
        </is>
      </c>
      <c r="BM237" s="30">
        <f>IF(BL237="Yes",10,0)</f>
        <v/>
      </c>
      <c r="BN237" s="30" t="inlineStr">
        <is>
          <t>More than 20%</t>
        </is>
      </c>
      <c r="BO237" s="30">
        <f>IF(BN237="More than 20%",10,IF(BN237="Between 12 to 20%",5,IF(BN237="Less than 12%",0,0)))</f>
        <v/>
      </c>
      <c r="BP237" s="30" t="inlineStr">
        <is>
          <t>No</t>
        </is>
      </c>
      <c r="BQ237" s="30">
        <f>IF(BP237="No",10,0)</f>
        <v/>
      </c>
      <c r="BR237" s="30" t="inlineStr">
        <is>
          <t>No</t>
        </is>
      </c>
      <c r="BS237" s="30">
        <f>IF(BR237="NO",5,0)</f>
        <v/>
      </c>
      <c r="BT237" s="30" t="inlineStr">
        <is>
          <t>Above 2</t>
        </is>
      </c>
      <c r="BU237" s="30">
        <f>IF(BT237="Above 2",0,IF(BT237="Between 1.5 to 2",5,IF(BT237="Less than 1.5",10,0)))</f>
        <v/>
      </c>
      <c r="BV237" s="30" t="inlineStr">
        <is>
          <t>Above 70%</t>
        </is>
      </c>
      <c r="BW237" s="30">
        <f>IF(BV237="Above 70%",10,IF(BV237="Between 50% to 70%",5,IF(BV237="Less than 50%",0,IF(BV237="Negative",-10,IF(BV237="Less than 50% and Borrowings are increasing",-5,0)))))</f>
        <v/>
      </c>
      <c r="BX237" s="30" t="inlineStr">
        <is>
          <t>More than 1.2</t>
        </is>
      </c>
      <c r="BY237" s="30">
        <f>IF(BX237="More than 1.2",-10,IF(BX237="Between 0.7 to 1.2",0,IF(BX237="Less than 0.7",10,0)))</f>
        <v/>
      </c>
      <c r="BZ237" s="30" t="inlineStr">
        <is>
          <t>No</t>
        </is>
      </c>
      <c r="CA237" s="30">
        <f>IF(BZ237="Yes",-10,0)</f>
        <v/>
      </c>
      <c r="CB237" s="30" t="inlineStr">
        <is>
          <t>Less than 15%</t>
        </is>
      </c>
      <c r="CC237" s="30">
        <f>IF(CB237="More than 15%",-10,IF(CB237="Less than 15%",10,0))</f>
        <v/>
      </c>
      <c r="CD237" s="30" t="inlineStr">
        <is>
          <t>No</t>
        </is>
      </c>
      <c r="CE237" s="30">
        <f>IF(CD237="Yes, more than 10%",-10,IF(CD237="No",10,0))</f>
        <v/>
      </c>
    </row>
    <row r="238">
      <c r="A238" s="30">
        <f>IF(B238=0,"",RANK(B238,$B$2:$B$331,0))</f>
        <v/>
      </c>
      <c r="B238" s="31">
        <f>SUM(N238,Y238,AA238,AC238,AE238,AG238,AI238,AK238,AM238,AO238,AQ238,AS238,AU238,AW238,AY238,BA238,BC238,BE238,BG238,BI238,BK238,BM238,BO238,BQ238,BS238,BU238,BW238,BY238,CA238,CC238,CE238)</f>
        <v/>
      </c>
      <c r="C238" s="30" t="inlineStr">
        <is>
          <t>MANAKSTEEL</t>
        </is>
      </c>
      <c r="D238" s="30" t="inlineStr">
        <is>
          <t>Manaksia Steels Limited</t>
        </is>
      </c>
      <c r="E238" s="30" t="inlineStr">
        <is>
          <t>metals &amp; mining</t>
        </is>
      </c>
      <c r="F238" s="30" t="inlineStr">
        <is>
          <t>steel - medium / small</t>
        </is>
      </c>
      <c r="G238" s="30" t="inlineStr">
        <is>
          <t>smallcap</t>
        </is>
      </c>
      <c r="H238" s="31" t="n">
        <v>717.86</v>
      </c>
      <c r="I238" s="31" t="n">
        <v>115.01</v>
      </c>
      <c r="J238" s="31" t="n">
        <v>4.99</v>
      </c>
      <c r="K238" s="31" t="n">
        <v>50215</v>
      </c>
      <c r="L238" s="30" t="n">
        <v>74</v>
      </c>
      <c r="M238" s="30" t="inlineStr">
        <is>
          <t>Outperforming</t>
        </is>
      </c>
      <c r="N238" s="31">
        <f>IF(M238="Underperforming",-5,IF(L238&gt;=95,15,IF(L238&gt;=90,10,IF(L238&gt;=80,5,0))))</f>
        <v/>
      </c>
      <c r="O238" s="31" t="n">
        <v>79.56</v>
      </c>
      <c r="P238" s="31" t="n">
        <v>44.3</v>
      </c>
      <c r="Q238" s="31" t="n">
        <v>86.8</v>
      </c>
      <c r="R238" s="30" t="inlineStr">
        <is>
          <t>Near 52W High Breakout</t>
        </is>
      </c>
      <c r="S238" s="30" t="inlineStr">
        <is>
          <t>Nifty Metal</t>
        </is>
      </c>
      <c r="T238" s="31" t="n">
        <v>41.17</v>
      </c>
      <c r="U238" s="31" t="n">
        <v>86.40000000000001</v>
      </c>
      <c r="V238" s="31" t="n">
        <v>32.05</v>
      </c>
      <c r="W238" s="31" t="n">
        <v>25.61</v>
      </c>
      <c r="X238" s="30" t="inlineStr">
        <is>
          <t>Cyclical in an Upturn</t>
        </is>
      </c>
      <c r="Y238" s="30">
        <f>IF(X238="Growing Industry",10,IF(X238="Cyclical in an Upturn",5,0))</f>
        <v/>
      </c>
      <c r="Z238" s="30" t="inlineStr">
        <is>
          <t>Too Many Players with High ROCE</t>
        </is>
      </c>
      <c r="AA238" s="30">
        <f>IF(Z238="Monopoly",10,IF(Z238="Oligopoly",5,IF(Z238="Duopoly that cooperate",10,IF(Z238="Duopoly that compete",5,IF(Z238="Too many players with High ROCE",5,0)))))</f>
        <v/>
      </c>
      <c r="AB238" s="30" t="inlineStr">
        <is>
          <t>No</t>
        </is>
      </c>
      <c r="AC238" s="30">
        <f>IF(AB238="No",5,0)</f>
        <v/>
      </c>
      <c r="AD238" s="30" t="inlineStr">
        <is>
          <t>Tailwind</t>
        </is>
      </c>
      <c r="AE238" s="30">
        <f>IF(AD238="Tailwind",10,0)</f>
        <v/>
      </c>
      <c r="AF238" s="30" t="inlineStr">
        <is>
          <t>Cyclical</t>
        </is>
      </c>
      <c r="AG238" s="30">
        <f>IF(AF238="Structural (10 Years Consistency)",10,IF(AF238="Shallow Cyclical (2 to 3 years growth)",5,0))</f>
        <v/>
      </c>
      <c r="AH238" s="30" t="inlineStr">
        <is>
          <t>No</t>
        </is>
      </c>
      <c r="AI238" s="30">
        <f>IF(AH238="Yes due to Product Mix change or Operating Leverage",10,IF(AH238="Yes, these are peak margins",-5,IF(AH238="No",5,0)))</f>
        <v/>
      </c>
      <c r="AJ238" s="30" t="inlineStr">
        <is>
          <t>Volatile</t>
        </is>
      </c>
      <c r="AK238" s="30">
        <f>IF(AJ238="Stable",10,0)</f>
        <v/>
      </c>
      <c r="AL238" s="30" t="inlineStr">
        <is>
          <t>Yes</t>
        </is>
      </c>
      <c r="AM238" s="30">
        <f>IF(AL238="Yes",10,0)</f>
        <v/>
      </c>
      <c r="AN238" s="30" t="inlineStr">
        <is>
          <t>B2B</t>
        </is>
      </c>
      <c r="AO238" s="30">
        <f>IF(AN238="B2C",10,IF(AN238="B2B",5,0))</f>
        <v/>
      </c>
      <c r="AP238" s="30" t="inlineStr">
        <is>
          <t>Yes</t>
        </is>
      </c>
      <c r="AQ238" s="30">
        <f>IF(AP238="Yes",10,0)</f>
        <v/>
      </c>
      <c r="AR238" s="30" t="inlineStr">
        <is>
          <t>Higher One Time, Lower Annuity</t>
        </is>
      </c>
      <c r="AS238" s="30">
        <f>IF(AR238="Fully Annuity",10,IF(AR238="Higher Annuity, Lower One Time",5,IF(AR238="Higher One Time, Lower Annuity",3,0)))</f>
        <v/>
      </c>
      <c r="AT238" s="30" t="inlineStr">
        <is>
          <t>Good</t>
        </is>
      </c>
      <c r="AU238" s="30">
        <f>IF(AT238="Good",10,0)</f>
        <v/>
      </c>
      <c r="AV238" s="30" t="inlineStr">
        <is>
          <t>Yes for more than 2 years</t>
        </is>
      </c>
      <c r="AW238" s="30">
        <f>IF(AV238="Yes for more than 2 years",10,IF(AV238="Yes only for next 1 to 2 years",5,0))</f>
        <v/>
      </c>
      <c r="AX238" s="30" t="inlineStr">
        <is>
          <t>Above 40</t>
        </is>
      </c>
      <c r="AY238" s="30">
        <f>IF(AX238="Above 40",20,IF(AX238="20 to 40",10,IF(AX238="0 to 20",-5,0)))</f>
        <v/>
      </c>
      <c r="AZ238" s="30" t="inlineStr">
        <is>
          <t>Above 75</t>
        </is>
      </c>
      <c r="BA238" s="30">
        <f>IF(AZ238="Between 50 to 75",10,IF(AZ238="Above 75",0,0))</f>
        <v/>
      </c>
      <c r="BB238" s="30" t="inlineStr">
        <is>
          <t>Stage 2</t>
        </is>
      </c>
      <c r="BC238" s="30">
        <f>IF(BB238="Stage 2",20,IF(BB238="Stage 1",0,IF(BB238="Stage 3",5,IF(BB238="Stage 4",-5,0))))</f>
        <v/>
      </c>
      <c r="BD238" s="30" t="inlineStr">
        <is>
          <t>Positive Trend</t>
        </is>
      </c>
      <c r="BE238" s="30">
        <f>IF(BD238="Positive Trend",20,IF(BD238="Negative Trend",-10,0))</f>
        <v/>
      </c>
      <c r="BF238" s="30" t="inlineStr">
        <is>
          <t>Uptrend</t>
        </is>
      </c>
      <c r="BG238" s="30">
        <f>IF(BF238="Uptrend",10,IF(BF238="Sideways",5,0))</f>
        <v/>
      </c>
      <c r="BH238" s="30" t="inlineStr">
        <is>
          <t>Uptrend</t>
        </is>
      </c>
      <c r="BI238" s="30">
        <f>IF(BH238="Uptrend",10,IF(BH238="Sideways",5,0))</f>
        <v/>
      </c>
      <c r="BJ238" s="30" t="inlineStr">
        <is>
          <t>Blue sky scenario</t>
        </is>
      </c>
      <c r="BK238" s="30">
        <f>IF(BJ238="Overhead supply in last 2 years in last 2 years",-5,IF(BJ238="Close to 52 week high or retracement",5,IF(BJ238="Blue sky scenario",10,IF(BJ238="Long term Downtrend",-10,0))))</f>
        <v/>
      </c>
      <c r="BL238" s="30" t="inlineStr">
        <is>
          <t>Yes</t>
        </is>
      </c>
      <c r="BM238" s="30">
        <f>IF(BL238="Yes",10,0)</f>
        <v/>
      </c>
      <c r="BN238" s="30" t="inlineStr">
        <is>
          <t>More than 20%</t>
        </is>
      </c>
      <c r="BO238" s="30">
        <f>IF(BN238="More than 20%",10,IF(BN238="Between 12 to 20%",5,IF(BN238="Less than 12%",0,0)))</f>
        <v/>
      </c>
      <c r="BP238" s="30" t="inlineStr">
        <is>
          <t>No</t>
        </is>
      </c>
      <c r="BQ238" s="30">
        <f>IF(BP238="No",10,0)</f>
        <v/>
      </c>
      <c r="BR238" s="30" t="inlineStr">
        <is>
          <t>No</t>
        </is>
      </c>
      <c r="BS238" s="30">
        <f>IF(BR238="NO",5,0)</f>
        <v/>
      </c>
      <c r="BT238" s="30" t="inlineStr">
        <is>
          <t>Above 2</t>
        </is>
      </c>
      <c r="BU238" s="30">
        <f>IF(BT238="Above 2",0,IF(BT238="Between 1.5 to 2",5,IF(BT238="Less than 1.5",10,0)))</f>
        <v/>
      </c>
      <c r="BV238" s="30" t="inlineStr">
        <is>
          <t>Above 70%</t>
        </is>
      </c>
      <c r="BW238" s="30">
        <f>IF(BV238="Above 70%",10,IF(BV238="Between 50% to 70%",5,IF(BV238="Less than 50%",0,IF(BV238="Negative",-10,IF(BV238="Less than 50% and Borrowings are increasing",-5,0)))))</f>
        <v/>
      </c>
      <c r="BX238" s="30" t="inlineStr">
        <is>
          <t>Less than 0.7</t>
        </is>
      </c>
      <c r="BY238" s="30">
        <f>IF(BX238="More than 1.2",-10,IF(BX238="Between 0.7 to 1.2",0,IF(BX238="Less than 0.7",10,0)))</f>
        <v/>
      </c>
      <c r="BZ238" s="30" t="inlineStr">
        <is>
          <t>No</t>
        </is>
      </c>
      <c r="CA238" s="30">
        <f>IF(BZ238="Yes",-10,0)</f>
        <v/>
      </c>
      <c r="CB238" s="30" t="inlineStr">
        <is>
          <t>Less than 15%</t>
        </is>
      </c>
      <c r="CC238" s="30">
        <f>IF(CB238="More than 15%",-10,IF(CB238="Less than 15%",10,0))</f>
        <v/>
      </c>
      <c r="CD238" s="30" t="inlineStr">
        <is>
          <t>No</t>
        </is>
      </c>
      <c r="CE238" s="30">
        <f>IF(CD238="Yes, more than 10%",-10,IF(CD238="No",10,0))</f>
        <v/>
      </c>
    </row>
    <row r="239">
      <c r="A239" s="30">
        <f>IF(B239=0,"",RANK(B239,$B$2:$B$331,0))</f>
        <v/>
      </c>
      <c r="B239" s="31">
        <f>SUM(N239,Y239,AA239,AC239,AE239,AG239,AI239,AK239,AM239,AO239,AQ239,AS239,AU239,AW239,AY239,BA239,BC239,BE239,BG239,BI239,BK239,BM239,BO239,BQ239,BS239,BU239,BW239,BY239,CA239,CC239,CE239)</f>
        <v/>
      </c>
      <c r="C239" s="30" t="inlineStr">
        <is>
          <t>RATNAVEER</t>
        </is>
      </c>
      <c r="D239" s="30" t="inlineStr">
        <is>
          <t>Ratnaveer Precision Engineering Ltd</t>
        </is>
      </c>
      <c r="E239" s="30" t="inlineStr">
        <is>
          <t>metals &amp; mining</t>
        </is>
      </c>
      <c r="F239" s="30" t="inlineStr">
        <is>
          <t>steel - medium / small</t>
        </is>
      </c>
      <c r="G239" s="30" t="inlineStr">
        <is>
          <t>smallcap</t>
        </is>
      </c>
      <c r="H239" s="31" t="n">
        <v>2142.09</v>
      </c>
      <c r="I239" s="31" t="n">
        <v>310.6</v>
      </c>
      <c r="J239" s="31" t="n">
        <v>3.57</v>
      </c>
      <c r="K239" s="31" t="n">
        <v>3836811</v>
      </c>
      <c r="L239" s="30" t="n">
        <v>92</v>
      </c>
      <c r="M239" s="30" t="inlineStr">
        <is>
          <t>Outperforming</t>
        </is>
      </c>
      <c r="N239" s="31">
        <f>IF(M239="Underperforming",-5,IF(L239&gt;=95,15,IF(L239&gt;=90,10,IF(L239&gt;=80,5,0))))</f>
        <v/>
      </c>
      <c r="O239" s="31" t="n">
        <v>83.72</v>
      </c>
      <c r="P239" s="31" t="n">
        <v>57.44</v>
      </c>
      <c r="Q239" s="31" t="n">
        <v>233.17</v>
      </c>
      <c r="R239" s="30" t="inlineStr">
        <is>
          <t>Near 52W High Breakout</t>
        </is>
      </c>
      <c r="S239" s="30" t="inlineStr">
        <is>
          <t>Nifty Metal</t>
        </is>
      </c>
      <c r="T239" s="31" t="n">
        <v>41.17</v>
      </c>
      <c r="U239" s="31" t="n">
        <v>100.21</v>
      </c>
      <c r="V239" s="31" t="n">
        <v>41.82</v>
      </c>
      <c r="W239" s="31" t="n">
        <v>44.51</v>
      </c>
      <c r="X239" s="30" t="inlineStr">
        <is>
          <t>Cyclical in an Upturn</t>
        </is>
      </c>
      <c r="Y239" s="30">
        <f>IF(X239="Growing Industry",10,IF(X239="Cyclical in an Upturn",5,0))</f>
        <v/>
      </c>
      <c r="Z239" s="30" t="inlineStr">
        <is>
          <t>Too Many Players with High ROCE</t>
        </is>
      </c>
      <c r="AA239" s="30">
        <f>IF(Z239="Monopoly",10,IF(Z239="Oligopoly",5,IF(Z239="Duopoly that cooperate",10,IF(Z239="Duopoly that compete",5,IF(Z239="Too many players with High ROCE",5,0)))))</f>
        <v/>
      </c>
      <c r="AB239" s="30" t="inlineStr">
        <is>
          <t>No</t>
        </is>
      </c>
      <c r="AC239" s="30">
        <f>IF(AB239="No",5,0)</f>
        <v/>
      </c>
      <c r="AD239" s="30" t="inlineStr">
        <is>
          <t>Tailwind</t>
        </is>
      </c>
      <c r="AE239" s="30">
        <f>IF(AD239="Tailwind",10,0)</f>
        <v/>
      </c>
      <c r="AF239" s="30" t="inlineStr">
        <is>
          <t>Cyclical</t>
        </is>
      </c>
      <c r="AG239" s="30">
        <f>IF(AF239="Structural (10 Years Consistency)",10,IF(AF239="Shallow Cyclical (2 to 3 years growth)",5,0))</f>
        <v/>
      </c>
      <c r="AH239" s="30" t="inlineStr">
        <is>
          <t>No</t>
        </is>
      </c>
      <c r="AI239" s="30">
        <f>IF(AH239="Yes due to Product Mix change or Operating Leverage",10,IF(AH239="Yes, these are peak margins",-5,IF(AH239="No",5,0)))</f>
        <v/>
      </c>
      <c r="AJ239" s="30" t="inlineStr">
        <is>
          <t>Volatile</t>
        </is>
      </c>
      <c r="AK239" s="30">
        <f>IF(AJ239="Stable",10,0)</f>
        <v/>
      </c>
      <c r="AL239" s="30" t="inlineStr">
        <is>
          <t>Yes</t>
        </is>
      </c>
      <c r="AM239" s="30">
        <f>IF(AL239="Yes",10,0)</f>
        <v/>
      </c>
      <c r="AN239" s="30" t="inlineStr">
        <is>
          <t>B2B</t>
        </is>
      </c>
      <c r="AO239" s="30">
        <f>IF(AN239="B2C",10,IF(AN239="B2B",5,0))</f>
        <v/>
      </c>
      <c r="AP239" s="30" t="inlineStr">
        <is>
          <t>Yes</t>
        </is>
      </c>
      <c r="AQ239" s="30">
        <f>IF(AP239="Yes",10,0)</f>
        <v/>
      </c>
      <c r="AR239" s="30" t="inlineStr">
        <is>
          <t>Higher One Time, Lower Annuity</t>
        </is>
      </c>
      <c r="AS239" s="30">
        <f>IF(AR239="Fully Annuity",10,IF(AR239="Higher Annuity, Lower One Time",5,IF(AR239="Higher One Time, Lower Annuity",3,0)))</f>
        <v/>
      </c>
      <c r="AT239" s="30" t="inlineStr">
        <is>
          <t>Good</t>
        </is>
      </c>
      <c r="AU239" s="30">
        <f>IF(AT239="Good",10,0)</f>
        <v/>
      </c>
      <c r="AV239" s="30" t="inlineStr">
        <is>
          <t>Yes for more than 2 years</t>
        </is>
      </c>
      <c r="AW239" s="30">
        <f>IF(AV239="Yes for more than 2 years",10,IF(AV239="Yes only for next 1 to 2 years",5,0))</f>
        <v/>
      </c>
      <c r="AX239" s="30" t="inlineStr">
        <is>
          <t>Above 40</t>
        </is>
      </c>
      <c r="AY239" s="30">
        <f>IF(AX239="Above 40",20,IF(AX239="20 to 40",10,IF(AX239="0 to 20",-5,0)))</f>
        <v/>
      </c>
      <c r="AZ239" s="30" t="inlineStr">
        <is>
          <t>Above 75</t>
        </is>
      </c>
      <c r="BA239" s="30">
        <f>IF(AZ239="Between 50 to 75",10,IF(AZ239="Above 75",0,0))</f>
        <v/>
      </c>
      <c r="BB239" s="30" t="inlineStr">
        <is>
          <t>Stage 2</t>
        </is>
      </c>
      <c r="BC239" s="30">
        <f>IF(BB239="Stage 2",20,IF(BB239="Stage 1",0,IF(BB239="Stage 3",5,IF(BB239="Stage 4",-5,0))))</f>
        <v/>
      </c>
      <c r="BD239" s="30" t="inlineStr">
        <is>
          <t>Positive Trend</t>
        </is>
      </c>
      <c r="BE239" s="30">
        <f>IF(BD239="Positive Trend",20,IF(BD239="Negative Trend",-10,0))</f>
        <v/>
      </c>
      <c r="BF239" s="30" t="inlineStr">
        <is>
          <t>Uptrend</t>
        </is>
      </c>
      <c r="BG239" s="30">
        <f>IF(BF239="Uptrend",10,IF(BF239="Sideways",5,0))</f>
        <v/>
      </c>
      <c r="BH239" s="30" t="inlineStr">
        <is>
          <t>Uptrend</t>
        </is>
      </c>
      <c r="BI239" s="30">
        <f>IF(BH239="Uptrend",10,IF(BH239="Sideways",5,0))</f>
        <v/>
      </c>
      <c r="BJ239" s="30" t="inlineStr">
        <is>
          <t>Blue sky scenario</t>
        </is>
      </c>
      <c r="BK239" s="30">
        <f>IF(BJ239="Overhead supply in last 2 years in last 2 years",-5,IF(BJ239="Close to 52 week high or retracement",5,IF(BJ239="Blue sky scenario",10,IF(BJ239="Long term Downtrend",-10,0))))</f>
        <v/>
      </c>
      <c r="BL239" s="30" t="inlineStr">
        <is>
          <t>Yes</t>
        </is>
      </c>
      <c r="BM239" s="30">
        <f>IF(BL239="Yes",10,0)</f>
        <v/>
      </c>
      <c r="BN239" s="30" t="inlineStr">
        <is>
          <t>Less than 12%</t>
        </is>
      </c>
      <c r="BO239" s="30">
        <f>IF(BN239="More than 20%",10,IF(BN239="Between 12 to 20%",5,IF(BN239="Less than 12%",0,0)))</f>
        <v/>
      </c>
      <c r="BP239" s="30" t="inlineStr">
        <is>
          <t>No</t>
        </is>
      </c>
      <c r="BQ239" s="30">
        <f>IF(BP239="No",10,0)</f>
        <v/>
      </c>
      <c r="BR239" s="30" t="inlineStr">
        <is>
          <t>No</t>
        </is>
      </c>
      <c r="BS239" s="30">
        <f>IF(BR239="NO",5,0)</f>
        <v/>
      </c>
      <c r="BT239" s="30" t="inlineStr">
        <is>
          <t>Above 2</t>
        </is>
      </c>
      <c r="BU239" s="30">
        <f>IF(BT239="Above 2",0,IF(BT239="Between 1.5 to 2",5,IF(BT239="Less than 1.5",10,0)))</f>
        <v/>
      </c>
      <c r="BV239" s="30" t="inlineStr">
        <is>
          <t>Above 70%</t>
        </is>
      </c>
      <c r="BW239" s="30">
        <f>IF(BV239="Above 70%",10,IF(BV239="Between 50% to 70%",5,IF(BV239="Less than 50%",0,IF(BV239="Negative",-10,IF(BV239="Less than 50% and Borrowings are increasing",-5,0)))))</f>
        <v/>
      </c>
      <c r="BX239" s="30" t="inlineStr">
        <is>
          <t>Less than 0.7</t>
        </is>
      </c>
      <c r="BY239" s="30">
        <f>IF(BX239="More than 1.2",-10,IF(BX239="Between 0.7 to 1.2",0,IF(BX239="Less than 0.7",10,0)))</f>
        <v/>
      </c>
      <c r="BZ239" s="30" t="inlineStr">
        <is>
          <t>No</t>
        </is>
      </c>
      <c r="CA239" s="30">
        <f>IF(BZ239="Yes",-10,0)</f>
        <v/>
      </c>
      <c r="CB239" s="30" t="inlineStr">
        <is>
          <t>Less than 15%</t>
        </is>
      </c>
      <c r="CC239" s="30">
        <f>IF(CB239="More than 15%",-10,IF(CB239="Less than 15%",10,0))</f>
        <v/>
      </c>
      <c r="CD239" s="30" t="inlineStr">
        <is>
          <t>No</t>
        </is>
      </c>
      <c r="CE239" s="30">
        <f>IF(CD239="Yes, more than 10%",-10,IF(CD239="No",10,0))</f>
        <v/>
      </c>
    </row>
    <row r="240">
      <c r="A240" s="30">
        <f>IF(B240=0,"",RANK(B240,$B$2:$B$331,0))</f>
        <v/>
      </c>
      <c r="B240" s="31">
        <f>SUM(N240,Y240,AA240,AC240,AE240,AG240,AI240,AK240,AM240,AO240,AQ240,AS240,AU240,AW240,AY240,BA240,BC240,BE240,BG240,BI240,BK240,BM240,BO240,BQ240,BS240,BU240,BW240,BY240,CA240,CC240,CE240)</f>
        <v/>
      </c>
      <c r="C240" s="30" t="inlineStr">
        <is>
          <t>SUNDRMFAST</t>
        </is>
      </c>
      <c r="D240" s="30" t="inlineStr">
        <is>
          <t>Sundram Fasteners Limited</t>
        </is>
      </c>
      <c r="E240" s="30" t="inlineStr">
        <is>
          <t>auto</t>
        </is>
      </c>
      <c r="F240" s="30" t="inlineStr">
        <is>
          <t>auto ancillaries</t>
        </is>
      </c>
      <c r="G240" s="30" t="inlineStr">
        <is>
          <t>largecap</t>
        </is>
      </c>
      <c r="H240" s="31" t="n">
        <v>25623.05</v>
      </c>
      <c r="I240" s="31" t="n">
        <v>1256.1</v>
      </c>
      <c r="J240" s="31" t="n">
        <v>3.01</v>
      </c>
      <c r="K240" s="31" t="n">
        <v>2102293</v>
      </c>
      <c r="L240" s="30" t="n">
        <v>61</v>
      </c>
      <c r="M240" s="30" t="inlineStr">
        <is>
          <t>Outperforming</t>
        </is>
      </c>
      <c r="N240" s="31">
        <f>IF(M240="Underperforming",-5,IF(L240&gt;=95,15,IF(L240&gt;=90,10,IF(L240&gt;=80,5,0))))</f>
        <v/>
      </c>
      <c r="O240" s="31" t="n">
        <v>79.88</v>
      </c>
      <c r="P240" s="31" t="n">
        <v>39.4</v>
      </c>
      <c r="Q240" s="31" t="n">
        <v>1060.38</v>
      </c>
      <c r="R240" s="30" t="inlineStr">
        <is>
          <t>Volume Spike &amp; Near 52W High Breakout</t>
        </is>
      </c>
      <c r="S240" s="30" t="inlineStr">
        <is>
          <t>Nifty Auto</t>
        </is>
      </c>
      <c r="T240" s="31" t="n">
        <v>15.81</v>
      </c>
      <c r="U240" s="31" t="n">
        <v>26.27</v>
      </c>
      <c r="V240" s="31" t="n">
        <v>9.029999999999999</v>
      </c>
      <c r="W240" s="31" t="n">
        <v>18.78</v>
      </c>
      <c r="X240" s="30" t="inlineStr">
        <is>
          <t>Growing Industry</t>
        </is>
      </c>
      <c r="Y240" s="30">
        <f>IF(X240="Growing Industry",10,IF(X240="Cyclical in an Upturn",5,0))</f>
        <v/>
      </c>
      <c r="Z240" s="30" t="inlineStr">
        <is>
          <t>Too Many Players with High ROCE</t>
        </is>
      </c>
      <c r="AA240" s="30">
        <f>IF(Z240="Monopoly",10,IF(Z240="Oligopoly",5,IF(Z240="Duopoly that cooperate",10,IF(Z240="Duopoly that compete",5,IF(Z240="Too many players with High ROCE",5,0)))))</f>
        <v/>
      </c>
      <c r="AB240" s="30" t="inlineStr">
        <is>
          <t>No</t>
        </is>
      </c>
      <c r="AC240" s="30">
        <f>IF(AB240="No",5,0)</f>
        <v/>
      </c>
      <c r="AD240" s="30" t="inlineStr">
        <is>
          <t>Tailwind</t>
        </is>
      </c>
      <c r="AE240" s="30">
        <f>IF(AD240="Tailwind",10,0)</f>
        <v/>
      </c>
      <c r="AF240" s="30" t="inlineStr">
        <is>
          <t>Structural (10 Years Consistency)</t>
        </is>
      </c>
      <c r="AG240" s="30">
        <f>IF(AF240="Structural (10 Years Consistency)",10,IF(AF240="Shallow Cyclical (2 to 3 years growth)",5,0))</f>
        <v/>
      </c>
      <c r="AH240" s="30" t="inlineStr">
        <is>
          <t>No</t>
        </is>
      </c>
      <c r="AI240" s="30">
        <f>IF(AH240="Yes due to Product Mix change or Operating Leverage",10,IF(AH240="Yes, these are peak margins",-5,IF(AH240="No",5,0)))</f>
        <v/>
      </c>
      <c r="AJ240" s="30" t="inlineStr">
        <is>
          <t>Stable</t>
        </is>
      </c>
      <c r="AK240" s="30">
        <f>IF(AJ240="Stable",10,0)</f>
        <v/>
      </c>
      <c r="AL240" s="30" t="inlineStr">
        <is>
          <t>Yes</t>
        </is>
      </c>
      <c r="AM240" s="30">
        <f>IF(AL240="Yes",10,0)</f>
        <v/>
      </c>
      <c r="AN240" s="30" t="inlineStr">
        <is>
          <t>B2B</t>
        </is>
      </c>
      <c r="AO240" s="30">
        <f>IF(AN240="B2C",10,IF(AN240="B2B",5,0))</f>
        <v/>
      </c>
      <c r="AP240" s="30" t="inlineStr">
        <is>
          <t>Yes</t>
        </is>
      </c>
      <c r="AQ240" s="30">
        <f>IF(AP240="Yes",10,0)</f>
        <v/>
      </c>
      <c r="AR240" s="30" t="inlineStr">
        <is>
          <t>Higher One Time, Lower Annuity</t>
        </is>
      </c>
      <c r="AS240" s="30">
        <f>IF(AR240="Fully Annuity",10,IF(AR240="Higher Annuity, Lower One Time",5,IF(AR240="Higher One Time, Lower Annuity",3,0)))</f>
        <v/>
      </c>
      <c r="AT240" s="30" t="inlineStr">
        <is>
          <t>Good</t>
        </is>
      </c>
      <c r="AU240" s="30">
        <f>IF(AT240="Good",10,0)</f>
        <v/>
      </c>
      <c r="AV240" s="30" t="inlineStr">
        <is>
          <t>Yes for more than 2 years</t>
        </is>
      </c>
      <c r="AW240" s="30">
        <f>IF(AV240="Yes for more than 2 years",10,IF(AV240="Yes only for next 1 to 2 years",5,0))</f>
        <v/>
      </c>
      <c r="AX240" s="30" t="inlineStr">
        <is>
          <t>20 to 40</t>
        </is>
      </c>
      <c r="AY240" s="30">
        <f>IF(AX240="Above 40",20,IF(AX240="20 to 40",10,IF(AX240="0 to 20",-5,0)))</f>
        <v/>
      </c>
      <c r="AZ240" s="30" t="inlineStr">
        <is>
          <t>Above 75</t>
        </is>
      </c>
      <c r="BA240" s="30">
        <f>IF(AZ240="Between 50 to 75",10,IF(AZ240="Above 75",0,0))</f>
        <v/>
      </c>
      <c r="BB240" s="30" t="inlineStr">
        <is>
          <t>Stage 2</t>
        </is>
      </c>
      <c r="BC240" s="30">
        <f>IF(BB240="Stage 2",20,IF(BB240="Stage 1",0,IF(BB240="Stage 3",5,IF(BB240="Stage 4",-5,0))))</f>
        <v/>
      </c>
      <c r="BD240" s="30" t="inlineStr">
        <is>
          <t>Positive Trend</t>
        </is>
      </c>
      <c r="BE240" s="30">
        <f>IF(BD240="Positive Trend",20,IF(BD240="Negative Trend",-10,0))</f>
        <v/>
      </c>
      <c r="BF240" s="30" t="inlineStr">
        <is>
          <t>Uptrend</t>
        </is>
      </c>
      <c r="BG240" s="30">
        <f>IF(BF240="Uptrend",10,IF(BF240="Sideways",5,0))</f>
        <v/>
      </c>
      <c r="BH240" s="30" t="inlineStr">
        <is>
          <t>Uptrend</t>
        </is>
      </c>
      <c r="BI240" s="30">
        <f>IF(BH240="Uptrend",10,IF(BH240="Sideways",5,0))</f>
        <v/>
      </c>
      <c r="BJ240" s="30" t="inlineStr">
        <is>
          <t>Close to 52 week high or retracement</t>
        </is>
      </c>
      <c r="BK240" s="30">
        <f>IF(BJ240="Overhead supply in last 2 years in last 2 years",-5,IF(BJ240="Close to 52 week high or retracement",5,IF(BJ240="Blue sky scenario",10,IF(BJ240="Long term Downtrend",-10,0))))</f>
        <v/>
      </c>
      <c r="BL240" s="30" t="inlineStr">
        <is>
          <t>Yes</t>
        </is>
      </c>
      <c r="BM240" s="30">
        <f>IF(BL240="Yes",10,0)</f>
        <v/>
      </c>
      <c r="BN240" s="30" t="inlineStr">
        <is>
          <t>Between 12 to 20%</t>
        </is>
      </c>
      <c r="BO240" s="30">
        <f>IF(BN240="More than 20%",10,IF(BN240="Between 12 to 20%",5,IF(BN240="Less than 12%",0,0)))</f>
        <v/>
      </c>
      <c r="BP240" s="30" t="inlineStr">
        <is>
          <t>No</t>
        </is>
      </c>
      <c r="BQ240" s="30">
        <f>IF(BP240="No",10,0)</f>
        <v/>
      </c>
      <c r="BR240" s="30" t="inlineStr">
        <is>
          <t>Yes</t>
        </is>
      </c>
      <c r="BS240" s="30">
        <f>IF(BR240="NO",5,0)</f>
        <v/>
      </c>
      <c r="BT240" s="30" t="inlineStr">
        <is>
          <t>Above 2</t>
        </is>
      </c>
      <c r="BU240" s="30">
        <f>IF(BT240="Above 2",0,IF(BT240="Between 1.5 to 2",5,IF(BT240="Less than 1.5",10,0)))</f>
        <v/>
      </c>
      <c r="BV240" s="30" t="inlineStr">
        <is>
          <t>Above 70%</t>
        </is>
      </c>
      <c r="BW240" s="30">
        <f>IF(BV240="Above 70%",10,IF(BV240="Between 50% to 70%",5,IF(BV240="Less than 50%",0,IF(BV240="Negative",-10,IF(BV240="Less than 50% and Borrowings are increasing",-5,0)))))</f>
        <v/>
      </c>
      <c r="BX240" s="30" t="inlineStr">
        <is>
          <t>Less than 0.7</t>
        </is>
      </c>
      <c r="BY240" s="30">
        <f>IF(BX240="More than 1.2",-10,IF(BX240="Between 0.7 to 1.2",0,IF(BX240="Less than 0.7",10,0)))</f>
        <v/>
      </c>
      <c r="BZ240" s="30" t="inlineStr">
        <is>
          <t>No</t>
        </is>
      </c>
      <c r="CA240" s="30">
        <f>IF(BZ240="Yes",-10,0)</f>
        <v/>
      </c>
      <c r="CB240" s="30" t="inlineStr">
        <is>
          <t>Less than 15%</t>
        </is>
      </c>
      <c r="CC240" s="30">
        <f>IF(CB240="More than 15%",-10,IF(CB240="Less than 15%",10,0))</f>
        <v/>
      </c>
      <c r="CD240" s="30" t="inlineStr">
        <is>
          <t>No</t>
        </is>
      </c>
      <c r="CE240" s="30">
        <f>IF(CD240="Yes, more than 10%",-10,IF(CD240="No",10,0))</f>
        <v/>
      </c>
    </row>
    <row r="241">
      <c r="A241" s="30">
        <f>IF(B241=0,"",RANK(B241,$B$2:$B$331,0))</f>
        <v/>
      </c>
      <c r="B241" s="31">
        <f>SUM(N241,Y241,AA241,AC241,AE241,AG241,AI241,AK241,AM241,AO241,AQ241,AS241,AU241,AW241,AY241,BA241,BC241,BE241,BG241,BI241,BK241,BM241,BO241,BQ241,BS241,BU241,BW241,BY241,CA241,CC241,CE241)</f>
        <v/>
      </c>
      <c r="C241" s="30" t="inlineStr">
        <is>
          <t>YUKEN</t>
        </is>
      </c>
      <c r="D241" s="30" t="inlineStr">
        <is>
          <t>Yuken India Ltd</t>
        </is>
      </c>
      <c r="E241" s="30" t="inlineStr">
        <is>
          <t>industrials</t>
        </is>
      </c>
      <c r="F241" s="30" t="inlineStr">
        <is>
          <t>engineering</t>
        </is>
      </c>
      <c r="G241" s="30" t="inlineStr">
        <is>
          <t>smallcap</t>
        </is>
      </c>
      <c r="H241" s="31" t="n">
        <v>1450.36</v>
      </c>
      <c r="I241" s="31" t="n">
        <v>1085.7</v>
      </c>
      <c r="J241" s="31" t="n">
        <v>1.69</v>
      </c>
      <c r="K241" s="31" t="n">
        <v>120552</v>
      </c>
      <c r="L241" s="30" t="n">
        <v>53</v>
      </c>
      <c r="M241" s="30" t="inlineStr">
        <is>
          <t>Outperforming</t>
        </is>
      </c>
      <c r="N241" s="31">
        <f>IF(M241="Underperforming",-5,IF(L241&gt;=95,15,IF(L241&gt;=90,10,IF(L241&gt;=80,5,0))))</f>
        <v/>
      </c>
      <c r="O241" s="31" t="n">
        <v>75.59999999999999</v>
      </c>
      <c r="P241" s="31" t="n">
        <v>25.17</v>
      </c>
      <c r="Q241" s="31" t="n">
        <v>851.6799999999999</v>
      </c>
      <c r="R241" s="30" t="inlineStr">
        <is>
          <t>Volume Spike &amp; Near 52W High Breakout</t>
        </is>
      </c>
      <c r="S241" s="30" t="inlineStr">
        <is>
          <t>Nifty 50</t>
        </is>
      </c>
      <c r="T241" s="31" t="n">
        <v>-6.52</v>
      </c>
      <c r="U241" s="31" t="n">
        <v>9.359999999999999</v>
      </c>
      <c r="V241" s="31" t="n">
        <v>16.98</v>
      </c>
      <c r="W241" s="31" t="n">
        <v>16.64</v>
      </c>
      <c r="X241" s="30" t="inlineStr">
        <is>
          <t>Cyclical in an Upturn</t>
        </is>
      </c>
      <c r="Y241" s="30">
        <f>IF(X241="Growing Industry",10,IF(X241="Cyclical in an Upturn",5,0))</f>
        <v/>
      </c>
      <c r="Z241" s="30" t="inlineStr">
        <is>
          <t>Too Many Players with High ROCE</t>
        </is>
      </c>
      <c r="AA241" s="30">
        <f>IF(Z241="Monopoly",10,IF(Z241="Oligopoly",5,IF(Z241="Duopoly that cooperate",10,IF(Z241="Duopoly that compete",5,IF(Z241="Too many players with High ROCE",5,0)))))</f>
        <v/>
      </c>
      <c r="AB241" s="30" t="inlineStr">
        <is>
          <t>No</t>
        </is>
      </c>
      <c r="AC241" s="30">
        <f>IF(AB241="No",5,0)</f>
        <v/>
      </c>
      <c r="AD241" s="30" t="inlineStr">
        <is>
          <t>Tailwind</t>
        </is>
      </c>
      <c r="AE241" s="30">
        <f>IF(AD241="Tailwind",10,0)</f>
        <v/>
      </c>
      <c r="AF241" s="30" t="inlineStr">
        <is>
          <t>Structural (10 Years Consistency)</t>
        </is>
      </c>
      <c r="AG241" s="30">
        <f>IF(AF241="Structural (10 Years Consistency)",10,IF(AF241="Shallow Cyclical (2 to 3 years growth)",5,0))</f>
        <v/>
      </c>
      <c r="AH241" s="30" t="inlineStr">
        <is>
          <t>No</t>
        </is>
      </c>
      <c r="AI241" s="30">
        <f>IF(AH241="Yes due to Product Mix change or Operating Leverage",10,IF(AH241="Yes, these are peak margins",-5,IF(AH241="No",5,0)))</f>
        <v/>
      </c>
      <c r="AJ241" s="30" t="inlineStr">
        <is>
          <t>Stable</t>
        </is>
      </c>
      <c r="AK241" s="30">
        <f>IF(AJ241="Stable",10,0)</f>
        <v/>
      </c>
      <c r="AL241" s="30" t="inlineStr">
        <is>
          <t>Yes</t>
        </is>
      </c>
      <c r="AM241" s="30">
        <f>IF(AL241="Yes",10,0)</f>
        <v/>
      </c>
      <c r="AN241" s="30" t="inlineStr">
        <is>
          <t>B2B</t>
        </is>
      </c>
      <c r="AO241" s="30">
        <f>IF(AN241="B2C",10,IF(AN241="B2B",5,0))</f>
        <v/>
      </c>
      <c r="AP241" s="30" t="inlineStr">
        <is>
          <t>Yes</t>
        </is>
      </c>
      <c r="AQ241" s="30">
        <f>IF(AP241="Yes",10,0)</f>
        <v/>
      </c>
      <c r="AR241" s="30" t="inlineStr">
        <is>
          <t>Higher One Time, Lower Annuity</t>
        </is>
      </c>
      <c r="AS241" s="30">
        <f>IF(AR241="Fully Annuity",10,IF(AR241="Higher Annuity, Lower One Time",5,IF(AR241="Higher One Time, Lower Annuity",3,0)))</f>
        <v/>
      </c>
      <c r="AT241" s="30" t="inlineStr">
        <is>
          <t>Good</t>
        </is>
      </c>
      <c r="AU241" s="30">
        <f>IF(AT241="Good",10,0)</f>
        <v/>
      </c>
      <c r="AV241" s="30" t="inlineStr">
        <is>
          <t>Yes for more than 2 years</t>
        </is>
      </c>
      <c r="AW241" s="30">
        <f>IF(AV241="Yes for more than 2 years",10,IF(AV241="Yes only for next 1 to 2 years",5,0))</f>
        <v/>
      </c>
      <c r="AX241" s="30" t="inlineStr">
        <is>
          <t>20 to 40</t>
        </is>
      </c>
      <c r="AY241" s="30">
        <f>IF(AX241="Above 40",20,IF(AX241="20 to 40",10,IF(AX241="0 to 20",-5,0)))</f>
        <v/>
      </c>
      <c r="AZ241" s="30" t="inlineStr">
        <is>
          <t>Above 75</t>
        </is>
      </c>
      <c r="BA241" s="30">
        <f>IF(AZ241="Between 50 to 75",10,IF(AZ241="Above 75",0,0))</f>
        <v/>
      </c>
      <c r="BB241" s="30" t="inlineStr">
        <is>
          <t>Stage 2</t>
        </is>
      </c>
      <c r="BC241" s="30">
        <f>IF(BB241="Stage 2",20,IF(BB241="Stage 1",0,IF(BB241="Stage 3",5,IF(BB241="Stage 4",-5,0))))</f>
        <v/>
      </c>
      <c r="BD241" s="30" t="inlineStr">
        <is>
          <t>Positive Trend</t>
        </is>
      </c>
      <c r="BE241" s="30">
        <f>IF(BD241="Positive Trend",20,IF(BD241="Negative Trend",-10,0))</f>
        <v/>
      </c>
      <c r="BF241" s="30" t="inlineStr">
        <is>
          <t>Uptrend</t>
        </is>
      </c>
      <c r="BG241" s="30">
        <f>IF(BF241="Uptrend",10,IF(BF241="Sideways",5,0))</f>
        <v/>
      </c>
      <c r="BH241" s="30" t="inlineStr">
        <is>
          <t>Uptrend</t>
        </is>
      </c>
      <c r="BI241" s="30">
        <f>IF(BH241="Uptrend",10,IF(BH241="Sideways",5,0))</f>
        <v/>
      </c>
      <c r="BJ241" s="30" t="inlineStr">
        <is>
          <t>Close to 52 week high or retracement</t>
        </is>
      </c>
      <c r="BK241" s="30">
        <f>IF(BJ241="Overhead supply in last 2 years in last 2 years",-5,IF(BJ241="Close to 52 week high or retracement",5,IF(BJ241="Blue sky scenario",10,IF(BJ241="Long term Downtrend",-10,0))))</f>
        <v/>
      </c>
      <c r="BL241" s="30" t="inlineStr">
        <is>
          <t>Yes</t>
        </is>
      </c>
      <c r="BM241" s="30">
        <f>IF(BL241="Yes",10,0)</f>
        <v/>
      </c>
      <c r="BN241" s="30" t="inlineStr">
        <is>
          <t>More than 20%</t>
        </is>
      </c>
      <c r="BO241" s="30">
        <f>IF(BN241="More than 20%",10,IF(BN241="Between 12 to 20%",5,IF(BN241="Less than 12%",0,0)))</f>
        <v/>
      </c>
      <c r="BP241" s="30" t="inlineStr">
        <is>
          <t>No</t>
        </is>
      </c>
      <c r="BQ241" s="30">
        <f>IF(BP241="No",10,0)</f>
        <v/>
      </c>
      <c r="BR241" s="30" t="inlineStr">
        <is>
          <t>Yes</t>
        </is>
      </c>
      <c r="BS241" s="30">
        <f>IF(BR241="NO",5,0)</f>
        <v/>
      </c>
      <c r="BT241" s="30" t="inlineStr">
        <is>
          <t>Above 2</t>
        </is>
      </c>
      <c r="BU241" s="30">
        <f>IF(BT241="Above 2",0,IF(BT241="Between 1.5 to 2",5,IF(BT241="Less than 1.5",10,0)))</f>
        <v/>
      </c>
      <c r="BV241" s="30" t="inlineStr">
        <is>
          <t>Above 70%</t>
        </is>
      </c>
      <c r="BW241" s="30">
        <f>IF(BV241="Above 70%",10,IF(BV241="Between 50% to 70%",5,IF(BV241="Less than 50%",0,IF(BV241="Negative",-10,IF(BV241="Less than 50% and Borrowings are increasing",-5,0)))))</f>
        <v/>
      </c>
      <c r="BX241" s="30" t="inlineStr">
        <is>
          <t>Less than 0.7</t>
        </is>
      </c>
      <c r="BY241" s="30">
        <f>IF(BX241="More than 1.2",-10,IF(BX241="Between 0.7 to 1.2",0,IF(BX241="Less than 0.7",10,0)))</f>
        <v/>
      </c>
      <c r="BZ241" s="30" t="inlineStr">
        <is>
          <t>No</t>
        </is>
      </c>
      <c r="CA241" s="30">
        <f>IF(BZ241="Yes",-10,0)</f>
        <v/>
      </c>
      <c r="CB241" s="30" t="inlineStr">
        <is>
          <t>Less than 15%</t>
        </is>
      </c>
      <c r="CC241" s="30">
        <f>IF(CB241="More than 15%",-10,IF(CB241="Less than 15%",10,0))</f>
        <v/>
      </c>
      <c r="CD241" s="30" t="inlineStr">
        <is>
          <t>No</t>
        </is>
      </c>
      <c r="CE241" s="30">
        <f>IF(CD241="Yes, more than 10%",-10,IF(CD241="No",10,0))</f>
        <v/>
      </c>
    </row>
    <row r="242">
      <c r="A242" s="30">
        <f>IF(B242=0,"",RANK(B242,$B$2:$B$331,0))</f>
        <v/>
      </c>
      <c r="B242" s="31">
        <f>SUM(N242,Y242,AA242,AC242,AE242,AG242,AI242,AK242,AM242,AO242,AQ242,AS242,AU242,AW242,AY242,BA242,BC242,BE242,BG242,BI242,BK242,BM242,BO242,BQ242,BS242,BU242,BW242,BY242,CA242,CC242,CE242)</f>
        <v/>
      </c>
      <c r="C242" s="30" t="inlineStr">
        <is>
          <t>ROSSTECH</t>
        </is>
      </c>
      <c r="D242" s="30" t="inlineStr">
        <is>
          <t>Rossell Techsys Ltd</t>
        </is>
      </c>
      <c r="E242" s="30" t="inlineStr">
        <is>
          <t>aerospace &amp; defence</t>
        </is>
      </c>
      <c r="F242" s="30" t="inlineStr">
        <is>
          <t>engineering</t>
        </is>
      </c>
      <c r="G242" s="30" t="inlineStr">
        <is>
          <t>smallcap</t>
        </is>
      </c>
      <c r="H242" s="31" t="n">
        <v>4499.83</v>
      </c>
      <c r="I242" s="31" t="n">
        <v>1206.6</v>
      </c>
      <c r="J242" s="31" t="n">
        <v>1.08</v>
      </c>
      <c r="K242" s="31" t="n">
        <v>82882</v>
      </c>
      <c r="L242" s="30" t="n">
        <v>51</v>
      </c>
      <c r="M242" s="30" t="inlineStr">
        <is>
          <t>Outperforming</t>
        </is>
      </c>
      <c r="N242" s="31">
        <f>IF(M242="Underperforming",-5,IF(L242&gt;=95,15,IF(L242&gt;=90,10,IF(L242&gt;=80,5,0))))</f>
        <v/>
      </c>
      <c r="O242" s="31" t="n">
        <v>69.72</v>
      </c>
      <c r="P242" s="31" t="n">
        <v>26.76</v>
      </c>
      <c r="Q242" s="31" t="n">
        <v>879.39</v>
      </c>
      <c r="R242" s="30" t="inlineStr">
        <is>
          <t>Near 52W High Breakout</t>
        </is>
      </c>
      <c r="S242" s="30" t="inlineStr">
        <is>
          <t>Nifty 50</t>
        </is>
      </c>
      <c r="T242" s="31" t="n">
        <v>-6.52</v>
      </c>
      <c r="U242" s="31" t="n">
        <v>61.81</v>
      </c>
      <c r="V242" s="31" t="n">
        <v>73.09</v>
      </c>
      <c r="W242" s="31" t="n">
        <v>15.96</v>
      </c>
      <c r="X242" s="30" t="inlineStr">
        <is>
          <t>Growing Industry</t>
        </is>
      </c>
      <c r="Y242" s="30">
        <f>IF(X242="Growing Industry",10,IF(X242="Cyclical in an Upturn",5,0))</f>
        <v/>
      </c>
      <c r="Z242" s="30" t="inlineStr">
        <is>
          <t>Too Many Players with High ROCE</t>
        </is>
      </c>
      <c r="AA242" s="30">
        <f>IF(Z242="Monopoly",10,IF(Z242="Oligopoly",5,IF(Z242="Duopoly that cooperate",10,IF(Z242="Duopoly that compete",5,IF(Z242="Too many players with High ROCE",5,0)))))</f>
        <v/>
      </c>
      <c r="AB242" s="30" t="inlineStr">
        <is>
          <t>No</t>
        </is>
      </c>
      <c r="AC242" s="30">
        <f>IF(AB242="No",5,0)</f>
        <v/>
      </c>
      <c r="AD242" s="30" t="inlineStr">
        <is>
          <t>Tailwind</t>
        </is>
      </c>
      <c r="AE242" s="30">
        <f>IF(AD242="Tailwind",10,0)</f>
        <v/>
      </c>
      <c r="AF242" s="30" t="inlineStr">
        <is>
          <t>Structural (10 Years Consistency)</t>
        </is>
      </c>
      <c r="AG242" s="30">
        <f>IF(AF242="Structural (10 Years Consistency)",10,IF(AF242="Shallow Cyclical (2 to 3 years growth)",5,0))</f>
        <v/>
      </c>
      <c r="AH242" s="30" t="inlineStr">
        <is>
          <t>No</t>
        </is>
      </c>
      <c r="AI242" s="30">
        <f>IF(AH242="Yes due to Product Mix change or Operating Leverage",10,IF(AH242="Yes, these are peak margins",-5,IF(AH242="No",5,0)))</f>
        <v/>
      </c>
      <c r="AJ242" s="30" t="inlineStr">
        <is>
          <t>Stable</t>
        </is>
      </c>
      <c r="AK242" s="30">
        <f>IF(AJ242="Stable",10,0)</f>
        <v/>
      </c>
      <c r="AL242" s="30" t="inlineStr">
        <is>
          <t>Yes</t>
        </is>
      </c>
      <c r="AM242" s="30">
        <f>IF(AL242="Yes",10,0)</f>
        <v/>
      </c>
      <c r="AN242" s="30" t="inlineStr">
        <is>
          <t>B2B</t>
        </is>
      </c>
      <c r="AO242" s="30">
        <f>IF(AN242="B2C",10,IF(AN242="B2B",5,0))</f>
        <v/>
      </c>
      <c r="AP242" s="30" t="inlineStr">
        <is>
          <t>Yes</t>
        </is>
      </c>
      <c r="AQ242" s="30">
        <f>IF(AP242="Yes",10,0)</f>
        <v/>
      </c>
      <c r="AR242" s="30" t="inlineStr">
        <is>
          <t>Higher One Time, Lower Annuity</t>
        </is>
      </c>
      <c r="AS242" s="30">
        <f>IF(AR242="Fully Annuity",10,IF(AR242="Higher Annuity, Lower One Time",5,IF(AR242="Higher One Time, Lower Annuity",3,0)))</f>
        <v/>
      </c>
      <c r="AT242" s="30" t="inlineStr">
        <is>
          <t>Good</t>
        </is>
      </c>
      <c r="AU242" s="30">
        <f>IF(AT242="Good",10,0)</f>
        <v/>
      </c>
      <c r="AV242" s="30" t="inlineStr">
        <is>
          <t>Yes for more than 2 years</t>
        </is>
      </c>
      <c r="AW242" s="30">
        <f>IF(AV242="Yes for more than 2 years",10,IF(AV242="Yes only for next 1 to 2 years",5,0))</f>
        <v/>
      </c>
      <c r="AX242" s="30" t="inlineStr">
        <is>
          <t>20 to 40</t>
        </is>
      </c>
      <c r="AY242" s="30">
        <f>IF(AX242="Above 40",20,IF(AX242="20 to 40",10,IF(AX242="0 to 20",-5,0)))</f>
        <v/>
      </c>
      <c r="AZ242" s="30" t="inlineStr">
        <is>
          <t>Between 50 to 75</t>
        </is>
      </c>
      <c r="BA242" s="30">
        <f>IF(AZ242="Between 50 to 75",10,IF(AZ242="Above 75",0,0))</f>
        <v/>
      </c>
      <c r="BB242" s="30" t="inlineStr">
        <is>
          <t>Stage 2</t>
        </is>
      </c>
      <c r="BC242" s="30">
        <f>IF(BB242="Stage 2",20,IF(BB242="Stage 1",0,IF(BB242="Stage 3",5,IF(BB242="Stage 4",-5,0))))</f>
        <v/>
      </c>
      <c r="BD242" s="30" t="inlineStr">
        <is>
          <t>Positive Trend</t>
        </is>
      </c>
      <c r="BE242" s="30">
        <f>IF(BD242="Positive Trend",20,IF(BD242="Negative Trend",-10,0))</f>
        <v/>
      </c>
      <c r="BF242" s="30" t="inlineStr">
        <is>
          <t>Uptrend</t>
        </is>
      </c>
      <c r="BG242" s="30">
        <f>IF(BF242="Uptrend",10,IF(BF242="Sideways",5,0))</f>
        <v/>
      </c>
      <c r="BH242" s="30" t="inlineStr">
        <is>
          <t>Uptrend</t>
        </is>
      </c>
      <c r="BI242" s="30">
        <f>IF(BH242="Uptrend",10,IF(BH242="Sideways",5,0))</f>
        <v/>
      </c>
      <c r="BJ242" s="30" t="inlineStr">
        <is>
          <t>Blue sky scenario</t>
        </is>
      </c>
      <c r="BK242" s="30">
        <f>IF(BJ242="Overhead supply in last 2 years in last 2 years",-5,IF(BJ242="Close to 52 week high or retracement",5,IF(BJ242="Blue sky scenario",10,IF(BJ242="Long term Downtrend",-10,0))))</f>
        <v/>
      </c>
      <c r="BL242" s="30" t="inlineStr">
        <is>
          <t>Yes</t>
        </is>
      </c>
      <c r="BM242" s="30">
        <f>IF(BL242="Yes",10,0)</f>
        <v/>
      </c>
      <c r="BN242" s="30" t="inlineStr">
        <is>
          <t>More than 20%</t>
        </is>
      </c>
      <c r="BO242" s="30">
        <f>IF(BN242="More than 20%",10,IF(BN242="Between 12 to 20%",5,IF(BN242="Less than 12%",0,0)))</f>
        <v/>
      </c>
      <c r="BP242" s="30" t="inlineStr">
        <is>
          <t>No</t>
        </is>
      </c>
      <c r="BQ242" s="30">
        <f>IF(BP242="No",10,0)</f>
        <v/>
      </c>
      <c r="BR242" s="30" t="inlineStr">
        <is>
          <t>Yes</t>
        </is>
      </c>
      <c r="BS242" s="30">
        <f>IF(BR242="NO",5,0)</f>
        <v/>
      </c>
      <c r="BT242" s="30" t="inlineStr">
        <is>
          <t>Above 2</t>
        </is>
      </c>
      <c r="BU242" s="30">
        <f>IF(BT242="Above 2",0,IF(BT242="Between 1.5 to 2",5,IF(BT242="Less than 1.5",10,0)))</f>
        <v/>
      </c>
      <c r="BV242" s="30" t="inlineStr">
        <is>
          <t>Above 70%</t>
        </is>
      </c>
      <c r="BW242" s="30">
        <f>IF(BV242="Above 70%",10,IF(BV242="Between 50% to 70%",5,IF(BV242="Less than 50%",0,IF(BV242="Negative",-10,IF(BV242="Less than 50% and Borrowings are increasing",-5,0)))))</f>
        <v/>
      </c>
      <c r="BX242" s="30" t="inlineStr">
        <is>
          <t>More than 1.2</t>
        </is>
      </c>
      <c r="BY242" s="30">
        <f>IF(BX242="More than 1.2",-10,IF(BX242="Between 0.7 to 1.2",0,IF(BX242="Less than 0.7",10,0)))</f>
        <v/>
      </c>
      <c r="BZ242" s="30" t="inlineStr">
        <is>
          <t>No</t>
        </is>
      </c>
      <c r="CA242" s="30">
        <f>IF(BZ242="Yes",-10,0)</f>
        <v/>
      </c>
      <c r="CB242" s="30" t="inlineStr">
        <is>
          <t>Less than 15%</t>
        </is>
      </c>
      <c r="CC242" s="30">
        <f>IF(CB242="More than 15%",-10,IF(CB242="Less than 15%",10,0))</f>
        <v/>
      </c>
      <c r="CD242" s="30" t="inlineStr">
        <is>
          <t>No</t>
        </is>
      </c>
      <c r="CE242" s="30">
        <f>IF(CD242="Yes, more than 10%",-10,IF(CD242="No",10,0))</f>
        <v/>
      </c>
    </row>
    <row r="243">
      <c r="A243" s="30">
        <f>IF(B243=0,"",RANK(B243,$B$2:$B$331,0))</f>
        <v/>
      </c>
      <c r="B243" s="31">
        <f>SUM(N243,Y243,AA243,AC243,AE243,AG243,AI243,AK243,AM243,AO243,AQ243,AS243,AU243,AW243,AY243,BA243,BC243,BE243,BG243,BI243,BK243,BM243,BO243,BQ243,BS243,BU243,BW243,BY243,CA243,CC243,CE243)</f>
        <v/>
      </c>
      <c r="C243" s="30" t="inlineStr">
        <is>
          <t>SVLL</t>
        </is>
      </c>
      <c r="D243" s="30" t="inlineStr">
        <is>
          <t>Shree Vasu Logistics Ltd</t>
        </is>
      </c>
      <c r="E243" s="30" t="inlineStr">
        <is>
          <t>transportation</t>
        </is>
      </c>
      <c r="F243" s="30" t="inlineStr">
        <is>
          <t>miscellaneous</t>
        </is>
      </c>
      <c r="G243" s="30" t="inlineStr">
        <is>
          <t>smallcap</t>
        </is>
      </c>
      <c r="H243" s="31" t="n">
        <v>908.58</v>
      </c>
      <c r="I243" s="31" t="n">
        <v>793.1</v>
      </c>
      <c r="J243" s="31" t="n">
        <v>0.33</v>
      </c>
      <c r="K243" s="31" t="n">
        <v>3154</v>
      </c>
      <c r="L243" s="30" t="n">
        <v>17</v>
      </c>
      <c r="M243" s="30" t="inlineStr">
        <is>
          <t>Outperforming</t>
        </is>
      </c>
      <c r="N243" s="31">
        <f>IF(M243="Underperforming",-5,IF(L243&gt;=95,15,IF(L243&gt;=90,10,IF(L243&gt;=80,5,0))))</f>
        <v/>
      </c>
      <c r="O243" s="31" t="n">
        <v>62.38</v>
      </c>
      <c r="P243" s="31" t="n">
        <v>38.91</v>
      </c>
      <c r="Q243" s="31" t="n">
        <v>602.16</v>
      </c>
      <c r="R243" s="30" t="inlineStr">
        <is>
          <t>Near 52W High Breakout</t>
        </is>
      </c>
      <c r="S243" s="30" t="inlineStr">
        <is>
          <t>Nifty 50</t>
        </is>
      </c>
      <c r="T243" s="31" t="n">
        <v>-6.52</v>
      </c>
      <c r="U243" s="31" t="n">
        <v>4.22</v>
      </c>
      <c r="V243" s="31" t="n">
        <v>11.48</v>
      </c>
      <c r="W243" s="31" t="n">
        <v>5.52</v>
      </c>
      <c r="X243" s="30" t="inlineStr">
        <is>
          <t>Growing Industry</t>
        </is>
      </c>
      <c r="Y243" s="30">
        <f>IF(X243="Growing Industry",10,IF(X243="Cyclical in an Upturn",5,0))</f>
        <v/>
      </c>
      <c r="Z243" s="30" t="inlineStr">
        <is>
          <t>Too Many Players with High ROCE</t>
        </is>
      </c>
      <c r="AA243" s="30">
        <f>IF(Z243="Monopoly",10,IF(Z243="Oligopoly",5,IF(Z243="Duopoly that cooperate",10,IF(Z243="Duopoly that compete",5,IF(Z243="Too many players with High ROCE",5,0)))))</f>
        <v/>
      </c>
      <c r="AB243" s="30" t="inlineStr">
        <is>
          <t>No</t>
        </is>
      </c>
      <c r="AC243" s="30">
        <f>IF(AB243="No",5,0)</f>
        <v/>
      </c>
      <c r="AD243" s="30" t="inlineStr">
        <is>
          <t>Tailwind</t>
        </is>
      </c>
      <c r="AE243" s="30">
        <f>IF(AD243="Tailwind",10,0)</f>
        <v/>
      </c>
      <c r="AF243" s="30" t="inlineStr">
        <is>
          <t>Structural (10 Years Consistency)</t>
        </is>
      </c>
      <c r="AG243" s="30">
        <f>IF(AF243="Structural (10 Years Consistency)",10,IF(AF243="Shallow Cyclical (2 to 3 years growth)",5,0))</f>
        <v/>
      </c>
      <c r="AH243" s="30" t="inlineStr">
        <is>
          <t>No</t>
        </is>
      </c>
      <c r="AI243" s="30">
        <f>IF(AH243="Yes due to Product Mix change or Operating Leverage",10,IF(AH243="Yes, these are peak margins",-5,IF(AH243="No",5,0)))</f>
        <v/>
      </c>
      <c r="AJ243" s="30" t="inlineStr">
        <is>
          <t>Stable</t>
        </is>
      </c>
      <c r="AK243" s="30">
        <f>IF(AJ243="Stable",10,0)</f>
        <v/>
      </c>
      <c r="AL243" s="30" t="inlineStr">
        <is>
          <t>Yes</t>
        </is>
      </c>
      <c r="AM243" s="30">
        <f>IF(AL243="Yes",10,0)</f>
        <v/>
      </c>
      <c r="AN243" s="30" t="inlineStr">
        <is>
          <t>B2B</t>
        </is>
      </c>
      <c r="AO243" s="30">
        <f>IF(AN243="B2C",10,IF(AN243="B2B",5,0))</f>
        <v/>
      </c>
      <c r="AP243" s="30" t="inlineStr">
        <is>
          <t>Yes</t>
        </is>
      </c>
      <c r="AQ243" s="30">
        <f>IF(AP243="Yes",10,0)</f>
        <v/>
      </c>
      <c r="AR243" s="30" t="inlineStr">
        <is>
          <t>Higher One Time, Lower Annuity</t>
        </is>
      </c>
      <c r="AS243" s="30">
        <f>IF(AR243="Fully Annuity",10,IF(AR243="Higher Annuity, Lower One Time",5,IF(AR243="Higher One Time, Lower Annuity",3,0)))</f>
        <v/>
      </c>
      <c r="AT243" s="30" t="inlineStr">
        <is>
          <t>Good</t>
        </is>
      </c>
      <c r="AU243" s="30">
        <f>IF(AT243="Good",10,0)</f>
        <v/>
      </c>
      <c r="AV243" s="30" t="inlineStr">
        <is>
          <t>Yes for more than 2 years</t>
        </is>
      </c>
      <c r="AW243" s="30">
        <f>IF(AV243="Yes for more than 2 years",10,IF(AV243="Yes only for next 1 to 2 years",5,0))</f>
        <v/>
      </c>
      <c r="AX243" s="30" t="inlineStr">
        <is>
          <t>20 to 40</t>
        </is>
      </c>
      <c r="AY243" s="30">
        <f>IF(AX243="Above 40",20,IF(AX243="20 to 40",10,IF(AX243="0 to 20",-5,0)))</f>
        <v/>
      </c>
      <c r="AZ243" s="30" t="inlineStr">
        <is>
          <t>Between 50 to 75</t>
        </is>
      </c>
      <c r="BA243" s="30">
        <f>IF(AZ243="Between 50 to 75",10,IF(AZ243="Above 75",0,0))</f>
        <v/>
      </c>
      <c r="BB243" s="30" t="inlineStr">
        <is>
          <t>Stage 2</t>
        </is>
      </c>
      <c r="BC243" s="30">
        <f>IF(BB243="Stage 2",20,IF(BB243="Stage 1",0,IF(BB243="Stage 3",5,IF(BB243="Stage 4",-5,0))))</f>
        <v/>
      </c>
      <c r="BD243" s="30" t="inlineStr">
        <is>
          <t>Positive Trend</t>
        </is>
      </c>
      <c r="BE243" s="30">
        <f>IF(BD243="Positive Trend",20,IF(BD243="Negative Trend",-10,0))</f>
        <v/>
      </c>
      <c r="BF243" s="30" t="inlineStr">
        <is>
          <t>Uptrend</t>
        </is>
      </c>
      <c r="BG243" s="30">
        <f>IF(BF243="Uptrend",10,IF(BF243="Sideways",5,0))</f>
        <v/>
      </c>
      <c r="BH243" s="30" t="inlineStr">
        <is>
          <t>Uptrend</t>
        </is>
      </c>
      <c r="BI243" s="30">
        <f>IF(BH243="Uptrend",10,IF(BH243="Sideways",5,0))</f>
        <v/>
      </c>
      <c r="BJ243" s="30" t="inlineStr">
        <is>
          <t>Blue sky scenario</t>
        </is>
      </c>
      <c r="BK243" s="30">
        <f>IF(BJ243="Overhead supply in last 2 years in last 2 years",-5,IF(BJ243="Close to 52 week high or retracement",5,IF(BJ243="Blue sky scenario",10,IF(BJ243="Long term Downtrend",-10,0))))</f>
        <v/>
      </c>
      <c r="BL243" s="30" t="inlineStr">
        <is>
          <t>Yes</t>
        </is>
      </c>
      <c r="BM243" s="30">
        <f>IF(BL243="Yes",10,0)</f>
        <v/>
      </c>
      <c r="BN243" s="30" t="inlineStr">
        <is>
          <t>More than 20%</t>
        </is>
      </c>
      <c r="BO243" s="30">
        <f>IF(BN243="More than 20%",10,IF(BN243="Between 12 to 20%",5,IF(BN243="Less than 12%",0,0)))</f>
        <v/>
      </c>
      <c r="BP243" s="30" t="inlineStr">
        <is>
          <t>No</t>
        </is>
      </c>
      <c r="BQ243" s="30">
        <f>IF(BP243="No",10,0)</f>
        <v/>
      </c>
      <c r="BR243" s="30" t="inlineStr">
        <is>
          <t>Yes</t>
        </is>
      </c>
      <c r="BS243" s="30">
        <f>IF(BR243="NO",5,0)</f>
        <v/>
      </c>
      <c r="BT243" s="30" t="inlineStr">
        <is>
          <t>Above 2</t>
        </is>
      </c>
      <c r="BU243" s="30">
        <f>IF(BT243="Above 2",0,IF(BT243="Between 1.5 to 2",5,IF(BT243="Less than 1.5",10,0)))</f>
        <v/>
      </c>
      <c r="BV243" s="30" t="inlineStr">
        <is>
          <t>Above 70%</t>
        </is>
      </c>
      <c r="BW243" s="30">
        <f>IF(BV243="Above 70%",10,IF(BV243="Between 50% to 70%",5,IF(BV243="Less than 50%",0,IF(BV243="Negative",-10,IF(BV243="Less than 50% and Borrowings are increasing",-5,0)))))</f>
        <v/>
      </c>
      <c r="BX243" s="30" t="inlineStr">
        <is>
          <t>More than 1.2</t>
        </is>
      </c>
      <c r="BY243" s="30">
        <f>IF(BX243="More than 1.2",-10,IF(BX243="Between 0.7 to 1.2",0,IF(BX243="Less than 0.7",10,0)))</f>
        <v/>
      </c>
      <c r="BZ243" s="30" t="inlineStr">
        <is>
          <t>No</t>
        </is>
      </c>
      <c r="CA243" s="30">
        <f>IF(BZ243="Yes",-10,0)</f>
        <v/>
      </c>
      <c r="CB243" s="30" t="inlineStr">
        <is>
          <t>Less than 15%</t>
        </is>
      </c>
      <c r="CC243" s="30">
        <f>IF(CB243="More than 15%",-10,IF(CB243="Less than 15%",10,0))</f>
        <v/>
      </c>
      <c r="CD243" s="30" t="inlineStr">
        <is>
          <t>No</t>
        </is>
      </c>
      <c r="CE243" s="30">
        <f>IF(CD243="Yes, more than 10%",-10,IF(CD243="No",10,0))</f>
        <v/>
      </c>
    </row>
    <row r="244">
      <c r="A244" s="30">
        <f>IF(B244=0,"",RANK(B244,$B$2:$B$331,0))</f>
        <v/>
      </c>
      <c r="B244" s="31">
        <f>SUM(N244,Y244,AA244,AC244,AE244,AG244,AI244,AK244,AM244,AO244,AQ244,AS244,AU244,AW244,AY244,BA244,BC244,BE244,BG244,BI244,BK244,BM244,BO244,BQ244,BS244,BU244,BW244,BY244,CA244,CC244,CE244)</f>
        <v/>
      </c>
      <c r="C244" s="32" t="inlineStr">
        <is>
          <t>JSWDULUX</t>
        </is>
      </c>
      <c r="D244" s="32" t="inlineStr">
        <is>
          <t>JSW Dulux Ltd</t>
        </is>
      </c>
      <c r="E244" s="30" t="inlineStr">
        <is>
          <t>building materials</t>
        </is>
      </c>
      <c r="F244" s="30" t="inlineStr">
        <is>
          <t>paints / varnishes</t>
        </is>
      </c>
      <c r="G244" s="30" t="inlineStr">
        <is>
          <t>midcap</t>
        </is>
      </c>
      <c r="H244" s="31" t="n">
        <v>14478.18</v>
      </c>
      <c r="I244" s="31" t="n">
        <v>3179.7</v>
      </c>
      <c r="J244" s="31" t="n">
        <v>0.02</v>
      </c>
      <c r="K244" s="31" t="n">
        <v>6736</v>
      </c>
      <c r="L244" s="30" t="n">
        <v>2</v>
      </c>
      <c r="M244" s="30" t="inlineStr">
        <is>
          <t>Underperforming</t>
        </is>
      </c>
      <c r="N244" s="31">
        <f>IF(M244="Underperforming",-5,IF(L244&gt;=95,15,IF(L244&gt;=90,10,IF(L244&gt;=80,5,0))))</f>
        <v/>
      </c>
      <c r="O244" s="31" t="n">
        <v>55.67</v>
      </c>
      <c r="P244" s="31" t="n">
        <v>14.21</v>
      </c>
      <c r="Q244" s="31" t="n">
        <v>2762.62</v>
      </c>
      <c r="R244" s="30" t="inlineStr">
        <is>
          <t>Earnings / Momentum Support</t>
        </is>
      </c>
      <c r="S244" s="30" t="inlineStr">
        <is>
          <t>Nifty Infra</t>
        </is>
      </c>
      <c r="T244" s="31" t="n">
        <v>0.74</v>
      </c>
      <c r="U244" s="31" t="n">
        <v>-10.44</v>
      </c>
      <c r="V244" s="31" t="n">
        <v>-11.09</v>
      </c>
      <c r="W244" s="31" t="n">
        <v>-0.01</v>
      </c>
      <c r="X244" s="30" t="inlineStr">
        <is>
          <t>Growing Industry</t>
        </is>
      </c>
      <c r="Y244" s="30">
        <f>IF(X244="Growing Industry",10,IF(X244="Cyclical in an Upturn",5,0))</f>
        <v/>
      </c>
      <c r="Z244" s="30" t="inlineStr">
        <is>
          <t>Too Many Players with High ROCE</t>
        </is>
      </c>
      <c r="AA244" s="30">
        <f>IF(Z244="Monopoly",10,IF(Z244="Oligopoly",5,IF(Z244="Duopoly that cooperate",10,IF(Z244="Duopoly that compete",5,IF(Z244="Too many players with High ROCE",5,0)))))</f>
        <v/>
      </c>
      <c r="AB244" s="30" t="inlineStr">
        <is>
          <t>No</t>
        </is>
      </c>
      <c r="AC244" s="30">
        <f>IF(AB244="No",5,0)</f>
        <v/>
      </c>
      <c r="AD244" s="30" t="inlineStr">
        <is>
          <t>Tailwind</t>
        </is>
      </c>
      <c r="AE244" s="30">
        <f>IF(AD244="Tailwind",10,0)</f>
        <v/>
      </c>
      <c r="AF244" s="30" t="inlineStr">
        <is>
          <t>Structural (10 Years Consistency)</t>
        </is>
      </c>
      <c r="AG244" s="30">
        <f>IF(AF244="Structural (10 Years Consistency)",10,IF(AF244="Shallow Cyclical (2 to 3 years growth)",5,0))</f>
        <v/>
      </c>
      <c r="AH244" s="30" t="inlineStr">
        <is>
          <t>No</t>
        </is>
      </c>
      <c r="AI244" s="30">
        <f>IF(AH244="Yes due to Product Mix change or Operating Leverage",10,IF(AH244="Yes, these are peak margins",-5,IF(AH244="No",5,0)))</f>
        <v/>
      </c>
      <c r="AJ244" s="30" t="inlineStr">
        <is>
          <t>Stable</t>
        </is>
      </c>
      <c r="AK244" s="30">
        <f>IF(AJ244="Stable",10,0)</f>
        <v/>
      </c>
      <c r="AL244" s="30" t="inlineStr">
        <is>
          <t>Yes</t>
        </is>
      </c>
      <c r="AM244" s="30">
        <f>IF(AL244="Yes",10,0)</f>
        <v/>
      </c>
      <c r="AN244" s="30" t="inlineStr">
        <is>
          <t>B2B</t>
        </is>
      </c>
      <c r="AO244" s="30">
        <f>IF(AN244="B2C",10,IF(AN244="B2B",5,0))</f>
        <v/>
      </c>
      <c r="AP244" s="30" t="inlineStr">
        <is>
          <t>No</t>
        </is>
      </c>
      <c r="AQ244" s="30">
        <f>IF(AP244="Yes",10,0)</f>
        <v/>
      </c>
      <c r="AR244" s="30" t="inlineStr">
        <is>
          <t>Higher One Time, Lower Annuity</t>
        </is>
      </c>
      <c r="AS244" s="30">
        <f>IF(AR244="Fully Annuity",10,IF(AR244="Higher Annuity, Lower One Time",5,IF(AR244="Higher One Time, Lower Annuity",3,0)))</f>
        <v/>
      </c>
      <c r="AT244" s="30" t="inlineStr">
        <is>
          <t>Good</t>
        </is>
      </c>
      <c r="AU244" s="30">
        <f>IF(AT244="Good",10,0)</f>
        <v/>
      </c>
      <c r="AV244" s="30" t="inlineStr">
        <is>
          <t>Yes for more than 2 years</t>
        </is>
      </c>
      <c r="AW244" s="30">
        <f>IF(AV244="Yes for more than 2 years",10,IF(AV244="Yes only for next 1 to 2 years",5,0))</f>
        <v/>
      </c>
      <c r="AX244" s="30" t="inlineStr">
        <is>
          <t>0 to 20</t>
        </is>
      </c>
      <c r="AY244" s="30">
        <f>IF(AX244="Above 40",20,IF(AX244="20 to 40",10,IF(AX244="0 to 20",-5,0)))</f>
        <v/>
      </c>
      <c r="AZ244" s="30" t="inlineStr">
        <is>
          <t>Between 50 to 75</t>
        </is>
      </c>
      <c r="BA244" s="30">
        <f>IF(AZ244="Between 50 to 75",10,IF(AZ244="Above 75",0,0))</f>
        <v/>
      </c>
      <c r="BB244" s="30" t="inlineStr">
        <is>
          <t>Stage 2</t>
        </is>
      </c>
      <c r="BC244" s="30">
        <f>IF(BB244="Stage 2",20,IF(BB244="Stage 1",0,IF(BB244="Stage 3",5,IF(BB244="Stage 4",-5,0))))</f>
        <v/>
      </c>
      <c r="BD244" s="30" t="inlineStr">
        <is>
          <t>Positive Trend</t>
        </is>
      </c>
      <c r="BE244" s="30">
        <f>IF(BD244="Positive Trend",20,IF(BD244="Negative Trend",-10,0))</f>
        <v/>
      </c>
      <c r="BF244" s="30" t="inlineStr">
        <is>
          <t>Uptrend</t>
        </is>
      </c>
      <c r="BG244" s="30">
        <f>IF(BF244="Uptrend",10,IF(BF244="Sideways",5,0))</f>
        <v/>
      </c>
      <c r="BH244" s="30" t="inlineStr">
        <is>
          <t>Uptrend</t>
        </is>
      </c>
      <c r="BI244" s="30">
        <f>IF(BH244="Uptrend",10,IF(BH244="Sideways",5,0))</f>
        <v/>
      </c>
      <c r="BJ244" s="30" t="inlineStr">
        <is>
          <t>Close to 52 week high or retracement</t>
        </is>
      </c>
      <c r="BK244" s="30">
        <f>IF(BJ244="Overhead supply in last 2 years in last 2 years",-5,IF(BJ244="Close to 52 week high or retracement",5,IF(BJ244="Blue sky scenario",10,IF(BJ244="Long term Downtrend",-10,0))))</f>
        <v/>
      </c>
      <c r="BL244" s="30" t="inlineStr">
        <is>
          <t>Yes</t>
        </is>
      </c>
      <c r="BM244" s="30">
        <f>IF(BL244="Yes",10,0)</f>
        <v/>
      </c>
      <c r="BN244" s="30" t="inlineStr">
        <is>
          <t>More than 20%</t>
        </is>
      </c>
      <c r="BO244" s="30">
        <f>IF(BN244="More than 20%",10,IF(BN244="Between 12 to 20%",5,IF(BN244="Less than 12%",0,0)))</f>
        <v/>
      </c>
      <c r="BP244" s="30" t="inlineStr">
        <is>
          <t>No</t>
        </is>
      </c>
      <c r="BQ244" s="30">
        <f>IF(BP244="No",10,0)</f>
        <v/>
      </c>
      <c r="BR244" s="30" t="inlineStr">
        <is>
          <t>No</t>
        </is>
      </c>
      <c r="BS244" s="30">
        <f>IF(BR244="NO",5,0)</f>
        <v/>
      </c>
      <c r="BT244" s="30" t="inlineStr">
        <is>
          <t>Less than 1.5</t>
        </is>
      </c>
      <c r="BU244" s="30">
        <f>IF(BT244="Above 2",0,IF(BT244="Between 1.5 to 2",5,IF(BT244="Less than 1.5",10,0)))</f>
        <v/>
      </c>
      <c r="BV244" s="30" t="inlineStr">
        <is>
          <t>Above 70%</t>
        </is>
      </c>
      <c r="BW244" s="30">
        <f>IF(BV244="Above 70%",10,IF(BV244="Between 50% to 70%",5,IF(BV244="Less than 50%",0,IF(BV244="Negative",-10,IF(BV244="Less than 50% and Borrowings are increasing",-5,0)))))</f>
        <v/>
      </c>
      <c r="BX244" s="30" t="inlineStr">
        <is>
          <t>Less than 0.7</t>
        </is>
      </c>
      <c r="BY244" s="30">
        <f>IF(BX244="More than 1.2",-10,IF(BX244="Between 0.7 to 1.2",0,IF(BX244="Less than 0.7",10,0)))</f>
        <v/>
      </c>
      <c r="BZ244" s="30" t="inlineStr">
        <is>
          <t>No</t>
        </is>
      </c>
      <c r="CA244" s="30">
        <f>IF(BZ244="Yes",-10,0)</f>
        <v/>
      </c>
      <c r="CB244" s="30" t="inlineStr">
        <is>
          <t>Less than 15%</t>
        </is>
      </c>
      <c r="CC244" s="30">
        <f>IF(CB244="More than 15%",-10,IF(CB244="Less than 15%",10,0))</f>
        <v/>
      </c>
      <c r="CD244" s="30" t="inlineStr">
        <is>
          <t>No</t>
        </is>
      </c>
      <c r="CE244" s="30">
        <f>IF(CD244="Yes, more than 10%",-10,IF(CD244="No",10,0))</f>
        <v/>
      </c>
    </row>
    <row r="245">
      <c r="A245" s="30">
        <f>IF(B245=0,"",RANK(B245,$B$2:$B$331,0))</f>
        <v/>
      </c>
      <c r="B245" s="31">
        <f>SUM(N245,Y245,AA245,AC245,AE245,AG245,AI245,AK245,AM245,AO245,AQ245,AS245,AU245,AW245,AY245,BA245,BC245,BE245,BG245,BI245,BK245,BM245,BO245,BQ245,BS245,BU245,BW245,BY245,CA245,CC245,CE245)</f>
        <v/>
      </c>
      <c r="C245" s="30" t="inlineStr">
        <is>
          <t>SEAMECLTD</t>
        </is>
      </c>
      <c r="D245" s="30" t="inlineStr">
        <is>
          <t>Seamec Limited</t>
        </is>
      </c>
      <c r="E245" s="30" t="inlineStr">
        <is>
          <t>miscellaneous</t>
        </is>
      </c>
      <c r="F245" s="30" t="inlineStr">
        <is>
          <t>miscellaneous</t>
        </is>
      </c>
      <c r="G245" s="30" t="inlineStr">
        <is>
          <t>smallcap</t>
        </is>
      </c>
      <c r="H245" s="31" t="n">
        <v>4506.84</v>
      </c>
      <c r="I245" s="31" t="n">
        <v>1772.9</v>
      </c>
      <c r="J245" s="31" t="n">
        <v>0.02</v>
      </c>
      <c r="K245" s="31" t="n">
        <v>55736</v>
      </c>
      <c r="L245" s="30" t="n">
        <v>53</v>
      </c>
      <c r="M245" s="30" t="inlineStr">
        <is>
          <t>Outperforming</t>
        </is>
      </c>
      <c r="N245" s="31">
        <f>IF(M245="Underperforming",-5,IF(L245&gt;=95,15,IF(L245&gt;=90,10,IF(L245&gt;=80,5,0))))</f>
        <v/>
      </c>
      <c r="O245" s="31" t="n">
        <v>69.59999999999999</v>
      </c>
      <c r="P245" s="31" t="n">
        <v>17.83</v>
      </c>
      <c r="Q245" s="31" t="n">
        <v>1419.16</v>
      </c>
      <c r="R245" s="30" t="inlineStr">
        <is>
          <t>Near 52W High Breakout</t>
        </is>
      </c>
      <c r="S245" s="30" t="inlineStr">
        <is>
          <t>Nifty 50</t>
        </is>
      </c>
      <c r="T245" s="31" t="n">
        <v>-6.52</v>
      </c>
      <c r="U245" s="31" t="n">
        <v>90.94</v>
      </c>
      <c r="V245" s="31" t="n">
        <v>104.25</v>
      </c>
      <c r="W245" s="31" t="n">
        <v>16.63</v>
      </c>
      <c r="X245" s="30" t="inlineStr">
        <is>
          <t>Growing Industry</t>
        </is>
      </c>
      <c r="Y245" s="30">
        <f>IF(X245="Growing Industry",10,IF(X245="Cyclical in an Upturn",5,0))</f>
        <v/>
      </c>
      <c r="Z245" s="30" t="inlineStr">
        <is>
          <t>Too Many Players with High ROCE</t>
        </is>
      </c>
      <c r="AA245" s="30">
        <f>IF(Z245="Monopoly",10,IF(Z245="Oligopoly",5,IF(Z245="Duopoly that cooperate",10,IF(Z245="Duopoly that compete",5,IF(Z245="Too many players with High ROCE",5,0)))))</f>
        <v/>
      </c>
      <c r="AB245" s="30" t="inlineStr">
        <is>
          <t>No</t>
        </is>
      </c>
      <c r="AC245" s="30">
        <f>IF(AB245="No",5,0)</f>
        <v/>
      </c>
      <c r="AD245" s="30" t="inlineStr">
        <is>
          <t>Tailwind</t>
        </is>
      </c>
      <c r="AE245" s="30">
        <f>IF(AD245="Tailwind",10,0)</f>
        <v/>
      </c>
      <c r="AF245" s="30" t="inlineStr">
        <is>
          <t>Structural (10 Years Consistency)</t>
        </is>
      </c>
      <c r="AG245" s="30">
        <f>IF(AF245="Structural (10 Years Consistency)",10,IF(AF245="Shallow Cyclical (2 to 3 years growth)",5,0))</f>
        <v/>
      </c>
      <c r="AH245" s="30" t="inlineStr">
        <is>
          <t>No</t>
        </is>
      </c>
      <c r="AI245" s="30">
        <f>IF(AH245="Yes due to Product Mix change or Operating Leverage",10,IF(AH245="Yes, these are peak margins",-5,IF(AH245="No",5,0)))</f>
        <v/>
      </c>
      <c r="AJ245" s="30" t="inlineStr">
        <is>
          <t>Stable</t>
        </is>
      </c>
      <c r="AK245" s="30">
        <f>IF(AJ245="Stable",10,0)</f>
        <v/>
      </c>
      <c r="AL245" s="30" t="inlineStr">
        <is>
          <t>Yes</t>
        </is>
      </c>
      <c r="AM245" s="30">
        <f>IF(AL245="Yes",10,0)</f>
        <v/>
      </c>
      <c r="AN245" s="30" t="inlineStr">
        <is>
          <t>B2B</t>
        </is>
      </c>
      <c r="AO245" s="30">
        <f>IF(AN245="B2C",10,IF(AN245="B2B",5,0))</f>
        <v/>
      </c>
      <c r="AP245" s="30" t="inlineStr">
        <is>
          <t>Yes</t>
        </is>
      </c>
      <c r="AQ245" s="30">
        <f>IF(AP245="Yes",10,0)</f>
        <v/>
      </c>
      <c r="AR245" s="30" t="inlineStr">
        <is>
          <t>Higher One Time, Lower Annuity</t>
        </is>
      </c>
      <c r="AS245" s="30">
        <f>IF(AR245="Fully Annuity",10,IF(AR245="Higher Annuity, Lower One Time",5,IF(AR245="Higher One Time, Lower Annuity",3,0)))</f>
        <v/>
      </c>
      <c r="AT245" s="30" t="inlineStr">
        <is>
          <t>Good</t>
        </is>
      </c>
      <c r="AU245" s="30">
        <f>IF(AT245="Good",10,0)</f>
        <v/>
      </c>
      <c r="AV245" s="30" t="inlineStr">
        <is>
          <t>Yes for more than 2 years</t>
        </is>
      </c>
      <c r="AW245" s="30">
        <f>IF(AV245="Yes for more than 2 years",10,IF(AV245="Yes only for next 1 to 2 years",5,0))</f>
        <v/>
      </c>
      <c r="AX245" s="30" t="inlineStr">
        <is>
          <t>0 to 20</t>
        </is>
      </c>
      <c r="AY245" s="30">
        <f>IF(AX245="Above 40",20,IF(AX245="20 to 40",10,IF(AX245="0 to 20",-5,0)))</f>
        <v/>
      </c>
      <c r="AZ245" s="30" t="inlineStr">
        <is>
          <t>Between 50 to 75</t>
        </is>
      </c>
      <c r="BA245" s="30">
        <f>IF(AZ245="Between 50 to 75",10,IF(AZ245="Above 75",0,0))</f>
        <v/>
      </c>
      <c r="BB245" s="30" t="inlineStr">
        <is>
          <t>Stage 2</t>
        </is>
      </c>
      <c r="BC245" s="30">
        <f>IF(BB245="Stage 2",20,IF(BB245="Stage 1",0,IF(BB245="Stage 3",5,IF(BB245="Stage 4",-5,0))))</f>
        <v/>
      </c>
      <c r="BD245" s="30" t="inlineStr">
        <is>
          <t>Positive Trend</t>
        </is>
      </c>
      <c r="BE245" s="30">
        <f>IF(BD245="Positive Trend",20,IF(BD245="Negative Trend",-10,0))</f>
        <v/>
      </c>
      <c r="BF245" s="30" t="inlineStr">
        <is>
          <t>Uptrend</t>
        </is>
      </c>
      <c r="BG245" s="30">
        <f>IF(BF245="Uptrend",10,IF(BF245="Sideways",5,0))</f>
        <v/>
      </c>
      <c r="BH245" s="30" t="inlineStr">
        <is>
          <t>Uptrend</t>
        </is>
      </c>
      <c r="BI245" s="30">
        <f>IF(BH245="Uptrend",10,IF(BH245="Sideways",5,0))</f>
        <v/>
      </c>
      <c r="BJ245" s="30" t="inlineStr">
        <is>
          <t>Blue sky scenario</t>
        </is>
      </c>
      <c r="BK245" s="30">
        <f>IF(BJ245="Overhead supply in last 2 years in last 2 years",-5,IF(BJ245="Close to 52 week high or retracement",5,IF(BJ245="Blue sky scenario",10,IF(BJ245="Long term Downtrend",-10,0))))</f>
        <v/>
      </c>
      <c r="BL245" s="30" t="inlineStr">
        <is>
          <t>Yes</t>
        </is>
      </c>
      <c r="BM245" s="30">
        <f>IF(BL245="Yes",10,0)</f>
        <v/>
      </c>
      <c r="BN245" s="30" t="inlineStr">
        <is>
          <t>Less than 12%</t>
        </is>
      </c>
      <c r="BO245" s="30">
        <f>IF(BN245="More than 20%",10,IF(BN245="Between 12 to 20%",5,IF(BN245="Less than 12%",0,0)))</f>
        <v/>
      </c>
      <c r="BP245" s="30" t="inlineStr">
        <is>
          <t>No</t>
        </is>
      </c>
      <c r="BQ245" s="30">
        <f>IF(BP245="No",10,0)</f>
        <v/>
      </c>
      <c r="BR245" s="30" t="inlineStr">
        <is>
          <t>No</t>
        </is>
      </c>
      <c r="BS245" s="30">
        <f>IF(BR245="NO",5,0)</f>
        <v/>
      </c>
      <c r="BT245" s="30" t="inlineStr">
        <is>
          <t>Above 2</t>
        </is>
      </c>
      <c r="BU245" s="30">
        <f>IF(BT245="Above 2",0,IF(BT245="Between 1.5 to 2",5,IF(BT245="Less than 1.5",10,0)))</f>
        <v/>
      </c>
      <c r="BV245" s="30" t="inlineStr">
        <is>
          <t>Above 70%</t>
        </is>
      </c>
      <c r="BW245" s="30">
        <f>IF(BV245="Above 70%",10,IF(BV245="Between 50% to 70%",5,IF(BV245="Less than 50%",0,IF(BV245="Negative",-10,IF(BV245="Less than 50% and Borrowings are increasing",-5,0)))))</f>
        <v/>
      </c>
      <c r="BX245" s="30" t="inlineStr">
        <is>
          <t>Less than 0.7</t>
        </is>
      </c>
      <c r="BY245" s="30">
        <f>IF(BX245="More than 1.2",-10,IF(BX245="Between 0.7 to 1.2",0,IF(BX245="Less than 0.7",10,0)))</f>
        <v/>
      </c>
      <c r="BZ245" s="30" t="inlineStr">
        <is>
          <t>No</t>
        </is>
      </c>
      <c r="CA245" s="30">
        <f>IF(BZ245="Yes",-10,0)</f>
        <v/>
      </c>
      <c r="CB245" s="30" t="inlineStr">
        <is>
          <t>Less than 15%</t>
        </is>
      </c>
      <c r="CC245" s="30">
        <f>IF(CB245="More than 15%",-10,IF(CB245="Less than 15%",10,0))</f>
        <v/>
      </c>
      <c r="CD245" s="30" t="inlineStr">
        <is>
          <t>No</t>
        </is>
      </c>
      <c r="CE245" s="30">
        <f>IF(CD245="Yes, more than 10%",-10,IF(CD245="No",10,0))</f>
        <v/>
      </c>
    </row>
    <row r="246">
      <c r="A246" s="30">
        <f>IF(B246=0,"",RANK(B246,$B$2:$B$331,0))</f>
        <v/>
      </c>
      <c r="B246" s="31">
        <f>SUM(N246,Y246,AA246,AC246,AE246,AG246,AI246,AK246,AM246,AO246,AQ246,AS246,AU246,AW246,AY246,BA246,BC246,BE246,BG246,BI246,BK246,BM246,BO246,BQ246,BS246,BU246,BW246,BY246,CA246,CC246,CE246)</f>
        <v/>
      </c>
      <c r="C246" s="30" t="inlineStr">
        <is>
          <t>PITTIENG</t>
        </is>
      </c>
      <c r="D246" s="30" t="inlineStr">
        <is>
          <t>Pitti Engineering Ltd</t>
        </is>
      </c>
      <c r="E246" s="30" t="inlineStr">
        <is>
          <t>industrials</t>
        </is>
      </c>
      <c r="F246" s="30" t="inlineStr">
        <is>
          <t>engineering</t>
        </is>
      </c>
      <c r="G246" s="30" t="inlineStr">
        <is>
          <t>smallcap</t>
        </is>
      </c>
      <c r="H246" s="31" t="n">
        <v>4411.49</v>
      </c>
      <c r="I246" s="31" t="n">
        <v>1171.4</v>
      </c>
      <c r="J246" s="31" t="n">
        <v>-0.02</v>
      </c>
      <c r="K246" s="31" t="n">
        <v>71222</v>
      </c>
      <c r="L246" s="30" t="n">
        <v>38</v>
      </c>
      <c r="M246" s="30" t="inlineStr">
        <is>
          <t>Outperforming</t>
        </is>
      </c>
      <c r="N246" s="31">
        <f>IF(M246="Underperforming",-5,IF(L246&gt;=95,15,IF(L246&gt;=90,10,IF(L246&gt;=80,5,0))))</f>
        <v/>
      </c>
      <c r="O246" s="31" t="n">
        <v>69.01000000000001</v>
      </c>
      <c r="P246" s="31" t="n">
        <v>17.68</v>
      </c>
      <c r="Q246" s="31" t="n">
        <v>921.8200000000001</v>
      </c>
      <c r="R246" s="30" t="inlineStr">
        <is>
          <t>Near 52W High Breakout</t>
        </is>
      </c>
      <c r="S246" s="30" t="inlineStr">
        <is>
          <t>Nifty Infra</t>
        </is>
      </c>
      <c r="T246" s="31" t="n">
        <v>0.74</v>
      </c>
      <c r="U246" s="31" t="n">
        <v>24.35</v>
      </c>
      <c r="V246" s="31" t="n">
        <v>23.44</v>
      </c>
      <c r="W246" s="31" t="n">
        <v>11.85</v>
      </c>
      <c r="X246" s="30" t="inlineStr">
        <is>
          <t>Cyclical in an Upturn</t>
        </is>
      </c>
      <c r="Y246" s="30">
        <f>IF(X246="Growing Industry",10,IF(X246="Cyclical in an Upturn",5,0))</f>
        <v/>
      </c>
      <c r="Z246" s="30" t="inlineStr">
        <is>
          <t>Too Many Players with High ROCE</t>
        </is>
      </c>
      <c r="AA246" s="30">
        <f>IF(Z246="Monopoly",10,IF(Z246="Oligopoly",5,IF(Z246="Duopoly that cooperate",10,IF(Z246="Duopoly that compete",5,IF(Z246="Too many players with High ROCE",5,0)))))</f>
        <v/>
      </c>
      <c r="AB246" s="30" t="inlineStr">
        <is>
          <t>No</t>
        </is>
      </c>
      <c r="AC246" s="30">
        <f>IF(AB246="No",5,0)</f>
        <v/>
      </c>
      <c r="AD246" s="30" t="inlineStr">
        <is>
          <t>Tailwind</t>
        </is>
      </c>
      <c r="AE246" s="30">
        <f>IF(AD246="Tailwind",10,0)</f>
        <v/>
      </c>
      <c r="AF246" s="30" t="inlineStr">
        <is>
          <t>Structural (10 Years Consistency)</t>
        </is>
      </c>
      <c r="AG246" s="30">
        <f>IF(AF246="Structural (10 Years Consistency)",10,IF(AF246="Shallow Cyclical (2 to 3 years growth)",5,0))</f>
        <v/>
      </c>
      <c r="AH246" s="30" t="inlineStr">
        <is>
          <t>No</t>
        </is>
      </c>
      <c r="AI246" s="30">
        <f>IF(AH246="Yes due to Product Mix change or Operating Leverage",10,IF(AH246="Yes, these are peak margins",-5,IF(AH246="No",5,0)))</f>
        <v/>
      </c>
      <c r="AJ246" s="30" t="inlineStr">
        <is>
          <t>Stable</t>
        </is>
      </c>
      <c r="AK246" s="30">
        <f>IF(AJ246="Stable",10,0)</f>
        <v/>
      </c>
      <c r="AL246" s="30" t="inlineStr">
        <is>
          <t>Yes</t>
        </is>
      </c>
      <c r="AM246" s="30">
        <f>IF(AL246="Yes",10,0)</f>
        <v/>
      </c>
      <c r="AN246" s="30" t="inlineStr">
        <is>
          <t>B2B</t>
        </is>
      </c>
      <c r="AO246" s="30">
        <f>IF(AN246="B2C",10,IF(AN246="B2B",5,0))</f>
        <v/>
      </c>
      <c r="AP246" s="30" t="inlineStr">
        <is>
          <t>Yes</t>
        </is>
      </c>
      <c r="AQ246" s="30">
        <f>IF(AP246="Yes",10,0)</f>
        <v/>
      </c>
      <c r="AR246" s="30" t="inlineStr">
        <is>
          <t>Higher One Time, Lower Annuity</t>
        </is>
      </c>
      <c r="AS246" s="30">
        <f>IF(AR246="Fully Annuity",10,IF(AR246="Higher Annuity, Lower One Time",5,IF(AR246="Higher One Time, Lower Annuity",3,0)))</f>
        <v/>
      </c>
      <c r="AT246" s="30" t="inlineStr">
        <is>
          <t>Good</t>
        </is>
      </c>
      <c r="AU246" s="30">
        <f>IF(AT246="Good",10,0)</f>
        <v/>
      </c>
      <c r="AV246" s="30" t="inlineStr">
        <is>
          <t>Yes for more than 2 years</t>
        </is>
      </c>
      <c r="AW246" s="30">
        <f>IF(AV246="Yes for more than 2 years",10,IF(AV246="Yes only for next 1 to 2 years",5,0))</f>
        <v/>
      </c>
      <c r="AX246" s="30" t="inlineStr">
        <is>
          <t>0 to 20</t>
        </is>
      </c>
      <c r="AY246" s="30">
        <f>IF(AX246="Above 40",20,IF(AX246="20 to 40",10,IF(AX246="0 to 20",-5,0)))</f>
        <v/>
      </c>
      <c r="AZ246" s="30" t="inlineStr">
        <is>
          <t>Between 50 to 75</t>
        </is>
      </c>
      <c r="BA246" s="30">
        <f>IF(AZ246="Between 50 to 75",10,IF(AZ246="Above 75",0,0))</f>
        <v/>
      </c>
      <c r="BB246" s="30" t="inlineStr">
        <is>
          <t>Stage 2</t>
        </is>
      </c>
      <c r="BC246" s="30">
        <f>IF(BB246="Stage 2",20,IF(BB246="Stage 1",0,IF(BB246="Stage 3",5,IF(BB246="Stage 4",-5,0))))</f>
        <v/>
      </c>
      <c r="BD246" s="30" t="inlineStr">
        <is>
          <t>Positive Trend</t>
        </is>
      </c>
      <c r="BE246" s="30">
        <f>IF(BD246="Positive Trend",20,IF(BD246="Negative Trend",-10,0))</f>
        <v/>
      </c>
      <c r="BF246" s="30" t="inlineStr">
        <is>
          <t>Uptrend</t>
        </is>
      </c>
      <c r="BG246" s="30">
        <f>IF(BF246="Uptrend",10,IF(BF246="Sideways",5,0))</f>
        <v/>
      </c>
      <c r="BH246" s="30" t="inlineStr">
        <is>
          <t>Uptrend</t>
        </is>
      </c>
      <c r="BI246" s="30">
        <f>IF(BH246="Uptrend",10,IF(BH246="Sideways",5,0))</f>
        <v/>
      </c>
      <c r="BJ246" s="30" t="inlineStr">
        <is>
          <t>Close to 52 week high or retracement</t>
        </is>
      </c>
      <c r="BK246" s="30">
        <f>IF(BJ246="Overhead supply in last 2 years in last 2 years",-5,IF(BJ246="Close to 52 week high or retracement",5,IF(BJ246="Blue sky scenario",10,IF(BJ246="Long term Downtrend",-10,0))))</f>
        <v/>
      </c>
      <c r="BL246" s="30" t="inlineStr">
        <is>
          <t>Yes</t>
        </is>
      </c>
      <c r="BM246" s="30">
        <f>IF(BL246="Yes",10,0)</f>
        <v/>
      </c>
      <c r="BN246" s="30" t="inlineStr">
        <is>
          <t>More than 20%</t>
        </is>
      </c>
      <c r="BO246" s="30">
        <f>IF(BN246="More than 20%",10,IF(BN246="Between 12 to 20%",5,IF(BN246="Less than 12%",0,0)))</f>
        <v/>
      </c>
      <c r="BP246" s="30" t="inlineStr">
        <is>
          <t>No</t>
        </is>
      </c>
      <c r="BQ246" s="30">
        <f>IF(BP246="No",10,0)</f>
        <v/>
      </c>
      <c r="BR246" s="30" t="inlineStr">
        <is>
          <t>No</t>
        </is>
      </c>
      <c r="BS246" s="30">
        <f>IF(BR246="NO",5,0)</f>
        <v/>
      </c>
      <c r="BT246" s="30" t="inlineStr">
        <is>
          <t>Less than 1.5</t>
        </is>
      </c>
      <c r="BU246" s="30">
        <f>IF(BT246="Above 2",0,IF(BT246="Between 1.5 to 2",5,IF(BT246="Less than 1.5",10,0)))</f>
        <v/>
      </c>
      <c r="BV246" s="30" t="inlineStr">
        <is>
          <t>Above 70%</t>
        </is>
      </c>
      <c r="BW246" s="30">
        <f>IF(BV246="Above 70%",10,IF(BV246="Between 50% to 70%",5,IF(BV246="Less than 50%",0,IF(BV246="Negative",-10,IF(BV246="Less than 50% and Borrowings are increasing",-5,0)))))</f>
        <v/>
      </c>
      <c r="BX246" s="30" t="inlineStr">
        <is>
          <t>Between 0.7 to 1.2</t>
        </is>
      </c>
      <c r="BY246" s="30">
        <f>IF(BX246="More than 1.2",-10,IF(BX246="Between 0.7 to 1.2",0,IF(BX246="Less than 0.7",10,0)))</f>
        <v/>
      </c>
      <c r="BZ246" s="30" t="inlineStr">
        <is>
          <t>No</t>
        </is>
      </c>
      <c r="CA246" s="30">
        <f>IF(BZ246="Yes",-10,0)</f>
        <v/>
      </c>
      <c r="CB246" s="30" t="inlineStr">
        <is>
          <t>Less than 15%</t>
        </is>
      </c>
      <c r="CC246" s="30">
        <f>IF(CB246="More than 15%",-10,IF(CB246="Less than 15%",10,0))</f>
        <v/>
      </c>
      <c r="CD246" s="30" t="inlineStr">
        <is>
          <t>No</t>
        </is>
      </c>
      <c r="CE246" s="30">
        <f>IF(CD246="Yes, more than 10%",-10,IF(CD246="No",10,0))</f>
        <v/>
      </c>
    </row>
    <row r="247">
      <c r="A247" s="30">
        <f>IF(B247=0,"",RANK(B247,$B$2:$B$331,0))</f>
        <v/>
      </c>
      <c r="B247" s="31">
        <f>SUM(N247,Y247,AA247,AC247,AE247,AG247,AI247,AK247,AM247,AO247,AQ247,AS247,AU247,AW247,AY247,BA247,BC247,BE247,BG247,BI247,BK247,BM247,BO247,BQ247,BS247,BU247,BW247,BY247,CA247,CC247,CE247)</f>
        <v/>
      </c>
      <c r="C247" s="30" t="inlineStr">
        <is>
          <t>ALEMBICLTD</t>
        </is>
      </c>
      <c r="D247" s="30" t="inlineStr">
        <is>
          <t>Alembic Limited</t>
        </is>
      </c>
      <c r="E247" s="30" t="inlineStr">
        <is>
          <t>realty</t>
        </is>
      </c>
      <c r="F247" s="30" t="inlineStr">
        <is>
          <t>construction</t>
        </is>
      </c>
      <c r="G247" s="30" t="inlineStr">
        <is>
          <t>smallcap</t>
        </is>
      </c>
      <c r="H247" s="31" t="n">
        <v>2746.28</v>
      </c>
      <c r="I247" s="31" t="n">
        <v>106.5</v>
      </c>
      <c r="J247" s="31" t="n">
        <v>-0.42</v>
      </c>
      <c r="K247" s="31" t="n">
        <v>819704</v>
      </c>
      <c r="L247" s="30" t="n">
        <v>10</v>
      </c>
      <c r="M247" s="30" t="inlineStr">
        <is>
          <t>Outperforming</t>
        </is>
      </c>
      <c r="N247" s="31">
        <f>IF(M247="Underperforming",-5,IF(L247&gt;=95,15,IF(L247&gt;=90,10,IF(L247&gt;=80,5,0))))</f>
        <v/>
      </c>
      <c r="O247" s="31" t="n">
        <v>65.36</v>
      </c>
      <c r="P247" s="31" t="n">
        <v>17.05</v>
      </c>
      <c r="Q247" s="31" t="n">
        <v>89.94</v>
      </c>
      <c r="R247" s="30" t="inlineStr">
        <is>
          <t>Near 52W High Breakout</t>
        </is>
      </c>
      <c r="S247" s="30" t="inlineStr">
        <is>
          <t>Nifty Realty</t>
        </is>
      </c>
      <c r="T247" s="31" t="n">
        <v>-8.26</v>
      </c>
      <c r="U247" s="31" t="n">
        <v>-2.87</v>
      </c>
      <c r="V247" s="31" t="n">
        <v>5.88</v>
      </c>
      <c r="W247" s="31" t="n">
        <v>3.89</v>
      </c>
      <c r="X247" s="30" t="inlineStr">
        <is>
          <t>Growing Industry</t>
        </is>
      </c>
      <c r="Y247" s="30">
        <f>IF(X247="Growing Industry",10,IF(X247="Cyclical in an Upturn",5,0))</f>
        <v/>
      </c>
      <c r="Z247" s="30" t="inlineStr">
        <is>
          <t>Too Many Players with High ROCE</t>
        </is>
      </c>
      <c r="AA247" s="30">
        <f>IF(Z247="Monopoly",10,IF(Z247="Oligopoly",5,IF(Z247="Duopoly that cooperate",10,IF(Z247="Duopoly that compete",5,IF(Z247="Too many players with High ROCE",5,0)))))</f>
        <v/>
      </c>
      <c r="AB247" s="30" t="inlineStr">
        <is>
          <t>No</t>
        </is>
      </c>
      <c r="AC247" s="30">
        <f>IF(AB247="No",5,0)</f>
        <v/>
      </c>
      <c r="AD247" s="30" t="inlineStr">
        <is>
          <t>Tailwind</t>
        </is>
      </c>
      <c r="AE247" s="30">
        <f>IF(AD247="Tailwind",10,0)</f>
        <v/>
      </c>
      <c r="AF247" s="30" t="inlineStr">
        <is>
          <t>Structural (10 Years Consistency)</t>
        </is>
      </c>
      <c r="AG247" s="30">
        <f>IF(AF247="Structural (10 Years Consistency)",10,IF(AF247="Shallow Cyclical (2 to 3 years growth)",5,0))</f>
        <v/>
      </c>
      <c r="AH247" s="30" t="inlineStr">
        <is>
          <t>No</t>
        </is>
      </c>
      <c r="AI247" s="30">
        <f>IF(AH247="Yes due to Product Mix change or Operating Leverage",10,IF(AH247="Yes, these are peak margins",-5,IF(AH247="No",5,0)))</f>
        <v/>
      </c>
      <c r="AJ247" s="30" t="inlineStr">
        <is>
          <t>Stable</t>
        </is>
      </c>
      <c r="AK247" s="30">
        <f>IF(AJ247="Stable",10,0)</f>
        <v/>
      </c>
      <c r="AL247" s="30" t="inlineStr">
        <is>
          <t>Yes</t>
        </is>
      </c>
      <c r="AM247" s="30">
        <f>IF(AL247="Yes",10,0)</f>
        <v/>
      </c>
      <c r="AN247" s="30" t="inlineStr">
        <is>
          <t>B2B</t>
        </is>
      </c>
      <c r="AO247" s="30">
        <f>IF(AN247="B2C",10,IF(AN247="B2B",5,0))</f>
        <v/>
      </c>
      <c r="AP247" s="30" t="inlineStr">
        <is>
          <t>Yes</t>
        </is>
      </c>
      <c r="AQ247" s="30">
        <f>IF(AP247="Yes",10,0)</f>
        <v/>
      </c>
      <c r="AR247" s="30" t="inlineStr">
        <is>
          <t>Higher One Time, Lower Annuity</t>
        </is>
      </c>
      <c r="AS247" s="30">
        <f>IF(AR247="Fully Annuity",10,IF(AR247="Higher Annuity, Lower One Time",5,IF(AR247="Higher One Time, Lower Annuity",3,0)))</f>
        <v/>
      </c>
      <c r="AT247" s="30" t="inlineStr">
        <is>
          <t>Good</t>
        </is>
      </c>
      <c r="AU247" s="30">
        <f>IF(AT247="Good",10,0)</f>
        <v/>
      </c>
      <c r="AV247" s="30" t="inlineStr">
        <is>
          <t>Yes for more than 2 years</t>
        </is>
      </c>
      <c r="AW247" s="30">
        <f>IF(AV247="Yes for more than 2 years",10,IF(AV247="Yes only for next 1 to 2 years",5,0))</f>
        <v/>
      </c>
      <c r="AX247" s="30" t="inlineStr">
        <is>
          <t>0 to 20</t>
        </is>
      </c>
      <c r="AY247" s="30">
        <f>IF(AX247="Above 40",20,IF(AX247="20 to 40",10,IF(AX247="0 to 20",-5,0)))</f>
        <v/>
      </c>
      <c r="AZ247" s="30" t="inlineStr">
        <is>
          <t>Between 50 to 75</t>
        </is>
      </c>
      <c r="BA247" s="30">
        <f>IF(AZ247="Between 50 to 75",10,IF(AZ247="Above 75",0,0))</f>
        <v/>
      </c>
      <c r="BB247" s="30" t="inlineStr">
        <is>
          <t>Stage 2</t>
        </is>
      </c>
      <c r="BC247" s="30">
        <f>IF(BB247="Stage 2",20,IF(BB247="Stage 1",0,IF(BB247="Stage 3",5,IF(BB247="Stage 4",-5,0))))</f>
        <v/>
      </c>
      <c r="BD247" s="30" t="inlineStr">
        <is>
          <t>Positive Trend</t>
        </is>
      </c>
      <c r="BE247" s="30">
        <f>IF(BD247="Positive Trend",20,IF(BD247="Negative Trend",-10,0))</f>
        <v/>
      </c>
      <c r="BF247" s="30" t="inlineStr">
        <is>
          <t>Uptrend</t>
        </is>
      </c>
      <c r="BG247" s="30">
        <f>IF(BF247="Uptrend",10,IF(BF247="Sideways",5,0))</f>
        <v/>
      </c>
      <c r="BH247" s="30" t="inlineStr">
        <is>
          <t>Uptrend</t>
        </is>
      </c>
      <c r="BI247" s="30">
        <f>IF(BH247="Uptrend",10,IF(BH247="Sideways",5,0))</f>
        <v/>
      </c>
      <c r="BJ247" s="30" t="inlineStr">
        <is>
          <t>Close to 52 week high or retracement</t>
        </is>
      </c>
      <c r="BK247" s="30">
        <f>IF(BJ247="Overhead supply in last 2 years in last 2 years",-5,IF(BJ247="Close to 52 week high or retracement",5,IF(BJ247="Blue sky scenario",10,IF(BJ247="Long term Downtrend",-10,0))))</f>
        <v/>
      </c>
      <c r="BL247" s="30" t="inlineStr">
        <is>
          <t>Yes</t>
        </is>
      </c>
      <c r="BM247" s="30">
        <f>IF(BL247="Yes",10,0)</f>
        <v/>
      </c>
      <c r="BN247" s="30" t="inlineStr">
        <is>
          <t>Less than 12%</t>
        </is>
      </c>
      <c r="BO247" s="30">
        <f>IF(BN247="More than 20%",10,IF(BN247="Between 12 to 20%",5,IF(BN247="Less than 12%",0,0)))</f>
        <v/>
      </c>
      <c r="BP247" s="30" t="inlineStr">
        <is>
          <t>No</t>
        </is>
      </c>
      <c r="BQ247" s="30">
        <f>IF(BP247="No",10,0)</f>
        <v/>
      </c>
      <c r="BR247" s="30" t="inlineStr">
        <is>
          <t>No</t>
        </is>
      </c>
      <c r="BS247" s="30">
        <f>IF(BR247="NO",5,0)</f>
        <v/>
      </c>
      <c r="BT247" s="30" t="inlineStr">
        <is>
          <t>Between 1.5 to 2</t>
        </is>
      </c>
      <c r="BU247" s="30">
        <f>IF(BT247="Above 2",0,IF(BT247="Between 1.5 to 2",5,IF(BT247="Less than 1.5",10,0)))</f>
        <v/>
      </c>
      <c r="BV247" s="30" t="inlineStr">
        <is>
          <t>Above 70%</t>
        </is>
      </c>
      <c r="BW247" s="30">
        <f>IF(BV247="Above 70%",10,IF(BV247="Between 50% to 70%",5,IF(BV247="Less than 50%",0,IF(BV247="Negative",-10,IF(BV247="Less than 50% and Borrowings are increasing",-5,0)))))</f>
        <v/>
      </c>
      <c r="BX247" s="30" t="inlineStr">
        <is>
          <t>Less than 0.7</t>
        </is>
      </c>
      <c r="BY247" s="30">
        <f>IF(BX247="More than 1.2",-10,IF(BX247="Between 0.7 to 1.2",0,IF(BX247="Less than 0.7",10,0)))</f>
        <v/>
      </c>
      <c r="BZ247" s="30" t="inlineStr">
        <is>
          <t>No</t>
        </is>
      </c>
      <c r="CA247" s="30">
        <f>IF(BZ247="Yes",-10,0)</f>
        <v/>
      </c>
      <c r="CB247" s="30" t="inlineStr">
        <is>
          <t>Less than 15%</t>
        </is>
      </c>
      <c r="CC247" s="30">
        <f>IF(CB247="More than 15%",-10,IF(CB247="Less than 15%",10,0))</f>
        <v/>
      </c>
      <c r="CD247" s="30" t="inlineStr">
        <is>
          <t>No</t>
        </is>
      </c>
      <c r="CE247" s="30">
        <f>IF(CD247="Yes, more than 10%",-10,IF(CD247="No",10,0))</f>
        <v/>
      </c>
    </row>
    <row r="248">
      <c r="A248" s="30">
        <f>IF(B248=0,"",RANK(B248,$B$2:$B$331,0))</f>
        <v/>
      </c>
      <c r="B248" s="31">
        <f>SUM(N248,Y248,AA248,AC248,AE248,AG248,AI248,AK248,AM248,AO248,AQ248,AS248,AU248,AW248,AY248,BA248,BC248,BE248,BG248,BI248,BK248,BM248,BO248,BQ248,BS248,BU248,BW248,BY248,CA248,CC248,CE248)</f>
        <v/>
      </c>
      <c r="C248" s="30" t="inlineStr">
        <is>
          <t>ARROWGREEN</t>
        </is>
      </c>
      <c r="D248" s="30" t="inlineStr">
        <is>
          <t>Arrow Greentech Limited</t>
        </is>
      </c>
      <c r="E248" s="30" t="inlineStr">
        <is>
          <t>plastic products</t>
        </is>
      </c>
      <c r="F248" s="30" t="inlineStr">
        <is>
          <t>plastics products</t>
        </is>
      </c>
      <c r="G248" s="30" t="inlineStr">
        <is>
          <t>smallcap</t>
        </is>
      </c>
      <c r="H248" s="31" t="n">
        <v>1211.56</v>
      </c>
      <c r="I248" s="31" t="n">
        <v>791.7</v>
      </c>
      <c r="J248" s="31" t="n">
        <v>-1.41</v>
      </c>
      <c r="K248" s="31" t="n">
        <v>17443</v>
      </c>
      <c r="L248" s="30" t="n">
        <v>49</v>
      </c>
      <c r="M248" s="30" t="inlineStr">
        <is>
          <t>Outperforming</t>
        </is>
      </c>
      <c r="N248" s="31">
        <f>IF(M248="Underperforming",-5,IF(L248&gt;=95,15,IF(L248&gt;=90,10,IF(L248&gt;=80,5,0))))</f>
        <v/>
      </c>
      <c r="O248" s="31" t="n">
        <v>63.94</v>
      </c>
      <c r="P248" s="31" t="n">
        <v>43.4</v>
      </c>
      <c r="Q248" s="31" t="n">
        <v>596.26</v>
      </c>
      <c r="R248" s="30" t="inlineStr">
        <is>
          <t>Near 52W High Breakout</t>
        </is>
      </c>
      <c r="S248" s="30" t="inlineStr">
        <is>
          <t>Nifty Infra</t>
        </is>
      </c>
      <c r="T248" s="31" t="n">
        <v>0.74</v>
      </c>
      <c r="U248" s="31" t="n">
        <v>4.95</v>
      </c>
      <c r="V248" s="31" t="n">
        <v>4.18</v>
      </c>
      <c r="W248" s="31" t="n">
        <v>15.23</v>
      </c>
      <c r="X248" s="30" t="inlineStr">
        <is>
          <t>Growing Industry</t>
        </is>
      </c>
      <c r="Y248" s="30">
        <f>IF(X248="Growing Industry",10,IF(X248="Cyclical in an Upturn",5,0))</f>
        <v/>
      </c>
      <c r="Z248" s="30" t="inlineStr">
        <is>
          <t>Too Many Players with High ROCE</t>
        </is>
      </c>
      <c r="AA248" s="30">
        <f>IF(Z248="Monopoly",10,IF(Z248="Oligopoly",5,IF(Z248="Duopoly that cooperate",10,IF(Z248="Duopoly that compete",5,IF(Z248="Too many players with High ROCE",5,0)))))</f>
        <v/>
      </c>
      <c r="AB248" s="30" t="inlineStr">
        <is>
          <t>No</t>
        </is>
      </c>
      <c r="AC248" s="30">
        <f>IF(AB248="No",5,0)</f>
        <v/>
      </c>
      <c r="AD248" s="30" t="inlineStr">
        <is>
          <t>Tailwind</t>
        </is>
      </c>
      <c r="AE248" s="30">
        <f>IF(AD248="Tailwind",10,0)</f>
        <v/>
      </c>
      <c r="AF248" s="30" t="inlineStr">
        <is>
          <t>Structural (10 Years Consistency)</t>
        </is>
      </c>
      <c r="AG248" s="30">
        <f>IF(AF248="Structural (10 Years Consistency)",10,IF(AF248="Shallow Cyclical (2 to 3 years growth)",5,0))</f>
        <v/>
      </c>
      <c r="AH248" s="30" t="inlineStr">
        <is>
          <t>No</t>
        </is>
      </c>
      <c r="AI248" s="30">
        <f>IF(AH248="Yes due to Product Mix change or Operating Leverage",10,IF(AH248="Yes, these are peak margins",-5,IF(AH248="No",5,0)))</f>
        <v/>
      </c>
      <c r="AJ248" s="30" t="inlineStr">
        <is>
          <t>Stable</t>
        </is>
      </c>
      <c r="AK248" s="30">
        <f>IF(AJ248="Stable",10,0)</f>
        <v/>
      </c>
      <c r="AL248" s="30" t="inlineStr">
        <is>
          <t>Yes</t>
        </is>
      </c>
      <c r="AM248" s="30">
        <f>IF(AL248="Yes",10,0)</f>
        <v/>
      </c>
      <c r="AN248" s="30" t="inlineStr">
        <is>
          <t>B2B</t>
        </is>
      </c>
      <c r="AO248" s="30">
        <f>IF(AN248="B2C",10,IF(AN248="B2B",5,0))</f>
        <v/>
      </c>
      <c r="AP248" s="30" t="inlineStr">
        <is>
          <t>Yes</t>
        </is>
      </c>
      <c r="AQ248" s="30">
        <f>IF(AP248="Yes",10,0)</f>
        <v/>
      </c>
      <c r="AR248" s="30" t="inlineStr">
        <is>
          <t>Higher One Time, Lower Annuity</t>
        </is>
      </c>
      <c r="AS248" s="30">
        <f>IF(AR248="Fully Annuity",10,IF(AR248="Higher Annuity, Lower One Time",5,IF(AR248="Higher One Time, Lower Annuity",3,0)))</f>
        <v/>
      </c>
      <c r="AT248" s="30" t="inlineStr">
        <is>
          <t>Good</t>
        </is>
      </c>
      <c r="AU248" s="30">
        <f>IF(AT248="Good",10,0)</f>
        <v/>
      </c>
      <c r="AV248" s="30" t="inlineStr">
        <is>
          <t>Yes for more than 2 years</t>
        </is>
      </c>
      <c r="AW248" s="30">
        <f>IF(AV248="Yes for more than 2 years",10,IF(AV248="Yes only for next 1 to 2 years",5,0))</f>
        <v/>
      </c>
      <c r="AX248" s="30" t="inlineStr">
        <is>
          <t>Above 40</t>
        </is>
      </c>
      <c r="AY248" s="30">
        <f>IF(AX248="Above 40",20,IF(AX248="20 to 40",10,IF(AX248="0 to 20",-5,0)))</f>
        <v/>
      </c>
      <c r="AZ248" s="30" t="inlineStr">
        <is>
          <t>Between 50 to 75</t>
        </is>
      </c>
      <c r="BA248" s="30">
        <f>IF(AZ248="Between 50 to 75",10,IF(AZ248="Above 75",0,0))</f>
        <v/>
      </c>
      <c r="BB248" s="30" t="inlineStr">
        <is>
          <t>Stage 2</t>
        </is>
      </c>
      <c r="BC248" s="30">
        <f>IF(BB248="Stage 2",20,IF(BB248="Stage 1",0,IF(BB248="Stage 3",5,IF(BB248="Stage 4",-5,0))))</f>
        <v/>
      </c>
      <c r="BD248" s="30" t="inlineStr">
        <is>
          <t>Negative Trend</t>
        </is>
      </c>
      <c r="BE248" s="30">
        <f>IF(BD248="Positive Trend",20,IF(BD248="Negative Trend",-10,0))</f>
        <v/>
      </c>
      <c r="BF248" s="30" t="inlineStr">
        <is>
          <t>Uptrend</t>
        </is>
      </c>
      <c r="BG248" s="30">
        <f>IF(BF248="Uptrend",10,IF(BF248="Sideways",5,0))</f>
        <v/>
      </c>
      <c r="BH248" s="30" t="inlineStr">
        <is>
          <t>Uptrend</t>
        </is>
      </c>
      <c r="BI248" s="30">
        <f>IF(BH248="Uptrend",10,IF(BH248="Sideways",5,0))</f>
        <v/>
      </c>
      <c r="BJ248" s="30" t="inlineStr">
        <is>
          <t>Close to 52 week high or retracement</t>
        </is>
      </c>
      <c r="BK248" s="30">
        <f>IF(BJ248="Overhead supply in last 2 years in last 2 years",-5,IF(BJ248="Close to 52 week high or retracement",5,IF(BJ248="Blue sky scenario",10,IF(BJ248="Long term Downtrend",-10,0))))</f>
        <v/>
      </c>
      <c r="BL248" s="30" t="inlineStr">
        <is>
          <t>Yes</t>
        </is>
      </c>
      <c r="BM248" s="30">
        <f>IF(BL248="Yes",10,0)</f>
        <v/>
      </c>
      <c r="BN248" s="30" t="inlineStr">
        <is>
          <t>More than 20%</t>
        </is>
      </c>
      <c r="BO248" s="30">
        <f>IF(BN248="More than 20%",10,IF(BN248="Between 12 to 20%",5,IF(BN248="Less than 12%",0,0)))</f>
        <v/>
      </c>
      <c r="BP248" s="30" t="inlineStr">
        <is>
          <t>No</t>
        </is>
      </c>
      <c r="BQ248" s="30">
        <f>IF(BP248="No",10,0)</f>
        <v/>
      </c>
      <c r="BR248" s="30" t="inlineStr">
        <is>
          <t>No</t>
        </is>
      </c>
      <c r="BS248" s="30">
        <f>IF(BR248="NO",5,0)</f>
        <v/>
      </c>
      <c r="BT248" s="30" t="inlineStr">
        <is>
          <t>Above 2</t>
        </is>
      </c>
      <c r="BU248" s="30">
        <f>IF(BT248="Above 2",0,IF(BT248="Between 1.5 to 2",5,IF(BT248="Less than 1.5",10,0)))</f>
        <v/>
      </c>
      <c r="BV248" s="30" t="inlineStr">
        <is>
          <t>Above 70%</t>
        </is>
      </c>
      <c r="BW248" s="30">
        <f>IF(BV248="Above 70%",10,IF(BV248="Between 50% to 70%",5,IF(BV248="Less than 50%",0,IF(BV248="Negative",-10,IF(BV248="Less than 50% and Borrowings are increasing",-5,0)))))</f>
        <v/>
      </c>
      <c r="BX248" s="30" t="inlineStr">
        <is>
          <t>Less than 0.7</t>
        </is>
      </c>
      <c r="BY248" s="30">
        <f>IF(BX248="More than 1.2",-10,IF(BX248="Between 0.7 to 1.2",0,IF(BX248="Less than 0.7",10,0)))</f>
        <v/>
      </c>
      <c r="BZ248" s="30" t="inlineStr">
        <is>
          <t>No</t>
        </is>
      </c>
      <c r="CA248" s="30">
        <f>IF(BZ248="Yes",-10,0)</f>
        <v/>
      </c>
      <c r="CB248" s="30" t="inlineStr">
        <is>
          <t>Less than 15%</t>
        </is>
      </c>
      <c r="CC248" s="30">
        <f>IF(CB248="More than 15%",-10,IF(CB248="Less than 15%",10,0))</f>
        <v/>
      </c>
      <c r="CD248" s="30" t="inlineStr">
        <is>
          <t>No</t>
        </is>
      </c>
      <c r="CE248" s="30">
        <f>IF(CD248="Yes, more than 10%",-10,IF(CD248="No",10,0))</f>
        <v/>
      </c>
    </row>
    <row r="249">
      <c r="A249" s="30">
        <f>IF(B249=0,"",RANK(B249,$B$2:$B$331,0))</f>
        <v/>
      </c>
      <c r="B249" s="31">
        <f>SUM(N249,Y249,AA249,AC249,AE249,AG249,AI249,AK249,AM249,AO249,AQ249,AS249,AU249,AW249,AY249,BA249,BC249,BE249,BG249,BI249,BK249,BM249,BO249,BQ249,BS249,BU249,BW249,BY249,CA249,CC249,CE249)</f>
        <v/>
      </c>
      <c r="C249" s="30" t="inlineStr">
        <is>
          <t>PTCIL</t>
        </is>
      </c>
      <c r="D249" s="30" t="inlineStr">
        <is>
          <t>PTC Industries Ltd</t>
        </is>
      </c>
      <c r="E249" s="30" t="inlineStr">
        <is>
          <t>industrials</t>
        </is>
      </c>
      <c r="F249" s="30" t="inlineStr">
        <is>
          <t>castings &amp; forgings</t>
        </is>
      </c>
      <c r="G249" s="30" t="inlineStr">
        <is>
          <t>largecap</t>
        </is>
      </c>
      <c r="H249" s="31" t="n">
        <v>34153.03</v>
      </c>
      <c r="I249" s="31" t="n">
        <v>22385</v>
      </c>
      <c r="J249" s="31" t="n">
        <v>-1.73</v>
      </c>
      <c r="K249" s="31" t="n">
        <v>16490</v>
      </c>
      <c r="L249" s="30" t="n">
        <v>47</v>
      </c>
      <c r="M249" s="30" t="inlineStr">
        <is>
          <t>Outperforming</t>
        </is>
      </c>
      <c r="N249" s="31">
        <f>IF(M249="Underperforming",-5,IF(L249&gt;=95,15,IF(L249&gt;=90,10,IF(L249&gt;=80,5,0))))</f>
        <v/>
      </c>
      <c r="O249" s="31" t="n">
        <v>68</v>
      </c>
      <c r="P249" s="31" t="n">
        <v>32.75</v>
      </c>
      <c r="Q249" s="31" t="n">
        <v>19527.75</v>
      </c>
      <c r="R249" s="30" t="inlineStr">
        <is>
          <t>Earnings / Momentum Support</t>
        </is>
      </c>
      <c r="S249" s="30" t="inlineStr">
        <is>
          <t>Nifty 50</t>
        </is>
      </c>
      <c r="T249" s="31" t="n">
        <v>-6.52</v>
      </c>
      <c r="U249" s="31" t="n">
        <v>58.02</v>
      </c>
      <c r="V249" s="31" t="n">
        <v>69.03</v>
      </c>
      <c r="W249" s="31" t="n">
        <v>14.41</v>
      </c>
      <c r="X249" s="30" t="inlineStr">
        <is>
          <t>Cyclical in an Upturn</t>
        </is>
      </c>
      <c r="Y249" s="30">
        <f>IF(X249="Growing Industry",10,IF(X249="Cyclical in an Upturn",5,0))</f>
        <v/>
      </c>
      <c r="Z249" s="30" t="inlineStr">
        <is>
          <t>Too Many Players with High ROCE</t>
        </is>
      </c>
      <c r="AA249" s="30">
        <f>IF(Z249="Monopoly",10,IF(Z249="Oligopoly",5,IF(Z249="Duopoly that cooperate",10,IF(Z249="Duopoly that compete",5,IF(Z249="Too many players with High ROCE",5,0)))))</f>
        <v/>
      </c>
      <c r="AB249" s="30" t="inlineStr">
        <is>
          <t>No</t>
        </is>
      </c>
      <c r="AC249" s="30">
        <f>IF(AB249="No",5,0)</f>
        <v/>
      </c>
      <c r="AD249" s="30" t="inlineStr">
        <is>
          <t>Tailwind</t>
        </is>
      </c>
      <c r="AE249" s="30">
        <f>IF(AD249="Tailwind",10,0)</f>
        <v/>
      </c>
      <c r="AF249" s="30" t="inlineStr">
        <is>
          <t>Structural (10 Years Consistency)</t>
        </is>
      </c>
      <c r="AG249" s="30">
        <f>IF(AF249="Structural (10 Years Consistency)",10,IF(AF249="Shallow Cyclical (2 to 3 years growth)",5,0))</f>
        <v/>
      </c>
      <c r="AH249" s="30" t="inlineStr">
        <is>
          <t>No</t>
        </is>
      </c>
      <c r="AI249" s="30">
        <f>IF(AH249="Yes due to Product Mix change or Operating Leverage",10,IF(AH249="Yes, these are peak margins",-5,IF(AH249="No",5,0)))</f>
        <v/>
      </c>
      <c r="AJ249" s="30" t="inlineStr">
        <is>
          <t>Stable</t>
        </is>
      </c>
      <c r="AK249" s="30">
        <f>IF(AJ249="Stable",10,0)</f>
        <v/>
      </c>
      <c r="AL249" s="30" t="inlineStr">
        <is>
          <t>Yes</t>
        </is>
      </c>
      <c r="AM249" s="30">
        <f>IF(AL249="Yes",10,0)</f>
        <v/>
      </c>
      <c r="AN249" s="30" t="inlineStr">
        <is>
          <t>B2B</t>
        </is>
      </c>
      <c r="AO249" s="30">
        <f>IF(AN249="B2C",10,IF(AN249="B2B",5,0))</f>
        <v/>
      </c>
      <c r="AP249" s="30" t="inlineStr">
        <is>
          <t>No</t>
        </is>
      </c>
      <c r="AQ249" s="30">
        <f>IF(AP249="Yes",10,0)</f>
        <v/>
      </c>
      <c r="AR249" s="30" t="inlineStr">
        <is>
          <t>Higher One Time, Lower Annuity</t>
        </is>
      </c>
      <c r="AS249" s="30">
        <f>IF(AR249="Fully Annuity",10,IF(AR249="Higher Annuity, Lower One Time",5,IF(AR249="Higher One Time, Lower Annuity",3,0)))</f>
        <v/>
      </c>
      <c r="AT249" s="30" t="inlineStr">
        <is>
          <t>Good</t>
        </is>
      </c>
      <c r="AU249" s="30">
        <f>IF(AT249="Good",10,0)</f>
        <v/>
      </c>
      <c r="AV249" s="30" t="inlineStr">
        <is>
          <t>Yes for more than 2 years</t>
        </is>
      </c>
      <c r="AW249" s="30">
        <f>IF(AV249="Yes for more than 2 years",10,IF(AV249="Yes only for next 1 to 2 years",5,0))</f>
        <v/>
      </c>
      <c r="AX249" s="30" t="inlineStr">
        <is>
          <t>20 to 40</t>
        </is>
      </c>
      <c r="AY249" s="30">
        <f>IF(AX249="Above 40",20,IF(AX249="20 to 40",10,IF(AX249="0 to 20",-5,0)))</f>
        <v/>
      </c>
      <c r="AZ249" s="30" t="inlineStr">
        <is>
          <t>Between 50 to 75</t>
        </is>
      </c>
      <c r="BA249" s="30">
        <f>IF(AZ249="Between 50 to 75",10,IF(AZ249="Above 75",0,0))</f>
        <v/>
      </c>
      <c r="BB249" s="30" t="inlineStr">
        <is>
          <t>Stage 2</t>
        </is>
      </c>
      <c r="BC249" s="30">
        <f>IF(BB249="Stage 2",20,IF(BB249="Stage 1",0,IF(BB249="Stage 3",5,IF(BB249="Stage 4",-5,0))))</f>
        <v/>
      </c>
      <c r="BD249" s="30" t="inlineStr">
        <is>
          <t>Positive Trend</t>
        </is>
      </c>
      <c r="BE249" s="30">
        <f>IF(BD249="Positive Trend",20,IF(BD249="Negative Trend",-10,0))</f>
        <v/>
      </c>
      <c r="BF249" s="30" t="inlineStr">
        <is>
          <t>Uptrend</t>
        </is>
      </c>
      <c r="BG249" s="30">
        <f>IF(BF249="Uptrend",10,IF(BF249="Sideways",5,0))</f>
        <v/>
      </c>
      <c r="BH249" s="30" t="inlineStr">
        <is>
          <t>Uptrend</t>
        </is>
      </c>
      <c r="BI249" s="30">
        <f>IF(BH249="Uptrend",10,IF(BH249="Sideways",5,0))</f>
        <v/>
      </c>
      <c r="BJ249" s="30" t="inlineStr">
        <is>
          <t>Close to 52 week high or retracement</t>
        </is>
      </c>
      <c r="BK249" s="30">
        <f>IF(BJ249="Overhead supply in last 2 years in last 2 years",-5,IF(BJ249="Close to 52 week high or retracement",5,IF(BJ249="Blue sky scenario",10,IF(BJ249="Long term Downtrend",-10,0))))</f>
        <v/>
      </c>
      <c r="BL249" s="30" t="inlineStr">
        <is>
          <t>Yes</t>
        </is>
      </c>
      <c r="BM249" s="30">
        <f>IF(BL249="Yes",10,0)</f>
        <v/>
      </c>
      <c r="BN249" s="30" t="inlineStr">
        <is>
          <t>More than 20%</t>
        </is>
      </c>
      <c r="BO249" s="30">
        <f>IF(BN249="More than 20%",10,IF(BN249="Between 12 to 20%",5,IF(BN249="Less than 12%",0,0)))</f>
        <v/>
      </c>
      <c r="BP249" s="30" t="inlineStr">
        <is>
          <t>No</t>
        </is>
      </c>
      <c r="BQ249" s="30">
        <f>IF(BP249="No",10,0)</f>
        <v/>
      </c>
      <c r="BR249" s="30" t="inlineStr">
        <is>
          <t>Yes</t>
        </is>
      </c>
      <c r="BS249" s="30">
        <f>IF(BR249="NO",5,0)</f>
        <v/>
      </c>
      <c r="BT249" s="30" t="inlineStr">
        <is>
          <t>Above 2</t>
        </is>
      </c>
      <c r="BU249" s="30">
        <f>IF(BT249="Above 2",0,IF(BT249="Between 1.5 to 2",5,IF(BT249="Less than 1.5",10,0)))</f>
        <v/>
      </c>
      <c r="BV249" s="30" t="inlineStr">
        <is>
          <t>Above 70%</t>
        </is>
      </c>
      <c r="BW249" s="30">
        <f>IF(BV249="Above 70%",10,IF(BV249="Between 50% to 70%",5,IF(BV249="Less than 50%",0,IF(BV249="Negative",-10,IF(BV249="Less than 50% and Borrowings are increasing",-5,0)))))</f>
        <v/>
      </c>
      <c r="BX249" s="30" t="inlineStr">
        <is>
          <t>Less than 0.7</t>
        </is>
      </c>
      <c r="BY249" s="30">
        <f>IF(BX249="More than 1.2",-10,IF(BX249="Between 0.7 to 1.2",0,IF(BX249="Less than 0.7",10,0)))</f>
        <v/>
      </c>
      <c r="BZ249" s="30" t="inlineStr">
        <is>
          <t>No</t>
        </is>
      </c>
      <c r="CA249" s="30">
        <f>IF(BZ249="Yes",-10,0)</f>
        <v/>
      </c>
      <c r="CB249" s="30" t="inlineStr">
        <is>
          <t>Less than 15%</t>
        </is>
      </c>
      <c r="CC249" s="30">
        <f>IF(CB249="More than 15%",-10,IF(CB249="Less than 15%",10,0))</f>
        <v/>
      </c>
      <c r="CD249" s="30" t="inlineStr">
        <is>
          <t>No</t>
        </is>
      </c>
      <c r="CE249" s="30">
        <f>IF(CD249="Yes, more than 10%",-10,IF(CD249="No",10,0))</f>
        <v/>
      </c>
    </row>
    <row r="250">
      <c r="A250" s="30">
        <f>IF(B250=0,"",RANK(B250,$B$2:$B$331,0))</f>
        <v/>
      </c>
      <c r="B250" s="31">
        <f>SUM(N250,Y250,AA250,AC250,AE250,AG250,AI250,AK250,AM250,AO250,AQ250,AS250,AU250,AW250,AY250,BA250,BC250,BE250,BG250,BI250,BK250,BM250,BO250,BQ250,BS250,BU250,BW250,BY250,CA250,CC250,CE250)</f>
        <v/>
      </c>
      <c r="C250" s="32" t="inlineStr">
        <is>
          <t>AGI</t>
        </is>
      </c>
      <c r="D250" s="32" t="inlineStr">
        <is>
          <t>AGI Greenpac Ltd</t>
        </is>
      </c>
      <c r="E250" s="30" t="inlineStr">
        <is>
          <t>industrials</t>
        </is>
      </c>
      <c r="F250" s="30" t="inlineStr">
        <is>
          <t>packaging</t>
        </is>
      </c>
      <c r="G250" s="30" t="inlineStr">
        <is>
          <t>midcap</t>
        </is>
      </c>
      <c r="H250" s="31" t="n">
        <v>5150.88</v>
      </c>
      <c r="I250" s="31" t="n">
        <v>778.05</v>
      </c>
      <c r="J250" s="31" t="n">
        <v>-2.27</v>
      </c>
      <c r="K250" s="31" t="n">
        <v>203446</v>
      </c>
      <c r="L250" s="30" t="n">
        <v>15</v>
      </c>
      <c r="M250" s="30" t="inlineStr">
        <is>
          <t>Underperforming</t>
        </is>
      </c>
      <c r="N250" s="31">
        <f>IF(M250="Underperforming",-5,IF(L250&gt;=95,15,IF(L250&gt;=90,10,IF(L250&gt;=80,5,0))))</f>
        <v/>
      </c>
      <c r="O250" s="31" t="n">
        <v>62.34</v>
      </c>
      <c r="P250" s="31" t="n">
        <v>31.3</v>
      </c>
      <c r="Q250" s="31" t="n">
        <v>611.36</v>
      </c>
      <c r="R250" s="30" t="inlineStr">
        <is>
          <t>Earnings / Momentum Support</t>
        </is>
      </c>
      <c r="S250" s="30" t="inlineStr">
        <is>
          <t>Nifty 50</t>
        </is>
      </c>
      <c r="T250" s="31" t="n">
        <v>-6.52</v>
      </c>
      <c r="U250" s="31" t="n">
        <v>-7.25</v>
      </c>
      <c r="V250" s="31" t="n">
        <v>-0.78</v>
      </c>
      <c r="W250" s="31" t="n">
        <v>4.85</v>
      </c>
      <c r="X250" s="30" t="inlineStr">
        <is>
          <t>Cyclical in an Upturn</t>
        </is>
      </c>
      <c r="Y250" s="30">
        <f>IF(X250="Growing Industry",10,IF(X250="Cyclical in an Upturn",5,0))</f>
        <v/>
      </c>
      <c r="Z250" s="30" t="inlineStr">
        <is>
          <t>Too Many Players with High ROCE</t>
        </is>
      </c>
      <c r="AA250" s="30">
        <f>IF(Z250="Monopoly",10,IF(Z250="Oligopoly",5,IF(Z250="Duopoly that cooperate",10,IF(Z250="Duopoly that compete",5,IF(Z250="Too many players with High ROCE",5,0)))))</f>
        <v/>
      </c>
      <c r="AB250" s="30" t="inlineStr">
        <is>
          <t>No</t>
        </is>
      </c>
      <c r="AC250" s="30">
        <f>IF(AB250="No",5,0)</f>
        <v/>
      </c>
      <c r="AD250" s="30" t="inlineStr">
        <is>
          <t>Tailwind</t>
        </is>
      </c>
      <c r="AE250" s="30">
        <f>IF(AD250="Tailwind",10,0)</f>
        <v/>
      </c>
      <c r="AF250" s="30" t="inlineStr">
        <is>
          <t>Structural (10 Years Consistency)</t>
        </is>
      </c>
      <c r="AG250" s="30">
        <f>IF(AF250="Structural (10 Years Consistency)",10,IF(AF250="Shallow Cyclical (2 to 3 years growth)",5,0))</f>
        <v/>
      </c>
      <c r="AH250" s="30" t="inlineStr">
        <is>
          <t>No</t>
        </is>
      </c>
      <c r="AI250" s="30">
        <f>IF(AH250="Yes due to Product Mix change or Operating Leverage",10,IF(AH250="Yes, these are peak margins",-5,IF(AH250="No",5,0)))</f>
        <v/>
      </c>
      <c r="AJ250" s="30" t="inlineStr">
        <is>
          <t>Stable</t>
        </is>
      </c>
      <c r="AK250" s="30">
        <f>IF(AJ250="Stable",10,0)</f>
        <v/>
      </c>
      <c r="AL250" s="30" t="inlineStr">
        <is>
          <t>Yes</t>
        </is>
      </c>
      <c r="AM250" s="30">
        <f>IF(AL250="Yes",10,0)</f>
        <v/>
      </c>
      <c r="AN250" s="30" t="inlineStr">
        <is>
          <t>B2B</t>
        </is>
      </c>
      <c r="AO250" s="30">
        <f>IF(AN250="B2C",10,IF(AN250="B2B",5,0))</f>
        <v/>
      </c>
      <c r="AP250" s="30" t="inlineStr">
        <is>
          <t>No</t>
        </is>
      </c>
      <c r="AQ250" s="30">
        <f>IF(AP250="Yes",10,0)</f>
        <v/>
      </c>
      <c r="AR250" s="30" t="inlineStr">
        <is>
          <t>Higher One Time, Lower Annuity</t>
        </is>
      </c>
      <c r="AS250" s="30">
        <f>IF(AR250="Fully Annuity",10,IF(AR250="Higher Annuity, Lower One Time",5,IF(AR250="Higher One Time, Lower Annuity",3,0)))</f>
        <v/>
      </c>
      <c r="AT250" s="30" t="inlineStr">
        <is>
          <t>Good</t>
        </is>
      </c>
      <c r="AU250" s="30">
        <f>IF(AT250="Good",10,0)</f>
        <v/>
      </c>
      <c r="AV250" s="30" t="inlineStr">
        <is>
          <t>Yes for more than 2 years</t>
        </is>
      </c>
      <c r="AW250" s="30">
        <f>IF(AV250="Yes for more than 2 years",10,IF(AV250="Yes only for next 1 to 2 years",5,0))</f>
        <v/>
      </c>
      <c r="AX250" s="30" t="inlineStr">
        <is>
          <t>20 to 40</t>
        </is>
      </c>
      <c r="AY250" s="30">
        <f>IF(AX250="Above 40",20,IF(AX250="20 to 40",10,IF(AX250="0 to 20",-5,0)))</f>
        <v/>
      </c>
      <c r="AZ250" s="30" t="inlineStr">
        <is>
          <t>Between 50 to 75</t>
        </is>
      </c>
      <c r="BA250" s="30">
        <f>IF(AZ250="Between 50 to 75",10,IF(AZ250="Above 75",0,0))</f>
        <v/>
      </c>
      <c r="BB250" s="30" t="inlineStr">
        <is>
          <t>Stage 2</t>
        </is>
      </c>
      <c r="BC250" s="30">
        <f>IF(BB250="Stage 2",20,IF(BB250="Stage 1",0,IF(BB250="Stage 3",5,IF(BB250="Stage 4",-5,0))))</f>
        <v/>
      </c>
      <c r="BD250" s="30" t="inlineStr">
        <is>
          <t>Positive Trend</t>
        </is>
      </c>
      <c r="BE250" s="30">
        <f>IF(BD250="Positive Trend",20,IF(BD250="Negative Trend",-10,0))</f>
        <v/>
      </c>
      <c r="BF250" s="30" t="inlineStr">
        <is>
          <t>Uptrend</t>
        </is>
      </c>
      <c r="BG250" s="30">
        <f>IF(BF250="Uptrend",10,IF(BF250="Sideways",5,0))</f>
        <v/>
      </c>
      <c r="BH250" s="30" t="inlineStr">
        <is>
          <t>Uptrend</t>
        </is>
      </c>
      <c r="BI250" s="30">
        <f>IF(BH250="Uptrend",10,IF(BH250="Sideways",5,0))</f>
        <v/>
      </c>
      <c r="BJ250" s="30" t="inlineStr">
        <is>
          <t>Close to 52 week high or retracement</t>
        </is>
      </c>
      <c r="BK250" s="30">
        <f>IF(BJ250="Overhead supply in last 2 years in last 2 years",-5,IF(BJ250="Close to 52 week high or retracement",5,IF(BJ250="Blue sky scenario",10,IF(BJ250="Long term Downtrend",-10,0))))</f>
        <v/>
      </c>
      <c r="BL250" s="30" t="inlineStr">
        <is>
          <t>Yes</t>
        </is>
      </c>
      <c r="BM250" s="30">
        <f>IF(BL250="Yes",10,0)</f>
        <v/>
      </c>
      <c r="BN250" s="30" t="inlineStr">
        <is>
          <t>Less than 12%</t>
        </is>
      </c>
      <c r="BO250" s="30">
        <f>IF(BN250="More than 20%",10,IF(BN250="Between 12 to 20%",5,IF(BN250="Less than 12%",0,0)))</f>
        <v/>
      </c>
      <c r="BP250" s="30" t="inlineStr">
        <is>
          <t>No</t>
        </is>
      </c>
      <c r="BQ250" s="30">
        <f>IF(BP250="No",10,0)</f>
        <v/>
      </c>
      <c r="BR250" s="30" t="inlineStr">
        <is>
          <t>No</t>
        </is>
      </c>
      <c r="BS250" s="30">
        <f>IF(BR250="NO",5,0)</f>
        <v/>
      </c>
      <c r="BT250" s="30" t="inlineStr">
        <is>
          <t>Less than 1.5</t>
        </is>
      </c>
      <c r="BU250" s="30">
        <f>IF(BT250="Above 2",0,IF(BT250="Between 1.5 to 2",5,IF(BT250="Less than 1.5",10,0)))</f>
        <v/>
      </c>
      <c r="BV250" s="30" t="inlineStr">
        <is>
          <t>Above 70%</t>
        </is>
      </c>
      <c r="BW250" s="30">
        <f>IF(BV250="Above 70%",10,IF(BV250="Between 50% to 70%",5,IF(BV250="Less than 50%",0,IF(BV250="Negative",-10,IF(BV250="Less than 50% and Borrowings are increasing",-5,0)))))</f>
        <v/>
      </c>
      <c r="BX250" s="30" t="inlineStr">
        <is>
          <t>Less than 0.7</t>
        </is>
      </c>
      <c r="BY250" s="30">
        <f>IF(BX250="More than 1.2",-10,IF(BX250="Between 0.7 to 1.2",0,IF(BX250="Less than 0.7",10,0)))</f>
        <v/>
      </c>
      <c r="BZ250" s="30" t="inlineStr">
        <is>
          <t>No</t>
        </is>
      </c>
      <c r="CA250" s="30">
        <f>IF(BZ250="Yes",-10,0)</f>
        <v/>
      </c>
      <c r="CB250" s="30" t="inlineStr">
        <is>
          <t>Less than 15%</t>
        </is>
      </c>
      <c r="CC250" s="30">
        <f>IF(CB250="More than 15%",-10,IF(CB250="Less than 15%",10,0))</f>
        <v/>
      </c>
      <c r="CD250" s="30" t="inlineStr">
        <is>
          <t>No</t>
        </is>
      </c>
      <c r="CE250" s="30">
        <f>IF(CD250="Yes, more than 10%",-10,IF(CD250="No",10,0))</f>
        <v/>
      </c>
    </row>
    <row r="251">
      <c r="A251" s="30">
        <f>IF(B251=0,"",RANK(B251,$B$2:$B$331,0))</f>
        <v/>
      </c>
      <c r="B251" s="31">
        <f>SUM(N251,Y251,AA251,AC251,AE251,AG251,AI251,AK251,AM251,AO251,AQ251,AS251,AU251,AW251,AY251,BA251,BC251,BE251,BG251,BI251,BK251,BM251,BO251,BQ251,BS251,BU251,BW251,BY251,CA251,CC251,CE251)</f>
        <v/>
      </c>
      <c r="C251" s="30" t="inlineStr">
        <is>
          <t>GRAPHITE</t>
        </is>
      </c>
      <c r="D251" s="30" t="inlineStr">
        <is>
          <t>Graphite India Limited</t>
        </is>
      </c>
      <c r="E251" s="30" t="inlineStr">
        <is>
          <t>industrials</t>
        </is>
      </c>
      <c r="F251" s="30" t="inlineStr">
        <is>
          <t>electrodes - graphites</t>
        </is>
      </c>
      <c r="G251" s="30" t="inlineStr">
        <is>
          <t>midcap</t>
        </is>
      </c>
      <c r="H251" s="31" t="n">
        <v>16502.4</v>
      </c>
      <c r="I251" s="31" t="n">
        <v>824.8</v>
      </c>
      <c r="J251" s="31" t="n">
        <v>-2.35</v>
      </c>
      <c r="K251" s="31" t="n">
        <v>11528239</v>
      </c>
      <c r="L251" s="30" t="n">
        <v>50</v>
      </c>
      <c r="M251" s="30" t="inlineStr">
        <is>
          <t>Outperforming</t>
        </is>
      </c>
      <c r="N251" s="31">
        <f>IF(M251="Underperforming",-5,IF(L251&gt;=95,15,IF(L251&gt;=90,10,IF(L251&gt;=80,5,0))))</f>
        <v/>
      </c>
      <c r="O251" s="31" t="n">
        <v>68.47</v>
      </c>
      <c r="P251" s="31" t="n">
        <v>13.61</v>
      </c>
      <c r="Q251" s="31" t="n">
        <v>629.61</v>
      </c>
      <c r="R251" s="30" t="inlineStr">
        <is>
          <t>Volume Spike &amp; Near 52W High Breakout</t>
        </is>
      </c>
      <c r="S251" s="30" t="inlineStr">
        <is>
          <t>Nifty 50</t>
        </is>
      </c>
      <c r="T251" s="31" t="n">
        <v>-6.52</v>
      </c>
      <c r="U251" s="31" t="n">
        <v>56.33</v>
      </c>
      <c r="V251" s="31" t="n">
        <v>67.22</v>
      </c>
      <c r="W251" s="31" t="n">
        <v>15.75</v>
      </c>
      <c r="X251" s="30" t="inlineStr">
        <is>
          <t>Cyclical in an Upturn</t>
        </is>
      </c>
      <c r="Y251" s="30">
        <f>IF(X251="Growing Industry",10,IF(X251="Cyclical in an Upturn",5,0))</f>
        <v/>
      </c>
      <c r="Z251" s="30" t="inlineStr">
        <is>
          <t>Too Many Players with High ROCE</t>
        </is>
      </c>
      <c r="AA251" s="30">
        <f>IF(Z251="Monopoly",10,IF(Z251="Oligopoly",5,IF(Z251="Duopoly that cooperate",10,IF(Z251="Duopoly that compete",5,IF(Z251="Too many players with High ROCE",5,0)))))</f>
        <v/>
      </c>
      <c r="AB251" s="30" t="inlineStr">
        <is>
          <t>No</t>
        </is>
      </c>
      <c r="AC251" s="30">
        <f>IF(AB251="No",5,0)</f>
        <v/>
      </c>
      <c r="AD251" s="30" t="inlineStr">
        <is>
          <t>Tailwind</t>
        </is>
      </c>
      <c r="AE251" s="30">
        <f>IF(AD251="Tailwind",10,0)</f>
        <v/>
      </c>
      <c r="AF251" s="30" t="inlineStr">
        <is>
          <t>Structural (10 Years Consistency)</t>
        </is>
      </c>
      <c r="AG251" s="30">
        <f>IF(AF251="Structural (10 Years Consistency)",10,IF(AF251="Shallow Cyclical (2 to 3 years growth)",5,0))</f>
        <v/>
      </c>
      <c r="AH251" s="30" t="inlineStr">
        <is>
          <t>No</t>
        </is>
      </c>
      <c r="AI251" s="30">
        <f>IF(AH251="Yes due to Product Mix change or Operating Leverage",10,IF(AH251="Yes, these are peak margins",-5,IF(AH251="No",5,0)))</f>
        <v/>
      </c>
      <c r="AJ251" s="30" t="inlineStr">
        <is>
          <t>Stable</t>
        </is>
      </c>
      <c r="AK251" s="30">
        <f>IF(AJ251="Stable",10,0)</f>
        <v/>
      </c>
      <c r="AL251" s="30" t="inlineStr">
        <is>
          <t>Yes</t>
        </is>
      </c>
      <c r="AM251" s="30">
        <f>IF(AL251="Yes",10,0)</f>
        <v/>
      </c>
      <c r="AN251" s="30" t="inlineStr">
        <is>
          <t>B2B</t>
        </is>
      </c>
      <c r="AO251" s="30">
        <f>IF(AN251="B2C",10,IF(AN251="B2B",5,0))</f>
        <v/>
      </c>
      <c r="AP251" s="30" t="inlineStr">
        <is>
          <t>Yes</t>
        </is>
      </c>
      <c r="AQ251" s="30">
        <f>IF(AP251="Yes",10,0)</f>
        <v/>
      </c>
      <c r="AR251" s="30" t="inlineStr">
        <is>
          <t>Higher One Time, Lower Annuity</t>
        </is>
      </c>
      <c r="AS251" s="30">
        <f>IF(AR251="Fully Annuity",10,IF(AR251="Higher Annuity, Lower One Time",5,IF(AR251="Higher One Time, Lower Annuity",3,0)))</f>
        <v/>
      </c>
      <c r="AT251" s="30" t="inlineStr">
        <is>
          <t>Good</t>
        </is>
      </c>
      <c r="AU251" s="30">
        <f>IF(AT251="Good",10,0)</f>
        <v/>
      </c>
      <c r="AV251" s="30" t="inlineStr">
        <is>
          <t>Yes for more than 2 years</t>
        </is>
      </c>
      <c r="AW251" s="30">
        <f>IF(AV251="Yes for more than 2 years",10,IF(AV251="Yes only for next 1 to 2 years",5,0))</f>
        <v/>
      </c>
      <c r="AX251" s="30" t="inlineStr">
        <is>
          <t>0 to 20</t>
        </is>
      </c>
      <c r="AY251" s="30">
        <f>IF(AX251="Above 40",20,IF(AX251="20 to 40",10,IF(AX251="0 to 20",-5,0)))</f>
        <v/>
      </c>
      <c r="AZ251" s="30" t="inlineStr">
        <is>
          <t>Between 50 to 75</t>
        </is>
      </c>
      <c r="BA251" s="30">
        <f>IF(AZ251="Between 50 to 75",10,IF(AZ251="Above 75",0,0))</f>
        <v/>
      </c>
      <c r="BB251" s="30" t="inlineStr">
        <is>
          <t>Stage 2</t>
        </is>
      </c>
      <c r="BC251" s="30">
        <f>IF(BB251="Stage 2",20,IF(BB251="Stage 1",0,IF(BB251="Stage 3",5,IF(BB251="Stage 4",-5,0))))</f>
        <v/>
      </c>
      <c r="BD251" s="30" t="inlineStr">
        <is>
          <t>Positive Trend</t>
        </is>
      </c>
      <c r="BE251" s="30">
        <f>IF(BD251="Positive Trend",20,IF(BD251="Negative Trend",-10,0))</f>
        <v/>
      </c>
      <c r="BF251" s="30" t="inlineStr">
        <is>
          <t>Uptrend</t>
        </is>
      </c>
      <c r="BG251" s="30">
        <f>IF(BF251="Uptrend",10,IF(BF251="Sideways",5,0))</f>
        <v/>
      </c>
      <c r="BH251" s="30" t="inlineStr">
        <is>
          <t>Uptrend</t>
        </is>
      </c>
      <c r="BI251" s="30">
        <f>IF(BH251="Uptrend",10,IF(BH251="Sideways",5,0))</f>
        <v/>
      </c>
      <c r="BJ251" s="30" t="inlineStr">
        <is>
          <t>Blue sky scenario</t>
        </is>
      </c>
      <c r="BK251" s="30">
        <f>IF(BJ251="Overhead supply in last 2 years in last 2 years",-5,IF(BJ251="Close to 52 week high or retracement",5,IF(BJ251="Blue sky scenario",10,IF(BJ251="Long term Downtrend",-10,0))))</f>
        <v/>
      </c>
      <c r="BL251" s="30" t="inlineStr">
        <is>
          <t>Yes</t>
        </is>
      </c>
      <c r="BM251" s="30">
        <f>IF(BL251="Yes",10,0)</f>
        <v/>
      </c>
      <c r="BN251" s="30" t="inlineStr">
        <is>
          <t>More than 20%</t>
        </is>
      </c>
      <c r="BO251" s="30">
        <f>IF(BN251="More than 20%",10,IF(BN251="Between 12 to 20%",5,IF(BN251="Less than 12%",0,0)))</f>
        <v/>
      </c>
      <c r="BP251" s="30" t="inlineStr">
        <is>
          <t>No</t>
        </is>
      </c>
      <c r="BQ251" s="30">
        <f>IF(BP251="No",10,0)</f>
        <v/>
      </c>
      <c r="BR251" s="30" t="inlineStr">
        <is>
          <t>Yes</t>
        </is>
      </c>
      <c r="BS251" s="30">
        <f>IF(BR251="NO",5,0)</f>
        <v/>
      </c>
      <c r="BT251" s="30" t="inlineStr">
        <is>
          <t>Above 2</t>
        </is>
      </c>
      <c r="BU251" s="30">
        <f>IF(BT251="Above 2",0,IF(BT251="Between 1.5 to 2",5,IF(BT251="Less than 1.5",10,0)))</f>
        <v/>
      </c>
      <c r="BV251" s="30" t="inlineStr">
        <is>
          <t>Above 70%</t>
        </is>
      </c>
      <c r="BW251" s="30">
        <f>IF(BV251="Above 70%",10,IF(BV251="Between 50% to 70%",5,IF(BV251="Less than 50%",0,IF(BV251="Negative",-10,IF(BV251="Less than 50% and Borrowings are increasing",-5,0)))))</f>
        <v/>
      </c>
      <c r="BX251" s="30" t="inlineStr">
        <is>
          <t>Less than 0.7</t>
        </is>
      </c>
      <c r="BY251" s="30">
        <f>IF(BX251="More than 1.2",-10,IF(BX251="Between 0.7 to 1.2",0,IF(BX251="Less than 0.7",10,0)))</f>
        <v/>
      </c>
      <c r="BZ251" s="30" t="inlineStr">
        <is>
          <t>No</t>
        </is>
      </c>
      <c r="CA251" s="30">
        <f>IF(BZ251="Yes",-10,0)</f>
        <v/>
      </c>
      <c r="CB251" s="30" t="inlineStr">
        <is>
          <t>Less than 15%</t>
        </is>
      </c>
      <c r="CC251" s="30">
        <f>IF(CB251="More than 15%",-10,IF(CB251="Less than 15%",10,0))</f>
        <v/>
      </c>
      <c r="CD251" s="30" t="inlineStr">
        <is>
          <t>No</t>
        </is>
      </c>
      <c r="CE251" s="30">
        <f>IF(CD251="Yes, more than 10%",-10,IF(CD251="No",10,0))</f>
        <v/>
      </c>
    </row>
    <row r="252">
      <c r="A252" s="30">
        <f>IF(B252=0,"",RANK(B252,$B$2:$B$331,0))</f>
        <v/>
      </c>
      <c r="B252" s="31">
        <f>SUM(N252,Y252,AA252,AC252,AE252,AG252,AI252,AK252,AM252,AO252,AQ252,AS252,AU252,AW252,AY252,BA252,BC252,BE252,BG252,BI252,BK252,BM252,BO252,BQ252,BS252,BU252,BW252,BY252,CA252,CC252,CE252)</f>
        <v/>
      </c>
      <c r="C252" s="30" t="inlineStr">
        <is>
          <t>BIL</t>
        </is>
      </c>
      <c r="D252" s="30" t="inlineStr">
        <is>
          <t>Bhartiya International Limited</t>
        </is>
      </c>
      <c r="E252" s="30" t="inlineStr">
        <is>
          <t>consumer discretionary</t>
        </is>
      </c>
      <c r="F252" s="30" t="inlineStr">
        <is>
          <t>leather / leather products</t>
        </is>
      </c>
      <c r="G252" s="30" t="inlineStr">
        <is>
          <t>smallcap</t>
        </is>
      </c>
      <c r="H252" s="31" t="n">
        <v>1486.14</v>
      </c>
      <c r="I252" s="31" t="n">
        <v>1081.7</v>
      </c>
      <c r="J252" s="31" t="n">
        <v>-2.39</v>
      </c>
      <c r="K252" s="31" t="n">
        <v>50377</v>
      </c>
      <c r="L252" s="30" t="n">
        <v>58</v>
      </c>
      <c r="M252" s="30" t="inlineStr">
        <is>
          <t>Outperforming</t>
        </is>
      </c>
      <c r="N252" s="31">
        <f>IF(M252="Underperforming",-5,IF(L252&gt;=95,15,IF(L252&gt;=90,10,IF(L252&gt;=80,5,0))))</f>
        <v/>
      </c>
      <c r="O252" s="31" t="n">
        <v>75.44</v>
      </c>
      <c r="P252" s="31" t="n">
        <v>21.81</v>
      </c>
      <c r="Q252" s="31" t="n">
        <v>804.7</v>
      </c>
      <c r="R252" s="30" t="inlineStr">
        <is>
          <t>Volume Spike &amp; Near 52W High Breakout</t>
        </is>
      </c>
      <c r="S252" s="30" t="inlineStr">
        <is>
          <t>Nifty 50</t>
        </is>
      </c>
      <c r="T252" s="31" t="n">
        <v>-6.52</v>
      </c>
      <c r="U252" s="31" t="n">
        <v>24.83</v>
      </c>
      <c r="V252" s="31" t="n">
        <v>33.53</v>
      </c>
      <c r="W252" s="31" t="n">
        <v>18.11</v>
      </c>
      <c r="X252" s="30" t="inlineStr">
        <is>
          <t>Growing Industry</t>
        </is>
      </c>
      <c r="Y252" s="30">
        <f>IF(X252="Growing Industry",10,IF(X252="Cyclical in an Upturn",5,0))</f>
        <v/>
      </c>
      <c r="Z252" s="30" t="inlineStr">
        <is>
          <t>Too Many Players with High ROCE</t>
        </is>
      </c>
      <c r="AA252" s="30">
        <f>IF(Z252="Monopoly",10,IF(Z252="Oligopoly",5,IF(Z252="Duopoly that cooperate",10,IF(Z252="Duopoly that compete",5,IF(Z252="Too many players with High ROCE",5,0)))))</f>
        <v/>
      </c>
      <c r="AB252" s="30" t="inlineStr">
        <is>
          <t>No</t>
        </is>
      </c>
      <c r="AC252" s="30">
        <f>IF(AB252="No",5,0)</f>
        <v/>
      </c>
      <c r="AD252" s="30" t="inlineStr">
        <is>
          <t>Tailwind</t>
        </is>
      </c>
      <c r="AE252" s="30">
        <f>IF(AD252="Tailwind",10,0)</f>
        <v/>
      </c>
      <c r="AF252" s="30" t="inlineStr">
        <is>
          <t>Structural (10 Years Consistency)</t>
        </is>
      </c>
      <c r="AG252" s="30">
        <f>IF(AF252="Structural (10 Years Consistency)",10,IF(AF252="Shallow Cyclical (2 to 3 years growth)",5,0))</f>
        <v/>
      </c>
      <c r="AH252" s="30" t="inlineStr">
        <is>
          <t>No</t>
        </is>
      </c>
      <c r="AI252" s="30">
        <f>IF(AH252="Yes due to Product Mix change or Operating Leverage",10,IF(AH252="Yes, these are peak margins",-5,IF(AH252="No",5,0)))</f>
        <v/>
      </c>
      <c r="AJ252" s="30" t="inlineStr">
        <is>
          <t>Stable</t>
        </is>
      </c>
      <c r="AK252" s="30">
        <f>IF(AJ252="Stable",10,0)</f>
        <v/>
      </c>
      <c r="AL252" s="30" t="inlineStr">
        <is>
          <t>Yes</t>
        </is>
      </c>
      <c r="AM252" s="30">
        <f>IF(AL252="Yes",10,0)</f>
        <v/>
      </c>
      <c r="AN252" s="30" t="inlineStr">
        <is>
          <t>B2B</t>
        </is>
      </c>
      <c r="AO252" s="30">
        <f>IF(AN252="B2C",10,IF(AN252="B2B",5,0))</f>
        <v/>
      </c>
      <c r="AP252" s="30" t="inlineStr">
        <is>
          <t>Yes</t>
        </is>
      </c>
      <c r="AQ252" s="30">
        <f>IF(AP252="Yes",10,0)</f>
        <v/>
      </c>
      <c r="AR252" s="30" t="inlineStr">
        <is>
          <t>Higher One Time, Lower Annuity</t>
        </is>
      </c>
      <c r="AS252" s="30">
        <f>IF(AR252="Fully Annuity",10,IF(AR252="Higher Annuity, Lower One Time",5,IF(AR252="Higher One Time, Lower Annuity",3,0)))</f>
        <v/>
      </c>
      <c r="AT252" s="30" t="inlineStr">
        <is>
          <t>Good</t>
        </is>
      </c>
      <c r="AU252" s="30">
        <f>IF(AT252="Good",10,0)</f>
        <v/>
      </c>
      <c r="AV252" s="30" t="inlineStr">
        <is>
          <t>Yes for more than 2 years</t>
        </is>
      </c>
      <c r="AW252" s="30">
        <f>IF(AV252="Yes for more than 2 years",10,IF(AV252="Yes only for next 1 to 2 years",5,0))</f>
        <v/>
      </c>
      <c r="AX252" s="30" t="inlineStr">
        <is>
          <t>20 to 40</t>
        </is>
      </c>
      <c r="AY252" s="30">
        <f>IF(AX252="Above 40",20,IF(AX252="20 to 40",10,IF(AX252="0 to 20",-5,0)))</f>
        <v/>
      </c>
      <c r="AZ252" s="30" t="inlineStr">
        <is>
          <t>Above 75</t>
        </is>
      </c>
      <c r="BA252" s="30">
        <f>IF(AZ252="Between 50 to 75",10,IF(AZ252="Above 75",0,0))</f>
        <v/>
      </c>
      <c r="BB252" s="30" t="inlineStr">
        <is>
          <t>Stage 2</t>
        </is>
      </c>
      <c r="BC252" s="30">
        <f>IF(BB252="Stage 2",20,IF(BB252="Stage 1",0,IF(BB252="Stage 3",5,IF(BB252="Stage 4",-5,0))))</f>
        <v/>
      </c>
      <c r="BD252" s="30" t="inlineStr">
        <is>
          <t>Positive Trend</t>
        </is>
      </c>
      <c r="BE252" s="30">
        <f>IF(BD252="Positive Trend",20,IF(BD252="Negative Trend",-10,0))</f>
        <v/>
      </c>
      <c r="BF252" s="30" t="inlineStr">
        <is>
          <t>Uptrend</t>
        </is>
      </c>
      <c r="BG252" s="30">
        <f>IF(BF252="Uptrend",10,IF(BF252="Sideways",5,0))</f>
        <v/>
      </c>
      <c r="BH252" s="30" t="inlineStr">
        <is>
          <t>Uptrend</t>
        </is>
      </c>
      <c r="BI252" s="30">
        <f>IF(BH252="Uptrend",10,IF(BH252="Sideways",5,0))</f>
        <v/>
      </c>
      <c r="BJ252" s="30" t="inlineStr">
        <is>
          <t>Blue sky scenario</t>
        </is>
      </c>
      <c r="BK252" s="30">
        <f>IF(BJ252="Overhead supply in last 2 years in last 2 years",-5,IF(BJ252="Close to 52 week high or retracement",5,IF(BJ252="Blue sky scenario",10,IF(BJ252="Long term Downtrend",-10,0))))</f>
        <v/>
      </c>
      <c r="BL252" s="30" t="inlineStr">
        <is>
          <t>Yes</t>
        </is>
      </c>
      <c r="BM252" s="30">
        <f>IF(BL252="Yes",10,0)</f>
        <v/>
      </c>
      <c r="BN252" s="30" t="inlineStr">
        <is>
          <t>More than 20%</t>
        </is>
      </c>
      <c r="BO252" s="30">
        <f>IF(BN252="More than 20%",10,IF(BN252="Between 12 to 20%",5,IF(BN252="Less than 12%",0,0)))</f>
        <v/>
      </c>
      <c r="BP252" s="30" t="inlineStr">
        <is>
          <t>No</t>
        </is>
      </c>
      <c r="BQ252" s="30">
        <f>IF(BP252="No",10,0)</f>
        <v/>
      </c>
      <c r="BR252" s="30" t="inlineStr">
        <is>
          <t>Yes</t>
        </is>
      </c>
      <c r="BS252" s="30">
        <f>IF(BR252="NO",5,0)</f>
        <v/>
      </c>
      <c r="BT252" s="30" t="inlineStr">
        <is>
          <t>Above 2</t>
        </is>
      </c>
      <c r="BU252" s="30">
        <f>IF(BT252="Above 2",0,IF(BT252="Between 1.5 to 2",5,IF(BT252="Less than 1.5",10,0)))</f>
        <v/>
      </c>
      <c r="BV252" s="30" t="inlineStr">
        <is>
          <t>Above 70%</t>
        </is>
      </c>
      <c r="BW252" s="30">
        <f>IF(BV252="Above 70%",10,IF(BV252="Between 50% to 70%",5,IF(BV252="Less than 50%",0,IF(BV252="Negative",-10,IF(BV252="Less than 50% and Borrowings are increasing",-5,0)))))</f>
        <v/>
      </c>
      <c r="BX252" s="30" t="inlineStr">
        <is>
          <t>Between 0.7 to 1.2</t>
        </is>
      </c>
      <c r="BY252" s="30">
        <f>IF(BX252="More than 1.2",-10,IF(BX252="Between 0.7 to 1.2",0,IF(BX252="Less than 0.7",10,0)))</f>
        <v/>
      </c>
      <c r="BZ252" s="30" t="inlineStr">
        <is>
          <t>No</t>
        </is>
      </c>
      <c r="CA252" s="30">
        <f>IF(BZ252="Yes",-10,0)</f>
        <v/>
      </c>
      <c r="CB252" s="30" t="inlineStr">
        <is>
          <t>Less than 15%</t>
        </is>
      </c>
      <c r="CC252" s="30">
        <f>IF(CB252="More than 15%",-10,IF(CB252="Less than 15%",10,0))</f>
        <v/>
      </c>
      <c r="CD252" s="30" t="inlineStr">
        <is>
          <t>No</t>
        </is>
      </c>
      <c r="CE252" s="30">
        <f>IF(CD252="Yes, more than 10%",-10,IF(CD252="No",10,0))</f>
        <v/>
      </c>
    </row>
    <row r="253">
      <c r="A253" s="30">
        <f>IF(B253=0,"",RANK(B253,$B$2:$B$331,0))</f>
        <v/>
      </c>
      <c r="B253" s="31">
        <f>SUM(N253,Y253,AA253,AC253,AE253,AG253,AI253,AK253,AM253,AO253,AQ253,AS253,AU253,AW253,AY253,BA253,BC253,BE253,BG253,BI253,BK253,BM253,BO253,BQ253,BS253,BU253,BW253,BY253,CA253,CC253,CE253)</f>
        <v/>
      </c>
      <c r="C253" s="30" t="inlineStr">
        <is>
          <t>GVT&amp;D</t>
        </is>
      </c>
      <c r="D253" s="30" t="inlineStr">
        <is>
          <t>GE Vernova T&amp;D India Ltd</t>
        </is>
      </c>
      <c r="E253" s="30" t="inlineStr">
        <is>
          <t>industrials</t>
        </is>
      </c>
      <c r="F253" s="30" t="inlineStr">
        <is>
          <t>electric equipment</t>
        </is>
      </c>
      <c r="G253" s="30" t="inlineStr">
        <is>
          <t>largecap</t>
        </is>
      </c>
      <c r="H253" s="31" t="n">
        <v>119650.55</v>
      </c>
      <c r="I253" s="31" t="n">
        <v>4545</v>
      </c>
      <c r="J253" s="31" t="n">
        <v>-2.74</v>
      </c>
      <c r="K253" s="31" t="n">
        <v>685310</v>
      </c>
      <c r="L253" s="30" t="n">
        <v>31</v>
      </c>
      <c r="M253" s="30" t="inlineStr">
        <is>
          <t>Outperforming</t>
        </is>
      </c>
      <c r="N253" s="31">
        <f>IF(M253="Underperforming",-5,IF(L253&gt;=95,15,IF(L253&gt;=90,10,IF(L253&gt;=80,5,0))))</f>
        <v/>
      </c>
      <c r="O253" s="31" t="n">
        <v>55.01</v>
      </c>
      <c r="P253" s="31" t="n">
        <v>27.56</v>
      </c>
      <c r="Q253" s="31" t="n">
        <v>4178.22</v>
      </c>
      <c r="R253" s="30" t="inlineStr">
        <is>
          <t>Earnings / Momentum Support</t>
        </is>
      </c>
      <c r="S253" s="30" t="inlineStr">
        <is>
          <t>Nifty 500</t>
        </is>
      </c>
      <c r="T253" s="31" t="n">
        <v>-1.03</v>
      </c>
      <c r="U253" s="31" t="n">
        <v>63.41</v>
      </c>
      <c r="V253" s="31" t="n">
        <v>65.11</v>
      </c>
      <c r="W253" s="31" t="n">
        <v>9.81</v>
      </c>
      <c r="X253" s="30" t="inlineStr">
        <is>
          <t>Cyclical in an Upturn</t>
        </is>
      </c>
      <c r="Y253" s="30">
        <f>IF(X253="Growing Industry",10,IF(X253="Cyclical in an Upturn",5,0))</f>
        <v/>
      </c>
      <c r="Z253" s="30" t="inlineStr">
        <is>
          <t>Too Many Players with High ROCE</t>
        </is>
      </c>
      <c r="AA253" s="30">
        <f>IF(Z253="Monopoly",10,IF(Z253="Oligopoly",5,IF(Z253="Duopoly that cooperate",10,IF(Z253="Duopoly that compete",5,IF(Z253="Too many players with High ROCE",5,0)))))</f>
        <v/>
      </c>
      <c r="AB253" s="30" t="inlineStr">
        <is>
          <t>No</t>
        </is>
      </c>
      <c r="AC253" s="30">
        <f>IF(AB253="No",5,0)</f>
        <v/>
      </c>
      <c r="AD253" s="30" t="inlineStr">
        <is>
          <t>Tailwind</t>
        </is>
      </c>
      <c r="AE253" s="30">
        <f>IF(AD253="Tailwind",10,0)</f>
        <v/>
      </c>
      <c r="AF253" s="30" t="inlineStr">
        <is>
          <t>Structural (10 Years Consistency)</t>
        </is>
      </c>
      <c r="AG253" s="30">
        <f>IF(AF253="Structural (10 Years Consistency)",10,IF(AF253="Shallow Cyclical (2 to 3 years growth)",5,0))</f>
        <v/>
      </c>
      <c r="AH253" s="30" t="inlineStr">
        <is>
          <t>No</t>
        </is>
      </c>
      <c r="AI253" s="30">
        <f>IF(AH253="Yes due to Product Mix change or Operating Leverage",10,IF(AH253="Yes, these are peak margins",-5,IF(AH253="No",5,0)))</f>
        <v/>
      </c>
      <c r="AJ253" s="30" t="inlineStr">
        <is>
          <t>Stable</t>
        </is>
      </c>
      <c r="AK253" s="30">
        <f>IF(AJ253="Stable",10,0)</f>
        <v/>
      </c>
      <c r="AL253" s="30" t="inlineStr">
        <is>
          <t>Yes</t>
        </is>
      </c>
      <c r="AM253" s="30">
        <f>IF(AL253="Yes",10,0)</f>
        <v/>
      </c>
      <c r="AN253" s="30" t="inlineStr">
        <is>
          <t>B2B</t>
        </is>
      </c>
      <c r="AO253" s="30">
        <f>IF(AN253="B2C",10,IF(AN253="B2B",5,0))</f>
        <v/>
      </c>
      <c r="AP253" s="30" t="inlineStr">
        <is>
          <t>No</t>
        </is>
      </c>
      <c r="AQ253" s="30">
        <f>IF(AP253="Yes",10,0)</f>
        <v/>
      </c>
      <c r="AR253" s="30" t="inlineStr">
        <is>
          <t>Higher One Time, Lower Annuity</t>
        </is>
      </c>
      <c r="AS253" s="30">
        <f>IF(AR253="Fully Annuity",10,IF(AR253="Higher Annuity, Lower One Time",5,IF(AR253="Higher One Time, Lower Annuity",3,0)))</f>
        <v/>
      </c>
      <c r="AT253" s="30" t="inlineStr">
        <is>
          <t>Good</t>
        </is>
      </c>
      <c r="AU253" s="30">
        <f>IF(AT253="Good",10,0)</f>
        <v/>
      </c>
      <c r="AV253" s="30" t="inlineStr">
        <is>
          <t>Yes for more than 2 years</t>
        </is>
      </c>
      <c r="AW253" s="30">
        <f>IF(AV253="Yes for more than 2 years",10,IF(AV253="Yes only for next 1 to 2 years",5,0))</f>
        <v/>
      </c>
      <c r="AX253" s="30" t="inlineStr">
        <is>
          <t>20 to 40</t>
        </is>
      </c>
      <c r="AY253" s="30">
        <f>IF(AX253="Above 40",20,IF(AX253="20 to 40",10,IF(AX253="0 to 20",-5,0)))</f>
        <v/>
      </c>
      <c r="AZ253" s="30" t="inlineStr">
        <is>
          <t>Between 50 to 75</t>
        </is>
      </c>
      <c r="BA253" s="30">
        <f>IF(AZ253="Between 50 to 75",10,IF(AZ253="Above 75",0,0))</f>
        <v/>
      </c>
      <c r="BB253" s="30" t="inlineStr">
        <is>
          <t>Stage 2</t>
        </is>
      </c>
      <c r="BC253" s="30">
        <f>IF(BB253="Stage 2",20,IF(BB253="Stage 1",0,IF(BB253="Stage 3",5,IF(BB253="Stage 4",-5,0))))</f>
        <v/>
      </c>
      <c r="BD253" s="30" t="inlineStr">
        <is>
          <t>Positive Trend</t>
        </is>
      </c>
      <c r="BE253" s="30">
        <f>IF(BD253="Positive Trend",20,IF(BD253="Negative Trend",-10,0))</f>
        <v/>
      </c>
      <c r="BF253" s="30" t="inlineStr">
        <is>
          <t>Uptrend</t>
        </is>
      </c>
      <c r="BG253" s="30">
        <f>IF(BF253="Uptrend",10,IF(BF253="Sideways",5,0))</f>
        <v/>
      </c>
      <c r="BH253" s="30" t="inlineStr">
        <is>
          <t>Uptrend</t>
        </is>
      </c>
      <c r="BI253" s="30">
        <f>IF(BH253="Uptrend",10,IF(BH253="Sideways",5,0))</f>
        <v/>
      </c>
      <c r="BJ253" s="30" t="inlineStr">
        <is>
          <t>Close to 52 week high or retracement</t>
        </is>
      </c>
      <c r="BK253" s="30">
        <f>IF(BJ253="Overhead supply in last 2 years in last 2 years",-5,IF(BJ253="Close to 52 week high or retracement",5,IF(BJ253="Blue sky scenario",10,IF(BJ253="Long term Downtrend",-10,0))))</f>
        <v/>
      </c>
      <c r="BL253" s="30" t="inlineStr">
        <is>
          <t>Yes</t>
        </is>
      </c>
      <c r="BM253" s="30">
        <f>IF(BL253="Yes",10,0)</f>
        <v/>
      </c>
      <c r="BN253" s="30" t="inlineStr">
        <is>
          <t>More than 20%</t>
        </is>
      </c>
      <c r="BO253" s="30">
        <f>IF(BN253="More than 20%",10,IF(BN253="Between 12 to 20%",5,IF(BN253="Less than 12%",0,0)))</f>
        <v/>
      </c>
      <c r="BP253" s="30" t="inlineStr">
        <is>
          <t>No</t>
        </is>
      </c>
      <c r="BQ253" s="30">
        <f>IF(BP253="No",10,0)</f>
        <v/>
      </c>
      <c r="BR253" s="30" t="inlineStr">
        <is>
          <t>Yes</t>
        </is>
      </c>
      <c r="BS253" s="30">
        <f>IF(BR253="NO",5,0)</f>
        <v/>
      </c>
      <c r="BT253" s="30" t="inlineStr">
        <is>
          <t>Above 2</t>
        </is>
      </c>
      <c r="BU253" s="30">
        <f>IF(BT253="Above 2",0,IF(BT253="Between 1.5 to 2",5,IF(BT253="Less than 1.5",10,0)))</f>
        <v/>
      </c>
      <c r="BV253" s="30" t="inlineStr">
        <is>
          <t>Above 70%</t>
        </is>
      </c>
      <c r="BW253" s="30">
        <f>IF(BV253="Above 70%",10,IF(BV253="Between 50% to 70%",5,IF(BV253="Less than 50%",0,IF(BV253="Negative",-10,IF(BV253="Less than 50% and Borrowings are increasing",-5,0)))))</f>
        <v/>
      </c>
      <c r="BX253" s="30" t="inlineStr">
        <is>
          <t>Less than 0.7</t>
        </is>
      </c>
      <c r="BY253" s="30">
        <f>IF(BX253="More than 1.2",-10,IF(BX253="Between 0.7 to 1.2",0,IF(BX253="Less than 0.7",10,0)))</f>
        <v/>
      </c>
      <c r="BZ253" s="30" t="inlineStr">
        <is>
          <t>No</t>
        </is>
      </c>
      <c r="CA253" s="30">
        <f>IF(BZ253="Yes",-10,0)</f>
        <v/>
      </c>
      <c r="CB253" s="30" t="inlineStr">
        <is>
          <t>Less than 15%</t>
        </is>
      </c>
      <c r="CC253" s="30">
        <f>IF(CB253="More than 15%",-10,IF(CB253="Less than 15%",10,0))</f>
        <v/>
      </c>
      <c r="CD253" s="30" t="inlineStr">
        <is>
          <t>No</t>
        </is>
      </c>
      <c r="CE253" s="30">
        <f>IF(CD253="Yes, more than 10%",-10,IF(CD253="No",10,0))</f>
        <v/>
      </c>
    </row>
    <row r="254">
      <c r="A254" s="30">
        <f>IF(B254=0,"",RANK(B254,$B$2:$B$331,0))</f>
        <v/>
      </c>
      <c r="B254" s="31">
        <f>SUM(N254,Y254,AA254,AC254,AE254,AG254,AI254,AK254,AM254,AO254,AQ254,AS254,AU254,AW254,AY254,BA254,BC254,BE254,BG254,BI254,BK254,BM254,BO254,BQ254,BS254,BU254,BW254,BY254,CA254,CC254,CE254)</f>
        <v/>
      </c>
      <c r="C254" s="30" t="inlineStr">
        <is>
          <t>APLAPOLLO</t>
        </is>
      </c>
      <c r="D254" s="30" t="inlineStr">
        <is>
          <t>Apl Apollo Tubes Limited</t>
        </is>
      </c>
      <c r="E254" s="30" t="inlineStr">
        <is>
          <t>industrials</t>
        </is>
      </c>
      <c r="F254" s="30" t="inlineStr">
        <is>
          <t>steel - large</t>
        </is>
      </c>
      <c r="G254" s="30" t="inlineStr">
        <is>
          <t>largecap</t>
        </is>
      </c>
      <c r="H254" s="31" t="n">
        <v>60196.34</v>
      </c>
      <c r="I254" s="31" t="n">
        <v>2194.8</v>
      </c>
      <c r="J254" s="31" t="n">
        <v>1.24</v>
      </c>
      <c r="K254" s="31" t="n">
        <v>292273</v>
      </c>
      <c r="L254" s="30" t="n">
        <v>31</v>
      </c>
      <c r="M254" s="30" t="inlineStr">
        <is>
          <t>Outperforming</t>
        </is>
      </c>
      <c r="N254" s="31">
        <f>IF(M254="Underperforming",-5,IF(L254&gt;=95,15,IF(L254&gt;=90,10,IF(L254&gt;=80,5,0))))</f>
        <v/>
      </c>
      <c r="O254" s="31" t="n">
        <v>64.55</v>
      </c>
      <c r="P254" s="31" t="n">
        <v>21.69</v>
      </c>
      <c r="Q254" s="31" t="n">
        <v>1912.06</v>
      </c>
      <c r="R254" s="30" t="inlineStr">
        <is>
          <t>Near 52W High Breakout</t>
        </is>
      </c>
      <c r="S254" s="30" t="inlineStr">
        <is>
          <t>Nifty Metal</t>
        </is>
      </c>
      <c r="T254" s="31" t="n">
        <v>41.17</v>
      </c>
      <c r="U254" s="31" t="n">
        <v>43.28</v>
      </c>
      <c r="V254" s="31" t="n">
        <v>1.5</v>
      </c>
      <c r="W254" s="31" t="n">
        <v>9.630000000000001</v>
      </c>
      <c r="X254" s="30" t="inlineStr">
        <is>
          <t>Cyclical in an Upturn</t>
        </is>
      </c>
      <c r="Y254" s="30">
        <f>IF(X254="Growing Industry",10,IF(X254="Cyclical in an Upturn",5,0))</f>
        <v/>
      </c>
      <c r="Z254" s="30" t="inlineStr">
        <is>
          <t>Oligopoly</t>
        </is>
      </c>
      <c r="AA254" s="30">
        <f>IF(Z254="Monopoly",10,IF(Z254="Oligopoly",5,IF(Z254="Duopoly that cooperate",10,IF(Z254="Duopoly that compete",5,IF(Z254="Too many players with High ROCE",5,0)))))</f>
        <v/>
      </c>
      <c r="AB254" s="30" t="inlineStr">
        <is>
          <t>No</t>
        </is>
      </c>
      <c r="AC254" s="30">
        <f>IF(AB254="No",5,0)</f>
        <v/>
      </c>
      <c r="AD254" s="30" t="inlineStr">
        <is>
          <t>Tailwind</t>
        </is>
      </c>
      <c r="AE254" s="30">
        <f>IF(AD254="Tailwind",10,0)</f>
        <v/>
      </c>
      <c r="AF254" s="30" t="inlineStr">
        <is>
          <t>Cyclical</t>
        </is>
      </c>
      <c r="AG254" s="30">
        <f>IF(AF254="Structural (10 Years Consistency)",10,IF(AF254="Shallow Cyclical (2 to 3 years growth)",5,0))</f>
        <v/>
      </c>
      <c r="AH254" s="30" t="inlineStr">
        <is>
          <t>No</t>
        </is>
      </c>
      <c r="AI254" s="30">
        <f>IF(AH254="Yes due to Product Mix change or Operating Leverage",10,IF(AH254="Yes, these are peak margins",-5,IF(AH254="No",5,0)))</f>
        <v/>
      </c>
      <c r="AJ254" s="30" t="inlineStr">
        <is>
          <t>Stable</t>
        </is>
      </c>
      <c r="AK254" s="30">
        <f>IF(AJ254="Stable",10,0)</f>
        <v/>
      </c>
      <c r="AL254" s="30" t="inlineStr">
        <is>
          <t>Yes</t>
        </is>
      </c>
      <c r="AM254" s="30">
        <f>IF(AL254="Yes",10,0)</f>
        <v/>
      </c>
      <c r="AN254" s="30" t="inlineStr">
        <is>
          <t>B2C</t>
        </is>
      </c>
      <c r="AO254" s="30">
        <f>IF(AN254="B2C",10,IF(AN254="B2B",5,0))</f>
        <v/>
      </c>
      <c r="AP254" s="30" t="inlineStr">
        <is>
          <t>Yes</t>
        </is>
      </c>
      <c r="AQ254" s="30">
        <f>IF(AP254="Yes",10,0)</f>
        <v/>
      </c>
      <c r="AR254" s="30" t="inlineStr">
        <is>
          <t>Fully One Time</t>
        </is>
      </c>
      <c r="AS254" s="30">
        <f>IF(AR254="Fully Annuity",10,IF(AR254="Higher Annuity, Lower One Time",5,IF(AR254="Higher One Time, Lower Annuity",3,0)))</f>
        <v/>
      </c>
      <c r="AT254" s="30" t="inlineStr">
        <is>
          <t>Good</t>
        </is>
      </c>
      <c r="AU254" s="30">
        <f>IF(AT254="Good",10,0)</f>
        <v/>
      </c>
      <c r="AV254" s="30" t="inlineStr">
        <is>
          <t>Yes for more than 2 years</t>
        </is>
      </c>
      <c r="AW254" s="30">
        <f>IF(AV254="Yes for more than 2 years",10,IF(AV254="Yes only for next 1 to 2 years",5,0))</f>
        <v/>
      </c>
      <c r="AX254" s="30" t="inlineStr">
        <is>
          <t>Above 40</t>
        </is>
      </c>
      <c r="AY254" s="30">
        <f>IF(AX254="Above 40",20,IF(AX254="20 to 40",10,IF(AX254="0 to 20",-5,0)))</f>
        <v/>
      </c>
      <c r="AZ254" s="30" t="inlineStr">
        <is>
          <t>Above 75</t>
        </is>
      </c>
      <c r="BA254" s="30">
        <f>IF(AZ254="Between 50 to 75",10,IF(AZ254="Above 75",0,0))</f>
        <v/>
      </c>
      <c r="BB254" s="30" t="inlineStr">
        <is>
          <t>Stage 2</t>
        </is>
      </c>
      <c r="BC254" s="30">
        <f>IF(BB254="Stage 2",20,IF(BB254="Stage 1",0,IF(BB254="Stage 3",5,IF(BB254="Stage 4",-5,0))))</f>
        <v/>
      </c>
      <c r="BD254" s="30" t="inlineStr">
        <is>
          <t>Positive Trend</t>
        </is>
      </c>
      <c r="BE254" s="30">
        <f>IF(BD254="Positive Trend",20,IF(BD254="Negative Trend",-10,0))</f>
        <v/>
      </c>
      <c r="BF254" s="30" t="inlineStr">
        <is>
          <t>Uptrend</t>
        </is>
      </c>
      <c r="BG254" s="30">
        <f>IF(BF254="Uptrend",10,IF(BF254="Sideways",5,0))</f>
        <v/>
      </c>
      <c r="BH254" s="30" t="inlineStr">
        <is>
          <t>Uptrend</t>
        </is>
      </c>
      <c r="BI254" s="30">
        <f>IF(BH254="Uptrend",10,IF(BH254="Sideways",5,0))</f>
        <v/>
      </c>
      <c r="BJ254" s="30" t="inlineStr">
        <is>
          <t>Close to 52 week high or retracement</t>
        </is>
      </c>
      <c r="BK254" s="30">
        <f>IF(BJ254="Overhead supply in last 2 years in last 2 years",-5,IF(BJ254="Close to 52 week high or retracement",5,IF(BJ254="Blue sky scenario",10,IF(BJ254="Long term Downtrend",-10,0))))</f>
        <v/>
      </c>
      <c r="BL254" s="30" t="inlineStr">
        <is>
          <t>Yes</t>
        </is>
      </c>
      <c r="BM254" s="30">
        <f>IF(BL254="Yes",10,0)</f>
        <v/>
      </c>
      <c r="BN254" s="30" t="inlineStr">
        <is>
          <t>More than 20%</t>
        </is>
      </c>
      <c r="BO254" s="30">
        <f>IF(BN254="More than 20%",10,IF(BN254="Between 12 to 20%",5,IF(BN254="Less than 12%",0,0)))</f>
        <v/>
      </c>
      <c r="BP254" s="30" t="inlineStr">
        <is>
          <t>Yes</t>
        </is>
      </c>
      <c r="BQ254" s="30">
        <f>IF(BP254="No",10,0)</f>
        <v/>
      </c>
      <c r="BR254" s="30" t="inlineStr">
        <is>
          <t>Yes</t>
        </is>
      </c>
      <c r="BS254" s="30">
        <f>IF(BR254="NO",5,0)</f>
        <v/>
      </c>
      <c r="BT254" s="30" t="inlineStr">
        <is>
          <t>Between 1.5 to 2</t>
        </is>
      </c>
      <c r="BU254" s="30">
        <f>IF(BT254="Above 2",0,IF(BT254="Between 1.5 to 2",5,IF(BT254="Less than 1.5",10,0)))</f>
        <v/>
      </c>
      <c r="BV254" s="30" t="inlineStr">
        <is>
          <t>Above 70%</t>
        </is>
      </c>
      <c r="BW254" s="30">
        <f>IF(BV254="Above 70%",10,IF(BV254="Between 50% to 70%",5,IF(BV254="Less than 50%",0,IF(BV254="Negative",-10,IF(BV254="Less than 50% and Borrowings are increasing",-5,0)))))</f>
        <v/>
      </c>
      <c r="BX254" s="30" t="inlineStr">
        <is>
          <t>Less than 0.7</t>
        </is>
      </c>
      <c r="BY254" s="30">
        <f>IF(BX254="More than 1.2",-10,IF(BX254="Between 0.7 to 1.2",0,IF(BX254="Less than 0.7",10,0)))</f>
        <v/>
      </c>
      <c r="BZ254" s="30" t="inlineStr">
        <is>
          <t>No</t>
        </is>
      </c>
      <c r="CA254" s="30">
        <f>IF(BZ254="Yes",-10,0)</f>
        <v/>
      </c>
      <c r="CB254" s="30" t="inlineStr">
        <is>
          <t>Less than 15%</t>
        </is>
      </c>
      <c r="CC254" s="30">
        <f>IF(CB254="More than 15%",-10,IF(CB254="Less than 15%",10,0))</f>
        <v/>
      </c>
      <c r="CD254" s="30" t="inlineStr">
        <is>
          <t>No</t>
        </is>
      </c>
      <c r="CE254" s="30">
        <f>IF(CD254="Yes, more than 10%",-10,IF(CD254="No",10,0))</f>
        <v/>
      </c>
    </row>
    <row r="255">
      <c r="A255" s="30">
        <f>IF(B255=0,"",RANK(B255,$B$2:$B$331,0))</f>
        <v/>
      </c>
      <c r="B255" s="31">
        <f>SUM(N255,Y255,AA255,AC255,AE255,AG255,AI255,AK255,AM255,AO255,AQ255,AS255,AU255,AW255,AY255,BA255,BC255,BE255,BG255,BI255,BK255,BM255,BO255,BQ255,BS255,BU255,BW255,BY255,CA255,CC255,CE255)</f>
        <v/>
      </c>
      <c r="C255" s="30" t="inlineStr">
        <is>
          <t>HATSUN</t>
        </is>
      </c>
      <c r="D255" s="30" t="inlineStr">
        <is>
          <t>Hatsun Agro Product Limited</t>
        </is>
      </c>
      <c r="E255" s="30" t="inlineStr">
        <is>
          <t>fmcg</t>
        </is>
      </c>
      <c r="F255" s="30" t="inlineStr">
        <is>
          <t>food - processing - indian</t>
        </is>
      </c>
      <c r="G255" s="30" t="inlineStr">
        <is>
          <t>largecap</t>
        </is>
      </c>
      <c r="H255" s="31" t="n">
        <v>26709.74</v>
      </c>
      <c r="I255" s="31" t="n">
        <v>1194.5</v>
      </c>
      <c r="J255" s="31" t="n">
        <v>-0.38</v>
      </c>
      <c r="K255" s="31" t="n">
        <v>31094</v>
      </c>
      <c r="L255" s="30" t="n">
        <v>34</v>
      </c>
      <c r="M255" s="30" t="inlineStr">
        <is>
          <t>Outperforming</t>
        </is>
      </c>
      <c r="N255" s="31">
        <f>IF(M255="Underperforming",-5,IF(L255&gt;=95,15,IF(L255&gt;=90,10,IF(L255&gt;=80,5,0))))</f>
        <v/>
      </c>
      <c r="O255" s="31" t="n">
        <v>76.15000000000001</v>
      </c>
      <c r="P255" s="31" t="n">
        <v>22.34</v>
      </c>
      <c r="Q255" s="31" t="n">
        <v>979.1799999999999</v>
      </c>
      <c r="R255" s="30" t="inlineStr">
        <is>
          <t>Near 52W High Breakout</t>
        </is>
      </c>
      <c r="S255" s="30" t="inlineStr">
        <is>
          <t>Nifty FMCG</t>
        </is>
      </c>
      <c r="T255" s="31" t="n">
        <v>-17.21</v>
      </c>
      <c r="U255" s="31" t="n">
        <v>30.86</v>
      </c>
      <c r="V255" s="31" t="n">
        <v>58.07</v>
      </c>
      <c r="W255" s="31" t="n">
        <v>10.32</v>
      </c>
      <c r="X255" s="30" t="inlineStr">
        <is>
          <t>Growing Industry</t>
        </is>
      </c>
      <c r="Y255" s="30">
        <f>IF(X255="Growing Industry",10,IF(X255="Cyclical in an Upturn",5,0))</f>
        <v/>
      </c>
      <c r="Z255" s="30" t="inlineStr">
        <is>
          <t>Too Many Players with High ROCE</t>
        </is>
      </c>
      <c r="AA255" s="30">
        <f>IF(Z255="Monopoly",10,IF(Z255="Oligopoly",5,IF(Z255="Duopoly that cooperate",10,IF(Z255="Duopoly that compete",5,IF(Z255="Too many players with High ROCE",5,0)))))</f>
        <v/>
      </c>
      <c r="AB255" s="30" t="inlineStr">
        <is>
          <t>No</t>
        </is>
      </c>
      <c r="AC255" s="30">
        <f>IF(AB255="No",5,0)</f>
        <v/>
      </c>
      <c r="AD255" s="30" t="inlineStr">
        <is>
          <t>Tailwind</t>
        </is>
      </c>
      <c r="AE255" s="30">
        <f>IF(AD255="Tailwind",10,0)</f>
        <v/>
      </c>
      <c r="AF255" s="30" t="inlineStr">
        <is>
          <t>Structural (10 Years Consistency)</t>
        </is>
      </c>
      <c r="AG255" s="30">
        <f>IF(AF255="Structural (10 Years Consistency)",10,IF(AF255="Shallow Cyclical (2 to 3 years growth)",5,0))</f>
        <v/>
      </c>
      <c r="AH255" s="30" t="inlineStr">
        <is>
          <t>No</t>
        </is>
      </c>
      <c r="AI255" s="30">
        <f>IF(AH255="Yes due to Product Mix change or Operating Leverage",10,IF(AH255="Yes, these are peak margins",-5,IF(AH255="No",5,0)))</f>
        <v/>
      </c>
      <c r="AJ255" s="30" t="inlineStr">
        <is>
          <t>Stable</t>
        </is>
      </c>
      <c r="AK255" s="30">
        <f>IF(AJ255="Stable",10,0)</f>
        <v/>
      </c>
      <c r="AL255" s="30" t="inlineStr">
        <is>
          <t>Yes</t>
        </is>
      </c>
      <c r="AM255" s="30">
        <f>IF(AL255="Yes",10,0)</f>
        <v/>
      </c>
      <c r="AN255" s="30" t="inlineStr">
        <is>
          <t>B2C</t>
        </is>
      </c>
      <c r="AO255" s="30">
        <f>IF(AN255="B2C",10,IF(AN255="B2B",5,0))</f>
        <v/>
      </c>
      <c r="AP255" s="30" t="inlineStr">
        <is>
          <t>Yes</t>
        </is>
      </c>
      <c r="AQ255" s="30">
        <f>IF(AP255="Yes",10,0)</f>
        <v/>
      </c>
      <c r="AR255" s="30" t="inlineStr">
        <is>
          <t>Higher Annuity, Lower One Time</t>
        </is>
      </c>
      <c r="AS255" s="30">
        <f>IF(AR255="Fully Annuity",10,IF(AR255="Higher Annuity, Lower One Time",5,IF(AR255="Higher One Time, Lower Annuity",3,0)))</f>
        <v/>
      </c>
      <c r="AT255" s="30" t="inlineStr">
        <is>
          <t>Good</t>
        </is>
      </c>
      <c r="AU255" s="30">
        <f>IF(AT255="Good",10,0)</f>
        <v/>
      </c>
      <c r="AV255" s="30" t="inlineStr">
        <is>
          <t>Yes for more than 2 years</t>
        </is>
      </c>
      <c r="AW255" s="30">
        <f>IF(AV255="Yes for more than 2 years",10,IF(AV255="Yes only for next 1 to 2 years",5,0))</f>
        <v/>
      </c>
      <c r="AX255" s="30" t="inlineStr">
        <is>
          <t>20 to 40</t>
        </is>
      </c>
      <c r="AY255" s="30">
        <f>IF(AX255="Above 40",20,IF(AX255="20 to 40",10,IF(AX255="0 to 20",-5,0)))</f>
        <v/>
      </c>
      <c r="AZ255" s="30" t="inlineStr">
        <is>
          <t>Above 75</t>
        </is>
      </c>
      <c r="BA255" s="30">
        <f>IF(AZ255="Between 50 to 75",10,IF(AZ255="Above 75",0,0))</f>
        <v/>
      </c>
      <c r="BB255" s="30" t="inlineStr">
        <is>
          <t>Stage 2</t>
        </is>
      </c>
      <c r="BC255" s="30">
        <f>IF(BB255="Stage 2",20,IF(BB255="Stage 1",0,IF(BB255="Stage 3",5,IF(BB255="Stage 4",-5,0))))</f>
        <v/>
      </c>
      <c r="BD255" s="30" t="inlineStr">
        <is>
          <t>Positive Trend</t>
        </is>
      </c>
      <c r="BE255" s="30">
        <f>IF(BD255="Positive Trend",20,IF(BD255="Negative Trend",-10,0))</f>
        <v/>
      </c>
      <c r="BF255" s="30" t="inlineStr">
        <is>
          <t>Uptrend</t>
        </is>
      </c>
      <c r="BG255" s="30">
        <f>IF(BF255="Uptrend",10,IF(BF255="Sideways",5,0))</f>
        <v/>
      </c>
      <c r="BH255" s="30" t="inlineStr">
        <is>
          <t>Uptrend</t>
        </is>
      </c>
      <c r="BI255" s="30">
        <f>IF(BH255="Uptrend",10,IF(BH255="Sideways",5,0))</f>
        <v/>
      </c>
      <c r="BJ255" s="30" t="inlineStr">
        <is>
          <t>Blue sky scenario</t>
        </is>
      </c>
      <c r="BK255" s="30">
        <f>IF(BJ255="Overhead supply in last 2 years in last 2 years",-5,IF(BJ255="Close to 52 week high or retracement",5,IF(BJ255="Blue sky scenario",10,IF(BJ255="Long term Downtrend",-10,0))))</f>
        <v/>
      </c>
      <c r="BL255" s="30" t="inlineStr">
        <is>
          <t>Yes</t>
        </is>
      </c>
      <c r="BM255" s="30">
        <f>IF(BL255="Yes",10,0)</f>
        <v/>
      </c>
      <c r="BN255" s="30" t="inlineStr">
        <is>
          <t>Less than 12%</t>
        </is>
      </c>
      <c r="BO255" s="30">
        <f>IF(BN255="More than 20%",10,IF(BN255="Between 12 to 20%",5,IF(BN255="Less than 12%",0,0)))</f>
        <v/>
      </c>
      <c r="BP255" s="30" t="inlineStr">
        <is>
          <t>No</t>
        </is>
      </c>
      <c r="BQ255" s="30">
        <f>IF(BP255="No",10,0)</f>
        <v/>
      </c>
      <c r="BR255" s="30" t="inlineStr">
        <is>
          <t>Yes</t>
        </is>
      </c>
      <c r="BS255" s="30">
        <f>IF(BR255="NO",5,0)</f>
        <v/>
      </c>
      <c r="BT255" s="30" t="inlineStr">
        <is>
          <t>Above 2</t>
        </is>
      </c>
      <c r="BU255" s="30">
        <f>IF(BT255="Above 2",0,IF(BT255="Between 1.5 to 2",5,IF(BT255="Less than 1.5",10,0)))</f>
        <v/>
      </c>
      <c r="BV255" s="30" t="inlineStr">
        <is>
          <t>Above 70%</t>
        </is>
      </c>
      <c r="BW255" s="30">
        <f>IF(BV255="Above 70%",10,IF(BV255="Between 50% to 70%",5,IF(BV255="Less than 50%",0,IF(BV255="Negative",-10,IF(BV255="Less than 50% and Borrowings are increasing",-5,0)))))</f>
        <v/>
      </c>
      <c r="BX255" s="30" t="inlineStr">
        <is>
          <t>Between 0.7 to 1.2</t>
        </is>
      </c>
      <c r="BY255" s="30">
        <f>IF(BX255="More than 1.2",-10,IF(BX255="Between 0.7 to 1.2",0,IF(BX255="Less than 0.7",10,0)))</f>
        <v/>
      </c>
      <c r="BZ255" s="30" t="inlineStr">
        <is>
          <t>No</t>
        </is>
      </c>
      <c r="CA255" s="30">
        <f>IF(BZ255="Yes",-10,0)</f>
        <v/>
      </c>
      <c r="CB255" s="30" t="inlineStr">
        <is>
          <t>Less than 15%</t>
        </is>
      </c>
      <c r="CC255" s="30">
        <f>IF(CB255="More than 15%",-10,IF(CB255="Less than 15%",10,0))</f>
        <v/>
      </c>
      <c r="CD255" s="30" t="inlineStr">
        <is>
          <t>No</t>
        </is>
      </c>
      <c r="CE255" s="30">
        <f>IF(CD255="Yes, more than 10%",-10,IF(CD255="No",10,0))</f>
        <v/>
      </c>
    </row>
    <row r="256">
      <c r="A256" s="30">
        <f>IF(B256=0,"",RANK(B256,$B$2:$B$331,0))</f>
        <v/>
      </c>
      <c r="B256" s="31">
        <f>SUM(N256,Y256,AA256,AC256,AE256,AG256,AI256,AK256,AM256,AO256,AQ256,AS256,AU256,AW256,AY256,BA256,BC256,BE256,BG256,BI256,BK256,BM256,BO256,BQ256,BS256,BU256,BW256,BY256,CA256,CC256,CE256)</f>
        <v/>
      </c>
      <c r="C256" s="30" t="inlineStr">
        <is>
          <t>CUPID</t>
        </is>
      </c>
      <c r="D256" s="30" t="inlineStr">
        <is>
          <t>Cupid Limited</t>
        </is>
      </c>
      <c r="E256" s="30" t="inlineStr">
        <is>
          <t>fmcg</t>
        </is>
      </c>
      <c r="F256" s="30" t="inlineStr">
        <is>
          <t>personal care - indian</t>
        </is>
      </c>
      <c r="G256" s="30" t="inlineStr">
        <is>
          <t>largecap</t>
        </is>
      </c>
      <c r="H256" s="31" t="n">
        <v>37610.16</v>
      </c>
      <c r="I256" s="31" t="n">
        <v>277.45</v>
      </c>
      <c r="J256" s="31" t="n">
        <v>-0.8</v>
      </c>
      <c r="K256" s="31" t="n">
        <v>9575089</v>
      </c>
      <c r="L256" s="30" t="n">
        <v>99</v>
      </c>
      <c r="M256" s="30" t="inlineStr">
        <is>
          <t>Outperforming</t>
        </is>
      </c>
      <c r="N256" s="31">
        <f>IF(M256="Underperforming",-5,IF(L256&gt;=95,15,IF(L256&gt;=90,10,IF(L256&gt;=80,5,0))))</f>
        <v/>
      </c>
      <c r="O256" s="31" t="n">
        <v>83.22</v>
      </c>
      <c r="P256" s="31" t="n">
        <v>73.18000000000001</v>
      </c>
      <c r="Q256" s="31" t="n">
        <v>228.08</v>
      </c>
      <c r="R256" s="30" t="inlineStr">
        <is>
          <t>Earnings / Momentum Support</t>
        </is>
      </c>
      <c r="S256" s="30" t="inlineStr">
        <is>
          <t>Nifty FMCG</t>
        </is>
      </c>
      <c r="T256" s="31" t="n">
        <v>-17.21</v>
      </c>
      <c r="U256" s="31" t="n">
        <v>837.9</v>
      </c>
      <c r="V256" s="31" t="n">
        <v>1032.9</v>
      </c>
      <c r="W256" s="31" t="n">
        <v>92.19</v>
      </c>
      <c r="X256" s="30" t="inlineStr">
        <is>
          <t>Growing Industry</t>
        </is>
      </c>
      <c r="Y256" s="30">
        <f>IF(X256="Growing Industry",10,IF(X256="Cyclical in an Upturn",5,0))</f>
        <v/>
      </c>
      <c r="Z256" s="30" t="inlineStr">
        <is>
          <t>Too Many Players with High ROCE</t>
        </is>
      </c>
      <c r="AA256" s="30">
        <f>IF(Z256="Monopoly",10,IF(Z256="Oligopoly",5,IF(Z256="Duopoly that cooperate",10,IF(Z256="Duopoly that compete",5,IF(Z256="Too many players with High ROCE",5,0)))))</f>
        <v/>
      </c>
      <c r="AB256" s="30" t="inlineStr">
        <is>
          <t>No</t>
        </is>
      </c>
      <c r="AC256" s="30">
        <f>IF(AB256="No",5,0)</f>
        <v/>
      </c>
      <c r="AD256" s="30" t="inlineStr">
        <is>
          <t>Tailwind</t>
        </is>
      </c>
      <c r="AE256" s="30">
        <f>IF(AD256="Tailwind",10,0)</f>
        <v/>
      </c>
      <c r="AF256" s="30" t="inlineStr">
        <is>
          <t>Structural (10 Years Consistency)</t>
        </is>
      </c>
      <c r="AG256" s="30">
        <f>IF(AF256="Structural (10 Years Consistency)",10,IF(AF256="Shallow Cyclical (2 to 3 years growth)",5,0))</f>
        <v/>
      </c>
      <c r="AH256" s="30" t="inlineStr">
        <is>
          <t>No</t>
        </is>
      </c>
      <c r="AI256" s="30">
        <f>IF(AH256="Yes due to Product Mix change or Operating Leverage",10,IF(AH256="Yes, these are peak margins",-5,IF(AH256="No",5,0)))</f>
        <v/>
      </c>
      <c r="AJ256" s="30" t="inlineStr">
        <is>
          <t>Stable</t>
        </is>
      </c>
      <c r="AK256" s="30">
        <f>IF(AJ256="Stable",10,0)</f>
        <v/>
      </c>
      <c r="AL256" s="30" t="inlineStr">
        <is>
          <t>Yes</t>
        </is>
      </c>
      <c r="AM256" s="30">
        <f>IF(AL256="Yes",10,0)</f>
        <v/>
      </c>
      <c r="AN256" s="30" t="inlineStr">
        <is>
          <t>B2C</t>
        </is>
      </c>
      <c r="AO256" s="30">
        <f>IF(AN256="B2C",10,IF(AN256="B2B",5,0))</f>
        <v/>
      </c>
      <c r="AP256" s="30" t="inlineStr">
        <is>
          <t>No</t>
        </is>
      </c>
      <c r="AQ256" s="30">
        <f>IF(AP256="Yes",10,0)</f>
        <v/>
      </c>
      <c r="AR256" s="30" t="inlineStr">
        <is>
          <t>Higher Annuity, Lower One Time</t>
        </is>
      </c>
      <c r="AS256" s="30">
        <f>IF(AR256="Fully Annuity",10,IF(AR256="Higher Annuity, Lower One Time",5,IF(AR256="Higher One Time, Lower Annuity",3,0)))</f>
        <v/>
      </c>
      <c r="AT256" s="30" t="inlineStr">
        <is>
          <t>Good</t>
        </is>
      </c>
      <c r="AU256" s="30">
        <f>IF(AT256="Good",10,0)</f>
        <v/>
      </c>
      <c r="AV256" s="30" t="inlineStr">
        <is>
          <t>Yes for more than 2 years</t>
        </is>
      </c>
      <c r="AW256" s="30">
        <f>IF(AV256="Yes for more than 2 years",10,IF(AV256="Yes only for next 1 to 2 years",5,0))</f>
        <v/>
      </c>
      <c r="AX256" s="30" t="inlineStr">
        <is>
          <t>Above 40</t>
        </is>
      </c>
      <c r="AY256" s="30">
        <f>IF(AX256="Above 40",20,IF(AX256="20 to 40",10,IF(AX256="0 to 20",-5,0)))</f>
        <v/>
      </c>
      <c r="AZ256" s="30" t="inlineStr">
        <is>
          <t>Above 75</t>
        </is>
      </c>
      <c r="BA256" s="30">
        <f>IF(AZ256="Between 50 to 75",10,IF(AZ256="Above 75",0,0))</f>
        <v/>
      </c>
      <c r="BB256" s="30" t="inlineStr">
        <is>
          <t>Stage 2</t>
        </is>
      </c>
      <c r="BC256" s="30">
        <f>IF(BB256="Stage 2",20,IF(BB256="Stage 1",0,IF(BB256="Stage 3",5,IF(BB256="Stage 4",-5,0))))</f>
        <v/>
      </c>
      <c r="BD256" s="30" t="inlineStr">
        <is>
          <t>Negative Trend</t>
        </is>
      </c>
      <c r="BE256" s="30">
        <f>IF(BD256="Positive Trend",20,IF(BD256="Negative Trend",-10,0))</f>
        <v/>
      </c>
      <c r="BF256" s="30" t="inlineStr">
        <is>
          <t>Uptrend</t>
        </is>
      </c>
      <c r="BG256" s="30">
        <f>IF(BF256="Uptrend",10,IF(BF256="Sideways",5,0))</f>
        <v/>
      </c>
      <c r="BH256" s="30" t="inlineStr">
        <is>
          <t>Uptrend</t>
        </is>
      </c>
      <c r="BI256" s="30">
        <f>IF(BH256="Uptrend",10,IF(BH256="Sideways",5,0))</f>
        <v/>
      </c>
      <c r="BJ256" s="30" t="inlineStr">
        <is>
          <t>Close to 52 week high or retracement</t>
        </is>
      </c>
      <c r="BK256" s="30">
        <f>IF(BJ256="Overhead supply in last 2 years in last 2 years",-5,IF(BJ256="Close to 52 week high or retracement",5,IF(BJ256="Blue sky scenario",10,IF(BJ256="Long term Downtrend",-10,0))))</f>
        <v/>
      </c>
      <c r="BL256" s="30" t="inlineStr">
        <is>
          <t>Yes</t>
        </is>
      </c>
      <c r="BM256" s="30">
        <f>IF(BL256="Yes",10,0)</f>
        <v/>
      </c>
      <c r="BN256" s="30" t="inlineStr">
        <is>
          <t>More than 20%</t>
        </is>
      </c>
      <c r="BO256" s="30">
        <f>IF(BN256="More than 20%",10,IF(BN256="Between 12 to 20%",5,IF(BN256="Less than 12%",0,0)))</f>
        <v/>
      </c>
      <c r="BP256" s="30" t="inlineStr">
        <is>
          <t>No</t>
        </is>
      </c>
      <c r="BQ256" s="30">
        <f>IF(BP256="No",10,0)</f>
        <v/>
      </c>
      <c r="BR256" s="30" t="inlineStr">
        <is>
          <t>Yes</t>
        </is>
      </c>
      <c r="BS256" s="30">
        <f>IF(BR256="NO",5,0)</f>
        <v/>
      </c>
      <c r="BT256" s="30" t="inlineStr">
        <is>
          <t>Above 2</t>
        </is>
      </c>
      <c r="BU256" s="30">
        <f>IF(BT256="Above 2",0,IF(BT256="Between 1.5 to 2",5,IF(BT256="Less than 1.5",10,0)))</f>
        <v/>
      </c>
      <c r="BV256" s="30" t="inlineStr">
        <is>
          <t>Above 70%</t>
        </is>
      </c>
      <c r="BW256" s="30">
        <f>IF(BV256="Above 70%",10,IF(BV256="Between 50% to 70%",5,IF(BV256="Less than 50%",0,IF(BV256="Negative",-10,IF(BV256="Less than 50% and Borrowings are increasing",-5,0)))))</f>
        <v/>
      </c>
      <c r="BX256" s="30" t="inlineStr">
        <is>
          <t>Less than 0.7</t>
        </is>
      </c>
      <c r="BY256" s="30">
        <f>IF(BX256="More than 1.2",-10,IF(BX256="Between 0.7 to 1.2",0,IF(BX256="Less than 0.7",10,0)))</f>
        <v/>
      </c>
      <c r="BZ256" s="30" t="inlineStr">
        <is>
          <t>No</t>
        </is>
      </c>
      <c r="CA256" s="30">
        <f>IF(BZ256="Yes",-10,0)</f>
        <v/>
      </c>
      <c r="CB256" s="30" t="inlineStr">
        <is>
          <t>Less than 15%</t>
        </is>
      </c>
      <c r="CC256" s="30">
        <f>IF(CB256="More than 15%",-10,IF(CB256="Less than 15%",10,0))</f>
        <v/>
      </c>
      <c r="CD256" s="30" t="inlineStr">
        <is>
          <t>No</t>
        </is>
      </c>
      <c r="CE256" s="30">
        <f>IF(CD256="Yes, more than 10%",-10,IF(CD256="No",10,0))</f>
        <v/>
      </c>
    </row>
    <row r="257">
      <c r="A257" s="30">
        <f>IF(B257=0,"",RANK(B257,$B$2:$B$331,0))</f>
        <v/>
      </c>
      <c r="B257" s="31">
        <f>SUM(N257,Y257,AA257,AC257,AE257,AG257,AI257,AK257,AM257,AO257,AQ257,AS257,AU257,AW257,AY257,BA257,BC257,BE257,BG257,BI257,BK257,BM257,BO257,BQ257,BS257,BU257,BW257,BY257,CA257,CC257,CE257)</f>
        <v/>
      </c>
      <c r="C257" s="32" t="inlineStr">
        <is>
          <t>RPGLIFE</t>
        </is>
      </c>
      <c r="D257" s="32" t="inlineStr">
        <is>
          <t>Rpg Life Sciences Limited</t>
        </is>
      </c>
      <c r="E257" s="30" t="inlineStr">
        <is>
          <t>healthcare</t>
        </is>
      </c>
      <c r="F257" s="30" t="inlineStr">
        <is>
          <t>pharmaceuticals - indian - bulk drugs &amp; formln</t>
        </is>
      </c>
      <c r="G257" s="30" t="inlineStr">
        <is>
          <t>smallcap</t>
        </is>
      </c>
      <c r="H257" s="31" t="n">
        <v>4650.77</v>
      </c>
      <c r="I257" s="31" t="n">
        <v>2782.7</v>
      </c>
      <c r="J257" s="31" t="n">
        <v>-1.04</v>
      </c>
      <c r="K257" s="31" t="n">
        <v>11654</v>
      </c>
      <c r="L257" s="30" t="n">
        <v>32</v>
      </c>
      <c r="M257" s="30" t="inlineStr">
        <is>
          <t>Underperforming</t>
        </is>
      </c>
      <c r="N257" s="31">
        <f>IF(M257="Underperforming",-5,IF(L257&gt;=95,15,IF(L257&gt;=90,10,IF(L257&gt;=80,5,0))))</f>
        <v/>
      </c>
      <c r="O257" s="31" t="n">
        <v>61.62</v>
      </c>
      <c r="P257" s="31" t="n">
        <v>36.76</v>
      </c>
      <c r="Q257" s="31" t="n">
        <v>2286.92</v>
      </c>
      <c r="R257" s="30" t="inlineStr">
        <is>
          <t>Earnings / Momentum Support</t>
        </is>
      </c>
      <c r="S257" s="30" t="inlineStr">
        <is>
          <t>Nifty Pharma</t>
        </is>
      </c>
      <c r="T257" s="31" t="n">
        <v>18.86</v>
      </c>
      <c r="U257" s="31" t="n">
        <v>18.06</v>
      </c>
      <c r="V257" s="31" t="n">
        <v>-0.68</v>
      </c>
      <c r="W257" s="31" t="n">
        <v>9.98</v>
      </c>
      <c r="X257" s="30" t="inlineStr">
        <is>
          <t>Growing Industry</t>
        </is>
      </c>
      <c r="Y257" s="30">
        <f>IF(X257="Growing Industry",10,IF(X257="Cyclical in an Upturn",5,0))</f>
        <v/>
      </c>
      <c r="Z257" s="30" t="inlineStr">
        <is>
          <t>Too Many Players with High ROCE</t>
        </is>
      </c>
      <c r="AA257" s="30">
        <f>IF(Z257="Monopoly",10,IF(Z257="Oligopoly",5,IF(Z257="Duopoly that cooperate",10,IF(Z257="Duopoly that compete",5,IF(Z257="Too many players with High ROCE",5,0)))))</f>
        <v/>
      </c>
      <c r="AB257" s="30" t="inlineStr">
        <is>
          <t>Yes</t>
        </is>
      </c>
      <c r="AC257" s="30">
        <f>IF(AB257="No",5,0)</f>
        <v/>
      </c>
      <c r="AD257" s="30" t="inlineStr">
        <is>
          <t>Tailwind</t>
        </is>
      </c>
      <c r="AE257" s="30">
        <f>IF(AD257="Tailwind",10,0)</f>
        <v/>
      </c>
      <c r="AF257" s="30" t="inlineStr">
        <is>
          <t>Structural (10 Years Consistency)</t>
        </is>
      </c>
      <c r="AG257" s="30">
        <f>IF(AF257="Structural (10 Years Consistency)",10,IF(AF257="Shallow Cyclical (2 to 3 years growth)",5,0))</f>
        <v/>
      </c>
      <c r="AH257" s="30" t="inlineStr">
        <is>
          <t>No</t>
        </is>
      </c>
      <c r="AI257" s="30">
        <f>IF(AH257="Yes due to Product Mix change or Operating Leverage",10,IF(AH257="Yes, these are peak margins",-5,IF(AH257="No",5,0)))</f>
        <v/>
      </c>
      <c r="AJ257" s="30" t="inlineStr">
        <is>
          <t>Stable</t>
        </is>
      </c>
      <c r="AK257" s="30">
        <f>IF(AJ257="Stable",10,0)</f>
        <v/>
      </c>
      <c r="AL257" s="30" t="inlineStr">
        <is>
          <t>Yes</t>
        </is>
      </c>
      <c r="AM257" s="30">
        <f>IF(AL257="Yes",10,0)</f>
        <v/>
      </c>
      <c r="AN257" s="30" t="inlineStr">
        <is>
          <t>B2B</t>
        </is>
      </c>
      <c r="AO257" s="30">
        <f>IF(AN257="B2C",10,IF(AN257="B2B",5,0))</f>
        <v/>
      </c>
      <c r="AP257" s="30" t="inlineStr">
        <is>
          <t>No</t>
        </is>
      </c>
      <c r="AQ257" s="30">
        <f>IF(AP257="Yes",10,0)</f>
        <v/>
      </c>
      <c r="AR257" s="30" t="inlineStr">
        <is>
          <t>Higher Annuity, Lower One Time</t>
        </is>
      </c>
      <c r="AS257" s="30">
        <f>IF(AR257="Fully Annuity",10,IF(AR257="Higher Annuity, Lower One Time",5,IF(AR257="Higher One Time, Lower Annuity",3,0)))</f>
        <v/>
      </c>
      <c r="AT257" s="30" t="inlineStr">
        <is>
          <t>Good</t>
        </is>
      </c>
      <c r="AU257" s="30">
        <f>IF(AT257="Good",10,0)</f>
        <v/>
      </c>
      <c r="AV257" s="30" t="inlineStr">
        <is>
          <t>Yes for more than 2 years</t>
        </is>
      </c>
      <c r="AW257" s="30">
        <f>IF(AV257="Yes for more than 2 years",10,IF(AV257="Yes only for next 1 to 2 years",5,0))</f>
        <v/>
      </c>
      <c r="AX257" s="30" t="inlineStr">
        <is>
          <t>20 to 40</t>
        </is>
      </c>
      <c r="AY257" s="30">
        <f>IF(AX257="Above 40",20,IF(AX257="20 to 40",10,IF(AX257="0 to 20",-5,0)))</f>
        <v/>
      </c>
      <c r="AZ257" s="30" t="inlineStr">
        <is>
          <t>Between 50 to 75</t>
        </is>
      </c>
      <c r="BA257" s="30">
        <f>IF(AZ257="Between 50 to 75",10,IF(AZ257="Above 75",0,0))</f>
        <v/>
      </c>
      <c r="BB257" s="30" t="inlineStr">
        <is>
          <t>Stage 2</t>
        </is>
      </c>
      <c r="BC257" s="30">
        <f>IF(BB257="Stage 2",20,IF(BB257="Stage 1",0,IF(BB257="Stage 3",5,IF(BB257="Stage 4",-5,0))))</f>
        <v/>
      </c>
      <c r="BD257" s="30" t="inlineStr">
        <is>
          <t>Positive Trend</t>
        </is>
      </c>
      <c r="BE257" s="30">
        <f>IF(BD257="Positive Trend",20,IF(BD257="Negative Trend",-10,0))</f>
        <v/>
      </c>
      <c r="BF257" s="30" t="inlineStr">
        <is>
          <t>Uptrend</t>
        </is>
      </c>
      <c r="BG257" s="30">
        <f>IF(BF257="Uptrend",10,IF(BF257="Sideways",5,0))</f>
        <v/>
      </c>
      <c r="BH257" s="30" t="inlineStr">
        <is>
          <t>Uptrend</t>
        </is>
      </c>
      <c r="BI257" s="30">
        <f>IF(BH257="Uptrend",10,IF(BH257="Sideways",5,0))</f>
        <v/>
      </c>
      <c r="BJ257" s="30" t="inlineStr">
        <is>
          <t>Close to 52 week high or retracement</t>
        </is>
      </c>
      <c r="BK257" s="30">
        <f>IF(BJ257="Overhead supply in last 2 years in last 2 years",-5,IF(BJ257="Close to 52 week high or retracement",5,IF(BJ257="Blue sky scenario",10,IF(BJ257="Long term Downtrend",-10,0))))</f>
        <v/>
      </c>
      <c r="BL257" s="30" t="inlineStr">
        <is>
          <t>Yes</t>
        </is>
      </c>
      <c r="BM257" s="30">
        <f>IF(BL257="Yes",10,0)</f>
        <v/>
      </c>
      <c r="BN257" s="30" t="inlineStr">
        <is>
          <t>Between 12 to 20%</t>
        </is>
      </c>
      <c r="BO257" s="30">
        <f>IF(BN257="More than 20%",10,IF(BN257="Between 12 to 20%",5,IF(BN257="Less than 12%",0,0)))</f>
        <v/>
      </c>
      <c r="BP257" s="30" t="inlineStr">
        <is>
          <t>No</t>
        </is>
      </c>
      <c r="BQ257" s="30">
        <f>IF(BP257="No",10,0)</f>
        <v/>
      </c>
      <c r="BR257" s="30" t="inlineStr">
        <is>
          <t>No</t>
        </is>
      </c>
      <c r="BS257" s="30">
        <f>IF(BR257="NO",5,0)</f>
        <v/>
      </c>
      <c r="BT257" s="30" t="inlineStr">
        <is>
          <t>Above 2</t>
        </is>
      </c>
      <c r="BU257" s="30">
        <f>IF(BT257="Above 2",0,IF(BT257="Between 1.5 to 2",5,IF(BT257="Less than 1.5",10,0)))</f>
        <v/>
      </c>
      <c r="BV257" s="30" t="inlineStr">
        <is>
          <t>Above 70%</t>
        </is>
      </c>
      <c r="BW257" s="30">
        <f>IF(BV257="Above 70%",10,IF(BV257="Between 50% to 70%",5,IF(BV257="Less than 50%",0,IF(BV257="Negative",-10,IF(BV257="Less than 50% and Borrowings are increasing",-5,0)))))</f>
        <v/>
      </c>
      <c r="BX257" s="30" t="inlineStr">
        <is>
          <t>Less than 0.7</t>
        </is>
      </c>
      <c r="BY257" s="30">
        <f>IF(BX257="More than 1.2",-10,IF(BX257="Between 0.7 to 1.2",0,IF(BX257="Less than 0.7",10,0)))</f>
        <v/>
      </c>
      <c r="BZ257" s="30" t="inlineStr">
        <is>
          <t>No</t>
        </is>
      </c>
      <c r="CA257" s="30">
        <f>IF(BZ257="Yes",-10,0)</f>
        <v/>
      </c>
      <c r="CB257" s="30" t="inlineStr">
        <is>
          <t>Less than 15%</t>
        </is>
      </c>
      <c r="CC257" s="30">
        <f>IF(CB257="More than 15%",-10,IF(CB257="Less than 15%",10,0))</f>
        <v/>
      </c>
      <c r="CD257" s="30" t="inlineStr">
        <is>
          <t>No</t>
        </is>
      </c>
      <c r="CE257" s="30">
        <f>IF(CD257="Yes, more than 10%",-10,IF(CD257="No",10,0))</f>
        <v/>
      </c>
    </row>
    <row r="258">
      <c r="A258" s="30">
        <f>IF(B258=0,"",RANK(B258,$B$2:$B$331,0))</f>
        <v/>
      </c>
      <c r="B258" s="31">
        <f>SUM(N258,Y258,AA258,AC258,AE258,AG258,AI258,AK258,AM258,AO258,AQ258,AS258,AU258,AW258,AY258,BA258,BC258,BE258,BG258,BI258,BK258,BM258,BO258,BQ258,BS258,BU258,BW258,BY258,CA258,CC258,CE258)</f>
        <v/>
      </c>
      <c r="C258" s="32" t="inlineStr">
        <is>
          <t>WINDLAS</t>
        </is>
      </c>
      <c r="D258" s="32" t="inlineStr">
        <is>
          <t>Windlas Biotech Ltd</t>
        </is>
      </c>
      <c r="E258" s="30" t="inlineStr">
        <is>
          <t>healthcare</t>
        </is>
      </c>
      <c r="F258" s="30" t="inlineStr">
        <is>
          <t>pharmaceuticals - indian - formulations</t>
        </is>
      </c>
      <c r="G258" s="30" t="inlineStr">
        <is>
          <t>smallcap</t>
        </is>
      </c>
      <c r="H258" s="31" t="n">
        <v>2357.59</v>
      </c>
      <c r="I258" s="31" t="n">
        <v>1129.4</v>
      </c>
      <c r="J258" s="31" t="n">
        <v>-1.14</v>
      </c>
      <c r="K258" s="31" t="n">
        <v>57449</v>
      </c>
      <c r="L258" s="30" t="n">
        <v>40</v>
      </c>
      <c r="M258" s="30" t="inlineStr">
        <is>
          <t>Underperforming</t>
        </is>
      </c>
      <c r="N258" s="31">
        <f>IF(M258="Underperforming",-5,IF(L258&gt;=95,15,IF(L258&gt;=90,10,IF(L258&gt;=80,5,0))))</f>
        <v/>
      </c>
      <c r="O258" s="31" t="n">
        <v>78.61</v>
      </c>
      <c r="P258" s="31" t="n">
        <v>30.44</v>
      </c>
      <c r="Q258" s="31" t="n">
        <v>905.7</v>
      </c>
      <c r="R258" s="30" t="inlineStr">
        <is>
          <t>Near 52W High Breakout</t>
        </is>
      </c>
      <c r="S258" s="30" t="inlineStr">
        <is>
          <t>Nifty Pharma</t>
        </is>
      </c>
      <c r="T258" s="31" t="n">
        <v>18.86</v>
      </c>
      <c r="U258" s="31" t="n">
        <v>14.56</v>
      </c>
      <c r="V258" s="31" t="n">
        <v>-3.62</v>
      </c>
      <c r="W258" s="31" t="n">
        <v>12.26</v>
      </c>
      <c r="X258" s="30" t="inlineStr">
        <is>
          <t>Growing Industry</t>
        </is>
      </c>
      <c r="Y258" s="30">
        <f>IF(X258="Growing Industry",10,IF(X258="Cyclical in an Upturn",5,0))</f>
        <v/>
      </c>
      <c r="Z258" s="30" t="inlineStr">
        <is>
          <t>Too Many Players with High ROCE</t>
        </is>
      </c>
      <c r="AA258" s="30">
        <f>IF(Z258="Monopoly",10,IF(Z258="Oligopoly",5,IF(Z258="Duopoly that cooperate",10,IF(Z258="Duopoly that compete",5,IF(Z258="Too many players with High ROCE",5,0)))))</f>
        <v/>
      </c>
      <c r="AB258" s="30" t="inlineStr">
        <is>
          <t>Yes</t>
        </is>
      </c>
      <c r="AC258" s="30">
        <f>IF(AB258="No",5,0)</f>
        <v/>
      </c>
      <c r="AD258" s="30" t="inlineStr">
        <is>
          <t>Tailwind</t>
        </is>
      </c>
      <c r="AE258" s="30">
        <f>IF(AD258="Tailwind",10,0)</f>
        <v/>
      </c>
      <c r="AF258" s="30" t="inlineStr">
        <is>
          <t>Structural (10 Years Consistency)</t>
        </is>
      </c>
      <c r="AG258" s="30">
        <f>IF(AF258="Structural (10 Years Consistency)",10,IF(AF258="Shallow Cyclical (2 to 3 years growth)",5,0))</f>
        <v/>
      </c>
      <c r="AH258" s="30" t="inlineStr">
        <is>
          <t>No</t>
        </is>
      </c>
      <c r="AI258" s="30">
        <f>IF(AH258="Yes due to Product Mix change or Operating Leverage",10,IF(AH258="Yes, these are peak margins",-5,IF(AH258="No",5,0)))</f>
        <v/>
      </c>
      <c r="AJ258" s="30" t="inlineStr">
        <is>
          <t>Stable</t>
        </is>
      </c>
      <c r="AK258" s="30">
        <f>IF(AJ258="Stable",10,0)</f>
        <v/>
      </c>
      <c r="AL258" s="30" t="inlineStr">
        <is>
          <t>Yes</t>
        </is>
      </c>
      <c r="AM258" s="30">
        <f>IF(AL258="Yes",10,0)</f>
        <v/>
      </c>
      <c r="AN258" s="30" t="inlineStr">
        <is>
          <t>B2B</t>
        </is>
      </c>
      <c r="AO258" s="30">
        <f>IF(AN258="B2C",10,IF(AN258="B2B",5,0))</f>
        <v/>
      </c>
      <c r="AP258" s="30" t="inlineStr">
        <is>
          <t>Yes</t>
        </is>
      </c>
      <c r="AQ258" s="30">
        <f>IF(AP258="Yes",10,0)</f>
        <v/>
      </c>
      <c r="AR258" s="30" t="inlineStr">
        <is>
          <t>Higher Annuity, Lower One Time</t>
        </is>
      </c>
      <c r="AS258" s="30">
        <f>IF(AR258="Fully Annuity",10,IF(AR258="Higher Annuity, Lower One Time",5,IF(AR258="Higher One Time, Lower Annuity",3,0)))</f>
        <v/>
      </c>
      <c r="AT258" s="30" t="inlineStr">
        <is>
          <t>Good</t>
        </is>
      </c>
      <c r="AU258" s="30">
        <f>IF(AT258="Good",10,0)</f>
        <v/>
      </c>
      <c r="AV258" s="30" t="inlineStr">
        <is>
          <t>Yes for more than 2 years</t>
        </is>
      </c>
      <c r="AW258" s="30">
        <f>IF(AV258="Yes for more than 2 years",10,IF(AV258="Yes only for next 1 to 2 years",5,0))</f>
        <v/>
      </c>
      <c r="AX258" s="30" t="inlineStr">
        <is>
          <t>20 to 40</t>
        </is>
      </c>
      <c r="AY258" s="30">
        <f>IF(AX258="Above 40",20,IF(AX258="20 to 40",10,IF(AX258="0 to 20",-5,0)))</f>
        <v/>
      </c>
      <c r="AZ258" s="30" t="inlineStr">
        <is>
          <t>Above 75</t>
        </is>
      </c>
      <c r="BA258" s="30">
        <f>IF(AZ258="Between 50 to 75",10,IF(AZ258="Above 75",0,0))</f>
        <v/>
      </c>
      <c r="BB258" s="30" t="inlineStr">
        <is>
          <t>Stage 2</t>
        </is>
      </c>
      <c r="BC258" s="30">
        <f>IF(BB258="Stage 2",20,IF(BB258="Stage 1",0,IF(BB258="Stage 3",5,IF(BB258="Stage 4",-5,0))))</f>
        <v/>
      </c>
      <c r="BD258" s="30" t="inlineStr">
        <is>
          <t>Positive Trend</t>
        </is>
      </c>
      <c r="BE258" s="30">
        <f>IF(BD258="Positive Trend",20,IF(BD258="Negative Trend",-10,0))</f>
        <v/>
      </c>
      <c r="BF258" s="30" t="inlineStr">
        <is>
          <t>Uptrend</t>
        </is>
      </c>
      <c r="BG258" s="30">
        <f>IF(BF258="Uptrend",10,IF(BF258="Sideways",5,0))</f>
        <v/>
      </c>
      <c r="BH258" s="30" t="inlineStr">
        <is>
          <t>Uptrend</t>
        </is>
      </c>
      <c r="BI258" s="30">
        <f>IF(BH258="Uptrend",10,IF(BH258="Sideways",5,0))</f>
        <v/>
      </c>
      <c r="BJ258" s="30" t="inlineStr">
        <is>
          <t>Blue sky scenario</t>
        </is>
      </c>
      <c r="BK258" s="30">
        <f>IF(BJ258="Overhead supply in last 2 years in last 2 years",-5,IF(BJ258="Close to 52 week high or retracement",5,IF(BJ258="Blue sky scenario",10,IF(BJ258="Long term Downtrend",-10,0))))</f>
        <v/>
      </c>
      <c r="BL258" s="30" t="inlineStr">
        <is>
          <t>Yes</t>
        </is>
      </c>
      <c r="BM258" s="30">
        <f>IF(BL258="Yes",10,0)</f>
        <v/>
      </c>
      <c r="BN258" s="30" t="inlineStr">
        <is>
          <t>Less than 12%</t>
        </is>
      </c>
      <c r="BO258" s="30">
        <f>IF(BN258="More than 20%",10,IF(BN258="Between 12 to 20%",5,IF(BN258="Less than 12%",0,0)))</f>
        <v/>
      </c>
      <c r="BP258" s="30" t="inlineStr">
        <is>
          <t>No</t>
        </is>
      </c>
      <c r="BQ258" s="30">
        <f>IF(BP258="No",10,0)</f>
        <v/>
      </c>
      <c r="BR258" s="30" t="inlineStr">
        <is>
          <t>No</t>
        </is>
      </c>
      <c r="BS258" s="30">
        <f>IF(BR258="NO",5,0)</f>
        <v/>
      </c>
      <c r="BT258" s="30" t="inlineStr">
        <is>
          <t>Above 2</t>
        </is>
      </c>
      <c r="BU258" s="30">
        <f>IF(BT258="Above 2",0,IF(BT258="Between 1.5 to 2",5,IF(BT258="Less than 1.5",10,0)))</f>
        <v/>
      </c>
      <c r="BV258" s="30" t="inlineStr">
        <is>
          <t>Above 70%</t>
        </is>
      </c>
      <c r="BW258" s="30">
        <f>IF(BV258="Above 70%",10,IF(BV258="Between 50% to 70%",5,IF(BV258="Less than 50%",0,IF(BV258="Negative",-10,IF(BV258="Less than 50% and Borrowings are increasing",-5,0)))))</f>
        <v/>
      </c>
      <c r="BX258" s="30" t="inlineStr">
        <is>
          <t>Less than 0.7</t>
        </is>
      </c>
      <c r="BY258" s="30">
        <f>IF(BX258="More than 1.2",-10,IF(BX258="Between 0.7 to 1.2",0,IF(BX258="Less than 0.7",10,0)))</f>
        <v/>
      </c>
      <c r="BZ258" s="30" t="inlineStr">
        <is>
          <t>No</t>
        </is>
      </c>
      <c r="CA258" s="30">
        <f>IF(BZ258="Yes",-10,0)</f>
        <v/>
      </c>
      <c r="CB258" s="30" t="inlineStr">
        <is>
          <t>Less than 15%</t>
        </is>
      </c>
      <c r="CC258" s="30">
        <f>IF(CB258="More than 15%",-10,IF(CB258="Less than 15%",10,0))</f>
        <v/>
      </c>
      <c r="CD258" s="30" t="inlineStr">
        <is>
          <t>No</t>
        </is>
      </c>
      <c r="CE258" s="30">
        <f>IF(CD258="Yes, more than 10%",-10,IF(CD258="No",10,0))</f>
        <v/>
      </c>
    </row>
    <row r="259">
      <c r="A259" s="30">
        <f>IF(B259=0,"",RANK(B259,$B$2:$B$331,0))</f>
        <v/>
      </c>
      <c r="B259" s="31">
        <f>SUM(N259,Y259,AA259,AC259,AE259,AG259,AI259,AK259,AM259,AO259,AQ259,AS259,AU259,AW259,AY259,BA259,BC259,BE259,BG259,BI259,BK259,BM259,BO259,BQ259,BS259,BU259,BW259,BY259,CA259,CC259,CE259)</f>
        <v/>
      </c>
      <c r="C259" s="30" t="inlineStr">
        <is>
          <t>SOFTTECH</t>
        </is>
      </c>
      <c r="D259" s="30" t="inlineStr">
        <is>
          <t>Softtech Engineers Ltd</t>
        </is>
      </c>
      <c r="E259" s="30" t="inlineStr">
        <is>
          <t>i.t</t>
        </is>
      </c>
      <c r="F259" s="30" t="inlineStr">
        <is>
          <t>computers - software - medium / small</t>
        </is>
      </c>
      <c r="G259" s="30" t="inlineStr">
        <is>
          <t>smallcap</t>
        </is>
      </c>
      <c r="H259" s="31" t="n">
        <v>611.34</v>
      </c>
      <c r="I259" s="31" t="n">
        <v>435</v>
      </c>
      <c r="J259" s="31" t="n">
        <v>-1.51</v>
      </c>
      <c r="K259" s="31" t="n">
        <v>1259</v>
      </c>
      <c r="L259" s="30" t="n">
        <v>23</v>
      </c>
      <c r="M259" s="30" t="inlineStr">
        <is>
          <t>Outperforming</t>
        </is>
      </c>
      <c r="N259" s="31">
        <f>IF(M259="Underperforming",-5,IF(L259&gt;=95,15,IF(L259&gt;=90,10,IF(L259&gt;=80,5,0))))</f>
        <v/>
      </c>
      <c r="O259" s="31" t="n">
        <v>60.8</v>
      </c>
      <c r="P259" s="31" t="n">
        <v>27.11</v>
      </c>
      <c r="Q259" s="31" t="n">
        <v>347.17</v>
      </c>
      <c r="R259" s="30" t="inlineStr">
        <is>
          <t>Earnings / Momentum Support</t>
        </is>
      </c>
      <c r="S259" s="30" t="inlineStr">
        <is>
          <t>Nifty IT</t>
        </is>
      </c>
      <c r="T259" s="31" t="n">
        <v>-19.99</v>
      </c>
      <c r="U259" s="31" t="n">
        <v>11.95</v>
      </c>
      <c r="V259" s="31" t="n">
        <v>39.93</v>
      </c>
      <c r="W259" s="31" t="n">
        <v>6.94</v>
      </c>
      <c r="X259" s="30" t="inlineStr">
        <is>
          <t>Growing Industry</t>
        </is>
      </c>
      <c r="Y259" s="30">
        <f>IF(X259="Growing Industry",10,IF(X259="Cyclical in an Upturn",5,0))</f>
        <v/>
      </c>
      <c r="Z259" s="30" t="inlineStr">
        <is>
          <t>Too Many Players with High ROCE</t>
        </is>
      </c>
      <c r="AA259" s="30">
        <f>IF(Z259="Monopoly",10,IF(Z259="Oligopoly",5,IF(Z259="Duopoly that cooperate",10,IF(Z259="Duopoly that compete",5,IF(Z259="Too many players with High ROCE",5,0)))))</f>
        <v/>
      </c>
      <c r="AB259" s="30" t="inlineStr">
        <is>
          <t>No</t>
        </is>
      </c>
      <c r="AC259" s="30">
        <f>IF(AB259="No",5,0)</f>
        <v/>
      </c>
      <c r="AD259" s="30" t="inlineStr">
        <is>
          <t>Tailwind</t>
        </is>
      </c>
      <c r="AE259" s="30">
        <f>IF(AD259="Tailwind",10,0)</f>
        <v/>
      </c>
      <c r="AF259" s="30" t="inlineStr">
        <is>
          <t>Structural (10 Years Consistency)</t>
        </is>
      </c>
      <c r="AG259" s="30">
        <f>IF(AF259="Structural (10 Years Consistency)",10,IF(AF259="Shallow Cyclical (2 to 3 years growth)",5,0))</f>
        <v/>
      </c>
      <c r="AH259" s="30" t="inlineStr">
        <is>
          <t>No</t>
        </is>
      </c>
      <c r="AI259" s="30">
        <f>IF(AH259="Yes due to Product Mix change or Operating Leverage",10,IF(AH259="Yes, these are peak margins",-5,IF(AH259="No",5,0)))</f>
        <v/>
      </c>
      <c r="AJ259" s="30" t="inlineStr">
        <is>
          <t>Stable</t>
        </is>
      </c>
      <c r="AK259" s="30">
        <f>IF(AJ259="Stable",10,0)</f>
        <v/>
      </c>
      <c r="AL259" s="30" t="inlineStr">
        <is>
          <t>Yes</t>
        </is>
      </c>
      <c r="AM259" s="30">
        <f>IF(AL259="Yes",10,0)</f>
        <v/>
      </c>
      <c r="AN259" s="30" t="inlineStr">
        <is>
          <t>B2B</t>
        </is>
      </c>
      <c r="AO259" s="30">
        <f>IF(AN259="B2C",10,IF(AN259="B2B",5,0))</f>
        <v/>
      </c>
      <c r="AP259" s="30" t="inlineStr">
        <is>
          <t>No</t>
        </is>
      </c>
      <c r="AQ259" s="30">
        <f>IF(AP259="Yes",10,0)</f>
        <v/>
      </c>
      <c r="AR259" s="30" t="inlineStr">
        <is>
          <t>Higher Annuity, Lower One Time</t>
        </is>
      </c>
      <c r="AS259" s="30">
        <f>IF(AR259="Fully Annuity",10,IF(AR259="Higher Annuity, Lower One Time",5,IF(AR259="Higher One Time, Lower Annuity",3,0)))</f>
        <v/>
      </c>
      <c r="AT259" s="30" t="inlineStr">
        <is>
          <t>Good</t>
        </is>
      </c>
      <c r="AU259" s="30">
        <f>IF(AT259="Good",10,0)</f>
        <v/>
      </c>
      <c r="AV259" s="30" t="inlineStr">
        <is>
          <t>Yes for more than 2 years</t>
        </is>
      </c>
      <c r="AW259" s="30">
        <f>IF(AV259="Yes for more than 2 years",10,IF(AV259="Yes only for next 1 to 2 years",5,0))</f>
        <v/>
      </c>
      <c r="AX259" s="30" t="inlineStr">
        <is>
          <t>20 to 40</t>
        </is>
      </c>
      <c r="AY259" s="30">
        <f>IF(AX259="Above 40",20,IF(AX259="20 to 40",10,IF(AX259="0 to 20",-5,0)))</f>
        <v/>
      </c>
      <c r="AZ259" s="30" t="inlineStr">
        <is>
          <t>Between 50 to 75</t>
        </is>
      </c>
      <c r="BA259" s="30">
        <f>IF(AZ259="Between 50 to 75",10,IF(AZ259="Above 75",0,0))</f>
        <v/>
      </c>
      <c r="BB259" s="30" t="inlineStr">
        <is>
          <t>Stage 2</t>
        </is>
      </c>
      <c r="BC259" s="30">
        <f>IF(BB259="Stage 2",20,IF(BB259="Stage 1",0,IF(BB259="Stage 3",5,IF(BB259="Stage 4",-5,0))))</f>
        <v/>
      </c>
      <c r="BD259" s="30" t="inlineStr">
        <is>
          <t>Positive Trend</t>
        </is>
      </c>
      <c r="BE259" s="30">
        <f>IF(BD259="Positive Trend",20,IF(BD259="Negative Trend",-10,0))</f>
        <v/>
      </c>
      <c r="BF259" s="30" t="inlineStr">
        <is>
          <t>Uptrend</t>
        </is>
      </c>
      <c r="BG259" s="30">
        <f>IF(BF259="Uptrend",10,IF(BF259="Sideways",5,0))</f>
        <v/>
      </c>
      <c r="BH259" s="30" t="inlineStr">
        <is>
          <t>Uptrend</t>
        </is>
      </c>
      <c r="BI259" s="30">
        <f>IF(BH259="Uptrend",10,IF(BH259="Sideways",5,0))</f>
        <v/>
      </c>
      <c r="BJ259" s="30" t="inlineStr">
        <is>
          <t>Close to 52 week high or retracement</t>
        </is>
      </c>
      <c r="BK259" s="30">
        <f>IF(BJ259="Overhead supply in last 2 years in last 2 years",-5,IF(BJ259="Close to 52 week high or retracement",5,IF(BJ259="Blue sky scenario",10,IF(BJ259="Long term Downtrend",-10,0))))</f>
        <v/>
      </c>
      <c r="BL259" s="30" t="inlineStr">
        <is>
          <t>Yes</t>
        </is>
      </c>
      <c r="BM259" s="30">
        <f>IF(BL259="Yes",10,0)</f>
        <v/>
      </c>
      <c r="BN259" s="30" t="inlineStr">
        <is>
          <t>Less than 12%</t>
        </is>
      </c>
      <c r="BO259" s="30">
        <f>IF(BN259="More than 20%",10,IF(BN259="Between 12 to 20%",5,IF(BN259="Less than 12%",0,0)))</f>
        <v/>
      </c>
      <c r="BP259" s="30" t="inlineStr">
        <is>
          <t>No</t>
        </is>
      </c>
      <c r="BQ259" s="30">
        <f>IF(BP259="No",10,0)</f>
        <v/>
      </c>
      <c r="BR259" s="30" t="inlineStr">
        <is>
          <t>Yes</t>
        </is>
      </c>
      <c r="BS259" s="30">
        <f>IF(BR259="NO",5,0)</f>
        <v/>
      </c>
      <c r="BT259" s="30" t="inlineStr">
        <is>
          <t>Above 2</t>
        </is>
      </c>
      <c r="BU259" s="30">
        <f>IF(BT259="Above 2",0,IF(BT259="Between 1.5 to 2",5,IF(BT259="Less than 1.5",10,0)))</f>
        <v/>
      </c>
      <c r="BV259" s="30" t="inlineStr">
        <is>
          <t>Above 70%</t>
        </is>
      </c>
      <c r="BW259" s="30">
        <f>IF(BV259="Above 70%",10,IF(BV259="Between 50% to 70%",5,IF(BV259="Less than 50%",0,IF(BV259="Negative",-10,IF(BV259="Less than 50% and Borrowings are increasing",-5,0)))))</f>
        <v/>
      </c>
      <c r="BX259" s="30" t="inlineStr">
        <is>
          <t>Less than 0.7</t>
        </is>
      </c>
      <c r="BY259" s="30">
        <f>IF(BX259="More than 1.2",-10,IF(BX259="Between 0.7 to 1.2",0,IF(BX259="Less than 0.7",10,0)))</f>
        <v/>
      </c>
      <c r="BZ259" s="30" t="inlineStr">
        <is>
          <t>No</t>
        </is>
      </c>
      <c r="CA259" s="30">
        <f>IF(BZ259="Yes",-10,0)</f>
        <v/>
      </c>
      <c r="CB259" s="30" t="inlineStr">
        <is>
          <t>Less than 15%</t>
        </is>
      </c>
      <c r="CC259" s="30">
        <f>IF(CB259="More than 15%",-10,IF(CB259="Less than 15%",10,0))</f>
        <v/>
      </c>
      <c r="CD259" s="30" t="inlineStr">
        <is>
          <t>No</t>
        </is>
      </c>
      <c r="CE259" s="30">
        <f>IF(CD259="Yes, more than 10%",-10,IF(CD259="No",10,0))</f>
        <v/>
      </c>
    </row>
    <row r="260">
      <c r="A260" s="30">
        <f>IF(B260=0,"",RANK(B260,$B$2:$B$331,0))</f>
        <v/>
      </c>
      <c r="B260" s="31">
        <f>SUM(N260,Y260,AA260,AC260,AE260,AG260,AI260,AK260,AM260,AO260,AQ260,AS260,AU260,AW260,AY260,BA260,BC260,BE260,BG260,BI260,BK260,BM260,BO260,BQ260,BS260,BU260,BW260,BY260,CA260,CC260,CE260)</f>
        <v/>
      </c>
      <c r="C260" s="30" t="inlineStr">
        <is>
          <t>APOLLO</t>
        </is>
      </c>
      <c r="D260" s="30" t="inlineStr">
        <is>
          <t>Apollo Micro Systems Ltd</t>
        </is>
      </c>
      <c r="E260" s="30" t="inlineStr">
        <is>
          <t>aerospace &amp; defence</t>
        </is>
      </c>
      <c r="F260" s="30" t="inlineStr">
        <is>
          <t>electronics - components</t>
        </is>
      </c>
      <c r="G260" s="30" t="inlineStr">
        <is>
          <t>midcap</t>
        </is>
      </c>
      <c r="H260" s="31" t="n">
        <v>15698.22</v>
      </c>
      <c r="I260" s="31" t="n">
        <v>413.2</v>
      </c>
      <c r="J260" s="31" t="n">
        <v>-2.19</v>
      </c>
      <c r="K260" s="31" t="n">
        <v>7449993</v>
      </c>
      <c r="L260" s="30" t="n">
        <v>42</v>
      </c>
      <c r="M260" s="30" t="inlineStr">
        <is>
          <t>Outperforming</t>
        </is>
      </c>
      <c r="N260" s="31">
        <f>IF(M260="Underperforming",-5,IF(L260&gt;=95,15,IF(L260&gt;=90,10,IF(L260&gt;=80,5,0))))</f>
        <v/>
      </c>
      <c r="O260" s="31" t="n">
        <v>61.41</v>
      </c>
      <c r="P260" s="31" t="n">
        <v>38.14</v>
      </c>
      <c r="Q260" s="31" t="n">
        <v>342.8</v>
      </c>
      <c r="R260" s="30" t="inlineStr">
        <is>
          <t>Earnings / Momentum Support</t>
        </is>
      </c>
      <c r="S260" s="30" t="inlineStr">
        <is>
          <t>Nifty 50</t>
        </is>
      </c>
      <c r="T260" s="31" t="n">
        <v>-6.52</v>
      </c>
      <c r="U260" s="31" t="n">
        <v>28.18</v>
      </c>
      <c r="V260" s="31" t="n">
        <v>37.12</v>
      </c>
      <c r="W260" s="31" t="n">
        <v>12.82</v>
      </c>
      <c r="X260" s="30" t="inlineStr">
        <is>
          <t>Cyclical in an Upturn</t>
        </is>
      </c>
      <c r="Y260" s="30">
        <f>IF(X260="Growing Industry",10,IF(X260="Cyclical in an Upturn",5,0))</f>
        <v/>
      </c>
      <c r="Z260" s="30" t="inlineStr">
        <is>
          <t>Oligopoly</t>
        </is>
      </c>
      <c r="AA260" s="30">
        <f>IF(Z260="Monopoly",10,IF(Z260="Oligopoly",5,IF(Z260="Duopoly that cooperate",10,IF(Z260="Duopoly that compete",5,IF(Z260="Too many players with High ROCE",5,0)))))</f>
        <v/>
      </c>
      <c r="AB260" s="30" t="inlineStr">
        <is>
          <t>No</t>
        </is>
      </c>
      <c r="AC260" s="30">
        <f>IF(AB260="No",5,0)</f>
        <v/>
      </c>
      <c r="AD260" s="30" t="inlineStr">
        <is>
          <t>Tailwind</t>
        </is>
      </c>
      <c r="AE260" s="30">
        <f>IF(AD260="Tailwind",10,0)</f>
        <v/>
      </c>
      <c r="AF260" s="30" t="inlineStr">
        <is>
          <t>Cyclical</t>
        </is>
      </c>
      <c r="AG260" s="30">
        <f>IF(AF260="Structural (10 Years Consistency)",10,IF(AF260="Shallow Cyclical (2 to 3 years growth)",5,0))</f>
        <v/>
      </c>
      <c r="AH260" s="30" t="inlineStr">
        <is>
          <t>No</t>
        </is>
      </c>
      <c r="AI260" s="30">
        <f>IF(AH260="Yes due to Product Mix change or Operating Leverage",10,IF(AH260="Yes, these are peak margins",-5,IF(AH260="No",5,0)))</f>
        <v/>
      </c>
      <c r="AJ260" s="30" t="inlineStr">
        <is>
          <t>Stable</t>
        </is>
      </c>
      <c r="AK260" s="30">
        <f>IF(AJ260="Stable",10,0)</f>
        <v/>
      </c>
      <c r="AL260" s="30" t="inlineStr">
        <is>
          <t>Yes</t>
        </is>
      </c>
      <c r="AM260" s="30">
        <f>IF(AL260="Yes",10,0)</f>
        <v/>
      </c>
      <c r="AN260" s="30" t="inlineStr">
        <is>
          <t>B2C</t>
        </is>
      </c>
      <c r="AO260" s="30">
        <f>IF(AN260="B2C",10,IF(AN260="B2B",5,0))</f>
        <v/>
      </c>
      <c r="AP260" s="30" t="inlineStr">
        <is>
          <t>Yes</t>
        </is>
      </c>
      <c r="AQ260" s="30">
        <f>IF(AP260="Yes",10,0)</f>
        <v/>
      </c>
      <c r="AR260" s="30" t="inlineStr">
        <is>
          <t>Fully One Time</t>
        </is>
      </c>
      <c r="AS260" s="30">
        <f>IF(AR260="Fully Annuity",10,IF(AR260="Higher Annuity, Lower One Time",5,IF(AR260="Higher One Time, Lower Annuity",3,0)))</f>
        <v/>
      </c>
      <c r="AT260" s="30" t="inlineStr">
        <is>
          <t>Good</t>
        </is>
      </c>
      <c r="AU260" s="30">
        <f>IF(AT260="Good",10,0)</f>
        <v/>
      </c>
      <c r="AV260" s="30" t="inlineStr">
        <is>
          <t>Yes for more than 2 years</t>
        </is>
      </c>
      <c r="AW260" s="30">
        <f>IF(AV260="Yes for more than 2 years",10,IF(AV260="Yes only for next 1 to 2 years",5,0))</f>
        <v/>
      </c>
      <c r="AX260" s="30" t="inlineStr">
        <is>
          <t>Above 40</t>
        </is>
      </c>
      <c r="AY260" s="30">
        <f>IF(AX260="Above 40",20,IF(AX260="20 to 40",10,IF(AX260="0 to 20",-5,0)))</f>
        <v/>
      </c>
      <c r="AZ260" s="30" t="inlineStr">
        <is>
          <t>Above 75</t>
        </is>
      </c>
      <c r="BA260" s="30">
        <f>IF(AZ260="Between 50 to 75",10,IF(AZ260="Above 75",0,0))</f>
        <v/>
      </c>
      <c r="BB260" s="30" t="inlineStr">
        <is>
          <t>Stage 2</t>
        </is>
      </c>
      <c r="BC260" s="30">
        <f>IF(BB260="Stage 2",20,IF(BB260="Stage 1",0,IF(BB260="Stage 3",5,IF(BB260="Stage 4",-5,0))))</f>
        <v/>
      </c>
      <c r="BD260" s="30" t="inlineStr">
        <is>
          <t>Positive Trend</t>
        </is>
      </c>
      <c r="BE260" s="30">
        <f>IF(BD260="Positive Trend",20,IF(BD260="Negative Trend",-10,0))</f>
        <v/>
      </c>
      <c r="BF260" s="30" t="inlineStr">
        <is>
          <t>Uptrend</t>
        </is>
      </c>
      <c r="BG260" s="30">
        <f>IF(BF260="Uptrend",10,IF(BF260="Sideways",5,0))</f>
        <v/>
      </c>
      <c r="BH260" s="30" t="inlineStr">
        <is>
          <t>Uptrend</t>
        </is>
      </c>
      <c r="BI260" s="30">
        <f>IF(BH260="Uptrend",10,IF(BH260="Sideways",5,0))</f>
        <v/>
      </c>
      <c r="BJ260" s="30" t="inlineStr">
        <is>
          <t>Close to 52 week high or retracement</t>
        </is>
      </c>
      <c r="BK260" s="30">
        <f>IF(BJ260="Overhead supply in last 2 years in last 2 years",-5,IF(BJ260="Close to 52 week high or retracement",5,IF(BJ260="Blue sky scenario",10,IF(BJ260="Long term Downtrend",-10,0))))</f>
        <v/>
      </c>
      <c r="BL260" s="30" t="inlineStr">
        <is>
          <t>Yes</t>
        </is>
      </c>
      <c r="BM260" s="30">
        <f>IF(BL260="Yes",10,0)</f>
        <v/>
      </c>
      <c r="BN260" s="30" t="inlineStr">
        <is>
          <t>More than 20%</t>
        </is>
      </c>
      <c r="BO260" s="30">
        <f>IF(BN260="More than 20%",10,IF(BN260="Between 12 to 20%",5,IF(BN260="Less than 12%",0,0)))</f>
        <v/>
      </c>
      <c r="BP260" s="30" t="inlineStr">
        <is>
          <t>Yes</t>
        </is>
      </c>
      <c r="BQ260" s="30">
        <f>IF(BP260="No",10,0)</f>
        <v/>
      </c>
      <c r="BR260" s="30" t="inlineStr">
        <is>
          <t>Yes</t>
        </is>
      </c>
      <c r="BS260" s="30">
        <f>IF(BR260="NO",5,0)</f>
        <v/>
      </c>
      <c r="BT260" s="30" t="inlineStr">
        <is>
          <t>Between 1.5 to 2</t>
        </is>
      </c>
      <c r="BU260" s="30">
        <f>IF(BT260="Above 2",0,IF(BT260="Between 1.5 to 2",5,IF(BT260="Less than 1.5",10,0)))</f>
        <v/>
      </c>
      <c r="BV260" s="30" t="inlineStr">
        <is>
          <t>Above 70%</t>
        </is>
      </c>
      <c r="BW260" s="30">
        <f>IF(BV260="Above 70%",10,IF(BV260="Between 50% to 70%",5,IF(BV260="Less than 50%",0,IF(BV260="Negative",-10,IF(BV260="Less than 50% and Borrowings are increasing",-5,0)))))</f>
        <v/>
      </c>
      <c r="BX260" s="30" t="inlineStr">
        <is>
          <t>Less than 0.7</t>
        </is>
      </c>
      <c r="BY260" s="30">
        <f>IF(BX260="More than 1.2",-10,IF(BX260="Between 0.7 to 1.2",0,IF(BX260="Less than 0.7",10,0)))</f>
        <v/>
      </c>
      <c r="BZ260" s="30" t="inlineStr">
        <is>
          <t>No</t>
        </is>
      </c>
      <c r="CA260" s="30">
        <f>IF(BZ260="Yes",-10,0)</f>
        <v/>
      </c>
      <c r="CB260" s="30" t="inlineStr">
        <is>
          <t>Less than 15%</t>
        </is>
      </c>
      <c r="CC260" s="30">
        <f>IF(CB260="More than 15%",-10,IF(CB260="Less than 15%",10,0))</f>
        <v/>
      </c>
      <c r="CD260" s="30" t="inlineStr">
        <is>
          <t>No</t>
        </is>
      </c>
      <c r="CE260" s="30">
        <f>IF(CD260="Yes, more than 10%",-10,IF(CD260="No",10,0))</f>
        <v/>
      </c>
    </row>
    <row r="261">
      <c r="A261" s="30">
        <f>IF(B261=0,"",RANK(B261,$B$2:$B$331,0))</f>
        <v/>
      </c>
      <c r="B261" s="31">
        <f>SUM(N261,Y261,AA261,AC261,AE261,AG261,AI261,AK261,AM261,AO261,AQ261,AS261,AU261,AW261,AY261,BA261,BC261,BE261,BG261,BI261,BK261,BM261,BO261,BQ261,BS261,BU261,BW261,BY261,CA261,CC261,CE261)</f>
        <v/>
      </c>
      <c r="C261" s="32" t="inlineStr">
        <is>
          <t>MAHSEAMLES</t>
        </is>
      </c>
      <c r="D261" s="32" t="inlineStr">
        <is>
          <t>Maharashtra Seamless Limited</t>
        </is>
      </c>
      <c r="E261" s="30" t="inlineStr">
        <is>
          <t>metals &amp; mining</t>
        </is>
      </c>
      <c r="F261" s="30" t="inlineStr">
        <is>
          <t>steel - medium / small</t>
        </is>
      </c>
      <c r="G261" s="30" t="inlineStr">
        <is>
          <t>midcap</t>
        </is>
      </c>
      <c r="H261" s="31" t="n">
        <v>9061.030000000001</v>
      </c>
      <c r="I261" s="31" t="n">
        <v>718.95</v>
      </c>
      <c r="J261" s="31" t="n">
        <v>6.32</v>
      </c>
      <c r="K261" s="31" t="n">
        <v>1256187</v>
      </c>
      <c r="L261" s="30" t="n">
        <v>15</v>
      </c>
      <c r="M261" s="30" t="inlineStr">
        <is>
          <t>Underperforming</t>
        </is>
      </c>
      <c r="N261" s="31">
        <f>IF(M261="Underperforming",-5,IF(L261&gt;=95,15,IF(L261&gt;=90,10,IF(L261&gt;=80,5,0))))</f>
        <v/>
      </c>
      <c r="O261" s="31" t="n">
        <v>74.2</v>
      </c>
      <c r="P261" s="31" t="n">
        <v>20.28</v>
      </c>
      <c r="Q261" s="31" t="n">
        <v>605.78</v>
      </c>
      <c r="R261" s="30" t="inlineStr">
        <is>
          <t>Volume Spike &amp; Near 52W High Breakout</t>
        </is>
      </c>
      <c r="S261" s="30" t="inlineStr">
        <is>
          <t>Nifty Metal</t>
        </is>
      </c>
      <c r="T261" s="31" t="n">
        <v>41.17</v>
      </c>
      <c r="U261" s="31" t="n">
        <v>4.92</v>
      </c>
      <c r="V261" s="31" t="n">
        <v>-25.68</v>
      </c>
      <c r="W261" s="31" t="n">
        <v>4.94</v>
      </c>
      <c r="X261" s="30" t="inlineStr">
        <is>
          <t>Cyclical in an Upturn</t>
        </is>
      </c>
      <c r="Y261" s="30">
        <f>IF(X261="Growing Industry",10,IF(X261="Cyclical in an Upturn",5,0))</f>
        <v/>
      </c>
      <c r="Z261" s="30" t="inlineStr">
        <is>
          <t>Too Many Players with High ROCE</t>
        </is>
      </c>
      <c r="AA261" s="30">
        <f>IF(Z261="Monopoly",10,IF(Z261="Oligopoly",5,IF(Z261="Duopoly that cooperate",10,IF(Z261="Duopoly that compete",5,IF(Z261="Too many players with High ROCE",5,0)))))</f>
        <v/>
      </c>
      <c r="AB261" s="30" t="inlineStr">
        <is>
          <t>No</t>
        </is>
      </c>
      <c r="AC261" s="30">
        <f>IF(AB261="No",5,0)</f>
        <v/>
      </c>
      <c r="AD261" s="30" t="inlineStr">
        <is>
          <t>Tailwind</t>
        </is>
      </c>
      <c r="AE261" s="30">
        <f>IF(AD261="Tailwind",10,0)</f>
        <v/>
      </c>
      <c r="AF261" s="30" t="inlineStr">
        <is>
          <t>Cyclical</t>
        </is>
      </c>
      <c r="AG261" s="30">
        <f>IF(AF261="Structural (10 Years Consistency)",10,IF(AF261="Shallow Cyclical (2 to 3 years growth)",5,0))</f>
        <v/>
      </c>
      <c r="AH261" s="30" t="inlineStr">
        <is>
          <t>No</t>
        </is>
      </c>
      <c r="AI261" s="30">
        <f>IF(AH261="Yes due to Product Mix change or Operating Leverage",10,IF(AH261="Yes, these are peak margins",-5,IF(AH261="No",5,0)))</f>
        <v/>
      </c>
      <c r="AJ261" s="30" t="inlineStr">
        <is>
          <t>Volatile</t>
        </is>
      </c>
      <c r="AK261" s="30">
        <f>IF(AJ261="Stable",10,0)</f>
        <v/>
      </c>
      <c r="AL261" s="30" t="inlineStr">
        <is>
          <t>Yes</t>
        </is>
      </c>
      <c r="AM261" s="30">
        <f>IF(AL261="Yes",10,0)</f>
        <v/>
      </c>
      <c r="AN261" s="30" t="inlineStr">
        <is>
          <t>B2B</t>
        </is>
      </c>
      <c r="AO261" s="30">
        <f>IF(AN261="B2C",10,IF(AN261="B2B",5,0))</f>
        <v/>
      </c>
      <c r="AP261" s="30" t="inlineStr">
        <is>
          <t>Yes</t>
        </is>
      </c>
      <c r="AQ261" s="30">
        <f>IF(AP261="Yes",10,0)</f>
        <v/>
      </c>
      <c r="AR261" s="30" t="inlineStr">
        <is>
          <t>Higher One Time, Lower Annuity</t>
        </is>
      </c>
      <c r="AS261" s="30">
        <f>IF(AR261="Fully Annuity",10,IF(AR261="Higher Annuity, Lower One Time",5,IF(AR261="Higher One Time, Lower Annuity",3,0)))</f>
        <v/>
      </c>
      <c r="AT261" s="30" t="inlineStr">
        <is>
          <t>Good</t>
        </is>
      </c>
      <c r="AU261" s="30">
        <f>IF(AT261="Good",10,0)</f>
        <v/>
      </c>
      <c r="AV261" s="30" t="inlineStr">
        <is>
          <t>Yes for more than 2 years</t>
        </is>
      </c>
      <c r="AW261" s="30">
        <f>IF(AV261="Yes for more than 2 years",10,IF(AV261="Yes only for next 1 to 2 years",5,0))</f>
        <v/>
      </c>
      <c r="AX261" s="30" t="inlineStr">
        <is>
          <t>20 to 40</t>
        </is>
      </c>
      <c r="AY261" s="30">
        <f>IF(AX261="Above 40",20,IF(AX261="20 to 40",10,IF(AX261="0 to 20",-5,0)))</f>
        <v/>
      </c>
      <c r="AZ261" s="30" t="inlineStr">
        <is>
          <t>Between 50 to 75</t>
        </is>
      </c>
      <c r="BA261" s="30">
        <f>IF(AZ261="Between 50 to 75",10,IF(AZ261="Above 75",0,0))</f>
        <v/>
      </c>
      <c r="BB261" s="30" t="inlineStr">
        <is>
          <t>Stage 2</t>
        </is>
      </c>
      <c r="BC261" s="30">
        <f>IF(BB261="Stage 2",20,IF(BB261="Stage 1",0,IF(BB261="Stage 3",5,IF(BB261="Stage 4",-5,0))))</f>
        <v/>
      </c>
      <c r="BD261" s="30" t="inlineStr">
        <is>
          <t>Positive Trend</t>
        </is>
      </c>
      <c r="BE261" s="30">
        <f>IF(BD261="Positive Trend",20,IF(BD261="Negative Trend",-10,0))</f>
        <v/>
      </c>
      <c r="BF261" s="30" t="inlineStr">
        <is>
          <t>Uptrend</t>
        </is>
      </c>
      <c r="BG261" s="30">
        <f>IF(BF261="Uptrend",10,IF(BF261="Sideways",5,0))</f>
        <v/>
      </c>
      <c r="BH261" s="30" t="inlineStr">
        <is>
          <t>Uptrend</t>
        </is>
      </c>
      <c r="BI261" s="30">
        <f>IF(BH261="Uptrend",10,IF(BH261="Sideways",5,0))</f>
        <v/>
      </c>
      <c r="BJ261" s="30" t="inlineStr">
        <is>
          <t>Close to 52 week high or retracement</t>
        </is>
      </c>
      <c r="BK261" s="30">
        <f>IF(BJ261="Overhead supply in last 2 years in last 2 years",-5,IF(BJ261="Close to 52 week high or retracement",5,IF(BJ261="Blue sky scenario",10,IF(BJ261="Long term Downtrend",-10,0))))</f>
        <v/>
      </c>
      <c r="BL261" s="30" t="inlineStr">
        <is>
          <t>Yes</t>
        </is>
      </c>
      <c r="BM261" s="30">
        <f>IF(BL261="Yes",10,0)</f>
        <v/>
      </c>
      <c r="BN261" s="30" t="inlineStr">
        <is>
          <t>Between 12 to 20%</t>
        </is>
      </c>
      <c r="BO261" s="30">
        <f>IF(BN261="More than 20%",10,IF(BN261="Between 12 to 20%",5,IF(BN261="Less than 12%",0,0)))</f>
        <v/>
      </c>
      <c r="BP261" s="30" t="inlineStr">
        <is>
          <t>No</t>
        </is>
      </c>
      <c r="BQ261" s="30">
        <f>IF(BP261="No",10,0)</f>
        <v/>
      </c>
      <c r="BR261" s="30" t="inlineStr">
        <is>
          <t>No</t>
        </is>
      </c>
      <c r="BS261" s="30">
        <f>IF(BR261="NO",5,0)</f>
        <v/>
      </c>
      <c r="BT261" s="30" t="inlineStr">
        <is>
          <t>Less than 1.5</t>
        </is>
      </c>
      <c r="BU261" s="30">
        <f>IF(BT261="Above 2",0,IF(BT261="Between 1.5 to 2",5,IF(BT261="Less than 1.5",10,0)))</f>
        <v/>
      </c>
      <c r="BV261" s="30" t="inlineStr">
        <is>
          <t>Above 70%</t>
        </is>
      </c>
      <c r="BW261" s="30">
        <f>IF(BV261="Above 70%",10,IF(BV261="Between 50% to 70%",5,IF(BV261="Less than 50%",0,IF(BV261="Negative",-10,IF(BV261="Less than 50% and Borrowings are increasing",-5,0)))))</f>
        <v/>
      </c>
      <c r="BX261" s="30" t="inlineStr">
        <is>
          <t>Less than 0.7</t>
        </is>
      </c>
      <c r="BY261" s="30">
        <f>IF(BX261="More than 1.2",-10,IF(BX261="Between 0.7 to 1.2",0,IF(BX261="Less than 0.7",10,0)))</f>
        <v/>
      </c>
      <c r="BZ261" s="30" t="inlineStr">
        <is>
          <t>No</t>
        </is>
      </c>
      <c r="CA261" s="30">
        <f>IF(BZ261="Yes",-10,0)</f>
        <v/>
      </c>
      <c r="CB261" s="30" t="inlineStr">
        <is>
          <t>Less than 15%</t>
        </is>
      </c>
      <c r="CC261" s="30">
        <f>IF(CB261="More than 15%",-10,IF(CB261="Less than 15%",10,0))</f>
        <v/>
      </c>
      <c r="CD261" s="30" t="inlineStr">
        <is>
          <t>No</t>
        </is>
      </c>
      <c r="CE261" s="30">
        <f>IF(CD261="Yes, more than 10%",-10,IF(CD261="No",10,0))</f>
        <v/>
      </c>
    </row>
    <row r="262">
      <c r="A262" s="30">
        <f>IF(B262=0,"",RANK(B262,$B$2:$B$331,0))</f>
        <v/>
      </c>
      <c r="B262" s="31">
        <f>SUM(N262,Y262,AA262,AC262,AE262,AG262,AI262,AK262,AM262,AO262,AQ262,AS262,AU262,AW262,AY262,BA262,BC262,BE262,BG262,BI262,BK262,BM262,BO262,BQ262,BS262,BU262,BW262,BY262,CA262,CC262,CE262)</f>
        <v/>
      </c>
      <c r="C262" s="30" t="inlineStr">
        <is>
          <t>DIACABS</t>
        </is>
      </c>
      <c r="D262" s="30" t="inlineStr">
        <is>
          <t>Diamond Power Infrastructure Ltd</t>
        </is>
      </c>
      <c r="E262" s="30" t="inlineStr">
        <is>
          <t>industrials</t>
        </is>
      </c>
      <c r="F262" s="30" t="inlineStr">
        <is>
          <t>cables - power</t>
        </is>
      </c>
      <c r="G262" s="30" t="inlineStr">
        <is>
          <t>largecap</t>
        </is>
      </c>
      <c r="H262" s="31" t="n">
        <v>20023.42</v>
      </c>
      <c r="I262" s="31" t="n">
        <v>351.5</v>
      </c>
      <c r="J262" s="31" t="n">
        <v>4.99</v>
      </c>
      <c r="K262" s="31" t="n">
        <v>1022436</v>
      </c>
      <c r="L262" s="30" t="n">
        <v>93</v>
      </c>
      <c r="M262" s="30" t="inlineStr">
        <is>
          <t>Outperforming</t>
        </is>
      </c>
      <c r="N262" s="31">
        <f>IF(M262="Underperforming",-5,IF(L262&gt;=95,15,IF(L262&gt;=90,10,IF(L262&gt;=80,5,0))))</f>
        <v/>
      </c>
      <c r="O262" s="31" t="n">
        <v>76.14</v>
      </c>
      <c r="P262" s="31" t="n">
        <v>65.36</v>
      </c>
      <c r="Q262" s="31" t="n">
        <v>280.83</v>
      </c>
      <c r="R262" s="30" t="inlineStr">
        <is>
          <t>Near 52W High Breakout</t>
        </is>
      </c>
      <c r="S262" s="30" t="inlineStr">
        <is>
          <t>Nifty Energy</t>
        </is>
      </c>
      <c r="T262" s="31" t="n">
        <v>8.43</v>
      </c>
      <c r="U262" s="31" t="n">
        <v>115.82</v>
      </c>
      <c r="V262" s="31" t="n">
        <v>99.03</v>
      </c>
      <c r="W262" s="31" t="n">
        <v>47.97</v>
      </c>
      <c r="X262" s="30" t="inlineStr">
        <is>
          <t>Cyclical in an Upturn</t>
        </is>
      </c>
      <c r="Y262" s="30">
        <f>IF(X262="Growing Industry",10,IF(X262="Cyclical in an Upturn",5,0))</f>
        <v/>
      </c>
      <c r="Z262" s="30" t="inlineStr">
        <is>
          <t>Too Many Players with High ROCE</t>
        </is>
      </c>
      <c r="AA262" s="30">
        <f>IF(Z262="Monopoly",10,IF(Z262="Oligopoly",5,IF(Z262="Duopoly that cooperate",10,IF(Z262="Duopoly that compete",5,IF(Z262="Too many players with High ROCE",5,0)))))</f>
        <v/>
      </c>
      <c r="AB262" s="30" t="inlineStr">
        <is>
          <t>No</t>
        </is>
      </c>
      <c r="AC262" s="30">
        <f>IF(AB262="No",5,0)</f>
        <v/>
      </c>
      <c r="AD262" s="30" t="inlineStr">
        <is>
          <t>Tailwind</t>
        </is>
      </c>
      <c r="AE262" s="30">
        <f>IF(AD262="Tailwind",10,0)</f>
        <v/>
      </c>
      <c r="AF262" s="30" t="inlineStr">
        <is>
          <t>Structural (10 Years Consistency)</t>
        </is>
      </c>
      <c r="AG262" s="30">
        <f>IF(AF262="Structural (10 Years Consistency)",10,IF(AF262="Shallow Cyclical (2 to 3 years growth)",5,0))</f>
        <v/>
      </c>
      <c r="AH262" s="30" t="inlineStr">
        <is>
          <t>No</t>
        </is>
      </c>
      <c r="AI262" s="30">
        <f>IF(AH262="Yes due to Product Mix change or Operating Leverage",10,IF(AH262="Yes, these are peak margins",-5,IF(AH262="No",5,0)))</f>
        <v/>
      </c>
      <c r="AJ262" s="30" t="inlineStr">
        <is>
          <t>Stable</t>
        </is>
      </c>
      <c r="AK262" s="30">
        <f>IF(AJ262="Stable",10,0)</f>
        <v/>
      </c>
      <c r="AL262" s="30" t="inlineStr">
        <is>
          <t>Yes</t>
        </is>
      </c>
      <c r="AM262" s="30">
        <f>IF(AL262="Yes",10,0)</f>
        <v/>
      </c>
      <c r="AN262" s="30" t="inlineStr">
        <is>
          <t>B2B</t>
        </is>
      </c>
      <c r="AO262" s="30">
        <f>IF(AN262="B2C",10,IF(AN262="B2B",5,0))</f>
        <v/>
      </c>
      <c r="AP262" s="30" t="inlineStr">
        <is>
          <t>Yes</t>
        </is>
      </c>
      <c r="AQ262" s="30">
        <f>IF(AP262="Yes",10,0)</f>
        <v/>
      </c>
      <c r="AR262" s="30" t="inlineStr">
        <is>
          <t>Higher One Time, Lower Annuity</t>
        </is>
      </c>
      <c r="AS262" s="30">
        <f>IF(AR262="Fully Annuity",10,IF(AR262="Higher Annuity, Lower One Time",5,IF(AR262="Higher One Time, Lower Annuity",3,0)))</f>
        <v/>
      </c>
      <c r="AT262" s="30" t="inlineStr">
        <is>
          <t>Good</t>
        </is>
      </c>
      <c r="AU262" s="30">
        <f>IF(AT262="Good",10,0)</f>
        <v/>
      </c>
      <c r="AV262" s="30" t="inlineStr">
        <is>
          <t>Yes for more than 2 years</t>
        </is>
      </c>
      <c r="AW262" s="30">
        <f>IF(AV262="Yes for more than 2 years",10,IF(AV262="Yes only for next 1 to 2 years",5,0))</f>
        <v/>
      </c>
      <c r="AX262" s="30" t="inlineStr">
        <is>
          <t>Above 40</t>
        </is>
      </c>
      <c r="AY262" s="30">
        <f>IF(AX262="Above 40",20,IF(AX262="20 to 40",10,IF(AX262="0 to 20",-5,0)))</f>
        <v/>
      </c>
      <c r="AZ262" s="30" t="inlineStr">
        <is>
          <t>Above 75</t>
        </is>
      </c>
      <c r="BA262" s="30">
        <f>IF(AZ262="Between 50 to 75",10,IF(AZ262="Above 75",0,0))</f>
        <v/>
      </c>
      <c r="BB262" s="30" t="inlineStr">
        <is>
          <t>Stage 2</t>
        </is>
      </c>
      <c r="BC262" s="30">
        <f>IF(BB262="Stage 2",20,IF(BB262="Stage 1",0,IF(BB262="Stage 3",5,IF(BB262="Stage 4",-5,0))))</f>
        <v/>
      </c>
      <c r="BD262" s="30" t="inlineStr">
        <is>
          <t>Negative Trend</t>
        </is>
      </c>
      <c r="BE262" s="30">
        <f>IF(BD262="Positive Trend",20,IF(BD262="Negative Trend",-10,0))</f>
        <v/>
      </c>
      <c r="BF262" s="30" t="inlineStr">
        <is>
          <t>Uptrend</t>
        </is>
      </c>
      <c r="BG262" s="30">
        <f>IF(BF262="Uptrend",10,IF(BF262="Sideways",5,0))</f>
        <v/>
      </c>
      <c r="BH262" s="30" t="inlineStr">
        <is>
          <t>Uptrend</t>
        </is>
      </c>
      <c r="BI262" s="30">
        <f>IF(BH262="Uptrend",10,IF(BH262="Sideways",5,0))</f>
        <v/>
      </c>
      <c r="BJ262" s="30" t="inlineStr">
        <is>
          <t>Blue sky scenario</t>
        </is>
      </c>
      <c r="BK262" s="30">
        <f>IF(BJ262="Overhead supply in last 2 years in last 2 years",-5,IF(BJ262="Close to 52 week high or retracement",5,IF(BJ262="Blue sky scenario",10,IF(BJ262="Long term Downtrend",-10,0))))</f>
        <v/>
      </c>
      <c r="BL262" s="30" t="inlineStr">
        <is>
          <t>Yes</t>
        </is>
      </c>
      <c r="BM262" s="30">
        <f>IF(BL262="Yes",10,0)</f>
        <v/>
      </c>
      <c r="BN262" s="30" t="inlineStr">
        <is>
          <t>More than 20%</t>
        </is>
      </c>
      <c r="BO262" s="30">
        <f>IF(BN262="More than 20%",10,IF(BN262="Between 12 to 20%",5,IF(BN262="Less than 12%",0,0)))</f>
        <v/>
      </c>
      <c r="BP262" s="30" t="inlineStr">
        <is>
          <t>No</t>
        </is>
      </c>
      <c r="BQ262" s="30">
        <f>IF(BP262="No",10,0)</f>
        <v/>
      </c>
      <c r="BR262" s="30" t="inlineStr">
        <is>
          <t>Yes</t>
        </is>
      </c>
      <c r="BS262" s="30">
        <f>IF(BR262="NO",5,0)</f>
        <v/>
      </c>
      <c r="BT262" s="30" t="inlineStr">
        <is>
          <t>Above 2</t>
        </is>
      </c>
      <c r="BU262" s="30">
        <f>IF(BT262="Above 2",0,IF(BT262="Between 1.5 to 2",5,IF(BT262="Less than 1.5",10,0)))</f>
        <v/>
      </c>
      <c r="BV262" s="30" t="inlineStr">
        <is>
          <t>Above 70%</t>
        </is>
      </c>
      <c r="BW262" s="30">
        <f>IF(BV262="Above 70%",10,IF(BV262="Between 50% to 70%",5,IF(BV262="Less than 50%",0,IF(BV262="Negative",-10,IF(BV262="Less than 50% and Borrowings are increasing",-5,0)))))</f>
        <v/>
      </c>
      <c r="BX262" s="30" t="inlineStr">
        <is>
          <t>Less than 0.7</t>
        </is>
      </c>
      <c r="BY262" s="30">
        <f>IF(BX262="More than 1.2",-10,IF(BX262="Between 0.7 to 1.2",0,IF(BX262="Less than 0.7",10,0)))</f>
        <v/>
      </c>
      <c r="BZ262" s="30" t="inlineStr">
        <is>
          <t>No</t>
        </is>
      </c>
      <c r="CA262" s="30">
        <f>IF(BZ262="Yes",-10,0)</f>
        <v/>
      </c>
      <c r="CB262" s="30" t="inlineStr">
        <is>
          <t>Less than 15%</t>
        </is>
      </c>
      <c r="CC262" s="30">
        <f>IF(CB262="More than 15%",-10,IF(CB262="Less than 15%",10,0))</f>
        <v/>
      </c>
      <c r="CD262" s="30" t="inlineStr">
        <is>
          <t>No</t>
        </is>
      </c>
      <c r="CE262" s="30">
        <f>IF(CD262="Yes, more than 10%",-10,IF(CD262="No",10,0))</f>
        <v/>
      </c>
    </row>
    <row r="263">
      <c r="A263" s="30">
        <f>IF(B263=0,"",RANK(B263,$B$2:$B$331,0))</f>
        <v/>
      </c>
      <c r="B263" s="31">
        <f>SUM(N263,Y263,AA263,AC263,AE263,AG263,AI263,AK263,AM263,AO263,AQ263,AS263,AU263,AW263,AY263,BA263,BC263,BE263,BG263,BI263,BK263,BM263,BO263,BQ263,BS263,BU263,BW263,BY263,CA263,CC263,CE263)</f>
        <v/>
      </c>
      <c r="C263" s="30" t="inlineStr">
        <is>
          <t>MAXESTATES</t>
        </is>
      </c>
      <c r="D263" s="30" t="inlineStr">
        <is>
          <t>Max Estates Ltd</t>
        </is>
      </c>
      <c r="E263" s="30" t="inlineStr">
        <is>
          <t>realty</t>
        </is>
      </c>
      <c r="F263" s="30" t="inlineStr">
        <is>
          <t>construction</t>
        </is>
      </c>
      <c r="G263" s="30" t="inlineStr">
        <is>
          <t>midcap</t>
        </is>
      </c>
      <c r="H263" s="31" t="n">
        <v>8928.59</v>
      </c>
      <c r="I263" s="31" t="n">
        <v>559.75</v>
      </c>
      <c r="J263" s="31" t="n">
        <v>2.5</v>
      </c>
      <c r="K263" s="31" t="n">
        <v>122478</v>
      </c>
      <c r="L263" s="30" t="n">
        <v>40</v>
      </c>
      <c r="M263" s="30" t="inlineStr">
        <is>
          <t>Outperforming</t>
        </is>
      </c>
      <c r="N263" s="31">
        <f>IF(M263="Underperforming",-5,IF(L263&gt;=95,15,IF(L263&gt;=90,10,IF(L263&gt;=80,5,0))))</f>
        <v/>
      </c>
      <c r="O263" s="31" t="n">
        <v>71.56999999999999</v>
      </c>
      <c r="P263" s="31" t="n">
        <v>24.83</v>
      </c>
      <c r="Q263" s="31" t="n">
        <v>429.39</v>
      </c>
      <c r="R263" s="30" t="inlineStr">
        <is>
          <t>Near 52W High Breakout</t>
        </is>
      </c>
      <c r="S263" s="30" t="inlineStr">
        <is>
          <t>Nifty Realty</t>
        </is>
      </c>
      <c r="T263" s="31" t="n">
        <v>-8.26</v>
      </c>
      <c r="U263" s="31" t="n">
        <v>9.51</v>
      </c>
      <c r="V263" s="31" t="n">
        <v>19.37</v>
      </c>
      <c r="W263" s="31" t="n">
        <v>12.21</v>
      </c>
      <c r="X263" s="30" t="inlineStr">
        <is>
          <t>Growing Industry</t>
        </is>
      </c>
      <c r="Y263" s="30">
        <f>IF(X263="Growing Industry",10,IF(X263="Cyclical in an Upturn",5,0))</f>
        <v/>
      </c>
      <c r="Z263" s="30" t="inlineStr">
        <is>
          <t>Too Many Players with High ROCE</t>
        </is>
      </c>
      <c r="AA263" s="30">
        <f>IF(Z263="Monopoly",10,IF(Z263="Oligopoly",5,IF(Z263="Duopoly that cooperate",10,IF(Z263="Duopoly that compete",5,IF(Z263="Too many players with High ROCE",5,0)))))</f>
        <v/>
      </c>
      <c r="AB263" s="30" t="inlineStr">
        <is>
          <t>No</t>
        </is>
      </c>
      <c r="AC263" s="30">
        <f>IF(AB263="No",5,0)</f>
        <v/>
      </c>
      <c r="AD263" s="30" t="inlineStr">
        <is>
          <t>Tailwind</t>
        </is>
      </c>
      <c r="AE263" s="30">
        <f>IF(AD263="Tailwind",10,0)</f>
        <v/>
      </c>
      <c r="AF263" s="30" t="inlineStr">
        <is>
          <t>Structural (10 Years Consistency)</t>
        </is>
      </c>
      <c r="AG263" s="30">
        <f>IF(AF263="Structural (10 Years Consistency)",10,IF(AF263="Shallow Cyclical (2 to 3 years growth)",5,0))</f>
        <v/>
      </c>
      <c r="AH263" s="30" t="inlineStr">
        <is>
          <t>No</t>
        </is>
      </c>
      <c r="AI263" s="30">
        <f>IF(AH263="Yes due to Product Mix change or Operating Leverage",10,IF(AH263="Yes, these are peak margins",-5,IF(AH263="No",5,0)))</f>
        <v/>
      </c>
      <c r="AJ263" s="30" t="inlineStr">
        <is>
          <t>Stable</t>
        </is>
      </c>
      <c r="AK263" s="30">
        <f>IF(AJ263="Stable",10,0)</f>
        <v/>
      </c>
      <c r="AL263" s="30" t="inlineStr">
        <is>
          <t>Yes</t>
        </is>
      </c>
      <c r="AM263" s="30">
        <f>IF(AL263="Yes",10,0)</f>
        <v/>
      </c>
      <c r="AN263" s="30" t="inlineStr">
        <is>
          <t>B2B</t>
        </is>
      </c>
      <c r="AO263" s="30">
        <f>IF(AN263="B2C",10,IF(AN263="B2B",5,0))</f>
        <v/>
      </c>
      <c r="AP263" s="30" t="inlineStr">
        <is>
          <t>Yes</t>
        </is>
      </c>
      <c r="AQ263" s="30">
        <f>IF(AP263="Yes",10,0)</f>
        <v/>
      </c>
      <c r="AR263" s="30" t="inlineStr">
        <is>
          <t>Higher One Time, Lower Annuity</t>
        </is>
      </c>
      <c r="AS263" s="30">
        <f>IF(AR263="Fully Annuity",10,IF(AR263="Higher Annuity, Lower One Time",5,IF(AR263="Higher One Time, Lower Annuity",3,0)))</f>
        <v/>
      </c>
      <c r="AT263" s="30" t="inlineStr">
        <is>
          <t>Good</t>
        </is>
      </c>
      <c r="AU263" s="30">
        <f>IF(AT263="Good",10,0)</f>
        <v/>
      </c>
      <c r="AV263" s="30" t="inlineStr">
        <is>
          <t>Yes for more than 2 years</t>
        </is>
      </c>
      <c r="AW263" s="30">
        <f>IF(AV263="Yes for more than 2 years",10,IF(AV263="Yes only for next 1 to 2 years",5,0))</f>
        <v/>
      </c>
      <c r="AX263" s="30" t="inlineStr">
        <is>
          <t>20 to 40</t>
        </is>
      </c>
      <c r="AY263" s="30">
        <f>IF(AX263="Above 40",20,IF(AX263="20 to 40",10,IF(AX263="0 to 20",-5,0)))</f>
        <v/>
      </c>
      <c r="AZ263" s="30" t="inlineStr">
        <is>
          <t>Between 50 to 75</t>
        </is>
      </c>
      <c r="BA263" s="30">
        <f>IF(AZ263="Between 50 to 75",10,IF(AZ263="Above 75",0,0))</f>
        <v/>
      </c>
      <c r="BB263" s="30" t="inlineStr">
        <is>
          <t>Stage 2</t>
        </is>
      </c>
      <c r="BC263" s="30">
        <f>IF(BB263="Stage 2",20,IF(BB263="Stage 1",0,IF(BB263="Stage 3",5,IF(BB263="Stage 4",-5,0))))</f>
        <v/>
      </c>
      <c r="BD263" s="30" t="inlineStr">
        <is>
          <t>Positive Trend</t>
        </is>
      </c>
      <c r="BE263" s="30">
        <f>IF(BD263="Positive Trend",20,IF(BD263="Negative Trend",-10,0))</f>
        <v/>
      </c>
      <c r="BF263" s="30" t="inlineStr">
        <is>
          <t>Uptrend</t>
        </is>
      </c>
      <c r="BG263" s="30">
        <f>IF(BF263="Uptrend",10,IF(BF263="Sideways",5,0))</f>
        <v/>
      </c>
      <c r="BH263" s="30" t="inlineStr">
        <is>
          <t>Uptrend</t>
        </is>
      </c>
      <c r="BI263" s="30">
        <f>IF(BH263="Uptrend",10,IF(BH263="Sideways",5,0))</f>
        <v/>
      </c>
      <c r="BJ263" s="30" t="inlineStr">
        <is>
          <t>Close to 52 week high or retracement</t>
        </is>
      </c>
      <c r="BK263" s="30">
        <f>IF(BJ263="Overhead supply in last 2 years in last 2 years",-5,IF(BJ263="Close to 52 week high or retracement",5,IF(BJ263="Blue sky scenario",10,IF(BJ263="Long term Downtrend",-10,0))))</f>
        <v/>
      </c>
      <c r="BL263" s="30" t="inlineStr">
        <is>
          <t>Yes</t>
        </is>
      </c>
      <c r="BM263" s="30">
        <f>IF(BL263="Yes",10,0)</f>
        <v/>
      </c>
      <c r="BN263" s="30" t="inlineStr">
        <is>
          <t>Less than 12%</t>
        </is>
      </c>
      <c r="BO263" s="30">
        <f>IF(BN263="More than 20%",10,IF(BN263="Between 12 to 20%",5,IF(BN263="Less than 12%",0,0)))</f>
        <v/>
      </c>
      <c r="BP263" s="30" t="inlineStr">
        <is>
          <t>No</t>
        </is>
      </c>
      <c r="BQ263" s="30">
        <f>IF(BP263="No",10,0)</f>
        <v/>
      </c>
      <c r="BR263" s="30" t="inlineStr">
        <is>
          <t>Yes</t>
        </is>
      </c>
      <c r="BS263" s="30">
        <f>IF(BR263="NO",5,0)</f>
        <v/>
      </c>
      <c r="BT263" s="30" t="inlineStr">
        <is>
          <t>Above 2</t>
        </is>
      </c>
      <c r="BU263" s="30">
        <f>IF(BT263="Above 2",0,IF(BT263="Between 1.5 to 2",5,IF(BT263="Less than 1.5",10,0)))</f>
        <v/>
      </c>
      <c r="BV263" s="30" t="inlineStr">
        <is>
          <t>Above 70%</t>
        </is>
      </c>
      <c r="BW263" s="30">
        <f>IF(BV263="Above 70%",10,IF(BV263="Between 50% to 70%",5,IF(BV263="Less than 50%",0,IF(BV263="Negative",-10,IF(BV263="Less than 50% and Borrowings are increasing",-5,0)))))</f>
        <v/>
      </c>
      <c r="BX263" s="30" t="inlineStr">
        <is>
          <t>Between 0.7 to 1.2</t>
        </is>
      </c>
      <c r="BY263" s="30">
        <f>IF(BX263="More than 1.2",-10,IF(BX263="Between 0.7 to 1.2",0,IF(BX263="Less than 0.7",10,0)))</f>
        <v/>
      </c>
      <c r="BZ263" s="30" t="inlineStr">
        <is>
          <t>No</t>
        </is>
      </c>
      <c r="CA263" s="30">
        <f>IF(BZ263="Yes",-10,0)</f>
        <v/>
      </c>
      <c r="CB263" s="30" t="inlineStr">
        <is>
          <t>Less than 15%</t>
        </is>
      </c>
      <c r="CC263" s="30">
        <f>IF(CB263="More than 15%",-10,IF(CB263="Less than 15%",10,0))</f>
        <v/>
      </c>
      <c r="CD263" s="30" t="inlineStr">
        <is>
          <t>No</t>
        </is>
      </c>
      <c r="CE263" s="30">
        <f>IF(CD263="Yes, more than 10%",-10,IF(CD263="No",10,0))</f>
        <v/>
      </c>
    </row>
    <row r="264">
      <c r="A264" s="30">
        <f>IF(B264=0,"",RANK(B264,$B$2:$B$331,0))</f>
        <v/>
      </c>
      <c r="B264" s="31">
        <f>SUM(N264,Y264,AA264,AC264,AE264,AG264,AI264,AK264,AM264,AO264,AQ264,AS264,AU264,AW264,AY264,BA264,BC264,BE264,BG264,BI264,BK264,BM264,BO264,BQ264,BS264,BU264,BW264,BY264,CA264,CC264,CE264)</f>
        <v/>
      </c>
      <c r="C264" s="30" t="inlineStr">
        <is>
          <t>SHANTIGEAR</t>
        </is>
      </c>
      <c r="D264" s="30" t="inlineStr">
        <is>
          <t>Shanthi Gears Limited</t>
        </is>
      </c>
      <c r="E264" s="30" t="inlineStr">
        <is>
          <t>industrials</t>
        </is>
      </c>
      <c r="F264" s="30" t="inlineStr">
        <is>
          <t>engineering</t>
        </is>
      </c>
      <c r="G264" s="30" t="inlineStr">
        <is>
          <t>midcap</t>
        </is>
      </c>
      <c r="H264" s="31" t="n">
        <v>5429.56</v>
      </c>
      <c r="I264" s="31" t="n">
        <v>725.45</v>
      </c>
      <c r="J264" s="31" t="n">
        <v>2.5</v>
      </c>
      <c r="K264" s="31" t="n">
        <v>312598</v>
      </c>
      <c r="L264" s="30" t="n">
        <v>59</v>
      </c>
      <c r="M264" s="30" t="inlineStr">
        <is>
          <t>Outperforming</t>
        </is>
      </c>
      <c r="N264" s="31">
        <f>IF(M264="Underperforming",-5,IF(L264&gt;=95,15,IF(L264&gt;=90,10,IF(L264&gt;=80,5,0))))</f>
        <v/>
      </c>
      <c r="O264" s="31" t="n">
        <v>84.56999999999999</v>
      </c>
      <c r="P264" s="31" t="n">
        <v>26.38</v>
      </c>
      <c r="Q264" s="31" t="n">
        <v>583.14</v>
      </c>
      <c r="R264" s="30" t="inlineStr">
        <is>
          <t>Near 52W High Breakout</t>
        </is>
      </c>
      <c r="S264" s="30" t="inlineStr">
        <is>
          <t>Nifty Infra</t>
        </is>
      </c>
      <c r="T264" s="31" t="n">
        <v>0.74</v>
      </c>
      <c r="U264" s="31" t="n">
        <v>26.74</v>
      </c>
      <c r="V264" s="31" t="n">
        <v>25.81</v>
      </c>
      <c r="W264" s="31" t="n">
        <v>18.4</v>
      </c>
      <c r="X264" s="30" t="inlineStr">
        <is>
          <t>Cyclical in an Upturn</t>
        </is>
      </c>
      <c r="Y264" s="30">
        <f>IF(X264="Growing Industry",10,IF(X264="Cyclical in an Upturn",5,0))</f>
        <v/>
      </c>
      <c r="Z264" s="30" t="inlineStr">
        <is>
          <t>Too Many Players with High ROCE</t>
        </is>
      </c>
      <c r="AA264" s="30">
        <f>IF(Z264="Monopoly",10,IF(Z264="Oligopoly",5,IF(Z264="Duopoly that cooperate",10,IF(Z264="Duopoly that compete",5,IF(Z264="Too many players with High ROCE",5,0)))))</f>
        <v/>
      </c>
      <c r="AB264" s="30" t="inlineStr">
        <is>
          <t>No</t>
        </is>
      </c>
      <c r="AC264" s="30">
        <f>IF(AB264="No",5,0)</f>
        <v/>
      </c>
      <c r="AD264" s="30" t="inlineStr">
        <is>
          <t>Tailwind</t>
        </is>
      </c>
      <c r="AE264" s="30">
        <f>IF(AD264="Tailwind",10,0)</f>
        <v/>
      </c>
      <c r="AF264" s="30" t="inlineStr">
        <is>
          <t>Structural (10 Years Consistency)</t>
        </is>
      </c>
      <c r="AG264" s="30">
        <f>IF(AF264="Structural (10 Years Consistency)",10,IF(AF264="Shallow Cyclical (2 to 3 years growth)",5,0))</f>
        <v/>
      </c>
      <c r="AH264" s="30" t="inlineStr">
        <is>
          <t>No</t>
        </is>
      </c>
      <c r="AI264" s="30">
        <f>IF(AH264="Yes due to Product Mix change or Operating Leverage",10,IF(AH264="Yes, these are peak margins",-5,IF(AH264="No",5,0)))</f>
        <v/>
      </c>
      <c r="AJ264" s="30" t="inlineStr">
        <is>
          <t>Stable</t>
        </is>
      </c>
      <c r="AK264" s="30">
        <f>IF(AJ264="Stable",10,0)</f>
        <v/>
      </c>
      <c r="AL264" s="30" t="inlineStr">
        <is>
          <t>Yes</t>
        </is>
      </c>
      <c r="AM264" s="30">
        <f>IF(AL264="Yes",10,0)</f>
        <v/>
      </c>
      <c r="AN264" s="30" t="inlineStr">
        <is>
          <t>B2B</t>
        </is>
      </c>
      <c r="AO264" s="30">
        <f>IF(AN264="B2C",10,IF(AN264="B2B",5,0))</f>
        <v/>
      </c>
      <c r="AP264" s="30" t="inlineStr">
        <is>
          <t>Yes</t>
        </is>
      </c>
      <c r="AQ264" s="30">
        <f>IF(AP264="Yes",10,0)</f>
        <v/>
      </c>
      <c r="AR264" s="30" t="inlineStr">
        <is>
          <t>Higher One Time, Lower Annuity</t>
        </is>
      </c>
      <c r="AS264" s="30">
        <f>IF(AR264="Fully Annuity",10,IF(AR264="Higher Annuity, Lower One Time",5,IF(AR264="Higher One Time, Lower Annuity",3,0)))</f>
        <v/>
      </c>
      <c r="AT264" s="30" t="inlineStr">
        <is>
          <t>Good</t>
        </is>
      </c>
      <c r="AU264" s="30">
        <f>IF(AT264="Good",10,0)</f>
        <v/>
      </c>
      <c r="AV264" s="30" t="inlineStr">
        <is>
          <t>Yes for more than 2 years</t>
        </is>
      </c>
      <c r="AW264" s="30">
        <f>IF(AV264="Yes for more than 2 years",10,IF(AV264="Yes only for next 1 to 2 years",5,0))</f>
        <v/>
      </c>
      <c r="AX264" s="30" t="inlineStr">
        <is>
          <t>20 to 40</t>
        </is>
      </c>
      <c r="AY264" s="30">
        <f>IF(AX264="Above 40",20,IF(AX264="20 to 40",10,IF(AX264="0 to 20",-5,0)))</f>
        <v/>
      </c>
      <c r="AZ264" s="30" t="inlineStr">
        <is>
          <t>Above 75</t>
        </is>
      </c>
      <c r="BA264" s="30">
        <f>IF(AZ264="Between 50 to 75",10,IF(AZ264="Above 75",0,0))</f>
        <v/>
      </c>
      <c r="BB264" s="30" t="inlineStr">
        <is>
          <t>Stage 2</t>
        </is>
      </c>
      <c r="BC264" s="30">
        <f>IF(BB264="Stage 2",20,IF(BB264="Stage 1",0,IF(BB264="Stage 3",5,IF(BB264="Stage 4",-5,0))))</f>
        <v/>
      </c>
      <c r="BD264" s="30" t="inlineStr">
        <is>
          <t>Positive Trend</t>
        </is>
      </c>
      <c r="BE264" s="30">
        <f>IF(BD264="Positive Trend",20,IF(BD264="Negative Trend",-10,0))</f>
        <v/>
      </c>
      <c r="BF264" s="30" t="inlineStr">
        <is>
          <t>Uptrend</t>
        </is>
      </c>
      <c r="BG264" s="30">
        <f>IF(BF264="Uptrend",10,IF(BF264="Sideways",5,0))</f>
        <v/>
      </c>
      <c r="BH264" s="30" t="inlineStr">
        <is>
          <t>Uptrend</t>
        </is>
      </c>
      <c r="BI264" s="30">
        <f>IF(BH264="Uptrend",10,IF(BH264="Sideways",5,0))</f>
        <v/>
      </c>
      <c r="BJ264" s="30" t="inlineStr">
        <is>
          <t>Blue sky scenario</t>
        </is>
      </c>
      <c r="BK264" s="30">
        <f>IF(BJ264="Overhead supply in last 2 years in last 2 years",-5,IF(BJ264="Close to 52 week high or retracement",5,IF(BJ264="Blue sky scenario",10,IF(BJ264="Long term Downtrend",-10,0))))</f>
        <v/>
      </c>
      <c r="BL264" s="30" t="inlineStr">
        <is>
          <t>Yes</t>
        </is>
      </c>
      <c r="BM264" s="30">
        <f>IF(BL264="Yes",10,0)</f>
        <v/>
      </c>
      <c r="BN264" s="30" t="inlineStr">
        <is>
          <t>Less than 12%</t>
        </is>
      </c>
      <c r="BO264" s="30">
        <f>IF(BN264="More than 20%",10,IF(BN264="Between 12 to 20%",5,IF(BN264="Less than 12%",0,0)))</f>
        <v/>
      </c>
      <c r="BP264" s="30" t="inlineStr">
        <is>
          <t>No</t>
        </is>
      </c>
      <c r="BQ264" s="30">
        <f>IF(BP264="No",10,0)</f>
        <v/>
      </c>
      <c r="BR264" s="30" t="inlineStr">
        <is>
          <t>Yes</t>
        </is>
      </c>
      <c r="BS264" s="30">
        <f>IF(BR264="NO",5,0)</f>
        <v/>
      </c>
      <c r="BT264" s="30" t="inlineStr">
        <is>
          <t>Above 2</t>
        </is>
      </c>
      <c r="BU264" s="30">
        <f>IF(BT264="Above 2",0,IF(BT264="Between 1.5 to 2",5,IF(BT264="Less than 1.5",10,0)))</f>
        <v/>
      </c>
      <c r="BV264" s="30" t="inlineStr">
        <is>
          <t>Above 70%</t>
        </is>
      </c>
      <c r="BW264" s="30">
        <f>IF(BV264="Above 70%",10,IF(BV264="Between 50% to 70%",5,IF(BV264="Less than 50%",0,IF(BV264="Negative",-10,IF(BV264="Less than 50% and Borrowings are increasing",-5,0)))))</f>
        <v/>
      </c>
      <c r="BX264" s="30" t="inlineStr">
        <is>
          <t>Less than 0.7</t>
        </is>
      </c>
      <c r="BY264" s="30">
        <f>IF(BX264="More than 1.2",-10,IF(BX264="Between 0.7 to 1.2",0,IF(BX264="Less than 0.7",10,0)))</f>
        <v/>
      </c>
      <c r="BZ264" s="30" t="inlineStr">
        <is>
          <t>No</t>
        </is>
      </c>
      <c r="CA264" s="30">
        <f>IF(BZ264="Yes",-10,0)</f>
        <v/>
      </c>
      <c r="CB264" s="30" t="inlineStr">
        <is>
          <t>Less than 15%</t>
        </is>
      </c>
      <c r="CC264" s="30">
        <f>IF(CB264="More than 15%",-10,IF(CB264="Less than 15%",10,0))</f>
        <v/>
      </c>
      <c r="CD264" s="30" t="inlineStr">
        <is>
          <t>No</t>
        </is>
      </c>
      <c r="CE264" s="30">
        <f>IF(CD264="Yes, more than 10%",-10,IF(CD264="No",10,0))</f>
        <v/>
      </c>
    </row>
    <row r="265">
      <c r="A265" s="30">
        <f>IF(B265=0,"",RANK(B265,$B$2:$B$331,0))</f>
        <v/>
      </c>
      <c r="B265" s="31">
        <f>SUM(N265,Y265,AA265,AC265,AE265,AG265,AI265,AK265,AM265,AO265,AQ265,AS265,AU265,AW265,AY265,BA265,BC265,BE265,BG265,BI265,BK265,BM265,BO265,BQ265,BS265,BU265,BW265,BY265,CA265,CC265,CE265)</f>
        <v/>
      </c>
      <c r="C265" s="30" t="inlineStr">
        <is>
          <t>LGBBROSLTD</t>
        </is>
      </c>
      <c r="D265" s="30" t="inlineStr">
        <is>
          <t>Lg Balakrishnan &amp; Bros Limited</t>
        </is>
      </c>
      <c r="E265" s="30" t="inlineStr">
        <is>
          <t>auto</t>
        </is>
      </c>
      <c r="F265" s="30" t="inlineStr">
        <is>
          <t>bearings</t>
        </is>
      </c>
      <c r="G265" s="30" t="inlineStr">
        <is>
          <t>midcap</t>
        </is>
      </c>
      <c r="H265" s="31" t="n">
        <v>5516.43</v>
      </c>
      <c r="I265" s="31" t="n">
        <v>1715.4</v>
      </c>
      <c r="J265" s="31" t="n">
        <v>-0.83</v>
      </c>
      <c r="K265" s="31" t="n">
        <v>9004</v>
      </c>
      <c r="L265" s="30" t="n">
        <v>23</v>
      </c>
      <c r="M265" s="30" t="inlineStr">
        <is>
          <t>Outperforming</t>
        </is>
      </c>
      <c r="N265" s="31">
        <f>IF(M265="Underperforming",-5,IF(L265&gt;=95,15,IF(L265&gt;=90,10,IF(L265&gt;=80,5,0))))</f>
        <v/>
      </c>
      <c r="O265" s="31" t="n">
        <v>58.4</v>
      </c>
      <c r="P265" s="31" t="n">
        <v>10.7</v>
      </c>
      <c r="Q265" s="31" t="n">
        <v>1425.18</v>
      </c>
      <c r="R265" s="30" t="inlineStr">
        <is>
          <t>Earnings / Momentum Support</t>
        </is>
      </c>
      <c r="S265" s="30" t="inlineStr">
        <is>
          <t>Nifty Auto</t>
        </is>
      </c>
      <c r="T265" s="31" t="n">
        <v>15.81</v>
      </c>
      <c r="U265" s="31" t="n">
        <v>36.77</v>
      </c>
      <c r="V265" s="31" t="n">
        <v>18.1</v>
      </c>
      <c r="W265" s="31" t="n">
        <v>6.84</v>
      </c>
      <c r="X265" s="30" t="inlineStr">
        <is>
          <t>Growing Industry</t>
        </is>
      </c>
      <c r="Y265" s="30">
        <f>IF(X265="Growing Industry",10,IF(X265="Cyclical in an Upturn",5,0))</f>
        <v/>
      </c>
      <c r="Z265" s="30" t="inlineStr">
        <is>
          <t>Too Many Players with High ROCE</t>
        </is>
      </c>
      <c r="AA265" s="30">
        <f>IF(Z265="Monopoly",10,IF(Z265="Oligopoly",5,IF(Z265="Duopoly that cooperate",10,IF(Z265="Duopoly that compete",5,IF(Z265="Too many players with High ROCE",5,0)))))</f>
        <v/>
      </c>
      <c r="AB265" s="30" t="inlineStr">
        <is>
          <t>No</t>
        </is>
      </c>
      <c r="AC265" s="30">
        <f>IF(AB265="No",5,0)</f>
        <v/>
      </c>
      <c r="AD265" s="30" t="inlineStr">
        <is>
          <t>Tailwind</t>
        </is>
      </c>
      <c r="AE265" s="30">
        <f>IF(AD265="Tailwind",10,0)</f>
        <v/>
      </c>
      <c r="AF265" s="30" t="inlineStr">
        <is>
          <t>Structural (10 Years Consistency)</t>
        </is>
      </c>
      <c r="AG265" s="30">
        <f>IF(AF265="Structural (10 Years Consistency)",10,IF(AF265="Shallow Cyclical (2 to 3 years growth)",5,0))</f>
        <v/>
      </c>
      <c r="AH265" s="30" t="inlineStr">
        <is>
          <t>No</t>
        </is>
      </c>
      <c r="AI265" s="30">
        <f>IF(AH265="Yes due to Product Mix change or Operating Leverage",10,IF(AH265="Yes, these are peak margins",-5,IF(AH265="No",5,0)))</f>
        <v/>
      </c>
      <c r="AJ265" s="30" t="inlineStr">
        <is>
          <t>Stable</t>
        </is>
      </c>
      <c r="AK265" s="30">
        <f>IF(AJ265="Stable",10,0)</f>
        <v/>
      </c>
      <c r="AL265" s="30" t="inlineStr">
        <is>
          <t>Yes</t>
        </is>
      </c>
      <c r="AM265" s="30">
        <f>IF(AL265="Yes",10,0)</f>
        <v/>
      </c>
      <c r="AN265" s="30" t="inlineStr">
        <is>
          <t>B2B</t>
        </is>
      </c>
      <c r="AO265" s="30">
        <f>IF(AN265="B2C",10,IF(AN265="B2B",5,0))</f>
        <v/>
      </c>
      <c r="AP265" s="30" t="inlineStr">
        <is>
          <t>No</t>
        </is>
      </c>
      <c r="AQ265" s="30">
        <f>IF(AP265="Yes",10,0)</f>
        <v/>
      </c>
      <c r="AR265" s="30" t="inlineStr">
        <is>
          <t>Higher One Time, Lower Annuity</t>
        </is>
      </c>
      <c r="AS265" s="30">
        <f>IF(AR265="Fully Annuity",10,IF(AR265="Higher Annuity, Lower One Time",5,IF(AR265="Higher One Time, Lower Annuity",3,0)))</f>
        <v/>
      </c>
      <c r="AT265" s="30" t="inlineStr">
        <is>
          <t>Good</t>
        </is>
      </c>
      <c r="AU265" s="30">
        <f>IF(AT265="Good",10,0)</f>
        <v/>
      </c>
      <c r="AV265" s="30" t="inlineStr">
        <is>
          <t>Yes for more than 2 years</t>
        </is>
      </c>
      <c r="AW265" s="30">
        <f>IF(AV265="Yes for more than 2 years",10,IF(AV265="Yes only for next 1 to 2 years",5,0))</f>
        <v/>
      </c>
      <c r="AX265" s="30" t="inlineStr">
        <is>
          <t>0 to 20</t>
        </is>
      </c>
      <c r="AY265" s="30">
        <f>IF(AX265="Above 40",20,IF(AX265="20 to 40",10,IF(AX265="0 to 20",-5,0)))</f>
        <v/>
      </c>
      <c r="AZ265" s="30" t="inlineStr">
        <is>
          <t>Between 50 to 75</t>
        </is>
      </c>
      <c r="BA265" s="30">
        <f>IF(AZ265="Between 50 to 75",10,IF(AZ265="Above 75",0,0))</f>
        <v/>
      </c>
      <c r="BB265" s="30" t="inlineStr">
        <is>
          <t>Stage 2</t>
        </is>
      </c>
      <c r="BC265" s="30">
        <f>IF(BB265="Stage 2",20,IF(BB265="Stage 1",0,IF(BB265="Stage 3",5,IF(BB265="Stage 4",-5,0))))</f>
        <v/>
      </c>
      <c r="BD265" s="30" t="inlineStr">
        <is>
          <t>Positive Trend</t>
        </is>
      </c>
      <c r="BE265" s="30">
        <f>IF(BD265="Positive Trend",20,IF(BD265="Negative Trend",-10,0))</f>
        <v/>
      </c>
      <c r="BF265" s="30" t="inlineStr">
        <is>
          <t>Uptrend</t>
        </is>
      </c>
      <c r="BG265" s="30">
        <f>IF(BF265="Uptrend",10,IF(BF265="Sideways",5,0))</f>
        <v/>
      </c>
      <c r="BH265" s="30" t="inlineStr">
        <is>
          <t>Uptrend</t>
        </is>
      </c>
      <c r="BI265" s="30">
        <f>IF(BH265="Uptrend",10,IF(BH265="Sideways",5,0))</f>
        <v/>
      </c>
      <c r="BJ265" s="30" t="inlineStr">
        <is>
          <t>Close to 52 week high or retracement</t>
        </is>
      </c>
      <c r="BK265" s="30">
        <f>IF(BJ265="Overhead supply in last 2 years in last 2 years",-5,IF(BJ265="Close to 52 week high or retracement",5,IF(BJ265="Blue sky scenario",10,IF(BJ265="Long term Downtrend",-10,0))))</f>
        <v/>
      </c>
      <c r="BL265" s="30" t="inlineStr">
        <is>
          <t>Yes</t>
        </is>
      </c>
      <c r="BM265" s="30">
        <f>IF(BL265="Yes",10,0)</f>
        <v/>
      </c>
      <c r="BN265" s="30" t="inlineStr">
        <is>
          <t>Less than 12%</t>
        </is>
      </c>
      <c r="BO265" s="30">
        <f>IF(BN265="More than 20%",10,IF(BN265="Between 12 to 20%",5,IF(BN265="Less than 12%",0,0)))</f>
        <v/>
      </c>
      <c r="BP265" s="30" t="inlineStr">
        <is>
          <t>No</t>
        </is>
      </c>
      <c r="BQ265" s="30">
        <f>IF(BP265="No",10,0)</f>
        <v/>
      </c>
      <c r="BR265" s="30" t="inlineStr">
        <is>
          <t>No</t>
        </is>
      </c>
      <c r="BS265" s="30">
        <f>IF(BR265="NO",5,0)</f>
        <v/>
      </c>
      <c r="BT265" s="30" t="inlineStr">
        <is>
          <t>Less than 1.5</t>
        </is>
      </c>
      <c r="BU265" s="30">
        <f>IF(BT265="Above 2",0,IF(BT265="Between 1.5 to 2",5,IF(BT265="Less than 1.5",10,0)))</f>
        <v/>
      </c>
      <c r="BV265" s="30" t="inlineStr">
        <is>
          <t>Above 70%</t>
        </is>
      </c>
      <c r="BW265" s="30">
        <f>IF(BV265="Above 70%",10,IF(BV265="Between 50% to 70%",5,IF(BV265="Less than 50%",0,IF(BV265="Negative",-10,IF(BV265="Less than 50% and Borrowings are increasing",-5,0)))))</f>
        <v/>
      </c>
      <c r="BX265" s="30" t="inlineStr">
        <is>
          <t>Less than 0.7</t>
        </is>
      </c>
      <c r="BY265" s="30">
        <f>IF(BX265="More than 1.2",-10,IF(BX265="Between 0.7 to 1.2",0,IF(BX265="Less than 0.7",10,0)))</f>
        <v/>
      </c>
      <c r="BZ265" s="30" t="inlineStr">
        <is>
          <t>No</t>
        </is>
      </c>
      <c r="CA265" s="30">
        <f>IF(BZ265="Yes",-10,0)</f>
        <v/>
      </c>
      <c r="CB265" s="30" t="inlineStr">
        <is>
          <t>Less than 15%</t>
        </is>
      </c>
      <c r="CC265" s="30">
        <f>IF(CB265="More than 15%",-10,IF(CB265="Less than 15%",10,0))</f>
        <v/>
      </c>
      <c r="CD265" s="30" t="inlineStr">
        <is>
          <t>No</t>
        </is>
      </c>
      <c r="CE265" s="30">
        <f>IF(CD265="Yes, more than 10%",-10,IF(CD265="No",10,0))</f>
        <v/>
      </c>
    </row>
    <row r="266">
      <c r="A266" s="30">
        <f>IF(B266=0,"",RANK(B266,$B$2:$B$331,0))</f>
        <v/>
      </c>
      <c r="B266" s="31">
        <f>SUM(N266,Y266,AA266,AC266,AE266,AG266,AI266,AK266,AM266,AO266,AQ266,AS266,AU266,AW266,AY266,BA266,BC266,BE266,BG266,BI266,BK266,BM266,BO266,BQ266,BS266,BU266,BW266,BY266,CA266,CC266,CE266)</f>
        <v/>
      </c>
      <c r="C266" s="30" t="inlineStr">
        <is>
          <t>MANALIPETC</t>
        </is>
      </c>
      <c r="D266" s="30" t="inlineStr">
        <is>
          <t>Manali Petrochemicals Limited</t>
        </is>
      </c>
      <c r="E266" s="30" t="inlineStr">
        <is>
          <t>energy</t>
        </is>
      </c>
      <c r="F266" s="30" t="inlineStr">
        <is>
          <t>petrochemicals</t>
        </is>
      </c>
      <c r="G266" s="30" t="inlineStr">
        <is>
          <t>smallcap</t>
        </is>
      </c>
      <c r="H266" s="31" t="n">
        <v>1498.97</v>
      </c>
      <c r="I266" s="31" t="n">
        <v>86.27</v>
      </c>
      <c r="J266" s="31" t="n">
        <v>-1.01</v>
      </c>
      <c r="K266" s="31" t="n">
        <v>1530559</v>
      </c>
      <c r="L266" s="30" t="n">
        <v>64</v>
      </c>
      <c r="M266" s="30" t="inlineStr">
        <is>
          <t>Outperforming</t>
        </is>
      </c>
      <c r="N266" s="31">
        <f>IF(M266="Underperforming",-5,IF(L266&gt;=95,15,IF(L266&gt;=90,10,IF(L266&gt;=80,5,0))))</f>
        <v/>
      </c>
      <c r="O266" s="31" t="n">
        <v>75.17</v>
      </c>
      <c r="P266" s="31" t="n">
        <v>41.37</v>
      </c>
      <c r="Q266" s="31" t="n">
        <v>64.72</v>
      </c>
      <c r="R266" s="30" t="inlineStr">
        <is>
          <t>Near 52W High Breakout</t>
        </is>
      </c>
      <c r="S266" s="30" t="inlineStr">
        <is>
          <t>Nifty Energy</t>
        </is>
      </c>
      <c r="T266" s="31" t="n">
        <v>8.43</v>
      </c>
      <c r="U266" s="31" t="n">
        <v>19.17</v>
      </c>
      <c r="V266" s="31" t="n">
        <v>9.9</v>
      </c>
      <c r="W266" s="31" t="n">
        <v>19.63</v>
      </c>
      <c r="X266" s="30" t="inlineStr">
        <is>
          <t>Cyclical in an Upturn</t>
        </is>
      </c>
      <c r="Y266" s="30">
        <f>IF(X266="Growing Industry",10,IF(X266="Cyclical in an Upturn",5,0))</f>
        <v/>
      </c>
      <c r="Z266" s="30" t="inlineStr">
        <is>
          <t>Oligopoly</t>
        </is>
      </c>
      <c r="AA266" s="30">
        <f>IF(Z266="Monopoly",10,IF(Z266="Oligopoly",5,IF(Z266="Duopoly that cooperate",10,IF(Z266="Duopoly that compete",5,IF(Z266="Too many players with High ROCE",5,0)))))</f>
        <v/>
      </c>
      <c r="AB266" s="30" t="inlineStr">
        <is>
          <t>Yes</t>
        </is>
      </c>
      <c r="AC266" s="30">
        <f>IF(AB266="No",5,0)</f>
        <v/>
      </c>
      <c r="AD266" s="30" t="inlineStr">
        <is>
          <t>Tailwind</t>
        </is>
      </c>
      <c r="AE266" s="30">
        <f>IF(AD266="Tailwind",10,0)</f>
        <v/>
      </c>
      <c r="AF266" s="30" t="inlineStr">
        <is>
          <t>Cyclical</t>
        </is>
      </c>
      <c r="AG266" s="30">
        <f>IF(AF266="Structural (10 Years Consistency)",10,IF(AF266="Shallow Cyclical (2 to 3 years growth)",5,0))</f>
        <v/>
      </c>
      <c r="AH266" s="30" t="inlineStr">
        <is>
          <t>No</t>
        </is>
      </c>
      <c r="AI266" s="30">
        <f>IF(AH266="Yes due to Product Mix change or Operating Leverage",10,IF(AH266="Yes, these are peak margins",-5,IF(AH266="No",5,0)))</f>
        <v/>
      </c>
      <c r="AJ266" s="30" t="inlineStr">
        <is>
          <t>Volatile</t>
        </is>
      </c>
      <c r="AK266" s="30">
        <f>IF(AJ266="Stable",10,0)</f>
        <v/>
      </c>
      <c r="AL266" s="30" t="inlineStr">
        <is>
          <t>Yes</t>
        </is>
      </c>
      <c r="AM266" s="30">
        <f>IF(AL266="Yes",10,0)</f>
        <v/>
      </c>
      <c r="AN266" s="30" t="inlineStr">
        <is>
          <t>B2B</t>
        </is>
      </c>
      <c r="AO266" s="30">
        <f>IF(AN266="B2C",10,IF(AN266="B2B",5,0))</f>
        <v/>
      </c>
      <c r="AP266" s="30" t="inlineStr">
        <is>
          <t>Yes</t>
        </is>
      </c>
      <c r="AQ266" s="30">
        <f>IF(AP266="Yes",10,0)</f>
        <v/>
      </c>
      <c r="AR266" s="30" t="inlineStr">
        <is>
          <t>Higher One Time, Lower Annuity</t>
        </is>
      </c>
      <c r="AS266" s="30">
        <f>IF(AR266="Fully Annuity",10,IF(AR266="Higher Annuity, Lower One Time",5,IF(AR266="Higher One Time, Lower Annuity",3,0)))</f>
        <v/>
      </c>
      <c r="AT266" s="30" t="inlineStr">
        <is>
          <t>Good</t>
        </is>
      </c>
      <c r="AU266" s="30">
        <f>IF(AT266="Good",10,0)</f>
        <v/>
      </c>
      <c r="AV266" s="30" t="inlineStr">
        <is>
          <t>Yes for more than 2 years</t>
        </is>
      </c>
      <c r="AW266" s="30">
        <f>IF(AV266="Yes for more than 2 years",10,IF(AV266="Yes only for next 1 to 2 years",5,0))</f>
        <v/>
      </c>
      <c r="AX266" s="30" t="inlineStr">
        <is>
          <t>Above 40</t>
        </is>
      </c>
      <c r="AY266" s="30">
        <f>IF(AX266="Above 40",20,IF(AX266="20 to 40",10,IF(AX266="0 to 20",-5,0)))</f>
        <v/>
      </c>
      <c r="AZ266" s="30" t="inlineStr">
        <is>
          <t>Above 75</t>
        </is>
      </c>
      <c r="BA266" s="30">
        <f>IF(AZ266="Between 50 to 75",10,IF(AZ266="Above 75",0,0))</f>
        <v/>
      </c>
      <c r="BB266" s="30" t="inlineStr">
        <is>
          <t>Stage 2</t>
        </is>
      </c>
      <c r="BC266" s="30">
        <f>IF(BB266="Stage 2",20,IF(BB266="Stage 1",0,IF(BB266="Stage 3",5,IF(BB266="Stage 4",-5,0))))</f>
        <v/>
      </c>
      <c r="BD266" s="30" t="inlineStr">
        <is>
          <t>Positive Trend</t>
        </is>
      </c>
      <c r="BE266" s="30">
        <f>IF(BD266="Positive Trend",20,IF(BD266="Negative Trend",-10,0))</f>
        <v/>
      </c>
      <c r="BF266" s="30" t="inlineStr">
        <is>
          <t>Uptrend</t>
        </is>
      </c>
      <c r="BG266" s="30">
        <f>IF(BF266="Uptrend",10,IF(BF266="Sideways",5,0))</f>
        <v/>
      </c>
      <c r="BH266" s="30" t="inlineStr">
        <is>
          <t>Uptrend</t>
        </is>
      </c>
      <c r="BI266" s="30">
        <f>IF(BH266="Uptrend",10,IF(BH266="Sideways",5,0))</f>
        <v/>
      </c>
      <c r="BJ266" s="30" t="inlineStr">
        <is>
          <t>Blue sky scenario</t>
        </is>
      </c>
      <c r="BK266" s="30">
        <f>IF(BJ266="Overhead supply in last 2 years in last 2 years",-5,IF(BJ266="Close to 52 week high or retracement",5,IF(BJ266="Blue sky scenario",10,IF(BJ266="Long term Downtrend",-10,0))))</f>
        <v/>
      </c>
      <c r="BL266" s="30" t="inlineStr">
        <is>
          <t>Yes</t>
        </is>
      </c>
      <c r="BM266" s="30">
        <f>IF(BL266="Yes",10,0)</f>
        <v/>
      </c>
      <c r="BN266" s="30" t="inlineStr">
        <is>
          <t>More than 20%</t>
        </is>
      </c>
      <c r="BO266" s="30">
        <f>IF(BN266="More than 20%",10,IF(BN266="Between 12 to 20%",5,IF(BN266="Less than 12%",0,0)))</f>
        <v/>
      </c>
      <c r="BP266" s="30" t="inlineStr">
        <is>
          <t>No</t>
        </is>
      </c>
      <c r="BQ266" s="30">
        <f>IF(BP266="No",10,0)</f>
        <v/>
      </c>
      <c r="BR266" s="30" t="inlineStr">
        <is>
          <t>No</t>
        </is>
      </c>
      <c r="BS266" s="30">
        <f>IF(BR266="NO",5,0)</f>
        <v/>
      </c>
      <c r="BT266" s="30" t="inlineStr">
        <is>
          <t>Above 2</t>
        </is>
      </c>
      <c r="BU266" s="30">
        <f>IF(BT266="Above 2",0,IF(BT266="Between 1.5 to 2",5,IF(BT266="Less than 1.5",10,0)))</f>
        <v/>
      </c>
      <c r="BV266" s="30" t="inlineStr">
        <is>
          <t>Above 70%</t>
        </is>
      </c>
      <c r="BW266" s="30">
        <f>IF(BV266="Above 70%",10,IF(BV266="Between 50% to 70%",5,IF(BV266="Less than 50%",0,IF(BV266="Negative",-10,IF(BV266="Less than 50% and Borrowings are increasing",-5,0)))))</f>
        <v/>
      </c>
      <c r="BX266" s="30" t="inlineStr">
        <is>
          <t>Less than 0.7</t>
        </is>
      </c>
      <c r="BY266" s="30">
        <f>IF(BX266="More than 1.2",-10,IF(BX266="Between 0.7 to 1.2",0,IF(BX266="Less than 0.7",10,0)))</f>
        <v/>
      </c>
      <c r="BZ266" s="30" t="inlineStr">
        <is>
          <t>No</t>
        </is>
      </c>
      <c r="CA266" s="30">
        <f>IF(BZ266="Yes",-10,0)</f>
        <v/>
      </c>
      <c r="CB266" s="30" t="inlineStr">
        <is>
          <t>Less than 15%</t>
        </is>
      </c>
      <c r="CC266" s="30">
        <f>IF(CB266="More than 15%",-10,IF(CB266="Less than 15%",10,0))</f>
        <v/>
      </c>
      <c r="CD266" s="30" t="inlineStr">
        <is>
          <t>No</t>
        </is>
      </c>
      <c r="CE266" s="30">
        <f>IF(CD266="Yes, more than 10%",-10,IF(CD266="No",10,0))</f>
        <v/>
      </c>
    </row>
    <row r="267">
      <c r="A267" s="30">
        <f>IF(B267=0,"",RANK(B267,$B$2:$B$331,0))</f>
        <v/>
      </c>
      <c r="B267" s="31">
        <f>SUM(N267,Y267,AA267,AC267,AE267,AG267,AI267,AK267,AM267,AO267,AQ267,AS267,AU267,AW267,AY267,BA267,BC267,BE267,BG267,BI267,BK267,BM267,BO267,BQ267,BS267,BU267,BW267,BY267,CA267,CC267,CE267)</f>
        <v/>
      </c>
      <c r="C267" s="30" t="inlineStr">
        <is>
          <t>UFLEX</t>
        </is>
      </c>
      <c r="D267" s="30" t="inlineStr">
        <is>
          <t>Uflex Limited</t>
        </is>
      </c>
      <c r="E267" s="30" t="inlineStr">
        <is>
          <t>industrials</t>
        </is>
      </c>
      <c r="F267" s="30" t="inlineStr">
        <is>
          <t>packaging</t>
        </is>
      </c>
      <c r="G267" s="30" t="inlineStr">
        <is>
          <t>smallcap</t>
        </is>
      </c>
      <c r="H267" s="31" t="n">
        <v>4911.46</v>
      </c>
      <c r="I267" s="31" t="n">
        <v>672.6</v>
      </c>
      <c r="J267" s="31" t="n">
        <v>-1.11</v>
      </c>
      <c r="K267" s="31" t="n">
        <v>104598</v>
      </c>
      <c r="L267" s="30" t="n">
        <v>63</v>
      </c>
      <c r="M267" s="30" t="inlineStr">
        <is>
          <t>Outperforming</t>
        </is>
      </c>
      <c r="N267" s="31">
        <f>IF(M267="Underperforming",-5,IF(L267&gt;=95,15,IF(L267&gt;=90,10,IF(L267&gt;=80,5,0))))</f>
        <v/>
      </c>
      <c r="O267" s="31" t="n">
        <v>78.90000000000001</v>
      </c>
      <c r="P267" s="31" t="n">
        <v>30.94</v>
      </c>
      <c r="Q267" s="31" t="n">
        <v>534.76</v>
      </c>
      <c r="R267" s="30" t="inlineStr">
        <is>
          <t>Near 52W High Breakout</t>
        </is>
      </c>
      <c r="S267" s="30" t="inlineStr">
        <is>
          <t>Nifty 50</t>
        </is>
      </c>
      <c r="T267" s="31" t="n">
        <v>-6.52</v>
      </c>
      <c r="U267" s="31" t="n">
        <v>21.95</v>
      </c>
      <c r="V267" s="31" t="n">
        <v>30.44</v>
      </c>
      <c r="W267" s="31" t="n">
        <v>19.52</v>
      </c>
      <c r="X267" s="30" t="inlineStr">
        <is>
          <t>Cyclical in an Upturn</t>
        </is>
      </c>
      <c r="Y267" s="30">
        <f>IF(X267="Growing Industry",10,IF(X267="Cyclical in an Upturn",5,0))</f>
        <v/>
      </c>
      <c r="Z267" s="30" t="inlineStr">
        <is>
          <t>Too Many Players with High ROCE</t>
        </is>
      </c>
      <c r="AA267" s="30">
        <f>IF(Z267="Monopoly",10,IF(Z267="Oligopoly",5,IF(Z267="Duopoly that cooperate",10,IF(Z267="Duopoly that compete",5,IF(Z267="Too many players with High ROCE",5,0)))))</f>
        <v/>
      </c>
      <c r="AB267" s="30" t="inlineStr">
        <is>
          <t>No</t>
        </is>
      </c>
      <c r="AC267" s="30">
        <f>IF(AB267="No",5,0)</f>
        <v/>
      </c>
      <c r="AD267" s="30" t="inlineStr">
        <is>
          <t>Tailwind</t>
        </is>
      </c>
      <c r="AE267" s="30">
        <f>IF(AD267="Tailwind",10,0)</f>
        <v/>
      </c>
      <c r="AF267" s="30" t="inlineStr">
        <is>
          <t>Structural (10 Years Consistency)</t>
        </is>
      </c>
      <c r="AG267" s="30">
        <f>IF(AF267="Structural (10 Years Consistency)",10,IF(AF267="Shallow Cyclical (2 to 3 years growth)",5,0))</f>
        <v/>
      </c>
      <c r="AH267" s="30" t="inlineStr">
        <is>
          <t>No</t>
        </is>
      </c>
      <c r="AI267" s="30">
        <f>IF(AH267="Yes due to Product Mix change or Operating Leverage",10,IF(AH267="Yes, these are peak margins",-5,IF(AH267="No",5,0)))</f>
        <v/>
      </c>
      <c r="AJ267" s="30" t="inlineStr">
        <is>
          <t>Stable</t>
        </is>
      </c>
      <c r="AK267" s="30">
        <f>IF(AJ267="Stable",10,0)</f>
        <v/>
      </c>
      <c r="AL267" s="30" t="inlineStr">
        <is>
          <t>Yes</t>
        </is>
      </c>
      <c r="AM267" s="30">
        <f>IF(AL267="Yes",10,0)</f>
        <v/>
      </c>
      <c r="AN267" s="30" t="inlineStr">
        <is>
          <t>B2B</t>
        </is>
      </c>
      <c r="AO267" s="30">
        <f>IF(AN267="B2C",10,IF(AN267="B2B",5,0))</f>
        <v/>
      </c>
      <c r="AP267" s="30" t="inlineStr">
        <is>
          <t>Yes</t>
        </is>
      </c>
      <c r="AQ267" s="30">
        <f>IF(AP267="Yes",10,0)</f>
        <v/>
      </c>
      <c r="AR267" s="30" t="inlineStr">
        <is>
          <t>Higher One Time, Lower Annuity</t>
        </is>
      </c>
      <c r="AS267" s="30">
        <f>IF(AR267="Fully Annuity",10,IF(AR267="Higher Annuity, Lower One Time",5,IF(AR267="Higher One Time, Lower Annuity",3,0)))</f>
        <v/>
      </c>
      <c r="AT267" s="30" t="inlineStr">
        <is>
          <t>Good</t>
        </is>
      </c>
      <c r="AU267" s="30">
        <f>IF(AT267="Good",10,0)</f>
        <v/>
      </c>
      <c r="AV267" s="30" t="inlineStr">
        <is>
          <t>Yes for more than 2 years</t>
        </is>
      </c>
      <c r="AW267" s="30">
        <f>IF(AV267="Yes for more than 2 years",10,IF(AV267="Yes only for next 1 to 2 years",5,0))</f>
        <v/>
      </c>
      <c r="AX267" s="30" t="inlineStr">
        <is>
          <t>20 to 40</t>
        </is>
      </c>
      <c r="AY267" s="30">
        <f>IF(AX267="Above 40",20,IF(AX267="20 to 40",10,IF(AX267="0 to 20",-5,0)))</f>
        <v/>
      </c>
      <c r="AZ267" s="30" t="inlineStr">
        <is>
          <t>Above 75</t>
        </is>
      </c>
      <c r="BA267" s="30">
        <f>IF(AZ267="Between 50 to 75",10,IF(AZ267="Above 75",0,0))</f>
        <v/>
      </c>
      <c r="BB267" s="30" t="inlineStr">
        <is>
          <t>Stage 2</t>
        </is>
      </c>
      <c r="BC267" s="30">
        <f>IF(BB267="Stage 2",20,IF(BB267="Stage 1",0,IF(BB267="Stage 3",5,IF(BB267="Stage 4",-5,0))))</f>
        <v/>
      </c>
      <c r="BD267" s="30" t="inlineStr">
        <is>
          <t>Positive Trend</t>
        </is>
      </c>
      <c r="BE267" s="30">
        <f>IF(BD267="Positive Trend",20,IF(BD267="Negative Trend",-10,0))</f>
        <v/>
      </c>
      <c r="BF267" s="30" t="inlineStr">
        <is>
          <t>Uptrend</t>
        </is>
      </c>
      <c r="BG267" s="30">
        <f>IF(BF267="Uptrend",10,IF(BF267="Sideways",5,0))</f>
        <v/>
      </c>
      <c r="BH267" s="30" t="inlineStr">
        <is>
          <t>Uptrend</t>
        </is>
      </c>
      <c r="BI267" s="30">
        <f>IF(BH267="Uptrend",10,IF(BH267="Sideways",5,0))</f>
        <v/>
      </c>
      <c r="BJ267" s="30" t="inlineStr">
        <is>
          <t>Close to 52 week high or retracement</t>
        </is>
      </c>
      <c r="BK267" s="30">
        <f>IF(BJ267="Overhead supply in last 2 years in last 2 years",-5,IF(BJ267="Close to 52 week high or retracement",5,IF(BJ267="Blue sky scenario",10,IF(BJ267="Long term Downtrend",-10,0))))</f>
        <v/>
      </c>
      <c r="BL267" s="30" t="inlineStr">
        <is>
          <t>Yes</t>
        </is>
      </c>
      <c r="BM267" s="30">
        <f>IF(BL267="Yes",10,0)</f>
        <v/>
      </c>
      <c r="BN267" s="30" t="inlineStr">
        <is>
          <t>More than 20%</t>
        </is>
      </c>
      <c r="BO267" s="30">
        <f>IF(BN267="More than 20%",10,IF(BN267="Between 12 to 20%",5,IF(BN267="Less than 12%",0,0)))</f>
        <v/>
      </c>
      <c r="BP267" s="30" t="inlineStr">
        <is>
          <t>No</t>
        </is>
      </c>
      <c r="BQ267" s="30">
        <f>IF(BP267="No",10,0)</f>
        <v/>
      </c>
      <c r="BR267" s="30" t="inlineStr">
        <is>
          <t>No</t>
        </is>
      </c>
      <c r="BS267" s="30">
        <f>IF(BR267="NO",5,0)</f>
        <v/>
      </c>
      <c r="BT267" s="30" t="inlineStr">
        <is>
          <t>Less than 1.5</t>
        </is>
      </c>
      <c r="BU267" s="30">
        <f>IF(BT267="Above 2",0,IF(BT267="Between 1.5 to 2",5,IF(BT267="Less than 1.5",10,0)))</f>
        <v/>
      </c>
      <c r="BV267" s="30" t="inlineStr">
        <is>
          <t>Above 70%</t>
        </is>
      </c>
      <c r="BW267" s="30">
        <f>IF(BV267="Above 70%",10,IF(BV267="Between 50% to 70%",5,IF(BV267="Less than 50%",0,IF(BV267="Negative",-10,IF(BV267="Less than 50% and Borrowings are increasing",-5,0)))))</f>
        <v/>
      </c>
      <c r="BX267" s="30" t="inlineStr">
        <is>
          <t>More than 1.2</t>
        </is>
      </c>
      <c r="BY267" s="30">
        <f>IF(BX267="More than 1.2",-10,IF(BX267="Between 0.7 to 1.2",0,IF(BX267="Less than 0.7",10,0)))</f>
        <v/>
      </c>
      <c r="BZ267" s="30" t="inlineStr">
        <is>
          <t>No</t>
        </is>
      </c>
      <c r="CA267" s="30">
        <f>IF(BZ267="Yes",-10,0)</f>
        <v/>
      </c>
      <c r="CB267" s="30" t="inlineStr">
        <is>
          <t>Less than 15%</t>
        </is>
      </c>
      <c r="CC267" s="30">
        <f>IF(CB267="More than 15%",-10,IF(CB267="Less than 15%",10,0))</f>
        <v/>
      </c>
      <c r="CD267" s="30" t="inlineStr">
        <is>
          <t>No</t>
        </is>
      </c>
      <c r="CE267" s="30">
        <f>IF(CD267="Yes, more than 10%",-10,IF(CD267="No",10,0))</f>
        <v/>
      </c>
    </row>
    <row r="268">
      <c r="A268" s="30">
        <f>IF(B268=0,"",RANK(B268,$B$2:$B$331,0))</f>
        <v/>
      </c>
      <c r="B268" s="31">
        <f>SUM(N268,Y268,AA268,AC268,AE268,AG268,AI268,AK268,AM268,AO268,AQ268,AS268,AU268,AW268,AY268,BA268,BC268,BE268,BG268,BI268,BK268,BM268,BO268,BQ268,BS268,BU268,BW268,BY268,CA268,CC268,CE268)</f>
        <v/>
      </c>
      <c r="C268" s="30" t="inlineStr">
        <is>
          <t>DEEPINDS</t>
        </is>
      </c>
      <c r="D268" s="30" t="inlineStr">
        <is>
          <t>Deep Industries Ltd</t>
        </is>
      </c>
      <c r="E268" s="30" t="inlineStr">
        <is>
          <t>energy</t>
        </is>
      </c>
      <c r="F268" s="30" t="inlineStr">
        <is>
          <t>oil drilling / allied services</t>
        </is>
      </c>
      <c r="G268" s="30" t="inlineStr">
        <is>
          <t>midcap</t>
        </is>
      </c>
      <c r="H268" s="31" t="n">
        <v>5073.28</v>
      </c>
      <c r="I268" s="31" t="n">
        <v>782.8</v>
      </c>
      <c r="J268" s="31" t="n">
        <v>-1.25</v>
      </c>
      <c r="K268" s="31" t="n">
        <v>243710</v>
      </c>
      <c r="L268" s="30" t="n">
        <v>77</v>
      </c>
      <c r="M268" s="30" t="inlineStr">
        <is>
          <t>Outperforming</t>
        </is>
      </c>
      <c r="N268" s="31">
        <f>IF(M268="Underperforming",-5,IF(L268&gt;=95,15,IF(L268&gt;=90,10,IF(L268&gt;=80,5,0))))</f>
        <v/>
      </c>
      <c r="O268" s="31" t="n">
        <v>79.76000000000001</v>
      </c>
      <c r="P268" s="31" t="n">
        <v>33.06</v>
      </c>
      <c r="Q268" s="31" t="n">
        <v>610.61</v>
      </c>
      <c r="R268" s="30" t="inlineStr">
        <is>
          <t>Near 52W High Breakout</t>
        </is>
      </c>
      <c r="S268" s="30" t="inlineStr">
        <is>
          <t>Nifty Energy</t>
        </is>
      </c>
      <c r="T268" s="31" t="n">
        <v>8.43</v>
      </c>
      <c r="U268" s="31" t="n">
        <v>75.25</v>
      </c>
      <c r="V268" s="31" t="n">
        <v>61.62</v>
      </c>
      <c r="W268" s="31" t="n">
        <v>27.86</v>
      </c>
      <c r="X268" s="30" t="inlineStr">
        <is>
          <t>Cyclical in an Upturn</t>
        </is>
      </c>
      <c r="Y268" s="30">
        <f>IF(X268="Growing Industry",10,IF(X268="Cyclical in an Upturn",5,0))</f>
        <v/>
      </c>
      <c r="Z268" s="30" t="inlineStr">
        <is>
          <t>Oligopoly</t>
        </is>
      </c>
      <c r="AA268" s="30">
        <f>IF(Z268="Monopoly",10,IF(Z268="Oligopoly",5,IF(Z268="Duopoly that cooperate",10,IF(Z268="Duopoly that compete",5,IF(Z268="Too many players with High ROCE",5,0)))))</f>
        <v/>
      </c>
      <c r="AB268" s="30" t="inlineStr">
        <is>
          <t>Yes</t>
        </is>
      </c>
      <c r="AC268" s="30">
        <f>IF(AB268="No",5,0)</f>
        <v/>
      </c>
      <c r="AD268" s="30" t="inlineStr">
        <is>
          <t>Tailwind</t>
        </is>
      </c>
      <c r="AE268" s="30">
        <f>IF(AD268="Tailwind",10,0)</f>
        <v/>
      </c>
      <c r="AF268" s="30" t="inlineStr">
        <is>
          <t>Cyclical</t>
        </is>
      </c>
      <c r="AG268" s="30">
        <f>IF(AF268="Structural (10 Years Consistency)",10,IF(AF268="Shallow Cyclical (2 to 3 years growth)",5,0))</f>
        <v/>
      </c>
      <c r="AH268" s="30" t="inlineStr">
        <is>
          <t>No</t>
        </is>
      </c>
      <c r="AI268" s="30">
        <f>IF(AH268="Yes due to Product Mix change or Operating Leverage",10,IF(AH268="Yes, these are peak margins",-5,IF(AH268="No",5,0)))</f>
        <v/>
      </c>
      <c r="AJ268" s="30" t="inlineStr">
        <is>
          <t>Volatile</t>
        </is>
      </c>
      <c r="AK268" s="30">
        <f>IF(AJ268="Stable",10,0)</f>
        <v/>
      </c>
      <c r="AL268" s="30" t="inlineStr">
        <is>
          <t>Yes</t>
        </is>
      </c>
      <c r="AM268" s="30">
        <f>IF(AL268="Yes",10,0)</f>
        <v/>
      </c>
      <c r="AN268" s="30" t="inlineStr">
        <is>
          <t>B2B</t>
        </is>
      </c>
      <c r="AO268" s="30">
        <f>IF(AN268="B2C",10,IF(AN268="B2B",5,0))</f>
        <v/>
      </c>
      <c r="AP268" s="30" t="inlineStr">
        <is>
          <t>Yes</t>
        </is>
      </c>
      <c r="AQ268" s="30">
        <f>IF(AP268="Yes",10,0)</f>
        <v/>
      </c>
      <c r="AR268" s="30" t="inlineStr">
        <is>
          <t>Higher One Time, Lower Annuity</t>
        </is>
      </c>
      <c r="AS268" s="30">
        <f>IF(AR268="Fully Annuity",10,IF(AR268="Higher Annuity, Lower One Time",5,IF(AR268="Higher One Time, Lower Annuity",3,0)))</f>
        <v/>
      </c>
      <c r="AT268" s="30" t="inlineStr">
        <is>
          <t>Good</t>
        </is>
      </c>
      <c r="AU268" s="30">
        <f>IF(AT268="Good",10,0)</f>
        <v/>
      </c>
      <c r="AV268" s="30" t="inlineStr">
        <is>
          <t>Yes for more than 2 years</t>
        </is>
      </c>
      <c r="AW268" s="30">
        <f>IF(AV268="Yes for more than 2 years",10,IF(AV268="Yes only for next 1 to 2 years",5,0))</f>
        <v/>
      </c>
      <c r="AX268" s="30" t="inlineStr">
        <is>
          <t>20 to 40</t>
        </is>
      </c>
      <c r="AY268" s="30">
        <f>IF(AX268="Above 40",20,IF(AX268="20 to 40",10,IF(AX268="0 to 20",-5,0)))</f>
        <v/>
      </c>
      <c r="AZ268" s="30" t="inlineStr">
        <is>
          <t>Above 75</t>
        </is>
      </c>
      <c r="BA268" s="30">
        <f>IF(AZ268="Between 50 to 75",10,IF(AZ268="Above 75",0,0))</f>
        <v/>
      </c>
      <c r="BB268" s="30" t="inlineStr">
        <is>
          <t>Stage 2</t>
        </is>
      </c>
      <c r="BC268" s="30">
        <f>IF(BB268="Stage 2",20,IF(BB268="Stage 1",0,IF(BB268="Stage 3",5,IF(BB268="Stage 4",-5,0))))</f>
        <v/>
      </c>
      <c r="BD268" s="30" t="inlineStr">
        <is>
          <t>Positive Trend</t>
        </is>
      </c>
      <c r="BE268" s="30">
        <f>IF(BD268="Positive Trend",20,IF(BD268="Negative Trend",-10,0))</f>
        <v/>
      </c>
      <c r="BF268" s="30" t="inlineStr">
        <is>
          <t>Uptrend</t>
        </is>
      </c>
      <c r="BG268" s="30">
        <f>IF(BF268="Uptrend",10,IF(BF268="Sideways",5,0))</f>
        <v/>
      </c>
      <c r="BH268" s="30" t="inlineStr">
        <is>
          <t>Uptrend</t>
        </is>
      </c>
      <c r="BI268" s="30">
        <f>IF(BH268="Uptrend",10,IF(BH268="Sideways",5,0))</f>
        <v/>
      </c>
      <c r="BJ268" s="30" t="inlineStr">
        <is>
          <t>Blue sky scenario</t>
        </is>
      </c>
      <c r="BK268" s="30">
        <f>IF(BJ268="Overhead supply in last 2 years in last 2 years",-5,IF(BJ268="Close to 52 week high or retracement",5,IF(BJ268="Blue sky scenario",10,IF(BJ268="Long term Downtrend",-10,0))))</f>
        <v/>
      </c>
      <c r="BL268" s="30" t="inlineStr">
        <is>
          <t>Yes</t>
        </is>
      </c>
      <c r="BM268" s="30">
        <f>IF(BL268="Yes",10,0)</f>
        <v/>
      </c>
      <c r="BN268" s="30" t="inlineStr">
        <is>
          <t>More than 20%</t>
        </is>
      </c>
      <c r="BO268" s="30">
        <f>IF(BN268="More than 20%",10,IF(BN268="Between 12 to 20%",5,IF(BN268="Less than 12%",0,0)))</f>
        <v/>
      </c>
      <c r="BP268" s="30" t="inlineStr">
        <is>
          <t>No</t>
        </is>
      </c>
      <c r="BQ268" s="30">
        <f>IF(BP268="No",10,0)</f>
        <v/>
      </c>
      <c r="BR268" s="30" t="inlineStr">
        <is>
          <t>No</t>
        </is>
      </c>
      <c r="BS268" s="30">
        <f>IF(BR268="NO",5,0)</f>
        <v/>
      </c>
      <c r="BT268" s="30" t="inlineStr">
        <is>
          <t>Less than 1.5</t>
        </is>
      </c>
      <c r="BU268" s="30">
        <f>IF(BT268="Above 2",0,IF(BT268="Between 1.5 to 2",5,IF(BT268="Less than 1.5",10,0)))</f>
        <v/>
      </c>
      <c r="BV268" s="30" t="inlineStr">
        <is>
          <t>Above 70%</t>
        </is>
      </c>
      <c r="BW268" s="30">
        <f>IF(BV268="Above 70%",10,IF(BV268="Between 50% to 70%",5,IF(BV268="Less than 50%",0,IF(BV268="Negative",-10,IF(BV268="Less than 50% and Borrowings are increasing",-5,0)))))</f>
        <v/>
      </c>
      <c r="BX268" s="30" t="inlineStr">
        <is>
          <t>Less than 0.7</t>
        </is>
      </c>
      <c r="BY268" s="30">
        <f>IF(BX268="More than 1.2",-10,IF(BX268="Between 0.7 to 1.2",0,IF(BX268="Less than 0.7",10,0)))</f>
        <v/>
      </c>
      <c r="BZ268" s="30" t="inlineStr">
        <is>
          <t>No</t>
        </is>
      </c>
      <c r="CA268" s="30">
        <f>IF(BZ268="Yes",-10,0)</f>
        <v/>
      </c>
      <c r="CB268" s="30" t="inlineStr">
        <is>
          <t>Less than 15%</t>
        </is>
      </c>
      <c r="CC268" s="30">
        <f>IF(CB268="More than 15%",-10,IF(CB268="Less than 15%",10,0))</f>
        <v/>
      </c>
      <c r="CD268" s="30" t="inlineStr">
        <is>
          <t>No</t>
        </is>
      </c>
      <c r="CE268" s="30">
        <f>IF(CD268="Yes, more than 10%",-10,IF(CD268="No",10,0))</f>
        <v/>
      </c>
    </row>
    <row r="269">
      <c r="A269" s="30">
        <f>IF(B269=0,"",RANK(B269,$B$2:$B$331,0))</f>
        <v/>
      </c>
      <c r="B269" s="31">
        <f>SUM(N269,Y269,AA269,AC269,AE269,AG269,AI269,AK269,AM269,AO269,AQ269,AS269,AU269,AW269,AY269,BA269,BC269,BE269,BG269,BI269,BK269,BM269,BO269,BQ269,BS269,BU269,BW269,BY269,CA269,CC269,CE269)</f>
        <v/>
      </c>
      <c r="C269" s="32" t="inlineStr">
        <is>
          <t>RATNAMANI</t>
        </is>
      </c>
      <c r="D269" s="32" t="inlineStr">
        <is>
          <t>Ratnamani Metals &amp; Tubes Limited</t>
        </is>
      </c>
      <c r="E269" s="30" t="inlineStr">
        <is>
          <t>industrials</t>
        </is>
      </c>
      <c r="F269" s="30" t="inlineStr">
        <is>
          <t>steel - medium / small</t>
        </is>
      </c>
      <c r="G269" s="30" t="inlineStr">
        <is>
          <t>largecap</t>
        </is>
      </c>
      <c r="H269" s="31" t="n">
        <v>20040.7</v>
      </c>
      <c r="I269" s="31" t="n">
        <v>2823</v>
      </c>
      <c r="J269" s="31" t="n">
        <v>-1.27</v>
      </c>
      <c r="K269" s="31" t="n">
        <v>93487</v>
      </c>
      <c r="L269" s="30" t="n">
        <v>12</v>
      </c>
      <c r="M269" s="30" t="inlineStr">
        <is>
          <t>Underperforming</t>
        </is>
      </c>
      <c r="N269" s="31">
        <f>IF(M269="Underperforming",-5,IF(L269&gt;=95,15,IF(L269&gt;=90,10,IF(L269&gt;=80,5,0))))</f>
        <v/>
      </c>
      <c r="O269" s="31" t="n">
        <v>60.31</v>
      </c>
      <c r="P269" s="31" t="n">
        <v>24.58</v>
      </c>
      <c r="Q269" s="31" t="n">
        <v>2135.89</v>
      </c>
      <c r="R269" s="30" t="inlineStr">
        <is>
          <t>Near 52W High Breakout</t>
        </is>
      </c>
      <c r="S269" s="30" t="inlineStr">
        <is>
          <t>Nifty Metal</t>
        </is>
      </c>
      <c r="T269" s="31" t="n">
        <v>41.17</v>
      </c>
      <c r="U269" s="31" t="n">
        <v>5.26</v>
      </c>
      <c r="V269" s="31" t="n">
        <v>-25.43</v>
      </c>
      <c r="W269" s="31" t="n">
        <v>4.06</v>
      </c>
      <c r="X269" s="30" t="inlineStr">
        <is>
          <t>Cyclical in an Upturn</t>
        </is>
      </c>
      <c r="Y269" s="30">
        <f>IF(X269="Growing Industry",10,IF(X269="Cyclical in an Upturn",5,0))</f>
        <v/>
      </c>
      <c r="Z269" s="30" t="inlineStr">
        <is>
          <t>Too Many Players with High ROCE</t>
        </is>
      </c>
      <c r="AA269" s="30">
        <f>IF(Z269="Monopoly",10,IF(Z269="Oligopoly",5,IF(Z269="Duopoly that cooperate",10,IF(Z269="Duopoly that compete",5,IF(Z269="Too many players with High ROCE",5,0)))))</f>
        <v/>
      </c>
      <c r="AB269" s="30" t="inlineStr">
        <is>
          <t>No</t>
        </is>
      </c>
      <c r="AC269" s="30">
        <f>IF(AB269="No",5,0)</f>
        <v/>
      </c>
      <c r="AD269" s="30" t="inlineStr">
        <is>
          <t>Tailwind</t>
        </is>
      </c>
      <c r="AE269" s="30">
        <f>IF(AD269="Tailwind",10,0)</f>
        <v/>
      </c>
      <c r="AF269" s="30" t="inlineStr">
        <is>
          <t>Structural (10 Years Consistency)</t>
        </is>
      </c>
      <c r="AG269" s="30">
        <f>IF(AF269="Structural (10 Years Consistency)",10,IF(AF269="Shallow Cyclical (2 to 3 years growth)",5,0))</f>
        <v/>
      </c>
      <c r="AH269" s="30" t="inlineStr">
        <is>
          <t>No</t>
        </is>
      </c>
      <c r="AI269" s="30">
        <f>IF(AH269="Yes due to Product Mix change or Operating Leverage",10,IF(AH269="Yes, these are peak margins",-5,IF(AH269="No",5,0)))</f>
        <v/>
      </c>
      <c r="AJ269" s="30" t="inlineStr">
        <is>
          <t>Stable</t>
        </is>
      </c>
      <c r="AK269" s="30">
        <f>IF(AJ269="Stable",10,0)</f>
        <v/>
      </c>
      <c r="AL269" s="30" t="inlineStr">
        <is>
          <t>Yes</t>
        </is>
      </c>
      <c r="AM269" s="30">
        <f>IF(AL269="Yes",10,0)</f>
        <v/>
      </c>
      <c r="AN269" s="30" t="inlineStr">
        <is>
          <t>B2B</t>
        </is>
      </c>
      <c r="AO269" s="30">
        <f>IF(AN269="B2C",10,IF(AN269="B2B",5,0))</f>
        <v/>
      </c>
      <c r="AP269" s="30" t="inlineStr">
        <is>
          <t>Yes</t>
        </is>
      </c>
      <c r="AQ269" s="30">
        <f>IF(AP269="Yes",10,0)</f>
        <v/>
      </c>
      <c r="AR269" s="30" t="inlineStr">
        <is>
          <t>Higher One Time, Lower Annuity</t>
        </is>
      </c>
      <c r="AS269" s="30">
        <f>IF(AR269="Fully Annuity",10,IF(AR269="Higher Annuity, Lower One Time",5,IF(AR269="Higher One Time, Lower Annuity",3,0)))</f>
        <v/>
      </c>
      <c r="AT269" s="30" t="inlineStr">
        <is>
          <t>Good</t>
        </is>
      </c>
      <c r="AU269" s="30">
        <f>IF(AT269="Good",10,0)</f>
        <v/>
      </c>
      <c r="AV269" s="30" t="inlineStr">
        <is>
          <t>Yes for more than 2 years</t>
        </is>
      </c>
      <c r="AW269" s="30">
        <f>IF(AV269="Yes for more than 2 years",10,IF(AV269="Yes only for next 1 to 2 years",5,0))</f>
        <v/>
      </c>
      <c r="AX269" s="30" t="inlineStr">
        <is>
          <t>20 to 40</t>
        </is>
      </c>
      <c r="AY269" s="30">
        <f>IF(AX269="Above 40",20,IF(AX269="20 to 40",10,IF(AX269="0 to 20",-5,0)))</f>
        <v/>
      </c>
      <c r="AZ269" s="30" t="inlineStr">
        <is>
          <t>Between 50 to 75</t>
        </is>
      </c>
      <c r="BA269" s="30">
        <f>IF(AZ269="Between 50 to 75",10,IF(AZ269="Above 75",0,0))</f>
        <v/>
      </c>
      <c r="BB269" s="30" t="inlineStr">
        <is>
          <t>Stage 2</t>
        </is>
      </c>
      <c r="BC269" s="30">
        <f>IF(BB269="Stage 2",20,IF(BB269="Stage 1",0,IF(BB269="Stage 3",5,IF(BB269="Stage 4",-5,0))))</f>
        <v/>
      </c>
      <c r="BD269" s="30" t="inlineStr">
        <is>
          <t>Positive Trend</t>
        </is>
      </c>
      <c r="BE269" s="30">
        <f>IF(BD269="Positive Trend",20,IF(BD269="Negative Trend",-10,0))</f>
        <v/>
      </c>
      <c r="BF269" s="30" t="inlineStr">
        <is>
          <t>Uptrend</t>
        </is>
      </c>
      <c r="BG269" s="30">
        <f>IF(BF269="Uptrend",10,IF(BF269="Sideways",5,0))</f>
        <v/>
      </c>
      <c r="BH269" s="30" t="inlineStr">
        <is>
          <t>Uptrend</t>
        </is>
      </c>
      <c r="BI269" s="30">
        <f>IF(BH269="Uptrend",10,IF(BH269="Sideways",5,0))</f>
        <v/>
      </c>
      <c r="BJ269" s="30" t="inlineStr">
        <is>
          <t>Close to 52 week high or retracement</t>
        </is>
      </c>
      <c r="BK269" s="30">
        <f>IF(BJ269="Overhead supply in last 2 years in last 2 years",-5,IF(BJ269="Close to 52 week high or retracement",5,IF(BJ269="Blue sky scenario",10,IF(BJ269="Long term Downtrend",-10,0))))</f>
        <v/>
      </c>
      <c r="BL269" s="30" t="inlineStr">
        <is>
          <t>Yes</t>
        </is>
      </c>
      <c r="BM269" s="30">
        <f>IF(BL269="Yes",10,0)</f>
        <v/>
      </c>
      <c r="BN269" s="30" t="inlineStr">
        <is>
          <t>Less than 12%</t>
        </is>
      </c>
      <c r="BO269" s="30">
        <f>IF(BN269="More than 20%",10,IF(BN269="Between 12 to 20%",5,IF(BN269="Less than 12%",0,0)))</f>
        <v/>
      </c>
      <c r="BP269" s="30" t="inlineStr">
        <is>
          <t>No</t>
        </is>
      </c>
      <c r="BQ269" s="30">
        <f>IF(BP269="No",10,0)</f>
        <v/>
      </c>
      <c r="BR269" s="30" t="inlineStr">
        <is>
          <t>Yes</t>
        </is>
      </c>
      <c r="BS269" s="30">
        <f>IF(BR269="NO",5,0)</f>
        <v/>
      </c>
      <c r="BT269" s="30" t="inlineStr">
        <is>
          <t>Above 2</t>
        </is>
      </c>
      <c r="BU269" s="30">
        <f>IF(BT269="Above 2",0,IF(BT269="Between 1.5 to 2",5,IF(BT269="Less than 1.5",10,0)))</f>
        <v/>
      </c>
      <c r="BV269" s="30" t="inlineStr">
        <is>
          <t>Above 70%</t>
        </is>
      </c>
      <c r="BW269" s="30">
        <f>IF(BV269="Above 70%",10,IF(BV269="Between 50% to 70%",5,IF(BV269="Less than 50%",0,IF(BV269="Negative",-10,IF(BV269="Less than 50% and Borrowings are increasing",-5,0)))))</f>
        <v/>
      </c>
      <c r="BX269" s="30" t="inlineStr">
        <is>
          <t>Less than 0.7</t>
        </is>
      </c>
      <c r="BY269" s="30">
        <f>IF(BX269="More than 1.2",-10,IF(BX269="Between 0.7 to 1.2",0,IF(BX269="Less than 0.7",10,0)))</f>
        <v/>
      </c>
      <c r="BZ269" s="30" t="inlineStr">
        <is>
          <t>No</t>
        </is>
      </c>
      <c r="CA269" s="30">
        <f>IF(BZ269="Yes",-10,0)</f>
        <v/>
      </c>
      <c r="CB269" s="30" t="inlineStr">
        <is>
          <t>Less than 15%</t>
        </is>
      </c>
      <c r="CC269" s="30">
        <f>IF(CB269="More than 15%",-10,IF(CB269="Less than 15%",10,0))</f>
        <v/>
      </c>
      <c r="CD269" s="30" t="inlineStr">
        <is>
          <t>No</t>
        </is>
      </c>
      <c r="CE269" s="30">
        <f>IF(CD269="Yes, more than 10%",-10,IF(CD269="No",10,0))</f>
        <v/>
      </c>
    </row>
    <row r="270">
      <c r="A270" s="30">
        <f>IF(B270=0,"",RANK(B270,$B$2:$B$331,0))</f>
        <v/>
      </c>
      <c r="B270" s="31">
        <f>SUM(N270,Y270,AA270,AC270,AE270,AG270,AI270,AK270,AM270,AO270,AQ270,AS270,AU270,AW270,AY270,BA270,BC270,BE270,BG270,BI270,BK270,BM270,BO270,BQ270,BS270,BU270,BW270,BY270,CA270,CC270,CE270)</f>
        <v/>
      </c>
      <c r="C270" s="30" t="inlineStr">
        <is>
          <t>CGPOWER</t>
        </is>
      </c>
      <c r="D270" s="30" t="inlineStr">
        <is>
          <t>CG Power and Industrial Solutions Ltd</t>
        </is>
      </c>
      <c r="E270" s="30" t="inlineStr">
        <is>
          <t>industrials</t>
        </is>
      </c>
      <c r="F270" s="30" t="inlineStr">
        <is>
          <t>electric equipment</t>
        </is>
      </c>
      <c r="G270" s="30" t="inlineStr">
        <is>
          <t>largecap</t>
        </is>
      </c>
      <c r="H270" s="31" t="n">
        <v>145992.7</v>
      </c>
      <c r="I270" s="31" t="n">
        <v>914.55</v>
      </c>
      <c r="J270" s="31" t="n">
        <v>-1.34</v>
      </c>
      <c r="K270" s="31" t="n">
        <v>1989359</v>
      </c>
      <c r="L270" s="30" t="n">
        <v>12</v>
      </c>
      <c r="M270" s="30" t="inlineStr">
        <is>
          <t>Outperforming</t>
        </is>
      </c>
      <c r="N270" s="31">
        <f>IF(M270="Underperforming",-5,IF(L270&gt;=95,15,IF(L270&gt;=90,10,IF(L270&gt;=80,5,0))))</f>
        <v/>
      </c>
      <c r="O270" s="31" t="n">
        <v>60.7</v>
      </c>
      <c r="P270" s="31" t="n">
        <v>26.13</v>
      </c>
      <c r="Q270" s="31" t="n">
        <v>802.45</v>
      </c>
      <c r="R270" s="30" t="inlineStr">
        <is>
          <t>Earnings / Momentum Support</t>
        </is>
      </c>
      <c r="S270" s="30" t="inlineStr">
        <is>
          <t>Nifty 50</t>
        </is>
      </c>
      <c r="T270" s="31" t="n">
        <v>-6.52</v>
      </c>
      <c r="U270" s="31" t="n">
        <v>16.7</v>
      </c>
      <c r="V270" s="31" t="n">
        <v>24.83</v>
      </c>
      <c r="W270" s="31" t="n">
        <v>4.09</v>
      </c>
      <c r="X270" s="30" t="inlineStr">
        <is>
          <t>Cyclical in an Upturn</t>
        </is>
      </c>
      <c r="Y270" s="30">
        <f>IF(X270="Growing Industry",10,IF(X270="Cyclical in an Upturn",5,0))</f>
        <v/>
      </c>
      <c r="Z270" s="30" t="inlineStr">
        <is>
          <t>Too Many Players with High ROCE</t>
        </is>
      </c>
      <c r="AA270" s="30">
        <f>IF(Z270="Monopoly",10,IF(Z270="Oligopoly",5,IF(Z270="Duopoly that cooperate",10,IF(Z270="Duopoly that compete",5,IF(Z270="Too many players with High ROCE",5,0)))))</f>
        <v/>
      </c>
      <c r="AB270" s="30" t="inlineStr">
        <is>
          <t>No</t>
        </is>
      </c>
      <c r="AC270" s="30">
        <f>IF(AB270="No",5,0)</f>
        <v/>
      </c>
      <c r="AD270" s="30" t="inlineStr">
        <is>
          <t>Tailwind</t>
        </is>
      </c>
      <c r="AE270" s="30">
        <f>IF(AD270="Tailwind",10,0)</f>
        <v/>
      </c>
      <c r="AF270" s="30" t="inlineStr">
        <is>
          <t>Structural (10 Years Consistency)</t>
        </is>
      </c>
      <c r="AG270" s="30">
        <f>IF(AF270="Structural (10 Years Consistency)",10,IF(AF270="Shallow Cyclical (2 to 3 years growth)",5,0))</f>
        <v/>
      </c>
      <c r="AH270" s="30" t="inlineStr">
        <is>
          <t>No</t>
        </is>
      </c>
      <c r="AI270" s="30">
        <f>IF(AH270="Yes due to Product Mix change or Operating Leverage",10,IF(AH270="Yes, these are peak margins",-5,IF(AH270="No",5,0)))</f>
        <v/>
      </c>
      <c r="AJ270" s="30" t="inlineStr">
        <is>
          <t>Stable</t>
        </is>
      </c>
      <c r="AK270" s="30">
        <f>IF(AJ270="Stable",10,0)</f>
        <v/>
      </c>
      <c r="AL270" s="30" t="inlineStr">
        <is>
          <t>Yes</t>
        </is>
      </c>
      <c r="AM270" s="30">
        <f>IF(AL270="Yes",10,0)</f>
        <v/>
      </c>
      <c r="AN270" s="30" t="inlineStr">
        <is>
          <t>B2B</t>
        </is>
      </c>
      <c r="AO270" s="30">
        <f>IF(AN270="B2C",10,IF(AN270="B2B",5,0))</f>
        <v/>
      </c>
      <c r="AP270" s="30" t="inlineStr">
        <is>
          <t>No</t>
        </is>
      </c>
      <c r="AQ270" s="30">
        <f>IF(AP270="Yes",10,0)</f>
        <v/>
      </c>
      <c r="AR270" s="30" t="inlineStr">
        <is>
          <t>Higher One Time, Lower Annuity</t>
        </is>
      </c>
      <c r="AS270" s="30">
        <f>IF(AR270="Fully Annuity",10,IF(AR270="Higher Annuity, Lower One Time",5,IF(AR270="Higher One Time, Lower Annuity",3,0)))</f>
        <v/>
      </c>
      <c r="AT270" s="30" t="inlineStr">
        <is>
          <t>Good</t>
        </is>
      </c>
      <c r="AU270" s="30">
        <f>IF(AT270="Good",10,0)</f>
        <v/>
      </c>
      <c r="AV270" s="30" t="inlineStr">
        <is>
          <t>Yes for more than 2 years</t>
        </is>
      </c>
      <c r="AW270" s="30">
        <f>IF(AV270="Yes for more than 2 years",10,IF(AV270="Yes only for next 1 to 2 years",5,0))</f>
        <v/>
      </c>
      <c r="AX270" s="30" t="inlineStr">
        <is>
          <t>20 to 40</t>
        </is>
      </c>
      <c r="AY270" s="30">
        <f>IF(AX270="Above 40",20,IF(AX270="20 to 40",10,IF(AX270="0 to 20",-5,0)))</f>
        <v/>
      </c>
      <c r="AZ270" s="30" t="inlineStr">
        <is>
          <t>Between 50 to 75</t>
        </is>
      </c>
      <c r="BA270" s="30">
        <f>IF(AZ270="Between 50 to 75",10,IF(AZ270="Above 75",0,0))</f>
        <v/>
      </c>
      <c r="BB270" s="30" t="inlineStr">
        <is>
          <t>Stage 2</t>
        </is>
      </c>
      <c r="BC270" s="30">
        <f>IF(BB270="Stage 2",20,IF(BB270="Stage 1",0,IF(BB270="Stage 3",5,IF(BB270="Stage 4",-5,0))))</f>
        <v/>
      </c>
      <c r="BD270" s="30" t="inlineStr">
        <is>
          <t>Positive Trend</t>
        </is>
      </c>
      <c r="BE270" s="30">
        <f>IF(BD270="Positive Trend",20,IF(BD270="Negative Trend",-10,0))</f>
        <v/>
      </c>
      <c r="BF270" s="30" t="inlineStr">
        <is>
          <t>Uptrend</t>
        </is>
      </c>
      <c r="BG270" s="30">
        <f>IF(BF270="Uptrend",10,IF(BF270="Sideways",5,0))</f>
        <v/>
      </c>
      <c r="BH270" s="30" t="inlineStr">
        <is>
          <t>Uptrend</t>
        </is>
      </c>
      <c r="BI270" s="30">
        <f>IF(BH270="Uptrend",10,IF(BH270="Sideways",5,0))</f>
        <v/>
      </c>
      <c r="BJ270" s="30" t="inlineStr">
        <is>
          <t>Close to 52 week high or retracement</t>
        </is>
      </c>
      <c r="BK270" s="30">
        <f>IF(BJ270="Overhead supply in last 2 years in last 2 years",-5,IF(BJ270="Close to 52 week high or retracement",5,IF(BJ270="Blue sky scenario",10,IF(BJ270="Long term Downtrend",-10,0))))</f>
        <v/>
      </c>
      <c r="BL270" s="30" t="inlineStr">
        <is>
          <t>Yes</t>
        </is>
      </c>
      <c r="BM270" s="30">
        <f>IF(BL270="Yes",10,0)</f>
        <v/>
      </c>
      <c r="BN270" s="30" t="inlineStr">
        <is>
          <t>Between 12 to 20%</t>
        </is>
      </c>
      <c r="BO270" s="30">
        <f>IF(BN270="More than 20%",10,IF(BN270="Between 12 to 20%",5,IF(BN270="Less than 12%",0,0)))</f>
        <v/>
      </c>
      <c r="BP270" s="30" t="inlineStr">
        <is>
          <t>No</t>
        </is>
      </c>
      <c r="BQ270" s="30">
        <f>IF(BP270="No",10,0)</f>
        <v/>
      </c>
      <c r="BR270" s="30" t="inlineStr">
        <is>
          <t>Yes</t>
        </is>
      </c>
      <c r="BS270" s="30">
        <f>IF(BR270="NO",5,0)</f>
        <v/>
      </c>
      <c r="BT270" s="30" t="inlineStr">
        <is>
          <t>Above 2</t>
        </is>
      </c>
      <c r="BU270" s="30">
        <f>IF(BT270="Above 2",0,IF(BT270="Between 1.5 to 2",5,IF(BT270="Less than 1.5",10,0)))</f>
        <v/>
      </c>
      <c r="BV270" s="30" t="inlineStr">
        <is>
          <t>Above 70%</t>
        </is>
      </c>
      <c r="BW270" s="30">
        <f>IF(BV270="Above 70%",10,IF(BV270="Between 50% to 70%",5,IF(BV270="Less than 50%",0,IF(BV270="Negative",-10,IF(BV270="Less than 50% and Borrowings are increasing",-5,0)))))</f>
        <v/>
      </c>
      <c r="BX270" s="30" t="inlineStr">
        <is>
          <t>Less than 0.7</t>
        </is>
      </c>
      <c r="BY270" s="30">
        <f>IF(BX270="More than 1.2",-10,IF(BX270="Between 0.7 to 1.2",0,IF(BX270="Less than 0.7",10,0)))</f>
        <v/>
      </c>
      <c r="BZ270" s="30" t="inlineStr">
        <is>
          <t>No</t>
        </is>
      </c>
      <c r="CA270" s="30">
        <f>IF(BZ270="Yes",-10,0)</f>
        <v/>
      </c>
      <c r="CB270" s="30" t="inlineStr">
        <is>
          <t>Less than 15%</t>
        </is>
      </c>
      <c r="CC270" s="30">
        <f>IF(CB270="More than 15%",-10,IF(CB270="Less than 15%",10,0))</f>
        <v/>
      </c>
      <c r="CD270" s="30" t="inlineStr">
        <is>
          <t>No</t>
        </is>
      </c>
      <c r="CE270" s="30">
        <f>IF(CD270="Yes, more than 10%",-10,IF(CD270="No",10,0))</f>
        <v/>
      </c>
    </row>
    <row r="271">
      <c r="A271" s="30">
        <f>IF(B271=0,"",RANK(B271,$B$2:$B$331,0))</f>
        <v/>
      </c>
      <c r="B271" s="31">
        <f>SUM(N271,Y271,AA271,AC271,AE271,AG271,AI271,AK271,AM271,AO271,AQ271,AS271,AU271,AW271,AY271,BA271,BC271,BE271,BG271,BI271,BK271,BM271,BO271,BQ271,BS271,BU271,BW271,BY271,CA271,CC271,CE271)</f>
        <v/>
      </c>
      <c r="C271" s="32" t="inlineStr">
        <is>
          <t>AARTIDRUGS</t>
        </is>
      </c>
      <c r="D271" s="32" t="inlineStr">
        <is>
          <t>Aarti Drugs Limited</t>
        </is>
      </c>
      <c r="E271" s="30" t="inlineStr">
        <is>
          <t>healthcare</t>
        </is>
      </c>
      <c r="F271" s="30" t="inlineStr">
        <is>
          <t>pharmaceuticals - indian - bulk drugs</t>
        </is>
      </c>
      <c r="G271" s="30" t="inlineStr">
        <is>
          <t>smallcap</t>
        </is>
      </c>
      <c r="H271" s="31" t="n">
        <v>3864.83</v>
      </c>
      <c r="I271" s="31" t="n">
        <v>437</v>
      </c>
      <c r="J271" s="31" t="n">
        <v>3.2</v>
      </c>
      <c r="K271" s="31" t="n">
        <v>254738</v>
      </c>
      <c r="L271" s="30" t="n">
        <v>5</v>
      </c>
      <c r="M271" s="30" t="inlineStr">
        <is>
          <t>Underperforming</t>
        </is>
      </c>
      <c r="N271" s="31">
        <f>IF(M271="Underperforming",-5,IF(L271&gt;=95,15,IF(L271&gt;=90,10,IF(L271&gt;=80,5,0))))</f>
        <v/>
      </c>
      <c r="O271" s="31" t="n">
        <v>63.7</v>
      </c>
      <c r="P271" s="31" t="n">
        <v>26.57</v>
      </c>
      <c r="Q271" s="31" t="n">
        <v>359.33</v>
      </c>
      <c r="R271" s="30" t="inlineStr">
        <is>
          <t>Earnings / Momentum Support</t>
        </is>
      </c>
      <c r="S271" s="30" t="inlineStr">
        <is>
          <t>Nifty Pharma</t>
        </is>
      </c>
      <c r="T271" s="31" t="n">
        <v>18.86</v>
      </c>
      <c r="U271" s="31" t="n">
        <v>-13.79</v>
      </c>
      <c r="V271" s="31" t="n">
        <v>-27.48</v>
      </c>
      <c r="W271" s="31" t="n">
        <v>1.61</v>
      </c>
      <c r="X271" s="30" t="inlineStr">
        <is>
          <t>Growing Industry</t>
        </is>
      </c>
      <c r="Y271" s="30">
        <f>IF(X271="Growing Industry",10,IF(X271="Cyclical in an Upturn",5,0))</f>
        <v/>
      </c>
      <c r="Z271" s="30" t="inlineStr">
        <is>
          <t>Too Many Players with High ROCE</t>
        </is>
      </c>
      <c r="AA271" s="30">
        <f>IF(Z271="Monopoly",10,IF(Z271="Oligopoly",5,IF(Z271="Duopoly that cooperate",10,IF(Z271="Duopoly that compete",5,IF(Z271="Too many players with High ROCE",5,0)))))</f>
        <v/>
      </c>
      <c r="AB271" s="30" t="inlineStr">
        <is>
          <t>Yes</t>
        </is>
      </c>
      <c r="AC271" s="30">
        <f>IF(AB271="No",5,0)</f>
        <v/>
      </c>
      <c r="AD271" s="30" t="inlineStr">
        <is>
          <t>Tailwind</t>
        </is>
      </c>
      <c r="AE271" s="30">
        <f>IF(AD271="Tailwind",10,0)</f>
        <v/>
      </c>
      <c r="AF271" s="30" t="inlineStr">
        <is>
          <t>Structural (10 Years Consistency)</t>
        </is>
      </c>
      <c r="AG271" s="30">
        <f>IF(AF271="Structural (10 Years Consistency)",10,IF(AF271="Shallow Cyclical (2 to 3 years growth)",5,0))</f>
        <v/>
      </c>
      <c r="AH271" s="30" t="inlineStr">
        <is>
          <t>No</t>
        </is>
      </c>
      <c r="AI271" s="30">
        <f>IF(AH271="Yes due to Product Mix change or Operating Leverage",10,IF(AH271="Yes, these are peak margins",-5,IF(AH271="No",5,0)))</f>
        <v/>
      </c>
      <c r="AJ271" s="30" t="inlineStr">
        <is>
          <t>Stable</t>
        </is>
      </c>
      <c r="AK271" s="30">
        <f>IF(AJ271="Stable",10,0)</f>
        <v/>
      </c>
      <c r="AL271" s="30" t="inlineStr">
        <is>
          <t>Yes</t>
        </is>
      </c>
      <c r="AM271" s="30">
        <f>IF(AL271="Yes",10,0)</f>
        <v/>
      </c>
      <c r="AN271" s="30" t="inlineStr">
        <is>
          <t>B2B</t>
        </is>
      </c>
      <c r="AO271" s="30">
        <f>IF(AN271="B2C",10,IF(AN271="B2B",5,0))</f>
        <v/>
      </c>
      <c r="AP271" s="30" t="inlineStr">
        <is>
          <t>No</t>
        </is>
      </c>
      <c r="AQ271" s="30">
        <f>IF(AP271="Yes",10,0)</f>
        <v/>
      </c>
      <c r="AR271" s="30" t="inlineStr">
        <is>
          <t>Higher Annuity, Lower One Time</t>
        </is>
      </c>
      <c r="AS271" s="30">
        <f>IF(AR271="Fully Annuity",10,IF(AR271="Higher Annuity, Lower One Time",5,IF(AR271="Higher One Time, Lower Annuity",3,0)))</f>
        <v/>
      </c>
      <c r="AT271" s="30" t="inlineStr">
        <is>
          <t>Good</t>
        </is>
      </c>
      <c r="AU271" s="30">
        <f>IF(AT271="Good",10,0)</f>
        <v/>
      </c>
      <c r="AV271" s="30" t="inlineStr">
        <is>
          <t>Yes for more than 2 years</t>
        </is>
      </c>
      <c r="AW271" s="30">
        <f>IF(AV271="Yes for more than 2 years",10,IF(AV271="Yes only for next 1 to 2 years",5,0))</f>
        <v/>
      </c>
      <c r="AX271" s="30" t="inlineStr">
        <is>
          <t>20 to 40</t>
        </is>
      </c>
      <c r="AY271" s="30">
        <f>IF(AX271="Above 40",20,IF(AX271="20 to 40",10,IF(AX271="0 to 20",-5,0)))</f>
        <v/>
      </c>
      <c r="AZ271" s="30" t="inlineStr">
        <is>
          <t>Between 50 to 75</t>
        </is>
      </c>
      <c r="BA271" s="30">
        <f>IF(AZ271="Between 50 to 75",10,IF(AZ271="Above 75",0,0))</f>
        <v/>
      </c>
      <c r="BB271" s="30" t="inlineStr">
        <is>
          <t>Stage 2</t>
        </is>
      </c>
      <c r="BC271" s="30">
        <f>IF(BB271="Stage 2",20,IF(BB271="Stage 1",0,IF(BB271="Stage 3",5,IF(BB271="Stage 4",-5,0))))</f>
        <v/>
      </c>
      <c r="BD271" s="30" t="inlineStr">
        <is>
          <t>Positive Trend</t>
        </is>
      </c>
      <c r="BE271" s="30">
        <f>IF(BD271="Positive Trend",20,IF(BD271="Negative Trend",-10,0))</f>
        <v/>
      </c>
      <c r="BF271" s="30" t="inlineStr">
        <is>
          <t>Uptrend</t>
        </is>
      </c>
      <c r="BG271" s="30">
        <f>IF(BF271="Uptrend",10,IF(BF271="Sideways",5,0))</f>
        <v/>
      </c>
      <c r="BH271" s="30" t="inlineStr">
        <is>
          <t>Uptrend</t>
        </is>
      </c>
      <c r="BI271" s="30">
        <f>IF(BH271="Uptrend",10,IF(BH271="Sideways",5,0))</f>
        <v/>
      </c>
      <c r="BJ271" s="30" t="inlineStr">
        <is>
          <t>Close to 52 week high or retracement</t>
        </is>
      </c>
      <c r="BK271" s="30">
        <f>IF(BJ271="Overhead supply in last 2 years in last 2 years",-5,IF(BJ271="Close to 52 week high or retracement",5,IF(BJ271="Blue sky scenario",10,IF(BJ271="Long term Downtrend",-10,0))))</f>
        <v/>
      </c>
      <c r="BL271" s="30" t="inlineStr">
        <is>
          <t>Yes</t>
        </is>
      </c>
      <c r="BM271" s="30">
        <f>IF(BL271="Yes",10,0)</f>
        <v/>
      </c>
      <c r="BN271" s="30" t="inlineStr">
        <is>
          <t>Less than 12%</t>
        </is>
      </c>
      <c r="BO271" s="30">
        <f>IF(BN271="More than 20%",10,IF(BN271="Between 12 to 20%",5,IF(BN271="Less than 12%",0,0)))</f>
        <v/>
      </c>
      <c r="BP271" s="30" t="inlineStr">
        <is>
          <t>No</t>
        </is>
      </c>
      <c r="BQ271" s="30">
        <f>IF(BP271="No",10,0)</f>
        <v/>
      </c>
      <c r="BR271" s="30" t="inlineStr">
        <is>
          <t>No</t>
        </is>
      </c>
      <c r="BS271" s="30">
        <f>IF(BR271="NO",5,0)</f>
        <v/>
      </c>
      <c r="BT271" s="30" t="inlineStr">
        <is>
          <t>Above 2</t>
        </is>
      </c>
      <c r="BU271" s="30">
        <f>IF(BT271="Above 2",0,IF(BT271="Between 1.5 to 2",5,IF(BT271="Less than 1.5",10,0)))</f>
        <v/>
      </c>
      <c r="BV271" s="30" t="inlineStr">
        <is>
          <t>Above 70%</t>
        </is>
      </c>
      <c r="BW271" s="30">
        <f>IF(BV271="Above 70%",10,IF(BV271="Between 50% to 70%",5,IF(BV271="Less than 50%",0,IF(BV271="Negative",-10,IF(BV271="Less than 50% and Borrowings are increasing",-5,0)))))</f>
        <v/>
      </c>
      <c r="BX271" s="30" t="inlineStr">
        <is>
          <t>Less than 0.7</t>
        </is>
      </c>
      <c r="BY271" s="30">
        <f>IF(BX271="More than 1.2",-10,IF(BX271="Between 0.7 to 1.2",0,IF(BX271="Less than 0.7",10,0)))</f>
        <v/>
      </c>
      <c r="BZ271" s="30" t="inlineStr">
        <is>
          <t>No</t>
        </is>
      </c>
      <c r="CA271" s="30">
        <f>IF(BZ271="Yes",-10,0)</f>
        <v/>
      </c>
      <c r="CB271" s="30" t="inlineStr">
        <is>
          <t>Less than 15%</t>
        </is>
      </c>
      <c r="CC271" s="30">
        <f>IF(CB271="More than 15%",-10,IF(CB271="Less than 15%",10,0))</f>
        <v/>
      </c>
      <c r="CD271" s="30" t="inlineStr">
        <is>
          <t>No</t>
        </is>
      </c>
      <c r="CE271" s="30">
        <f>IF(CD271="Yes, more than 10%",-10,IF(CD271="No",10,0))</f>
        <v/>
      </c>
    </row>
    <row r="272">
      <c r="A272" s="30">
        <f>IF(B272=0,"",RANK(B272,$B$2:$B$331,0))</f>
        <v/>
      </c>
      <c r="B272" s="31">
        <f>SUM(N272,Y272,AA272,AC272,AE272,AG272,AI272,AK272,AM272,AO272,AQ272,AS272,AU272,AW272,AY272,BA272,BC272,BE272,BG272,BI272,BK272,BM272,BO272,BQ272,BS272,BU272,BW272,BY272,CA272,CC272,CE272)</f>
        <v/>
      </c>
      <c r="C272" s="30" t="inlineStr">
        <is>
          <t>AXISCADES</t>
        </is>
      </c>
      <c r="D272" s="30" t="inlineStr">
        <is>
          <t>AXISCADES Technologies Ltd</t>
        </is>
      </c>
      <c r="E272" s="30" t="inlineStr">
        <is>
          <t>aerospace &amp; defence</t>
        </is>
      </c>
      <c r="F272" s="30" t="inlineStr">
        <is>
          <t>computers - software - medium / small</t>
        </is>
      </c>
      <c r="G272" s="30" t="inlineStr">
        <is>
          <t>midcap</t>
        </is>
      </c>
      <c r="H272" s="31" t="n">
        <v>7977.54</v>
      </c>
      <c r="I272" s="31" t="n">
        <v>1869.7</v>
      </c>
      <c r="J272" s="31" t="n">
        <v>-0.32</v>
      </c>
      <c r="K272" s="31" t="n">
        <v>144733</v>
      </c>
      <c r="L272" s="30" t="n">
        <v>14</v>
      </c>
      <c r="M272" s="30" t="inlineStr">
        <is>
          <t>Outperforming</t>
        </is>
      </c>
      <c r="N272" s="31">
        <f>IF(M272="Underperforming",-5,IF(L272&gt;=95,15,IF(L272&gt;=90,10,IF(L272&gt;=80,5,0))))</f>
        <v/>
      </c>
      <c r="O272" s="31" t="n">
        <v>59.27</v>
      </c>
      <c r="P272" s="31" t="n">
        <v>12.12</v>
      </c>
      <c r="Q272" s="31" t="n">
        <v>1428.03</v>
      </c>
      <c r="R272" s="30" t="inlineStr">
        <is>
          <t>Earnings / Momentum Support</t>
        </is>
      </c>
      <c r="S272" s="30" t="inlineStr">
        <is>
          <t>Nifty IT</t>
        </is>
      </c>
      <c r="T272" s="31" t="n">
        <v>-19.99</v>
      </c>
      <c r="U272" s="31" t="n">
        <v>18.42</v>
      </c>
      <c r="V272" s="31" t="n">
        <v>48.01</v>
      </c>
      <c r="W272" s="31" t="n">
        <v>4.72</v>
      </c>
      <c r="X272" s="30" t="inlineStr">
        <is>
          <t>Growing Industry</t>
        </is>
      </c>
      <c r="Y272" s="30">
        <f>IF(X272="Growing Industry",10,IF(X272="Cyclical in an Upturn",5,0))</f>
        <v/>
      </c>
      <c r="Z272" s="30" t="inlineStr">
        <is>
          <t>Too Many Players with High ROCE</t>
        </is>
      </c>
      <c r="AA272" s="30">
        <f>IF(Z272="Monopoly",10,IF(Z272="Oligopoly",5,IF(Z272="Duopoly that cooperate",10,IF(Z272="Duopoly that compete",5,IF(Z272="Too many players with High ROCE",5,0)))))</f>
        <v/>
      </c>
      <c r="AB272" s="30" t="inlineStr">
        <is>
          <t>No</t>
        </is>
      </c>
      <c r="AC272" s="30">
        <f>IF(AB272="No",5,0)</f>
        <v/>
      </c>
      <c r="AD272" s="30" t="inlineStr">
        <is>
          <t>Tailwind</t>
        </is>
      </c>
      <c r="AE272" s="30">
        <f>IF(AD272="Tailwind",10,0)</f>
        <v/>
      </c>
      <c r="AF272" s="30" t="inlineStr">
        <is>
          <t>Structural (10 Years Consistency)</t>
        </is>
      </c>
      <c r="AG272" s="30">
        <f>IF(AF272="Structural (10 Years Consistency)",10,IF(AF272="Shallow Cyclical (2 to 3 years growth)",5,0))</f>
        <v/>
      </c>
      <c r="AH272" s="30" t="inlineStr">
        <is>
          <t>No</t>
        </is>
      </c>
      <c r="AI272" s="30">
        <f>IF(AH272="Yes due to Product Mix change or Operating Leverage",10,IF(AH272="Yes, these are peak margins",-5,IF(AH272="No",5,0)))</f>
        <v/>
      </c>
      <c r="AJ272" s="30" t="inlineStr">
        <is>
          <t>Stable</t>
        </is>
      </c>
      <c r="AK272" s="30">
        <f>IF(AJ272="Stable",10,0)</f>
        <v/>
      </c>
      <c r="AL272" s="30" t="inlineStr">
        <is>
          <t>Yes</t>
        </is>
      </c>
      <c r="AM272" s="30">
        <f>IF(AL272="Yes",10,0)</f>
        <v/>
      </c>
      <c r="AN272" s="30" t="inlineStr">
        <is>
          <t>B2B</t>
        </is>
      </c>
      <c r="AO272" s="30">
        <f>IF(AN272="B2C",10,IF(AN272="B2B",5,0))</f>
        <v/>
      </c>
      <c r="AP272" s="30" t="inlineStr">
        <is>
          <t>No</t>
        </is>
      </c>
      <c r="AQ272" s="30">
        <f>IF(AP272="Yes",10,0)</f>
        <v/>
      </c>
      <c r="AR272" s="30" t="inlineStr">
        <is>
          <t>Higher Annuity, Lower One Time</t>
        </is>
      </c>
      <c r="AS272" s="30">
        <f>IF(AR272="Fully Annuity",10,IF(AR272="Higher Annuity, Lower One Time",5,IF(AR272="Higher One Time, Lower Annuity",3,0)))</f>
        <v/>
      </c>
      <c r="AT272" s="30" t="inlineStr">
        <is>
          <t>Good</t>
        </is>
      </c>
      <c r="AU272" s="30">
        <f>IF(AT272="Good",10,0)</f>
        <v/>
      </c>
      <c r="AV272" s="30" t="inlineStr">
        <is>
          <t>Yes for more than 2 years</t>
        </is>
      </c>
      <c r="AW272" s="30">
        <f>IF(AV272="Yes for more than 2 years",10,IF(AV272="Yes only for next 1 to 2 years",5,0))</f>
        <v/>
      </c>
      <c r="AX272" s="30" t="inlineStr">
        <is>
          <t>0 to 20</t>
        </is>
      </c>
      <c r="AY272" s="30">
        <f>IF(AX272="Above 40",20,IF(AX272="20 to 40",10,IF(AX272="0 to 20",-5,0)))</f>
        <v/>
      </c>
      <c r="AZ272" s="30" t="inlineStr">
        <is>
          <t>Between 50 to 75</t>
        </is>
      </c>
      <c r="BA272" s="30">
        <f>IF(AZ272="Between 50 to 75",10,IF(AZ272="Above 75",0,0))</f>
        <v/>
      </c>
      <c r="BB272" s="30" t="inlineStr">
        <is>
          <t>Stage 2</t>
        </is>
      </c>
      <c r="BC272" s="30">
        <f>IF(BB272="Stage 2",20,IF(BB272="Stage 1",0,IF(BB272="Stage 3",5,IF(BB272="Stage 4",-5,0))))</f>
        <v/>
      </c>
      <c r="BD272" s="30" t="inlineStr">
        <is>
          <t>Positive Trend</t>
        </is>
      </c>
      <c r="BE272" s="30">
        <f>IF(BD272="Positive Trend",20,IF(BD272="Negative Trend",-10,0))</f>
        <v/>
      </c>
      <c r="BF272" s="30" t="inlineStr">
        <is>
          <t>Uptrend</t>
        </is>
      </c>
      <c r="BG272" s="30">
        <f>IF(BF272="Uptrend",10,IF(BF272="Sideways",5,0))</f>
        <v/>
      </c>
      <c r="BH272" s="30" t="inlineStr">
        <is>
          <t>Uptrend</t>
        </is>
      </c>
      <c r="BI272" s="30">
        <f>IF(BH272="Uptrend",10,IF(BH272="Sideways",5,0))</f>
        <v/>
      </c>
      <c r="BJ272" s="30" t="inlineStr">
        <is>
          <t>Close to 52 week high or retracement</t>
        </is>
      </c>
      <c r="BK272" s="30">
        <f>IF(BJ272="Overhead supply in last 2 years in last 2 years",-5,IF(BJ272="Close to 52 week high or retracement",5,IF(BJ272="Blue sky scenario",10,IF(BJ272="Long term Downtrend",-10,0))))</f>
        <v/>
      </c>
      <c r="BL272" s="30" t="inlineStr">
        <is>
          <t>Yes</t>
        </is>
      </c>
      <c r="BM272" s="30">
        <f>IF(BL272="Yes",10,0)</f>
        <v/>
      </c>
      <c r="BN272" s="30" t="inlineStr">
        <is>
          <t>More than 20%</t>
        </is>
      </c>
      <c r="BO272" s="30">
        <f>IF(BN272="More than 20%",10,IF(BN272="Between 12 to 20%",5,IF(BN272="Less than 12%",0,0)))</f>
        <v/>
      </c>
      <c r="BP272" s="30" t="inlineStr">
        <is>
          <t>No</t>
        </is>
      </c>
      <c r="BQ272" s="30">
        <f>IF(BP272="No",10,0)</f>
        <v/>
      </c>
      <c r="BR272" s="30" t="inlineStr">
        <is>
          <t>Yes</t>
        </is>
      </c>
      <c r="BS272" s="30">
        <f>IF(BR272="NO",5,0)</f>
        <v/>
      </c>
      <c r="BT272" s="30" t="inlineStr">
        <is>
          <t>Above 2</t>
        </is>
      </c>
      <c r="BU272" s="30">
        <f>IF(BT272="Above 2",0,IF(BT272="Between 1.5 to 2",5,IF(BT272="Less than 1.5",10,0)))</f>
        <v/>
      </c>
      <c r="BV272" s="30" t="inlineStr">
        <is>
          <t>Above 70%</t>
        </is>
      </c>
      <c r="BW272" s="30">
        <f>IF(BV272="Above 70%",10,IF(BV272="Between 50% to 70%",5,IF(BV272="Less than 50%",0,IF(BV272="Negative",-10,IF(BV272="Less than 50% and Borrowings are increasing",-5,0)))))</f>
        <v/>
      </c>
      <c r="BX272" s="30" t="inlineStr">
        <is>
          <t>Less than 0.7</t>
        </is>
      </c>
      <c r="BY272" s="30">
        <f>IF(BX272="More than 1.2",-10,IF(BX272="Between 0.7 to 1.2",0,IF(BX272="Less than 0.7",10,0)))</f>
        <v/>
      </c>
      <c r="BZ272" s="30" t="inlineStr">
        <is>
          <t>No</t>
        </is>
      </c>
      <c r="CA272" s="30">
        <f>IF(BZ272="Yes",-10,0)</f>
        <v/>
      </c>
      <c r="CB272" s="30" t="inlineStr">
        <is>
          <t>Less than 15%</t>
        </is>
      </c>
      <c r="CC272" s="30">
        <f>IF(CB272="More than 15%",-10,IF(CB272="Less than 15%",10,0))</f>
        <v/>
      </c>
      <c r="CD272" s="30" t="inlineStr">
        <is>
          <t>No</t>
        </is>
      </c>
      <c r="CE272" s="30">
        <f>IF(CD272="Yes, more than 10%",-10,IF(CD272="No",10,0))</f>
        <v/>
      </c>
    </row>
    <row r="273">
      <c r="A273" s="30">
        <f>IF(B273=0,"",RANK(B273,$B$2:$B$331,0))</f>
        <v/>
      </c>
      <c r="B273" s="31">
        <f>SUM(N273,Y273,AA273,AC273,AE273,AG273,AI273,AK273,AM273,AO273,AQ273,AS273,AU273,AW273,AY273,BA273,BC273,BE273,BG273,BI273,BK273,BM273,BO273,BQ273,BS273,BU273,BW273,BY273,CA273,CC273,CE273)</f>
        <v/>
      </c>
      <c r="C273" s="30" t="inlineStr">
        <is>
          <t>ORCHPHARMA</t>
        </is>
      </c>
      <c r="D273" s="30" t="inlineStr">
        <is>
          <t>Orchid Pharma Ltd</t>
        </is>
      </c>
      <c r="E273" s="30" t="inlineStr">
        <is>
          <t>healthcare</t>
        </is>
      </c>
      <c r="F273" s="30" t="inlineStr">
        <is>
          <t>pharmaceuticals - indian - bulk drugs &amp; formln</t>
        </is>
      </c>
      <c r="G273" s="30" t="inlineStr">
        <is>
          <t>midcap</t>
        </is>
      </c>
      <c r="H273" s="31" t="n">
        <v>5197.95</v>
      </c>
      <c r="I273" s="31" t="n">
        <v>1016.1</v>
      </c>
      <c r="J273" s="31" t="n">
        <v>-0.85</v>
      </c>
      <c r="K273" s="31" t="n">
        <v>43310</v>
      </c>
      <c r="L273" s="30" t="n">
        <v>51</v>
      </c>
      <c r="M273" s="30" t="inlineStr">
        <is>
          <t>Outperforming</t>
        </is>
      </c>
      <c r="N273" s="31">
        <f>IF(M273="Underperforming",-5,IF(L273&gt;=95,15,IF(L273&gt;=90,10,IF(L273&gt;=80,5,0))))</f>
        <v/>
      </c>
      <c r="O273" s="31" t="n">
        <v>64.2</v>
      </c>
      <c r="P273" s="31" t="n">
        <v>54.18</v>
      </c>
      <c r="Q273" s="31" t="n">
        <v>764.83</v>
      </c>
      <c r="R273" s="30" t="inlineStr">
        <is>
          <t>Near 52W High Breakout</t>
        </is>
      </c>
      <c r="S273" s="30" t="inlineStr">
        <is>
          <t>Nifty Pharma</t>
        </is>
      </c>
      <c r="T273" s="31" t="n">
        <v>18.86</v>
      </c>
      <c r="U273" s="31" t="n">
        <v>42.96</v>
      </c>
      <c r="V273" s="31" t="n">
        <v>20.27</v>
      </c>
      <c r="W273" s="31" t="n">
        <v>16.1</v>
      </c>
      <c r="X273" s="30" t="inlineStr">
        <is>
          <t>Growing Industry</t>
        </is>
      </c>
      <c r="Y273" s="30">
        <f>IF(X273="Growing Industry",10,IF(X273="Cyclical in an Upturn",5,0))</f>
        <v/>
      </c>
      <c r="Z273" s="30" t="inlineStr">
        <is>
          <t>Too Many Players with High ROCE</t>
        </is>
      </c>
      <c r="AA273" s="30">
        <f>IF(Z273="Monopoly",10,IF(Z273="Oligopoly",5,IF(Z273="Duopoly that cooperate",10,IF(Z273="Duopoly that compete",5,IF(Z273="Too many players with High ROCE",5,0)))))</f>
        <v/>
      </c>
      <c r="AB273" s="30" t="inlineStr">
        <is>
          <t>Yes</t>
        </is>
      </c>
      <c r="AC273" s="30">
        <f>IF(AB273="No",5,0)</f>
        <v/>
      </c>
      <c r="AD273" s="30" t="inlineStr">
        <is>
          <t>Tailwind</t>
        </is>
      </c>
      <c r="AE273" s="30">
        <f>IF(AD273="Tailwind",10,0)</f>
        <v/>
      </c>
      <c r="AF273" s="30" t="inlineStr">
        <is>
          <t>Structural (10 Years Consistency)</t>
        </is>
      </c>
      <c r="AG273" s="30">
        <f>IF(AF273="Structural (10 Years Consistency)",10,IF(AF273="Shallow Cyclical (2 to 3 years growth)",5,0))</f>
        <v/>
      </c>
      <c r="AH273" s="30" t="inlineStr">
        <is>
          <t>No</t>
        </is>
      </c>
      <c r="AI273" s="30">
        <f>IF(AH273="Yes due to Product Mix change or Operating Leverage",10,IF(AH273="Yes, these are peak margins",-5,IF(AH273="No",5,0)))</f>
        <v/>
      </c>
      <c r="AJ273" s="30" t="inlineStr">
        <is>
          <t>Stable</t>
        </is>
      </c>
      <c r="AK273" s="30">
        <f>IF(AJ273="Stable",10,0)</f>
        <v/>
      </c>
      <c r="AL273" s="30" t="inlineStr">
        <is>
          <t>Yes</t>
        </is>
      </c>
      <c r="AM273" s="30">
        <f>IF(AL273="Yes",10,0)</f>
        <v/>
      </c>
      <c r="AN273" s="30" t="inlineStr">
        <is>
          <t>B2B</t>
        </is>
      </c>
      <c r="AO273" s="30">
        <f>IF(AN273="B2C",10,IF(AN273="B2B",5,0))</f>
        <v/>
      </c>
      <c r="AP273" s="30" t="inlineStr">
        <is>
          <t>Yes</t>
        </is>
      </c>
      <c r="AQ273" s="30">
        <f>IF(AP273="Yes",10,0)</f>
        <v/>
      </c>
      <c r="AR273" s="30" t="inlineStr">
        <is>
          <t>Higher Annuity, Lower One Time</t>
        </is>
      </c>
      <c r="AS273" s="30">
        <f>IF(AR273="Fully Annuity",10,IF(AR273="Higher Annuity, Lower One Time",5,IF(AR273="Higher One Time, Lower Annuity",3,0)))</f>
        <v/>
      </c>
      <c r="AT273" s="30" t="inlineStr">
        <is>
          <t>Good</t>
        </is>
      </c>
      <c r="AU273" s="30">
        <f>IF(AT273="Good",10,0)</f>
        <v/>
      </c>
      <c r="AV273" s="30" t="inlineStr">
        <is>
          <t>Yes for more than 2 years</t>
        </is>
      </c>
      <c r="AW273" s="30">
        <f>IF(AV273="Yes for more than 2 years",10,IF(AV273="Yes only for next 1 to 2 years",5,0))</f>
        <v/>
      </c>
      <c r="AX273" s="30" t="inlineStr">
        <is>
          <t>Above 40</t>
        </is>
      </c>
      <c r="AY273" s="30">
        <f>IF(AX273="Above 40",20,IF(AX273="20 to 40",10,IF(AX273="0 to 20",-5,0)))</f>
        <v/>
      </c>
      <c r="AZ273" s="30" t="inlineStr">
        <is>
          <t>Between 50 to 75</t>
        </is>
      </c>
      <c r="BA273" s="30">
        <f>IF(AZ273="Between 50 to 75",10,IF(AZ273="Above 75",0,0))</f>
        <v/>
      </c>
      <c r="BB273" s="30" t="inlineStr">
        <is>
          <t>Stage 2</t>
        </is>
      </c>
      <c r="BC273" s="30">
        <f>IF(BB273="Stage 2",20,IF(BB273="Stage 1",0,IF(BB273="Stage 3",5,IF(BB273="Stage 4",-5,0))))</f>
        <v/>
      </c>
      <c r="BD273" s="30" t="inlineStr">
        <is>
          <t>Negative Trend</t>
        </is>
      </c>
      <c r="BE273" s="30">
        <f>IF(BD273="Positive Trend",20,IF(BD273="Negative Trend",-10,0))</f>
        <v/>
      </c>
      <c r="BF273" s="30" t="inlineStr">
        <is>
          <t>Uptrend</t>
        </is>
      </c>
      <c r="BG273" s="30">
        <f>IF(BF273="Uptrend",10,IF(BF273="Sideways",5,0))</f>
        <v/>
      </c>
      <c r="BH273" s="30" t="inlineStr">
        <is>
          <t>Uptrend</t>
        </is>
      </c>
      <c r="BI273" s="30">
        <f>IF(BH273="Uptrend",10,IF(BH273="Sideways",5,0))</f>
        <v/>
      </c>
      <c r="BJ273" s="30" t="inlineStr">
        <is>
          <t>Close to 52 week high or retracement</t>
        </is>
      </c>
      <c r="BK273" s="30">
        <f>IF(BJ273="Overhead supply in last 2 years in last 2 years",-5,IF(BJ273="Close to 52 week high or retracement",5,IF(BJ273="Blue sky scenario",10,IF(BJ273="Long term Downtrend",-10,0))))</f>
        <v/>
      </c>
      <c r="BL273" s="30" t="inlineStr">
        <is>
          <t>Yes</t>
        </is>
      </c>
      <c r="BM273" s="30">
        <f>IF(BL273="Yes",10,0)</f>
        <v/>
      </c>
      <c r="BN273" s="30" t="inlineStr">
        <is>
          <t>More than 20%</t>
        </is>
      </c>
      <c r="BO273" s="30">
        <f>IF(BN273="More than 20%",10,IF(BN273="Between 12 to 20%",5,IF(BN273="Less than 12%",0,0)))</f>
        <v/>
      </c>
      <c r="BP273" s="30" t="inlineStr">
        <is>
          <t>No</t>
        </is>
      </c>
      <c r="BQ273" s="30">
        <f>IF(BP273="No",10,0)</f>
        <v/>
      </c>
      <c r="BR273" s="30" t="inlineStr">
        <is>
          <t>Yes</t>
        </is>
      </c>
      <c r="BS273" s="30">
        <f>IF(BR273="NO",5,0)</f>
        <v/>
      </c>
      <c r="BT273" s="30" t="inlineStr">
        <is>
          <t>Above 2</t>
        </is>
      </c>
      <c r="BU273" s="30">
        <f>IF(BT273="Above 2",0,IF(BT273="Between 1.5 to 2",5,IF(BT273="Less than 1.5",10,0)))</f>
        <v/>
      </c>
      <c r="BV273" s="30" t="inlineStr">
        <is>
          <t>Above 70%</t>
        </is>
      </c>
      <c r="BW273" s="30">
        <f>IF(BV273="Above 70%",10,IF(BV273="Between 50% to 70%",5,IF(BV273="Less than 50%",0,IF(BV273="Negative",-10,IF(BV273="Less than 50% and Borrowings are increasing",-5,0)))))</f>
        <v/>
      </c>
      <c r="BX273" s="30" t="inlineStr">
        <is>
          <t>Less than 0.7</t>
        </is>
      </c>
      <c r="BY273" s="30">
        <f>IF(BX273="More than 1.2",-10,IF(BX273="Between 0.7 to 1.2",0,IF(BX273="Less than 0.7",10,0)))</f>
        <v/>
      </c>
      <c r="BZ273" s="30" t="inlineStr">
        <is>
          <t>No</t>
        </is>
      </c>
      <c r="CA273" s="30">
        <f>IF(BZ273="Yes",-10,0)</f>
        <v/>
      </c>
      <c r="CB273" s="30" t="inlineStr">
        <is>
          <t>Less than 15%</t>
        </is>
      </c>
      <c r="CC273" s="30">
        <f>IF(CB273="More than 15%",-10,IF(CB273="Less than 15%",10,0))</f>
        <v/>
      </c>
      <c r="CD273" s="30" t="inlineStr">
        <is>
          <t>No</t>
        </is>
      </c>
      <c r="CE273" s="30">
        <f>IF(CD273="Yes, more than 10%",-10,IF(CD273="No",10,0))</f>
        <v/>
      </c>
    </row>
    <row r="274">
      <c r="A274" s="30">
        <f>IF(B274=0,"",RANK(B274,$B$2:$B$331,0))</f>
        <v/>
      </c>
      <c r="B274" s="31">
        <f>SUM(N274,Y274,AA274,AC274,AE274,AG274,AI274,AK274,AM274,AO274,AQ274,AS274,AU274,AW274,AY274,BA274,BC274,BE274,BG274,BI274,BK274,BM274,BO274,BQ274,BS274,BU274,BW274,BY274,CA274,CC274,CE274)</f>
        <v/>
      </c>
      <c r="C274" s="32" t="inlineStr">
        <is>
          <t>MUKANDLTD</t>
        </is>
      </c>
      <c r="D274" s="32" t="inlineStr">
        <is>
          <t>Mukand Limited</t>
        </is>
      </c>
      <c r="E274" s="30" t="inlineStr">
        <is>
          <t>metals &amp; mining</t>
        </is>
      </c>
      <c r="F274" s="30" t="inlineStr">
        <is>
          <t>steel - medium / small</t>
        </is>
      </c>
      <c r="G274" s="30" t="inlineStr">
        <is>
          <t>smallcap</t>
        </is>
      </c>
      <c r="H274" s="31" t="n">
        <v>2018.46</v>
      </c>
      <c r="I274" s="31" t="n">
        <v>142.57</v>
      </c>
      <c r="J274" s="31" t="n">
        <v>2.06</v>
      </c>
      <c r="K274" s="31" t="n">
        <v>329153</v>
      </c>
      <c r="L274" s="30" t="n">
        <v>6</v>
      </c>
      <c r="M274" s="30" t="inlineStr">
        <is>
          <t>Underperforming</t>
        </is>
      </c>
      <c r="N274" s="31">
        <f>IF(M274="Underperforming",-5,IF(L274&gt;=95,15,IF(L274&gt;=90,10,IF(L274&gt;=80,5,0))))</f>
        <v/>
      </c>
      <c r="O274" s="31" t="n">
        <v>57.69</v>
      </c>
      <c r="P274" s="31" t="n">
        <v>36.22</v>
      </c>
      <c r="Q274" s="31" t="n">
        <v>114.99</v>
      </c>
      <c r="R274" s="30" t="inlineStr">
        <is>
          <t>Near 52W High Breakout</t>
        </is>
      </c>
      <c r="S274" s="30" t="inlineStr">
        <is>
          <t>Nifty Metal</t>
        </is>
      </c>
      <c r="T274" s="31" t="n">
        <v>41.17</v>
      </c>
      <c r="U274" s="31" t="n">
        <v>4.48</v>
      </c>
      <c r="V274" s="31" t="n">
        <v>-25.98</v>
      </c>
      <c r="W274" s="31" t="n">
        <v>2.14</v>
      </c>
      <c r="X274" s="30" t="inlineStr">
        <is>
          <t>Cyclical in an Upturn</t>
        </is>
      </c>
      <c r="Y274" s="30">
        <f>IF(X274="Growing Industry",10,IF(X274="Cyclical in an Upturn",5,0))</f>
        <v/>
      </c>
      <c r="Z274" s="30" t="inlineStr">
        <is>
          <t>Too Many Players with High ROCE</t>
        </is>
      </c>
      <c r="AA274" s="30">
        <f>IF(Z274="Monopoly",10,IF(Z274="Oligopoly",5,IF(Z274="Duopoly that cooperate",10,IF(Z274="Duopoly that compete",5,IF(Z274="Too many players with High ROCE",5,0)))))</f>
        <v/>
      </c>
      <c r="AB274" s="30" t="inlineStr">
        <is>
          <t>No</t>
        </is>
      </c>
      <c r="AC274" s="30">
        <f>IF(AB274="No",5,0)</f>
        <v/>
      </c>
      <c r="AD274" s="30" t="inlineStr">
        <is>
          <t>Tailwind</t>
        </is>
      </c>
      <c r="AE274" s="30">
        <f>IF(AD274="Tailwind",10,0)</f>
        <v/>
      </c>
      <c r="AF274" s="30" t="inlineStr">
        <is>
          <t>Cyclical</t>
        </is>
      </c>
      <c r="AG274" s="30">
        <f>IF(AF274="Structural (10 Years Consistency)",10,IF(AF274="Shallow Cyclical (2 to 3 years growth)",5,0))</f>
        <v/>
      </c>
      <c r="AH274" s="30" t="inlineStr">
        <is>
          <t>No</t>
        </is>
      </c>
      <c r="AI274" s="30">
        <f>IF(AH274="Yes due to Product Mix change or Operating Leverage",10,IF(AH274="Yes, these are peak margins",-5,IF(AH274="No",5,0)))</f>
        <v/>
      </c>
      <c r="AJ274" s="30" t="inlineStr">
        <is>
          <t>Volatile</t>
        </is>
      </c>
      <c r="AK274" s="30">
        <f>IF(AJ274="Stable",10,0)</f>
        <v/>
      </c>
      <c r="AL274" s="30" t="inlineStr">
        <is>
          <t>Yes</t>
        </is>
      </c>
      <c r="AM274" s="30">
        <f>IF(AL274="Yes",10,0)</f>
        <v/>
      </c>
      <c r="AN274" s="30" t="inlineStr">
        <is>
          <t>B2B</t>
        </is>
      </c>
      <c r="AO274" s="30">
        <f>IF(AN274="B2C",10,IF(AN274="B2B",5,0))</f>
        <v/>
      </c>
      <c r="AP274" s="30" t="inlineStr">
        <is>
          <t>Yes</t>
        </is>
      </c>
      <c r="AQ274" s="30">
        <f>IF(AP274="Yes",10,0)</f>
        <v/>
      </c>
      <c r="AR274" s="30" t="inlineStr">
        <is>
          <t>Higher One Time, Lower Annuity</t>
        </is>
      </c>
      <c r="AS274" s="30">
        <f>IF(AR274="Fully Annuity",10,IF(AR274="Higher Annuity, Lower One Time",5,IF(AR274="Higher One Time, Lower Annuity",3,0)))</f>
        <v/>
      </c>
      <c r="AT274" s="30" t="inlineStr">
        <is>
          <t>Good</t>
        </is>
      </c>
      <c r="AU274" s="30">
        <f>IF(AT274="Good",10,0)</f>
        <v/>
      </c>
      <c r="AV274" s="30" t="inlineStr">
        <is>
          <t>Yes for more than 2 years</t>
        </is>
      </c>
      <c r="AW274" s="30">
        <f>IF(AV274="Yes for more than 2 years",10,IF(AV274="Yes only for next 1 to 2 years",5,0))</f>
        <v/>
      </c>
      <c r="AX274" s="30" t="inlineStr">
        <is>
          <t>20 to 40</t>
        </is>
      </c>
      <c r="AY274" s="30">
        <f>IF(AX274="Above 40",20,IF(AX274="20 to 40",10,IF(AX274="0 to 20",-5,0)))</f>
        <v/>
      </c>
      <c r="AZ274" s="30" t="inlineStr">
        <is>
          <t>Between 50 to 75</t>
        </is>
      </c>
      <c r="BA274" s="30">
        <f>IF(AZ274="Between 50 to 75",10,IF(AZ274="Above 75",0,0))</f>
        <v/>
      </c>
      <c r="BB274" s="30" t="inlineStr">
        <is>
          <t>Stage 2</t>
        </is>
      </c>
      <c r="BC274" s="30">
        <f>IF(BB274="Stage 2",20,IF(BB274="Stage 1",0,IF(BB274="Stage 3",5,IF(BB274="Stage 4",-5,0))))</f>
        <v/>
      </c>
      <c r="BD274" s="30" t="inlineStr">
        <is>
          <t>Positive Trend</t>
        </is>
      </c>
      <c r="BE274" s="30">
        <f>IF(BD274="Positive Trend",20,IF(BD274="Negative Trend",-10,0))</f>
        <v/>
      </c>
      <c r="BF274" s="30" t="inlineStr">
        <is>
          <t>Uptrend</t>
        </is>
      </c>
      <c r="BG274" s="30">
        <f>IF(BF274="Uptrend",10,IF(BF274="Sideways",5,0))</f>
        <v/>
      </c>
      <c r="BH274" s="30" t="inlineStr">
        <is>
          <t>Uptrend</t>
        </is>
      </c>
      <c r="BI274" s="30">
        <f>IF(BH274="Uptrend",10,IF(BH274="Sideways",5,0))</f>
        <v/>
      </c>
      <c r="BJ274" s="30" t="inlineStr">
        <is>
          <t>Close to 52 week high or retracement</t>
        </is>
      </c>
      <c r="BK274" s="30">
        <f>IF(BJ274="Overhead supply in last 2 years in last 2 years",-5,IF(BJ274="Close to 52 week high or retracement",5,IF(BJ274="Blue sky scenario",10,IF(BJ274="Long term Downtrend",-10,0))))</f>
        <v/>
      </c>
      <c r="BL274" s="30" t="inlineStr">
        <is>
          <t>Yes</t>
        </is>
      </c>
      <c r="BM274" s="30">
        <f>IF(BL274="Yes",10,0)</f>
        <v/>
      </c>
      <c r="BN274" s="30" t="inlineStr">
        <is>
          <t>More than 20%</t>
        </is>
      </c>
      <c r="BO274" s="30">
        <f>IF(BN274="More than 20%",10,IF(BN274="Between 12 to 20%",5,IF(BN274="Less than 12%",0,0)))</f>
        <v/>
      </c>
      <c r="BP274" s="30" t="inlineStr">
        <is>
          <t>No</t>
        </is>
      </c>
      <c r="BQ274" s="30">
        <f>IF(BP274="No",10,0)</f>
        <v/>
      </c>
      <c r="BR274" s="30" t="inlineStr">
        <is>
          <t>No</t>
        </is>
      </c>
      <c r="BS274" s="30">
        <f>IF(BR274="NO",5,0)</f>
        <v/>
      </c>
      <c r="BT274" s="30" t="inlineStr">
        <is>
          <t>Less than 1.5</t>
        </is>
      </c>
      <c r="BU274" s="30">
        <f>IF(BT274="Above 2",0,IF(BT274="Between 1.5 to 2",5,IF(BT274="Less than 1.5",10,0)))</f>
        <v/>
      </c>
      <c r="BV274" s="30" t="inlineStr">
        <is>
          <t>Above 70%</t>
        </is>
      </c>
      <c r="BW274" s="30">
        <f>IF(BV274="Above 70%",10,IF(BV274="Between 50% to 70%",5,IF(BV274="Less than 50%",0,IF(BV274="Negative",-10,IF(BV274="Less than 50% and Borrowings are increasing",-5,0)))))</f>
        <v/>
      </c>
      <c r="BX274" s="30" t="inlineStr">
        <is>
          <t>Between 0.7 to 1.2</t>
        </is>
      </c>
      <c r="BY274" s="30">
        <f>IF(BX274="More than 1.2",-10,IF(BX274="Between 0.7 to 1.2",0,IF(BX274="Less than 0.7",10,0)))</f>
        <v/>
      </c>
      <c r="BZ274" s="30" t="inlineStr">
        <is>
          <t>No</t>
        </is>
      </c>
      <c r="CA274" s="30">
        <f>IF(BZ274="Yes",-10,0)</f>
        <v/>
      </c>
      <c r="CB274" s="30" t="inlineStr">
        <is>
          <t>Less than 15%</t>
        </is>
      </c>
      <c r="CC274" s="30">
        <f>IF(CB274="More than 15%",-10,IF(CB274="Less than 15%",10,0))</f>
        <v/>
      </c>
      <c r="CD274" s="30" t="inlineStr">
        <is>
          <t>No</t>
        </is>
      </c>
      <c r="CE274" s="30">
        <f>IF(CD274="Yes, more than 10%",-10,IF(CD274="No",10,0))</f>
        <v/>
      </c>
    </row>
    <row r="275">
      <c r="A275" s="30">
        <f>IF(B275=0,"",RANK(B275,$B$2:$B$331,0))</f>
        <v/>
      </c>
      <c r="B275" s="31">
        <f>SUM(N275,Y275,AA275,AC275,AE275,AG275,AI275,AK275,AM275,AO275,AQ275,AS275,AU275,AW275,AY275,BA275,BC275,BE275,BG275,BI275,BK275,BM275,BO275,BQ275,BS275,BU275,BW275,BY275,CA275,CC275,CE275)</f>
        <v/>
      </c>
      <c r="C275" s="30" t="inlineStr">
        <is>
          <t>SHALPAINTS</t>
        </is>
      </c>
      <c r="D275" s="30" t="inlineStr">
        <is>
          <t>Shalimar Paints Limited</t>
        </is>
      </c>
      <c r="E275" s="30" t="inlineStr">
        <is>
          <t>building materials</t>
        </is>
      </c>
      <c r="F275" s="30" t="inlineStr">
        <is>
          <t>paints / varnishes</t>
        </is>
      </c>
      <c r="G275" s="30" t="inlineStr">
        <is>
          <t>smallcap</t>
        </is>
      </c>
      <c r="H275" s="31" t="n">
        <v>702</v>
      </c>
      <c r="I275" s="31" t="n">
        <v>85.44</v>
      </c>
      <c r="J275" s="31" t="n">
        <v>1.88</v>
      </c>
      <c r="K275" s="31" t="n">
        <v>396308</v>
      </c>
      <c r="L275" s="30" t="n">
        <v>61</v>
      </c>
      <c r="M275" s="30" t="inlineStr">
        <is>
          <t>Outperforming</t>
        </is>
      </c>
      <c r="N275" s="31">
        <f>IF(M275="Underperforming",-5,IF(L275&gt;=95,15,IF(L275&gt;=90,10,IF(L275&gt;=80,5,0))))</f>
        <v/>
      </c>
      <c r="O275" s="31" t="n">
        <v>64.95999999999999</v>
      </c>
      <c r="P275" s="31" t="n">
        <v>29.49</v>
      </c>
      <c r="Q275" s="31" t="n">
        <v>66.06</v>
      </c>
      <c r="R275" s="30" t="inlineStr">
        <is>
          <t>Earnings / Momentum Support</t>
        </is>
      </c>
      <c r="S275" s="30" t="inlineStr">
        <is>
          <t>Nifty Infra</t>
        </is>
      </c>
      <c r="T275" s="31" t="n">
        <v>0.74</v>
      </c>
      <c r="U275" s="31" t="n">
        <v>1.09</v>
      </c>
      <c r="V275" s="31" t="n">
        <v>0.35</v>
      </c>
      <c r="W275" s="31" t="n">
        <v>18.8</v>
      </c>
      <c r="X275" s="30" t="inlineStr">
        <is>
          <t>Growing Industry</t>
        </is>
      </c>
      <c r="Y275" s="30">
        <f>IF(X275="Growing Industry",10,IF(X275="Cyclical in an Upturn",5,0))</f>
        <v/>
      </c>
      <c r="Z275" s="30" t="inlineStr">
        <is>
          <t>Too Many Players with High ROCE</t>
        </is>
      </c>
      <c r="AA275" s="30">
        <f>IF(Z275="Monopoly",10,IF(Z275="Oligopoly",5,IF(Z275="Duopoly that cooperate",10,IF(Z275="Duopoly that compete",5,IF(Z275="Too many players with High ROCE",5,0)))))</f>
        <v/>
      </c>
      <c r="AB275" s="30" t="inlineStr">
        <is>
          <t>No</t>
        </is>
      </c>
      <c r="AC275" s="30">
        <f>IF(AB275="No",5,0)</f>
        <v/>
      </c>
      <c r="AD275" s="30" t="inlineStr">
        <is>
          <t>Tailwind</t>
        </is>
      </c>
      <c r="AE275" s="30">
        <f>IF(AD275="Tailwind",10,0)</f>
        <v/>
      </c>
      <c r="AF275" s="30" t="inlineStr">
        <is>
          <t>Structural (10 Years Consistency)</t>
        </is>
      </c>
      <c r="AG275" s="30">
        <f>IF(AF275="Structural (10 Years Consistency)",10,IF(AF275="Shallow Cyclical (2 to 3 years growth)",5,0))</f>
        <v/>
      </c>
      <c r="AH275" s="30" t="inlineStr">
        <is>
          <t>No</t>
        </is>
      </c>
      <c r="AI275" s="30">
        <f>IF(AH275="Yes due to Product Mix change or Operating Leverage",10,IF(AH275="Yes, these are peak margins",-5,IF(AH275="No",5,0)))</f>
        <v/>
      </c>
      <c r="AJ275" s="30" t="inlineStr">
        <is>
          <t>Stable</t>
        </is>
      </c>
      <c r="AK275" s="30">
        <f>IF(AJ275="Stable",10,0)</f>
        <v/>
      </c>
      <c r="AL275" s="30" t="inlineStr">
        <is>
          <t>Yes</t>
        </is>
      </c>
      <c r="AM275" s="30">
        <f>IF(AL275="Yes",10,0)</f>
        <v/>
      </c>
      <c r="AN275" s="30" t="inlineStr">
        <is>
          <t>B2B</t>
        </is>
      </c>
      <c r="AO275" s="30">
        <f>IF(AN275="B2C",10,IF(AN275="B2B",5,0))</f>
        <v/>
      </c>
      <c r="AP275" s="30" t="inlineStr">
        <is>
          <t>No</t>
        </is>
      </c>
      <c r="AQ275" s="30">
        <f>IF(AP275="Yes",10,0)</f>
        <v/>
      </c>
      <c r="AR275" s="30" t="inlineStr">
        <is>
          <t>Higher One Time, Lower Annuity</t>
        </is>
      </c>
      <c r="AS275" s="30">
        <f>IF(AR275="Fully Annuity",10,IF(AR275="Higher Annuity, Lower One Time",5,IF(AR275="Higher One Time, Lower Annuity",3,0)))</f>
        <v/>
      </c>
      <c r="AT275" s="30" t="inlineStr">
        <is>
          <t>Good</t>
        </is>
      </c>
      <c r="AU275" s="30">
        <f>IF(AT275="Good",10,0)</f>
        <v/>
      </c>
      <c r="AV275" s="30" t="inlineStr">
        <is>
          <t>Yes for more than 2 years</t>
        </is>
      </c>
      <c r="AW275" s="30">
        <f>IF(AV275="Yes for more than 2 years",10,IF(AV275="Yes only for next 1 to 2 years",5,0))</f>
        <v/>
      </c>
      <c r="AX275" s="30" t="inlineStr">
        <is>
          <t>20 to 40</t>
        </is>
      </c>
      <c r="AY275" s="30">
        <f>IF(AX275="Above 40",20,IF(AX275="20 to 40",10,IF(AX275="0 to 20",-5,0)))</f>
        <v/>
      </c>
      <c r="AZ275" s="30" t="inlineStr">
        <is>
          <t>Between 50 to 75</t>
        </is>
      </c>
      <c r="BA275" s="30">
        <f>IF(AZ275="Between 50 to 75",10,IF(AZ275="Above 75",0,0))</f>
        <v/>
      </c>
      <c r="BB275" s="30" t="inlineStr">
        <is>
          <t>Stage 2</t>
        </is>
      </c>
      <c r="BC275" s="30">
        <f>IF(BB275="Stage 2",20,IF(BB275="Stage 1",0,IF(BB275="Stage 3",5,IF(BB275="Stage 4",-5,0))))</f>
        <v/>
      </c>
      <c r="BD275" s="30" t="inlineStr">
        <is>
          <t>Negative Trend</t>
        </is>
      </c>
      <c r="BE275" s="30">
        <f>IF(BD275="Positive Trend",20,IF(BD275="Negative Trend",-10,0))</f>
        <v/>
      </c>
      <c r="BF275" s="30" t="inlineStr">
        <is>
          <t>Uptrend</t>
        </is>
      </c>
      <c r="BG275" s="30">
        <f>IF(BF275="Uptrend",10,IF(BF275="Sideways",5,0))</f>
        <v/>
      </c>
      <c r="BH275" s="30" t="inlineStr">
        <is>
          <t>Uptrend</t>
        </is>
      </c>
      <c r="BI275" s="30">
        <f>IF(BH275="Uptrend",10,IF(BH275="Sideways",5,0))</f>
        <v/>
      </c>
      <c r="BJ275" s="30" t="inlineStr">
        <is>
          <t>Close to 52 week high or retracement</t>
        </is>
      </c>
      <c r="BK275" s="30">
        <f>IF(BJ275="Overhead supply in last 2 years in last 2 years",-5,IF(BJ275="Close to 52 week high or retracement",5,IF(BJ275="Blue sky scenario",10,IF(BJ275="Long term Downtrend",-10,0))))</f>
        <v/>
      </c>
      <c r="BL275" s="30" t="inlineStr">
        <is>
          <t>Yes</t>
        </is>
      </c>
      <c r="BM275" s="30">
        <f>IF(BL275="Yes",10,0)</f>
        <v/>
      </c>
      <c r="BN275" s="30" t="inlineStr">
        <is>
          <t>More than 20%</t>
        </is>
      </c>
      <c r="BO275" s="30">
        <f>IF(BN275="More than 20%",10,IF(BN275="Between 12 to 20%",5,IF(BN275="Less than 12%",0,0)))</f>
        <v/>
      </c>
      <c r="BP275" s="30" t="inlineStr">
        <is>
          <t>No</t>
        </is>
      </c>
      <c r="BQ275" s="30">
        <f>IF(BP275="No",10,0)</f>
        <v/>
      </c>
      <c r="BR275" s="30" t="inlineStr">
        <is>
          <t>No</t>
        </is>
      </c>
      <c r="BS275" s="30">
        <f>IF(BR275="NO",5,0)</f>
        <v/>
      </c>
      <c r="BT275" s="30" t="inlineStr">
        <is>
          <t>Less than 1.5</t>
        </is>
      </c>
      <c r="BU275" s="30">
        <f>IF(BT275="Above 2",0,IF(BT275="Between 1.5 to 2",5,IF(BT275="Less than 1.5",10,0)))</f>
        <v/>
      </c>
      <c r="BV275" s="30" t="inlineStr">
        <is>
          <t>Above 70%</t>
        </is>
      </c>
      <c r="BW275" s="30">
        <f>IF(BV275="Above 70%",10,IF(BV275="Between 50% to 70%",5,IF(BV275="Less than 50%",0,IF(BV275="Negative",-10,IF(BV275="Less than 50% and Borrowings are increasing",-5,0)))))</f>
        <v/>
      </c>
      <c r="BX275" s="30" t="inlineStr">
        <is>
          <t>Less than 0.7</t>
        </is>
      </c>
      <c r="BY275" s="30">
        <f>IF(BX275="More than 1.2",-10,IF(BX275="Between 0.7 to 1.2",0,IF(BX275="Less than 0.7",10,0)))</f>
        <v/>
      </c>
      <c r="BZ275" s="30" t="inlineStr">
        <is>
          <t>No</t>
        </is>
      </c>
      <c r="CA275" s="30">
        <f>IF(BZ275="Yes",-10,0)</f>
        <v/>
      </c>
      <c r="CB275" s="30" t="inlineStr">
        <is>
          <t>Less than 15%</t>
        </is>
      </c>
      <c r="CC275" s="30">
        <f>IF(CB275="More than 15%",-10,IF(CB275="Less than 15%",10,0))</f>
        <v/>
      </c>
      <c r="CD275" s="30" t="inlineStr">
        <is>
          <t>No</t>
        </is>
      </c>
      <c r="CE275" s="30">
        <f>IF(CD275="Yes, more than 10%",-10,IF(CD275="No",10,0))</f>
        <v/>
      </c>
    </row>
    <row r="276">
      <c r="A276" s="30">
        <f>IF(B276=0,"",RANK(B276,$B$2:$B$331,0))</f>
        <v/>
      </c>
      <c r="B276" s="31">
        <f>SUM(N276,Y276,AA276,AC276,AE276,AG276,AI276,AK276,AM276,AO276,AQ276,AS276,AU276,AW276,AY276,BA276,BC276,BE276,BG276,BI276,BK276,BM276,BO276,BQ276,BS276,BU276,BW276,BY276,CA276,CC276,CE276)</f>
        <v/>
      </c>
      <c r="C276" s="32" t="inlineStr">
        <is>
          <t>SPLPETRO</t>
        </is>
      </c>
      <c r="D276" s="32" t="inlineStr">
        <is>
          <t>Supreme Petrochem Ltd</t>
        </is>
      </c>
      <c r="E276" s="30" t="inlineStr">
        <is>
          <t>energy</t>
        </is>
      </c>
      <c r="F276" s="30" t="inlineStr">
        <is>
          <t>petrochemicals</t>
        </is>
      </c>
      <c r="G276" s="30" t="inlineStr">
        <is>
          <t>midcap</t>
        </is>
      </c>
      <c r="H276" s="31" t="n">
        <v>15298.1</v>
      </c>
      <c r="I276" s="31" t="n">
        <v>828.15</v>
      </c>
      <c r="J276" s="31" t="n">
        <v>1.79</v>
      </c>
      <c r="K276" s="31" t="n">
        <v>413527</v>
      </c>
      <c r="L276" s="30" t="n">
        <v>19</v>
      </c>
      <c r="M276" s="30" t="inlineStr">
        <is>
          <t>Underperforming</t>
        </is>
      </c>
      <c r="N276" s="31">
        <f>IF(M276="Underperforming",-5,IF(L276&gt;=95,15,IF(L276&gt;=90,10,IF(L276&gt;=80,5,0))))</f>
        <v/>
      </c>
      <c r="O276" s="31" t="n">
        <v>63.67</v>
      </c>
      <c r="P276" s="31" t="n">
        <v>26.97</v>
      </c>
      <c r="Q276" s="31" t="n">
        <v>652.83</v>
      </c>
      <c r="R276" s="30" t="inlineStr">
        <is>
          <t>Near 52W High Breakout</t>
        </is>
      </c>
      <c r="S276" s="30" t="inlineStr">
        <is>
          <t>Nifty Energy</t>
        </is>
      </c>
      <c r="T276" s="31" t="n">
        <v>8.43</v>
      </c>
      <c r="U276" s="31" t="n">
        <v>5</v>
      </c>
      <c r="V276" s="31" t="n">
        <v>-3.17</v>
      </c>
      <c r="W276" s="31" t="n">
        <v>6.28</v>
      </c>
      <c r="X276" s="30" t="inlineStr">
        <is>
          <t>Cyclical in an Upturn</t>
        </is>
      </c>
      <c r="Y276" s="30">
        <f>IF(X276="Growing Industry",10,IF(X276="Cyclical in an Upturn",5,0))</f>
        <v/>
      </c>
      <c r="Z276" s="30" t="inlineStr">
        <is>
          <t>Oligopoly</t>
        </is>
      </c>
      <c r="AA276" s="30">
        <f>IF(Z276="Monopoly",10,IF(Z276="Oligopoly",5,IF(Z276="Duopoly that cooperate",10,IF(Z276="Duopoly that compete",5,IF(Z276="Too many players with High ROCE",5,0)))))</f>
        <v/>
      </c>
      <c r="AB276" s="30" t="inlineStr">
        <is>
          <t>Yes</t>
        </is>
      </c>
      <c r="AC276" s="30">
        <f>IF(AB276="No",5,0)</f>
        <v/>
      </c>
      <c r="AD276" s="30" t="inlineStr">
        <is>
          <t>Tailwind</t>
        </is>
      </c>
      <c r="AE276" s="30">
        <f>IF(AD276="Tailwind",10,0)</f>
        <v/>
      </c>
      <c r="AF276" s="30" t="inlineStr">
        <is>
          <t>Cyclical</t>
        </is>
      </c>
      <c r="AG276" s="30">
        <f>IF(AF276="Structural (10 Years Consistency)",10,IF(AF276="Shallow Cyclical (2 to 3 years growth)",5,0))</f>
        <v/>
      </c>
      <c r="AH276" s="30" t="inlineStr">
        <is>
          <t>No</t>
        </is>
      </c>
      <c r="AI276" s="30">
        <f>IF(AH276="Yes due to Product Mix change or Operating Leverage",10,IF(AH276="Yes, these are peak margins",-5,IF(AH276="No",5,0)))</f>
        <v/>
      </c>
      <c r="AJ276" s="30" t="inlineStr">
        <is>
          <t>Volatile</t>
        </is>
      </c>
      <c r="AK276" s="30">
        <f>IF(AJ276="Stable",10,0)</f>
        <v/>
      </c>
      <c r="AL276" s="30" t="inlineStr">
        <is>
          <t>Yes</t>
        </is>
      </c>
      <c r="AM276" s="30">
        <f>IF(AL276="Yes",10,0)</f>
        <v/>
      </c>
      <c r="AN276" s="30" t="inlineStr">
        <is>
          <t>B2B</t>
        </is>
      </c>
      <c r="AO276" s="30">
        <f>IF(AN276="B2C",10,IF(AN276="B2B",5,0))</f>
        <v/>
      </c>
      <c r="AP276" s="30" t="inlineStr">
        <is>
          <t>Yes</t>
        </is>
      </c>
      <c r="AQ276" s="30">
        <f>IF(AP276="Yes",10,0)</f>
        <v/>
      </c>
      <c r="AR276" s="30" t="inlineStr">
        <is>
          <t>Higher One Time, Lower Annuity</t>
        </is>
      </c>
      <c r="AS276" s="30">
        <f>IF(AR276="Fully Annuity",10,IF(AR276="Higher Annuity, Lower One Time",5,IF(AR276="Higher One Time, Lower Annuity",3,0)))</f>
        <v/>
      </c>
      <c r="AT276" s="30" t="inlineStr">
        <is>
          <t>Good</t>
        </is>
      </c>
      <c r="AU276" s="30">
        <f>IF(AT276="Good",10,0)</f>
        <v/>
      </c>
      <c r="AV276" s="30" t="inlineStr">
        <is>
          <t>Yes for more than 2 years</t>
        </is>
      </c>
      <c r="AW276" s="30">
        <f>IF(AV276="Yes for more than 2 years",10,IF(AV276="Yes only for next 1 to 2 years",5,0))</f>
        <v/>
      </c>
      <c r="AX276" s="30" t="inlineStr">
        <is>
          <t>20 to 40</t>
        </is>
      </c>
      <c r="AY276" s="30">
        <f>IF(AX276="Above 40",20,IF(AX276="20 to 40",10,IF(AX276="0 to 20",-5,0)))</f>
        <v/>
      </c>
      <c r="AZ276" s="30" t="inlineStr">
        <is>
          <t>Between 50 to 75</t>
        </is>
      </c>
      <c r="BA276" s="30">
        <f>IF(AZ276="Between 50 to 75",10,IF(AZ276="Above 75",0,0))</f>
        <v/>
      </c>
      <c r="BB276" s="30" t="inlineStr">
        <is>
          <t>Stage 2</t>
        </is>
      </c>
      <c r="BC276" s="30">
        <f>IF(BB276="Stage 2",20,IF(BB276="Stage 1",0,IF(BB276="Stage 3",5,IF(BB276="Stage 4",-5,0))))</f>
        <v/>
      </c>
      <c r="BD276" s="30" t="inlineStr">
        <is>
          <t>Positive Trend</t>
        </is>
      </c>
      <c r="BE276" s="30">
        <f>IF(BD276="Positive Trend",20,IF(BD276="Negative Trend",-10,0))</f>
        <v/>
      </c>
      <c r="BF276" s="30" t="inlineStr">
        <is>
          <t>Uptrend</t>
        </is>
      </c>
      <c r="BG276" s="30">
        <f>IF(BF276="Uptrend",10,IF(BF276="Sideways",5,0))</f>
        <v/>
      </c>
      <c r="BH276" s="30" t="inlineStr">
        <is>
          <t>Uptrend</t>
        </is>
      </c>
      <c r="BI276" s="30">
        <f>IF(BH276="Uptrend",10,IF(BH276="Sideways",5,0))</f>
        <v/>
      </c>
      <c r="BJ276" s="30" t="inlineStr">
        <is>
          <t>Blue sky scenario</t>
        </is>
      </c>
      <c r="BK276" s="30">
        <f>IF(BJ276="Overhead supply in last 2 years in last 2 years",-5,IF(BJ276="Close to 52 week high or retracement",5,IF(BJ276="Blue sky scenario",10,IF(BJ276="Long term Downtrend",-10,0))))</f>
        <v/>
      </c>
      <c r="BL276" s="30" t="inlineStr">
        <is>
          <t>Yes</t>
        </is>
      </c>
      <c r="BM276" s="30">
        <f>IF(BL276="Yes",10,0)</f>
        <v/>
      </c>
      <c r="BN276" s="30" t="inlineStr">
        <is>
          <t>More than 20%</t>
        </is>
      </c>
      <c r="BO276" s="30">
        <f>IF(BN276="More than 20%",10,IF(BN276="Between 12 to 20%",5,IF(BN276="Less than 12%",0,0)))</f>
        <v/>
      </c>
      <c r="BP276" s="30" t="inlineStr">
        <is>
          <t>No</t>
        </is>
      </c>
      <c r="BQ276" s="30">
        <f>IF(BP276="No",10,0)</f>
        <v/>
      </c>
      <c r="BR276" s="30" t="inlineStr">
        <is>
          <t>No</t>
        </is>
      </c>
      <c r="BS276" s="30">
        <f>IF(BR276="NO",5,0)</f>
        <v/>
      </c>
      <c r="BT276" s="30" t="inlineStr">
        <is>
          <t>Above 2</t>
        </is>
      </c>
      <c r="BU276" s="30">
        <f>IF(BT276="Above 2",0,IF(BT276="Between 1.5 to 2",5,IF(BT276="Less than 1.5",10,0)))</f>
        <v/>
      </c>
      <c r="BV276" s="30" t="inlineStr">
        <is>
          <t>Above 70%</t>
        </is>
      </c>
      <c r="BW276" s="30">
        <f>IF(BV276="Above 70%",10,IF(BV276="Between 50% to 70%",5,IF(BV276="Less than 50%",0,IF(BV276="Negative",-10,IF(BV276="Less than 50% and Borrowings are increasing",-5,0)))))</f>
        <v/>
      </c>
      <c r="BX276" s="30" t="inlineStr">
        <is>
          <t>Less than 0.7</t>
        </is>
      </c>
      <c r="BY276" s="30">
        <f>IF(BX276="More than 1.2",-10,IF(BX276="Between 0.7 to 1.2",0,IF(BX276="Less than 0.7",10,0)))</f>
        <v/>
      </c>
      <c r="BZ276" s="30" t="inlineStr">
        <is>
          <t>No</t>
        </is>
      </c>
      <c r="CA276" s="30">
        <f>IF(BZ276="Yes",-10,0)</f>
        <v/>
      </c>
      <c r="CB276" s="30" t="inlineStr">
        <is>
          <t>Less than 15%</t>
        </is>
      </c>
      <c r="CC276" s="30">
        <f>IF(CB276="More than 15%",-10,IF(CB276="Less than 15%",10,0))</f>
        <v/>
      </c>
      <c r="CD276" s="30" t="inlineStr">
        <is>
          <t>No</t>
        </is>
      </c>
      <c r="CE276" s="30">
        <f>IF(CD276="Yes, more than 10%",-10,IF(CD276="No",10,0))</f>
        <v/>
      </c>
    </row>
    <row r="277">
      <c r="A277" s="30">
        <f>IF(B277=0,"",RANK(B277,$B$2:$B$331,0))</f>
        <v/>
      </c>
      <c r="B277" s="31">
        <f>SUM(N277,Y277,AA277,AC277,AE277,AG277,AI277,AK277,AM277,AO277,AQ277,AS277,AU277,AW277,AY277,BA277,BC277,BE277,BG277,BI277,BK277,BM277,BO277,BQ277,BS277,BU277,BW277,BY277,CA277,CC277,CE277)</f>
        <v/>
      </c>
      <c r="C277" s="30" t="inlineStr">
        <is>
          <t>GMMPFAUDLR</t>
        </is>
      </c>
      <c r="D277" s="30" t="inlineStr">
        <is>
          <t>GMM Pfaudler Ltd</t>
        </is>
      </c>
      <c r="E277" s="30" t="inlineStr">
        <is>
          <t>industrials</t>
        </is>
      </c>
      <c r="F277" s="30" t="inlineStr">
        <is>
          <t>engineering</t>
        </is>
      </c>
      <c r="G277" s="30" t="inlineStr">
        <is>
          <t>midcap</t>
        </is>
      </c>
      <c r="H277" s="31" t="n">
        <v>5868.72</v>
      </c>
      <c r="I277" s="31" t="n">
        <v>1319.2</v>
      </c>
      <c r="J277" s="31" t="n">
        <v>1.06</v>
      </c>
      <c r="K277" s="31" t="n">
        <v>385507</v>
      </c>
      <c r="L277" s="30" t="n">
        <v>69</v>
      </c>
      <c r="M277" s="30" t="inlineStr">
        <is>
          <t>Outperforming</t>
        </is>
      </c>
      <c r="N277" s="31">
        <f>IF(M277="Underperforming",-5,IF(L277&gt;=95,15,IF(L277&gt;=90,10,IF(L277&gt;=80,5,0))))</f>
        <v/>
      </c>
      <c r="O277" s="31" t="n">
        <v>77.34</v>
      </c>
      <c r="P277" s="31" t="n">
        <v>31.49</v>
      </c>
      <c r="Q277" s="31" t="n">
        <v>1063.58</v>
      </c>
      <c r="R277" s="30" t="inlineStr">
        <is>
          <t>Volume Spike &amp; Near 52W High Breakout</t>
        </is>
      </c>
      <c r="S277" s="30" t="inlineStr">
        <is>
          <t>Nifty 50</t>
        </is>
      </c>
      <c r="T277" s="31" t="n">
        <v>-6.52</v>
      </c>
      <c r="U277" s="31" t="n">
        <v>15.54</v>
      </c>
      <c r="V277" s="31" t="n">
        <v>23.59</v>
      </c>
      <c r="W277" s="31" t="n">
        <v>21.97</v>
      </c>
      <c r="X277" s="30" t="inlineStr">
        <is>
          <t>Cyclical in an Upturn</t>
        </is>
      </c>
      <c r="Y277" s="30">
        <f>IF(X277="Growing Industry",10,IF(X277="Cyclical in an Upturn",5,0))</f>
        <v/>
      </c>
      <c r="Z277" s="30" t="inlineStr">
        <is>
          <t>Too Many Players with High ROCE</t>
        </is>
      </c>
      <c r="AA277" s="30">
        <f>IF(Z277="Monopoly",10,IF(Z277="Oligopoly",5,IF(Z277="Duopoly that cooperate",10,IF(Z277="Duopoly that compete",5,IF(Z277="Too many players with High ROCE",5,0)))))</f>
        <v/>
      </c>
      <c r="AB277" s="30" t="inlineStr">
        <is>
          <t>No</t>
        </is>
      </c>
      <c r="AC277" s="30">
        <f>IF(AB277="No",5,0)</f>
        <v/>
      </c>
      <c r="AD277" s="30" t="inlineStr">
        <is>
          <t>Tailwind</t>
        </is>
      </c>
      <c r="AE277" s="30">
        <f>IF(AD277="Tailwind",10,0)</f>
        <v/>
      </c>
      <c r="AF277" s="30" t="inlineStr">
        <is>
          <t>Structural (10 Years Consistency)</t>
        </is>
      </c>
      <c r="AG277" s="30">
        <f>IF(AF277="Structural (10 Years Consistency)",10,IF(AF277="Shallow Cyclical (2 to 3 years growth)",5,0))</f>
        <v/>
      </c>
      <c r="AH277" s="30" t="inlineStr">
        <is>
          <t>No</t>
        </is>
      </c>
      <c r="AI277" s="30">
        <f>IF(AH277="Yes due to Product Mix change or Operating Leverage",10,IF(AH277="Yes, these are peak margins",-5,IF(AH277="No",5,0)))</f>
        <v/>
      </c>
      <c r="AJ277" s="30" t="inlineStr">
        <is>
          <t>Stable</t>
        </is>
      </c>
      <c r="AK277" s="30">
        <f>IF(AJ277="Stable",10,0)</f>
        <v/>
      </c>
      <c r="AL277" s="30" t="inlineStr">
        <is>
          <t>Yes</t>
        </is>
      </c>
      <c r="AM277" s="30">
        <f>IF(AL277="Yes",10,0)</f>
        <v/>
      </c>
      <c r="AN277" s="30" t="inlineStr">
        <is>
          <t>B2B</t>
        </is>
      </c>
      <c r="AO277" s="30">
        <f>IF(AN277="B2C",10,IF(AN277="B2B",5,0))</f>
        <v/>
      </c>
      <c r="AP277" s="30" t="inlineStr">
        <is>
          <t>Yes</t>
        </is>
      </c>
      <c r="AQ277" s="30">
        <f>IF(AP277="Yes",10,0)</f>
        <v/>
      </c>
      <c r="AR277" s="30" t="inlineStr">
        <is>
          <t>Higher One Time, Lower Annuity</t>
        </is>
      </c>
      <c r="AS277" s="30">
        <f>IF(AR277="Fully Annuity",10,IF(AR277="Higher Annuity, Lower One Time",5,IF(AR277="Higher One Time, Lower Annuity",3,0)))</f>
        <v/>
      </c>
      <c r="AT277" s="30" t="inlineStr">
        <is>
          <t>Good</t>
        </is>
      </c>
      <c r="AU277" s="30">
        <f>IF(AT277="Good",10,0)</f>
        <v/>
      </c>
      <c r="AV277" s="30" t="inlineStr">
        <is>
          <t>Yes for more than 2 years</t>
        </is>
      </c>
      <c r="AW277" s="30">
        <f>IF(AV277="Yes for more than 2 years",10,IF(AV277="Yes only for next 1 to 2 years",5,0))</f>
        <v/>
      </c>
      <c r="AX277" s="30" t="inlineStr">
        <is>
          <t>20 to 40</t>
        </is>
      </c>
      <c r="AY277" s="30">
        <f>IF(AX277="Above 40",20,IF(AX277="20 to 40",10,IF(AX277="0 to 20",-5,0)))</f>
        <v/>
      </c>
      <c r="AZ277" s="30" t="inlineStr">
        <is>
          <t>Above 75</t>
        </is>
      </c>
      <c r="BA277" s="30">
        <f>IF(AZ277="Between 50 to 75",10,IF(AZ277="Above 75",0,0))</f>
        <v/>
      </c>
      <c r="BB277" s="30" t="inlineStr">
        <is>
          <t>Stage 2</t>
        </is>
      </c>
      <c r="BC277" s="30">
        <f>IF(BB277="Stage 2",20,IF(BB277="Stage 1",0,IF(BB277="Stage 3",5,IF(BB277="Stage 4",-5,0))))</f>
        <v/>
      </c>
      <c r="BD277" s="30" t="inlineStr">
        <is>
          <t>Positive Trend</t>
        </is>
      </c>
      <c r="BE277" s="30">
        <f>IF(BD277="Positive Trend",20,IF(BD277="Negative Trend",-10,0))</f>
        <v/>
      </c>
      <c r="BF277" s="30" t="inlineStr">
        <is>
          <t>Uptrend</t>
        </is>
      </c>
      <c r="BG277" s="30">
        <f>IF(BF277="Uptrend",10,IF(BF277="Sideways",5,0))</f>
        <v/>
      </c>
      <c r="BH277" s="30" t="inlineStr">
        <is>
          <t>Uptrend</t>
        </is>
      </c>
      <c r="BI277" s="30">
        <f>IF(BH277="Uptrend",10,IF(BH277="Sideways",5,0))</f>
        <v/>
      </c>
      <c r="BJ277" s="30" t="inlineStr">
        <is>
          <t>Close to 52 week high or retracement</t>
        </is>
      </c>
      <c r="BK277" s="30">
        <f>IF(BJ277="Overhead supply in last 2 years in last 2 years",-5,IF(BJ277="Close to 52 week high or retracement",5,IF(BJ277="Blue sky scenario",10,IF(BJ277="Long term Downtrend",-10,0))))</f>
        <v/>
      </c>
      <c r="BL277" s="30" t="inlineStr">
        <is>
          <t>Yes</t>
        </is>
      </c>
      <c r="BM277" s="30">
        <f>IF(BL277="Yes",10,0)</f>
        <v/>
      </c>
      <c r="BN277" s="30" t="inlineStr">
        <is>
          <t>More than 20%</t>
        </is>
      </c>
      <c r="BO277" s="30">
        <f>IF(BN277="More than 20%",10,IF(BN277="Between 12 to 20%",5,IF(BN277="Less than 12%",0,0)))</f>
        <v/>
      </c>
      <c r="BP277" s="30" t="inlineStr">
        <is>
          <t>No</t>
        </is>
      </c>
      <c r="BQ277" s="30">
        <f>IF(BP277="No",10,0)</f>
        <v/>
      </c>
      <c r="BR277" s="30" t="inlineStr">
        <is>
          <t>Yes</t>
        </is>
      </c>
      <c r="BS277" s="30">
        <f>IF(BR277="NO",5,0)</f>
        <v/>
      </c>
      <c r="BT277" s="30" t="inlineStr">
        <is>
          <t>Above 2</t>
        </is>
      </c>
      <c r="BU277" s="30">
        <f>IF(BT277="Above 2",0,IF(BT277="Between 1.5 to 2",5,IF(BT277="Less than 1.5",10,0)))</f>
        <v/>
      </c>
      <c r="BV277" s="30" t="inlineStr">
        <is>
          <t>Above 70%</t>
        </is>
      </c>
      <c r="BW277" s="30">
        <f>IF(BV277="Above 70%",10,IF(BV277="Between 50% to 70%",5,IF(BV277="Less than 50%",0,IF(BV277="Negative",-10,IF(BV277="Less than 50% and Borrowings are increasing",-5,0)))))</f>
        <v/>
      </c>
      <c r="BX277" s="30" t="inlineStr">
        <is>
          <t>Between 0.7 to 1.2</t>
        </is>
      </c>
      <c r="BY277" s="30">
        <f>IF(BX277="More than 1.2",-10,IF(BX277="Between 0.7 to 1.2",0,IF(BX277="Less than 0.7",10,0)))</f>
        <v/>
      </c>
      <c r="BZ277" s="30" t="inlineStr">
        <is>
          <t>No</t>
        </is>
      </c>
      <c r="CA277" s="30">
        <f>IF(BZ277="Yes",-10,0)</f>
        <v/>
      </c>
      <c r="CB277" s="30" t="inlineStr">
        <is>
          <t>Less than 15%</t>
        </is>
      </c>
      <c r="CC277" s="30">
        <f>IF(CB277="More than 15%",-10,IF(CB277="Less than 15%",10,0))</f>
        <v/>
      </c>
      <c r="CD277" s="30" t="inlineStr">
        <is>
          <t>No</t>
        </is>
      </c>
      <c r="CE277" s="30">
        <f>IF(CD277="Yes, more than 10%",-10,IF(CD277="No",10,0))</f>
        <v/>
      </c>
    </row>
    <row r="278">
      <c r="A278" s="30">
        <f>IF(B278=0,"",RANK(B278,$B$2:$B$331,0))</f>
        <v/>
      </c>
      <c r="B278" s="31">
        <f>SUM(N278,Y278,AA278,AC278,AE278,AG278,AI278,AK278,AM278,AO278,AQ278,AS278,AU278,AW278,AY278,BA278,BC278,BE278,BG278,BI278,BK278,BM278,BO278,BQ278,BS278,BU278,BW278,BY278,CA278,CC278,CE278)</f>
        <v/>
      </c>
      <c r="C278" s="30" t="inlineStr">
        <is>
          <t>NAVINFLUOR</t>
        </is>
      </c>
      <c r="D278" s="30" t="inlineStr">
        <is>
          <t>Navin Fluorine International Limited</t>
        </is>
      </c>
      <c r="E278" s="30" t="inlineStr">
        <is>
          <t>chemicals</t>
        </is>
      </c>
      <c r="F278" s="30" t="inlineStr">
        <is>
          <t>chemicals</t>
        </is>
      </c>
      <c r="G278" s="30" t="inlineStr">
        <is>
          <t>largecap</t>
        </is>
      </c>
      <c r="H278" s="31" t="n">
        <v>45010.56</v>
      </c>
      <c r="I278" s="31" t="n">
        <v>8700.5</v>
      </c>
      <c r="J278" s="31" t="n">
        <v>-0.85</v>
      </c>
      <c r="K278" s="31" t="n">
        <v>65488</v>
      </c>
      <c r="L278" s="30" t="n">
        <v>54</v>
      </c>
      <c r="M278" s="30" t="inlineStr">
        <is>
          <t>Outperforming</t>
        </is>
      </c>
      <c r="N278" s="31">
        <f>IF(M278="Underperforming",-5,IF(L278&gt;=95,15,IF(L278&gt;=90,10,IF(L278&gt;=80,5,0))))</f>
        <v/>
      </c>
      <c r="O278" s="31" t="n">
        <v>79.41</v>
      </c>
      <c r="P278" s="31" t="n">
        <v>60.77</v>
      </c>
      <c r="Q278" s="31" t="n">
        <v>7290.27</v>
      </c>
      <c r="R278" s="30" t="inlineStr">
        <is>
          <t>Near 52W High Breakout</t>
        </is>
      </c>
      <c r="S278" s="30" t="inlineStr">
        <is>
          <t>Nifty 50</t>
        </is>
      </c>
      <c r="T278" s="31" t="n">
        <v>-6.52</v>
      </c>
      <c r="U278" s="31" t="n">
        <v>82.01000000000001</v>
      </c>
      <c r="V278" s="31" t="n">
        <v>94.7</v>
      </c>
      <c r="W278" s="31" t="n">
        <v>17.1</v>
      </c>
      <c r="X278" s="30" t="inlineStr">
        <is>
          <t>Growing Industry</t>
        </is>
      </c>
      <c r="Y278" s="30">
        <f>IF(X278="Growing Industry",10,IF(X278="Cyclical in an Upturn",5,0))</f>
        <v/>
      </c>
      <c r="Z278" s="30" t="inlineStr">
        <is>
          <t>Oligopoly</t>
        </is>
      </c>
      <c r="AA278" s="30">
        <f>IF(Z278="Monopoly",10,IF(Z278="Oligopoly",5,IF(Z278="Duopoly that cooperate",10,IF(Z278="Duopoly that compete",5,IF(Z278="Too many players with High ROCE",5,0)))))</f>
        <v/>
      </c>
      <c r="AB278" s="30" t="inlineStr">
        <is>
          <t>No</t>
        </is>
      </c>
      <c r="AC278" s="30">
        <f>IF(AB278="No",5,0)</f>
        <v/>
      </c>
      <c r="AD278" s="30" t="inlineStr">
        <is>
          <t>Tailwind</t>
        </is>
      </c>
      <c r="AE278" s="30">
        <f>IF(AD278="Tailwind",10,0)</f>
        <v/>
      </c>
      <c r="AF278" s="30" t="inlineStr">
        <is>
          <t>Shallow Cyclical (2 to 3 Years Growth)</t>
        </is>
      </c>
      <c r="AG278" s="30">
        <f>IF(AF278="Structural (10 Years Consistency)",10,IF(AF278="Shallow Cyclical (2 to 3 years growth)",5,0))</f>
        <v/>
      </c>
      <c r="AH278" s="30" t="inlineStr">
        <is>
          <t>No</t>
        </is>
      </c>
      <c r="AI278" s="30">
        <f>IF(AH278="Yes due to Product Mix change or Operating Leverage",10,IF(AH278="Yes, these are peak margins",-5,IF(AH278="No",5,0)))</f>
        <v/>
      </c>
      <c r="AJ278" s="30" t="inlineStr">
        <is>
          <t>Stable</t>
        </is>
      </c>
      <c r="AK278" s="30">
        <f>IF(AJ278="Stable",10,0)</f>
        <v/>
      </c>
      <c r="AL278" s="30" t="inlineStr">
        <is>
          <t>Yes</t>
        </is>
      </c>
      <c r="AM278" s="30">
        <f>IF(AL278="Yes",10,0)</f>
        <v/>
      </c>
      <c r="AN278" s="30" t="inlineStr">
        <is>
          <t>B2B</t>
        </is>
      </c>
      <c r="AO278" s="30">
        <f>IF(AN278="B2C",10,IF(AN278="B2B",5,0))</f>
        <v/>
      </c>
      <c r="AP278" s="30" t="inlineStr">
        <is>
          <t>Yes</t>
        </is>
      </c>
      <c r="AQ278" s="30">
        <f>IF(AP278="Yes",10,0)</f>
        <v/>
      </c>
      <c r="AR278" s="30" t="inlineStr">
        <is>
          <t>Higher One Time, Lower Annuity</t>
        </is>
      </c>
      <c r="AS278" s="30">
        <f>IF(AR278="Fully Annuity",10,IF(AR278="Higher Annuity, Lower One Time",5,IF(AR278="Higher One Time, Lower Annuity",3,0)))</f>
        <v/>
      </c>
      <c r="AT278" s="30" t="inlineStr">
        <is>
          <t>Good</t>
        </is>
      </c>
      <c r="AU278" s="30">
        <f>IF(AT278="Good",10,0)</f>
        <v/>
      </c>
      <c r="AV278" s="30" t="inlineStr">
        <is>
          <t>Yes for more than 2 years</t>
        </is>
      </c>
      <c r="AW278" s="30">
        <f>IF(AV278="Yes for more than 2 years",10,IF(AV278="Yes only for next 1 to 2 years",5,0))</f>
        <v/>
      </c>
      <c r="AX278" s="30" t="inlineStr">
        <is>
          <t>20 to 40</t>
        </is>
      </c>
      <c r="AY278" s="30">
        <f>IF(AX278="Above 40",20,IF(AX278="20 to 40",10,IF(AX278="0 to 20",-5,0)))</f>
        <v/>
      </c>
      <c r="AZ278" s="30" t="inlineStr">
        <is>
          <t>Between 50 to 75</t>
        </is>
      </c>
      <c r="BA278" s="30">
        <f>IF(AZ278="Between 50 to 75",10,IF(AZ278="Above 75",0,0))</f>
        <v/>
      </c>
      <c r="BB278" s="30" t="inlineStr">
        <is>
          <t>Stage 3</t>
        </is>
      </c>
      <c r="BC278" s="30">
        <f>IF(BB278="Stage 2",20,IF(BB278="Stage 1",0,IF(BB278="Stage 3",5,IF(BB278="Stage 4",-5,0))))</f>
        <v/>
      </c>
      <c r="BD278" s="30" t="inlineStr">
        <is>
          <t>Positive Trend</t>
        </is>
      </c>
      <c r="BE278" s="30">
        <f>IF(BD278="Positive Trend",20,IF(BD278="Negative Trend",-10,0))</f>
        <v/>
      </c>
      <c r="BF278" s="30" t="inlineStr">
        <is>
          <t>Uptrend</t>
        </is>
      </c>
      <c r="BG278" s="30">
        <f>IF(BF278="Uptrend",10,IF(BF278="Sideways",5,0))</f>
        <v/>
      </c>
      <c r="BH278" s="30" t="inlineStr">
        <is>
          <t>Uptrend</t>
        </is>
      </c>
      <c r="BI278" s="30">
        <f>IF(BH278="Uptrend",10,IF(BH278="Sideways",5,0))</f>
        <v/>
      </c>
      <c r="BJ278" s="30" t="inlineStr">
        <is>
          <t>Close to 52 week high or retracement</t>
        </is>
      </c>
      <c r="BK278" s="30">
        <f>IF(BJ278="Overhead supply in last 2 years in last 2 years",-5,IF(BJ278="Close to 52 week high or retracement",5,IF(BJ278="Blue sky scenario",10,IF(BJ278="Long term Downtrend",-10,0))))</f>
        <v/>
      </c>
      <c r="BL278" s="30" t="inlineStr">
        <is>
          <t>Yes</t>
        </is>
      </c>
      <c r="BM278" s="30">
        <f>IF(BL278="Yes",10,0)</f>
        <v/>
      </c>
      <c r="BN278" s="30" t="inlineStr">
        <is>
          <t>More than 20%</t>
        </is>
      </c>
      <c r="BO278" s="30">
        <f>IF(BN278="More than 20%",10,IF(BN278="Between 12 to 20%",5,IF(BN278="Less than 12%",0,0)))</f>
        <v/>
      </c>
      <c r="BP278" s="30" t="inlineStr">
        <is>
          <t>No</t>
        </is>
      </c>
      <c r="BQ278" s="30">
        <f>IF(BP278="No",10,0)</f>
        <v/>
      </c>
      <c r="BR278" s="30" t="inlineStr">
        <is>
          <t>Yes</t>
        </is>
      </c>
      <c r="BS278" s="30">
        <f>IF(BR278="NO",5,0)</f>
        <v/>
      </c>
      <c r="BT278" s="30" t="inlineStr">
        <is>
          <t>Above 2</t>
        </is>
      </c>
      <c r="BU278" s="30">
        <f>IF(BT278="Above 2",0,IF(BT278="Between 1.5 to 2",5,IF(BT278="Less than 1.5",10,0)))</f>
        <v/>
      </c>
      <c r="BV278" s="30" t="inlineStr">
        <is>
          <t>Between 50% to 70%</t>
        </is>
      </c>
      <c r="BW278" s="30">
        <f>IF(BV278="Above 70%",10,IF(BV278="Between 50% to 70%",5,IF(BV278="Less than 50%",0,IF(BV278="Negative",-10,IF(BV278="Less than 50% and Borrowings are increasing",-5,0)))))</f>
        <v/>
      </c>
      <c r="BX278" s="30" t="inlineStr">
        <is>
          <t>Less than 0.7</t>
        </is>
      </c>
      <c r="BY278" s="30">
        <f>IF(BX278="More than 1.2",-10,IF(BX278="Between 0.7 to 1.2",0,IF(BX278="Less than 0.7",10,0)))</f>
        <v/>
      </c>
      <c r="BZ278" s="30" t="inlineStr">
        <is>
          <t>No</t>
        </is>
      </c>
      <c r="CA278" s="30">
        <f>IF(BZ278="Yes",-10,0)</f>
        <v/>
      </c>
      <c r="CB278" s="30" t="inlineStr">
        <is>
          <t>Less than 15%</t>
        </is>
      </c>
      <c r="CC278" s="30">
        <f>IF(CB278="More than 15%",-10,IF(CB278="Less than 15%",10,0))</f>
        <v/>
      </c>
      <c r="CD278" s="30" t="inlineStr">
        <is>
          <t>No</t>
        </is>
      </c>
      <c r="CE278" s="30">
        <f>IF(CD278="Yes, more than 10%",-10,IF(CD278="No",10,0))</f>
        <v/>
      </c>
    </row>
    <row r="279">
      <c r="A279" s="30">
        <f>IF(B279=0,"",RANK(B279,$B$2:$B$331,0))</f>
        <v/>
      </c>
      <c r="B279" s="31">
        <f>SUM(N279,Y279,AA279,AC279,AE279,AG279,AI279,AK279,AM279,AO279,AQ279,AS279,AU279,AW279,AY279,BA279,BC279,BE279,BG279,BI279,BK279,BM279,BO279,BQ279,BS279,BU279,BW279,BY279,CA279,CC279,CE279)</f>
        <v/>
      </c>
      <c r="C279" s="30" t="inlineStr">
        <is>
          <t>HAL</t>
        </is>
      </c>
      <c r="D279" s="30" t="inlineStr">
        <is>
          <t>Hindustan Aeronautics Ltd</t>
        </is>
      </c>
      <c r="E279" s="30" t="inlineStr">
        <is>
          <t>aerospace &amp; defence</t>
        </is>
      </c>
      <c r="F279" s="30" t="inlineStr">
        <is>
          <t>engineering</t>
        </is>
      </c>
      <c r="G279" s="30" t="inlineStr">
        <is>
          <t>largecap</t>
        </is>
      </c>
      <c r="H279" s="31" t="n">
        <v>334420.94</v>
      </c>
      <c r="I279" s="31" t="n">
        <v>4950</v>
      </c>
      <c r="J279" s="31" t="n">
        <v>-1.01</v>
      </c>
      <c r="K279" s="31" t="n">
        <v>688500</v>
      </c>
      <c r="L279" s="30" t="n">
        <v>16</v>
      </c>
      <c r="M279" s="30" t="inlineStr">
        <is>
          <t>Outperforming</t>
        </is>
      </c>
      <c r="N279" s="31">
        <f>IF(M279="Underperforming",-5,IF(L279&gt;=95,15,IF(L279&gt;=90,10,IF(L279&gt;=80,5,0))))</f>
        <v/>
      </c>
      <c r="O279" s="31" t="n">
        <v>63.29</v>
      </c>
      <c r="P279" s="31" t="n">
        <v>28.07</v>
      </c>
      <c r="Q279" s="31" t="n">
        <v>4314.63</v>
      </c>
      <c r="R279" s="30" t="inlineStr">
        <is>
          <t>Near 52W High Breakout</t>
        </is>
      </c>
      <c r="S279" s="30" t="inlineStr">
        <is>
          <t>Nifty 500</t>
        </is>
      </c>
      <c r="T279" s="31" t="n">
        <v>-1.03</v>
      </c>
      <c r="U279" s="31" t="n">
        <v>5.39</v>
      </c>
      <c r="V279" s="31" t="n">
        <v>6.48</v>
      </c>
      <c r="W279" s="31" t="n">
        <v>5.22</v>
      </c>
      <c r="X279" s="30" t="inlineStr">
        <is>
          <t>Growing Industry</t>
        </is>
      </c>
      <c r="Y279" s="30">
        <f>IF(X279="Growing Industry",10,IF(X279="Cyclical in an Upturn",5,0))</f>
        <v/>
      </c>
      <c r="Z279" s="30" t="inlineStr">
        <is>
          <t>Too Many Players with High ROCE</t>
        </is>
      </c>
      <c r="AA279" s="30">
        <f>IF(Z279="Monopoly",10,IF(Z279="Oligopoly",5,IF(Z279="Duopoly that cooperate",10,IF(Z279="Duopoly that compete",5,IF(Z279="Too many players with High ROCE",5,0)))))</f>
        <v/>
      </c>
      <c r="AB279" s="30" t="inlineStr">
        <is>
          <t>No</t>
        </is>
      </c>
      <c r="AC279" s="30">
        <f>IF(AB279="No",5,0)</f>
        <v/>
      </c>
      <c r="AD279" s="30" t="inlineStr">
        <is>
          <t>Tailwind</t>
        </is>
      </c>
      <c r="AE279" s="30">
        <f>IF(AD279="Tailwind",10,0)</f>
        <v/>
      </c>
      <c r="AF279" s="30" t="inlineStr">
        <is>
          <t>Structural (10 Years Consistency)</t>
        </is>
      </c>
      <c r="AG279" s="30">
        <f>IF(AF279="Structural (10 Years Consistency)",10,IF(AF279="Shallow Cyclical (2 to 3 years growth)",5,0))</f>
        <v/>
      </c>
      <c r="AH279" s="30" t="inlineStr">
        <is>
          <t>No</t>
        </is>
      </c>
      <c r="AI279" s="30">
        <f>IF(AH279="Yes due to Product Mix change or Operating Leverage",10,IF(AH279="Yes, these are peak margins",-5,IF(AH279="No",5,0)))</f>
        <v/>
      </c>
      <c r="AJ279" s="30" t="inlineStr">
        <is>
          <t>Stable</t>
        </is>
      </c>
      <c r="AK279" s="30">
        <f>IF(AJ279="Stable",10,0)</f>
        <v/>
      </c>
      <c r="AL279" s="30" t="inlineStr">
        <is>
          <t>Yes</t>
        </is>
      </c>
      <c r="AM279" s="30">
        <f>IF(AL279="Yes",10,0)</f>
        <v/>
      </c>
      <c r="AN279" s="30" t="inlineStr">
        <is>
          <t>B2B</t>
        </is>
      </c>
      <c r="AO279" s="30">
        <f>IF(AN279="B2C",10,IF(AN279="B2B",5,0))</f>
        <v/>
      </c>
      <c r="AP279" s="30" t="inlineStr">
        <is>
          <t>Yes</t>
        </is>
      </c>
      <c r="AQ279" s="30">
        <f>IF(AP279="Yes",10,0)</f>
        <v/>
      </c>
      <c r="AR279" s="30" t="inlineStr">
        <is>
          <t>Higher One Time, Lower Annuity</t>
        </is>
      </c>
      <c r="AS279" s="30">
        <f>IF(AR279="Fully Annuity",10,IF(AR279="Higher Annuity, Lower One Time",5,IF(AR279="Higher One Time, Lower Annuity",3,0)))</f>
        <v/>
      </c>
      <c r="AT279" s="30" t="inlineStr">
        <is>
          <t>Good</t>
        </is>
      </c>
      <c r="AU279" s="30">
        <f>IF(AT279="Good",10,0)</f>
        <v/>
      </c>
      <c r="AV279" s="30" t="inlineStr">
        <is>
          <t>Yes for more than 2 years</t>
        </is>
      </c>
      <c r="AW279" s="30">
        <f>IF(AV279="Yes for more than 2 years",10,IF(AV279="Yes only for next 1 to 2 years",5,0))</f>
        <v/>
      </c>
      <c r="AX279" s="30" t="inlineStr">
        <is>
          <t>20 to 40</t>
        </is>
      </c>
      <c r="AY279" s="30">
        <f>IF(AX279="Above 40",20,IF(AX279="20 to 40",10,IF(AX279="0 to 20",-5,0)))</f>
        <v/>
      </c>
      <c r="AZ279" s="30" t="inlineStr">
        <is>
          <t>Between 50 to 75</t>
        </is>
      </c>
      <c r="BA279" s="30">
        <f>IF(AZ279="Between 50 to 75",10,IF(AZ279="Above 75",0,0))</f>
        <v/>
      </c>
      <c r="BB279" s="30" t="inlineStr">
        <is>
          <t>Stage 2</t>
        </is>
      </c>
      <c r="BC279" s="30">
        <f>IF(BB279="Stage 2",20,IF(BB279="Stage 1",0,IF(BB279="Stage 3",5,IF(BB279="Stage 4",-5,0))))</f>
        <v/>
      </c>
      <c r="BD279" s="30" t="inlineStr">
        <is>
          <t>Negative Trend</t>
        </is>
      </c>
      <c r="BE279" s="30">
        <f>IF(BD279="Positive Trend",20,IF(BD279="Negative Trend",-10,0))</f>
        <v/>
      </c>
      <c r="BF279" s="30" t="inlineStr">
        <is>
          <t>Uptrend</t>
        </is>
      </c>
      <c r="BG279" s="30">
        <f>IF(BF279="Uptrend",10,IF(BF279="Sideways",5,0))</f>
        <v/>
      </c>
      <c r="BH279" s="30" t="inlineStr">
        <is>
          <t>Uptrend</t>
        </is>
      </c>
      <c r="BI279" s="30">
        <f>IF(BH279="Uptrend",10,IF(BH279="Sideways",5,0))</f>
        <v/>
      </c>
      <c r="BJ279" s="30" t="inlineStr">
        <is>
          <t>Blue sky scenario</t>
        </is>
      </c>
      <c r="BK279" s="30">
        <f>IF(BJ279="Overhead supply in last 2 years in last 2 years",-5,IF(BJ279="Close to 52 week high or retracement",5,IF(BJ279="Blue sky scenario",10,IF(BJ279="Long term Downtrend",-10,0))))</f>
        <v/>
      </c>
      <c r="BL279" s="30" t="inlineStr">
        <is>
          <t>Yes</t>
        </is>
      </c>
      <c r="BM279" s="30">
        <f>IF(BL279="Yes",10,0)</f>
        <v/>
      </c>
      <c r="BN279" s="30" t="inlineStr">
        <is>
          <t>Between 12 to 20%</t>
        </is>
      </c>
      <c r="BO279" s="30">
        <f>IF(BN279="More than 20%",10,IF(BN279="Between 12 to 20%",5,IF(BN279="Less than 12%",0,0)))</f>
        <v/>
      </c>
      <c r="BP279" s="30" t="inlineStr">
        <is>
          <t>No</t>
        </is>
      </c>
      <c r="BQ279" s="30">
        <f>IF(BP279="No",10,0)</f>
        <v/>
      </c>
      <c r="BR279" s="30" t="inlineStr">
        <is>
          <t>No</t>
        </is>
      </c>
      <c r="BS279" s="30">
        <f>IF(BR279="NO",5,0)</f>
        <v/>
      </c>
      <c r="BT279" s="30" t="inlineStr">
        <is>
          <t>Above 2</t>
        </is>
      </c>
      <c r="BU279" s="30">
        <f>IF(BT279="Above 2",0,IF(BT279="Between 1.5 to 2",5,IF(BT279="Less than 1.5",10,0)))</f>
        <v/>
      </c>
      <c r="BV279" s="30" t="inlineStr">
        <is>
          <t>Above 70%</t>
        </is>
      </c>
      <c r="BW279" s="30">
        <f>IF(BV279="Above 70%",10,IF(BV279="Between 50% to 70%",5,IF(BV279="Less than 50%",0,IF(BV279="Negative",-10,IF(BV279="Less than 50% and Borrowings are increasing",-5,0)))))</f>
        <v/>
      </c>
      <c r="BX279" s="30" t="inlineStr">
        <is>
          <t>Less than 0.7</t>
        </is>
      </c>
      <c r="BY279" s="30">
        <f>IF(BX279="More than 1.2",-10,IF(BX279="Between 0.7 to 1.2",0,IF(BX279="Less than 0.7",10,0)))</f>
        <v/>
      </c>
      <c r="BZ279" s="30" t="inlineStr">
        <is>
          <t>No</t>
        </is>
      </c>
      <c r="CA279" s="30">
        <f>IF(BZ279="Yes",-10,0)</f>
        <v/>
      </c>
      <c r="CB279" s="30" t="inlineStr">
        <is>
          <t>Less than 15%</t>
        </is>
      </c>
      <c r="CC279" s="30">
        <f>IF(CB279="More than 15%",-10,IF(CB279="Less than 15%",10,0))</f>
        <v/>
      </c>
      <c r="CD279" s="30" t="inlineStr">
        <is>
          <t>No</t>
        </is>
      </c>
      <c r="CE279" s="30">
        <f>IF(CD279="Yes, more than 10%",-10,IF(CD279="No",10,0))</f>
        <v/>
      </c>
    </row>
    <row r="280">
      <c r="A280" s="30">
        <f>IF(B280=0,"",RANK(B280,$B$2:$B$331,0))</f>
        <v/>
      </c>
      <c r="B280" s="31">
        <f>SUM(N280,Y280,AA280,AC280,AE280,AG280,AI280,AK280,AM280,AO280,AQ280,AS280,AU280,AW280,AY280,BA280,BC280,BE280,BG280,BI280,BK280,BM280,BO280,BQ280,BS280,BU280,BW280,BY280,CA280,CC280,CE280)</f>
        <v/>
      </c>
      <c r="C280" s="30" t="inlineStr">
        <is>
          <t>PANACHE</t>
        </is>
      </c>
      <c r="D280" s="30" t="inlineStr">
        <is>
          <t>Panache Digilife Ltd</t>
        </is>
      </c>
      <c r="E280" s="30" t="inlineStr">
        <is>
          <t>i.t</t>
        </is>
      </c>
      <c r="F280" s="30" t="inlineStr">
        <is>
          <t>computers - hardware</t>
        </is>
      </c>
      <c r="G280" s="30" t="inlineStr">
        <is>
          <t>smallcap</t>
        </is>
      </c>
      <c r="H280" s="31" t="n">
        <v>840.74</v>
      </c>
      <c r="I280" s="31" t="n">
        <v>519</v>
      </c>
      <c r="J280" s="31" t="n">
        <v>-1.14</v>
      </c>
      <c r="K280" s="31" t="n">
        <v>2417</v>
      </c>
      <c r="L280" s="30" t="n">
        <v>73</v>
      </c>
      <c r="M280" s="30" t="inlineStr">
        <is>
          <t>Outperforming</t>
        </is>
      </c>
      <c r="N280" s="31">
        <f>IF(M280="Underperforming",-5,IF(L280&gt;=95,15,IF(L280&gt;=90,10,IF(L280&gt;=80,5,0))))</f>
        <v/>
      </c>
      <c r="O280" s="31" t="n">
        <v>69.39</v>
      </c>
      <c r="P280" s="31" t="n">
        <v>35.02</v>
      </c>
      <c r="Q280" s="31" t="n">
        <v>413.92</v>
      </c>
      <c r="R280" s="30" t="inlineStr">
        <is>
          <t>Near 52W High Breakout</t>
        </is>
      </c>
      <c r="S280" s="30" t="inlineStr">
        <is>
          <t>Nifty IT</t>
        </is>
      </c>
      <c r="T280" s="31" t="n">
        <v>-19.99</v>
      </c>
      <c r="U280" s="31" t="n">
        <v>96.98999999999999</v>
      </c>
      <c r="V280" s="31" t="n">
        <v>146.21</v>
      </c>
      <c r="W280" s="31" t="n">
        <v>24.62</v>
      </c>
      <c r="X280" s="30" t="inlineStr">
        <is>
          <t>Growing Industry</t>
        </is>
      </c>
      <c r="Y280" s="30">
        <f>IF(X280="Growing Industry",10,IF(X280="Cyclical in an Upturn",5,0))</f>
        <v/>
      </c>
      <c r="Z280" s="30" t="inlineStr">
        <is>
          <t>Too Many Players with High ROCE</t>
        </is>
      </c>
      <c r="AA280" s="30">
        <f>IF(Z280="Monopoly",10,IF(Z280="Oligopoly",5,IF(Z280="Duopoly that cooperate",10,IF(Z280="Duopoly that compete",5,IF(Z280="Too many players with High ROCE",5,0)))))</f>
        <v/>
      </c>
      <c r="AB280" s="30" t="inlineStr">
        <is>
          <t>No</t>
        </is>
      </c>
      <c r="AC280" s="30">
        <f>IF(AB280="No",5,0)</f>
        <v/>
      </c>
      <c r="AD280" s="30" t="inlineStr">
        <is>
          <t>Tailwind</t>
        </is>
      </c>
      <c r="AE280" s="30">
        <f>IF(AD280="Tailwind",10,0)</f>
        <v/>
      </c>
      <c r="AF280" s="30" t="inlineStr">
        <is>
          <t>Structural (10 Years Consistency)</t>
        </is>
      </c>
      <c r="AG280" s="30">
        <f>IF(AF280="Structural (10 Years Consistency)",10,IF(AF280="Shallow Cyclical (2 to 3 years growth)",5,0))</f>
        <v/>
      </c>
      <c r="AH280" s="30" t="inlineStr">
        <is>
          <t>No</t>
        </is>
      </c>
      <c r="AI280" s="30">
        <f>IF(AH280="Yes due to Product Mix change or Operating Leverage",10,IF(AH280="Yes, these are peak margins",-5,IF(AH280="No",5,0)))</f>
        <v/>
      </c>
      <c r="AJ280" s="30" t="inlineStr">
        <is>
          <t>Stable</t>
        </is>
      </c>
      <c r="AK280" s="30">
        <f>IF(AJ280="Stable",10,0)</f>
        <v/>
      </c>
      <c r="AL280" s="30" t="inlineStr">
        <is>
          <t>Yes</t>
        </is>
      </c>
      <c r="AM280" s="30">
        <f>IF(AL280="Yes",10,0)</f>
        <v/>
      </c>
      <c r="AN280" s="30" t="inlineStr">
        <is>
          <t>B2B</t>
        </is>
      </c>
      <c r="AO280" s="30">
        <f>IF(AN280="B2C",10,IF(AN280="B2B",5,0))</f>
        <v/>
      </c>
      <c r="AP280" s="30" t="inlineStr">
        <is>
          <t>Yes</t>
        </is>
      </c>
      <c r="AQ280" s="30">
        <f>IF(AP280="Yes",10,0)</f>
        <v/>
      </c>
      <c r="AR280" s="30" t="inlineStr">
        <is>
          <t>Higher One Time, Lower Annuity</t>
        </is>
      </c>
      <c r="AS280" s="30">
        <f>IF(AR280="Fully Annuity",10,IF(AR280="Higher Annuity, Lower One Time",5,IF(AR280="Higher One Time, Lower Annuity",3,0)))</f>
        <v/>
      </c>
      <c r="AT280" s="30" t="inlineStr">
        <is>
          <t>Good</t>
        </is>
      </c>
      <c r="AU280" s="30">
        <f>IF(AT280="Good",10,0)</f>
        <v/>
      </c>
      <c r="AV280" s="30" t="inlineStr">
        <is>
          <t>Yes for more than 2 years</t>
        </is>
      </c>
      <c r="AW280" s="30">
        <f>IF(AV280="Yes for more than 2 years",10,IF(AV280="Yes only for next 1 to 2 years",5,0))</f>
        <v/>
      </c>
      <c r="AX280" s="30" t="inlineStr">
        <is>
          <t>20 to 40</t>
        </is>
      </c>
      <c r="AY280" s="30">
        <f>IF(AX280="Above 40",20,IF(AX280="20 to 40",10,IF(AX280="0 to 20",-5,0)))</f>
        <v/>
      </c>
      <c r="AZ280" s="30" t="inlineStr">
        <is>
          <t>Between 50 to 75</t>
        </is>
      </c>
      <c r="BA280" s="30">
        <f>IF(AZ280="Between 50 to 75",10,IF(AZ280="Above 75",0,0))</f>
        <v/>
      </c>
      <c r="BB280" s="30" t="inlineStr">
        <is>
          <t>Stage 2</t>
        </is>
      </c>
      <c r="BC280" s="30">
        <f>IF(BB280="Stage 2",20,IF(BB280="Stage 1",0,IF(BB280="Stage 3",5,IF(BB280="Stage 4",-5,0))))</f>
        <v/>
      </c>
      <c r="BD280" s="30" t="inlineStr">
        <is>
          <t>Negative Trend</t>
        </is>
      </c>
      <c r="BE280" s="30">
        <f>IF(BD280="Positive Trend",20,IF(BD280="Negative Trend",-10,0))</f>
        <v/>
      </c>
      <c r="BF280" s="30" t="inlineStr">
        <is>
          <t>Uptrend</t>
        </is>
      </c>
      <c r="BG280" s="30">
        <f>IF(BF280="Uptrend",10,IF(BF280="Sideways",5,0))</f>
        <v/>
      </c>
      <c r="BH280" s="30" t="inlineStr">
        <is>
          <t>Uptrend</t>
        </is>
      </c>
      <c r="BI280" s="30">
        <f>IF(BH280="Uptrend",10,IF(BH280="Sideways",5,0))</f>
        <v/>
      </c>
      <c r="BJ280" s="30" t="inlineStr">
        <is>
          <t>Blue sky scenario</t>
        </is>
      </c>
      <c r="BK280" s="30">
        <f>IF(BJ280="Overhead supply in last 2 years in last 2 years",-5,IF(BJ280="Close to 52 week high or retracement",5,IF(BJ280="Blue sky scenario",10,IF(BJ280="Long term Downtrend",-10,0))))</f>
        <v/>
      </c>
      <c r="BL280" s="30" t="inlineStr">
        <is>
          <t>Yes</t>
        </is>
      </c>
      <c r="BM280" s="30">
        <f>IF(BL280="Yes",10,0)</f>
        <v/>
      </c>
      <c r="BN280" s="30" t="inlineStr">
        <is>
          <t>More than 20%</t>
        </is>
      </c>
      <c r="BO280" s="30">
        <f>IF(BN280="More than 20%",10,IF(BN280="Between 12 to 20%",5,IF(BN280="Less than 12%",0,0)))</f>
        <v/>
      </c>
      <c r="BP280" s="30" t="inlineStr">
        <is>
          <t>No</t>
        </is>
      </c>
      <c r="BQ280" s="30">
        <f>IF(BP280="No",10,0)</f>
        <v/>
      </c>
      <c r="BR280" s="30" t="inlineStr">
        <is>
          <t>Yes</t>
        </is>
      </c>
      <c r="BS280" s="30">
        <f>IF(BR280="NO",5,0)</f>
        <v/>
      </c>
      <c r="BT280" s="30" t="inlineStr">
        <is>
          <t>Above 2</t>
        </is>
      </c>
      <c r="BU280" s="30">
        <f>IF(BT280="Above 2",0,IF(BT280="Between 1.5 to 2",5,IF(BT280="Less than 1.5",10,0)))</f>
        <v/>
      </c>
      <c r="BV280" s="30" t="inlineStr">
        <is>
          <t>Above 70%</t>
        </is>
      </c>
      <c r="BW280" s="30">
        <f>IF(BV280="Above 70%",10,IF(BV280="Between 50% to 70%",5,IF(BV280="Less than 50%",0,IF(BV280="Negative",-10,IF(BV280="Less than 50% and Borrowings are increasing",-5,0)))))</f>
        <v/>
      </c>
      <c r="BX280" s="30" t="inlineStr">
        <is>
          <t>Less than 0.7</t>
        </is>
      </c>
      <c r="BY280" s="30">
        <f>IF(BX280="More than 1.2",-10,IF(BX280="Between 0.7 to 1.2",0,IF(BX280="Less than 0.7",10,0)))</f>
        <v/>
      </c>
      <c r="BZ280" s="30" t="inlineStr">
        <is>
          <t>No</t>
        </is>
      </c>
      <c r="CA280" s="30">
        <f>IF(BZ280="Yes",-10,0)</f>
        <v/>
      </c>
      <c r="CB280" s="30" t="inlineStr">
        <is>
          <t>Less than 15%</t>
        </is>
      </c>
      <c r="CC280" s="30">
        <f>IF(CB280="More than 15%",-10,IF(CB280="Less than 15%",10,0))</f>
        <v/>
      </c>
      <c r="CD280" s="30" t="inlineStr">
        <is>
          <t>No</t>
        </is>
      </c>
      <c r="CE280" s="30">
        <f>IF(CD280="Yes, more than 10%",-10,IF(CD280="No",10,0))</f>
        <v/>
      </c>
    </row>
    <row r="281">
      <c r="A281" s="30">
        <f>IF(B281=0,"",RANK(B281,$B$2:$B$331,0))</f>
        <v/>
      </c>
      <c r="B281" s="31">
        <f>SUM(N281,Y281,AA281,AC281,AE281,AG281,AI281,AK281,AM281,AO281,AQ281,AS281,AU281,AW281,AY281,BA281,BC281,BE281,BG281,BI281,BK281,BM281,BO281,BQ281,BS281,BU281,BW281,BY281,CA281,CC281,CE281)</f>
        <v/>
      </c>
      <c r="C281" s="30" t="inlineStr">
        <is>
          <t>SBC</t>
        </is>
      </c>
      <c r="D281" s="30" t="inlineStr">
        <is>
          <t>SBC Exports Ltd</t>
        </is>
      </c>
      <c r="E281" s="30" t="inlineStr">
        <is>
          <t>textiles</t>
        </is>
      </c>
      <c r="F281" s="30" t="inlineStr">
        <is>
          <t>textiles - products</t>
        </is>
      </c>
      <c r="G281" s="30" t="inlineStr">
        <is>
          <t>smallcap</t>
        </is>
      </c>
      <c r="H281" s="31" t="n">
        <v>2318.09</v>
      </c>
      <c r="I281" s="31" t="n">
        <v>48.05</v>
      </c>
      <c r="J281" s="31" t="n">
        <v>-1.29</v>
      </c>
      <c r="K281" s="31" t="n">
        <v>10039752</v>
      </c>
      <c r="L281" s="30" t="n">
        <v>71</v>
      </c>
      <c r="M281" s="30" t="inlineStr">
        <is>
          <t>Outperforming</t>
        </is>
      </c>
      <c r="N281" s="31">
        <f>IF(M281="Underperforming",-5,IF(L281&gt;=95,15,IF(L281&gt;=90,10,IF(L281&gt;=80,5,0))))</f>
        <v/>
      </c>
      <c r="O281" s="31" t="n">
        <v>75.01000000000001</v>
      </c>
      <c r="P281" s="31" t="n">
        <v>33.61</v>
      </c>
      <c r="Q281" s="31" t="n">
        <v>39.24</v>
      </c>
      <c r="R281" s="30" t="inlineStr">
        <is>
          <t>Near 52W High Breakout</t>
        </is>
      </c>
      <c r="S281" s="30" t="inlineStr">
        <is>
          <t>Nifty 50</t>
        </is>
      </c>
      <c r="T281" s="31" t="n">
        <v>-6.52</v>
      </c>
      <c r="U281" s="31" t="n">
        <v>120.01</v>
      </c>
      <c r="V281" s="31" t="n">
        <v>135.34</v>
      </c>
      <c r="W281" s="31" t="n">
        <v>23.43</v>
      </c>
      <c r="X281" s="30" t="inlineStr">
        <is>
          <t>Growing Industry</t>
        </is>
      </c>
      <c r="Y281" s="30">
        <f>IF(X281="Growing Industry",10,IF(X281="Cyclical in an Upturn",5,0))</f>
        <v/>
      </c>
      <c r="Z281" s="30" t="inlineStr">
        <is>
          <t>Too Many Players with High ROCE</t>
        </is>
      </c>
      <c r="AA281" s="30">
        <f>IF(Z281="Monopoly",10,IF(Z281="Oligopoly",5,IF(Z281="Duopoly that cooperate",10,IF(Z281="Duopoly that compete",5,IF(Z281="Too many players with High ROCE",5,0)))))</f>
        <v/>
      </c>
      <c r="AB281" s="30" t="inlineStr">
        <is>
          <t>No</t>
        </is>
      </c>
      <c r="AC281" s="30">
        <f>IF(AB281="No",5,0)</f>
        <v/>
      </c>
      <c r="AD281" s="30" t="inlineStr">
        <is>
          <t>Tailwind</t>
        </is>
      </c>
      <c r="AE281" s="30">
        <f>IF(AD281="Tailwind",10,0)</f>
        <v/>
      </c>
      <c r="AF281" s="30" t="inlineStr">
        <is>
          <t>Structural (10 Years Consistency)</t>
        </is>
      </c>
      <c r="AG281" s="30">
        <f>IF(AF281="Structural (10 Years Consistency)",10,IF(AF281="Shallow Cyclical (2 to 3 years growth)",5,0))</f>
        <v/>
      </c>
      <c r="AH281" s="30" t="inlineStr">
        <is>
          <t>No</t>
        </is>
      </c>
      <c r="AI281" s="30">
        <f>IF(AH281="Yes due to Product Mix change or Operating Leverage",10,IF(AH281="Yes, these are peak margins",-5,IF(AH281="No",5,0)))</f>
        <v/>
      </c>
      <c r="AJ281" s="30" t="inlineStr">
        <is>
          <t>Stable</t>
        </is>
      </c>
      <c r="AK281" s="30">
        <f>IF(AJ281="Stable",10,0)</f>
        <v/>
      </c>
      <c r="AL281" s="30" t="inlineStr">
        <is>
          <t>Yes</t>
        </is>
      </c>
      <c r="AM281" s="30">
        <f>IF(AL281="Yes",10,0)</f>
        <v/>
      </c>
      <c r="AN281" s="30" t="inlineStr">
        <is>
          <t>B2B</t>
        </is>
      </c>
      <c r="AO281" s="30">
        <f>IF(AN281="B2C",10,IF(AN281="B2B",5,0))</f>
        <v/>
      </c>
      <c r="AP281" s="30" t="inlineStr">
        <is>
          <t>Yes</t>
        </is>
      </c>
      <c r="AQ281" s="30">
        <f>IF(AP281="Yes",10,0)</f>
        <v/>
      </c>
      <c r="AR281" s="30" t="inlineStr">
        <is>
          <t>Higher One Time, Lower Annuity</t>
        </is>
      </c>
      <c r="AS281" s="30">
        <f>IF(AR281="Fully Annuity",10,IF(AR281="Higher Annuity, Lower One Time",5,IF(AR281="Higher One Time, Lower Annuity",3,0)))</f>
        <v/>
      </c>
      <c r="AT281" s="30" t="inlineStr">
        <is>
          <t>Good</t>
        </is>
      </c>
      <c r="AU281" s="30">
        <f>IF(AT281="Good",10,0)</f>
        <v/>
      </c>
      <c r="AV281" s="30" t="inlineStr">
        <is>
          <t>Yes for more than 2 years</t>
        </is>
      </c>
      <c r="AW281" s="30">
        <f>IF(AV281="Yes for more than 2 years",10,IF(AV281="Yes only for next 1 to 2 years",5,0))</f>
        <v/>
      </c>
      <c r="AX281" s="30" t="inlineStr">
        <is>
          <t>20 to 40</t>
        </is>
      </c>
      <c r="AY281" s="30">
        <f>IF(AX281="Above 40",20,IF(AX281="20 to 40",10,IF(AX281="0 to 20",-5,0)))</f>
        <v/>
      </c>
      <c r="AZ281" s="30" t="inlineStr">
        <is>
          <t>Above 75</t>
        </is>
      </c>
      <c r="BA281" s="30">
        <f>IF(AZ281="Between 50 to 75",10,IF(AZ281="Above 75",0,0))</f>
        <v/>
      </c>
      <c r="BB281" s="30" t="inlineStr">
        <is>
          <t>Stage 2</t>
        </is>
      </c>
      <c r="BC281" s="30">
        <f>IF(BB281="Stage 2",20,IF(BB281="Stage 1",0,IF(BB281="Stage 3",5,IF(BB281="Stage 4",-5,0))))</f>
        <v/>
      </c>
      <c r="BD281" s="30" t="inlineStr">
        <is>
          <t>Positive Trend</t>
        </is>
      </c>
      <c r="BE281" s="30">
        <f>IF(BD281="Positive Trend",20,IF(BD281="Negative Trend",-10,0))</f>
        <v/>
      </c>
      <c r="BF281" s="30" t="inlineStr">
        <is>
          <t>Uptrend</t>
        </is>
      </c>
      <c r="BG281" s="30">
        <f>IF(BF281="Uptrend",10,IF(BF281="Sideways",5,0))</f>
        <v/>
      </c>
      <c r="BH281" s="30" t="inlineStr">
        <is>
          <t>Uptrend</t>
        </is>
      </c>
      <c r="BI281" s="30">
        <f>IF(BH281="Uptrend",10,IF(BH281="Sideways",5,0))</f>
        <v/>
      </c>
      <c r="BJ281" s="30" t="inlineStr">
        <is>
          <t>Blue sky scenario</t>
        </is>
      </c>
      <c r="BK281" s="30">
        <f>IF(BJ281="Overhead supply in last 2 years in last 2 years",-5,IF(BJ281="Close to 52 week high or retracement",5,IF(BJ281="Blue sky scenario",10,IF(BJ281="Long term Downtrend",-10,0))))</f>
        <v/>
      </c>
      <c r="BL281" s="30" t="inlineStr">
        <is>
          <t>Yes</t>
        </is>
      </c>
      <c r="BM281" s="30">
        <f>IF(BL281="Yes",10,0)</f>
        <v/>
      </c>
      <c r="BN281" s="30" t="inlineStr">
        <is>
          <t>More than 20%</t>
        </is>
      </c>
      <c r="BO281" s="30">
        <f>IF(BN281="More than 20%",10,IF(BN281="Between 12 to 20%",5,IF(BN281="Less than 12%",0,0)))</f>
        <v/>
      </c>
      <c r="BP281" s="30" t="inlineStr">
        <is>
          <t>No</t>
        </is>
      </c>
      <c r="BQ281" s="30">
        <f>IF(BP281="No",10,0)</f>
        <v/>
      </c>
      <c r="BR281" s="30" t="inlineStr">
        <is>
          <t>Yes</t>
        </is>
      </c>
      <c r="BS281" s="30">
        <f>IF(BR281="NO",5,0)</f>
        <v/>
      </c>
      <c r="BT281" s="30" t="inlineStr">
        <is>
          <t>Above 2</t>
        </is>
      </c>
      <c r="BU281" s="30">
        <f>IF(BT281="Above 2",0,IF(BT281="Between 1.5 to 2",5,IF(BT281="Less than 1.5",10,0)))</f>
        <v/>
      </c>
      <c r="BV281" s="30" t="inlineStr">
        <is>
          <t>Above 70%</t>
        </is>
      </c>
      <c r="BW281" s="30">
        <f>IF(BV281="Above 70%",10,IF(BV281="Between 50% to 70%",5,IF(BV281="Less than 50%",0,IF(BV281="Negative",-10,IF(BV281="Less than 50% and Borrowings are increasing",-5,0)))))</f>
        <v/>
      </c>
      <c r="BX281" s="30" t="inlineStr">
        <is>
          <t>More than 1.2</t>
        </is>
      </c>
      <c r="BY281" s="30">
        <f>IF(BX281="More than 1.2",-10,IF(BX281="Between 0.7 to 1.2",0,IF(BX281="Less than 0.7",10,0)))</f>
        <v/>
      </c>
      <c r="BZ281" s="30" t="inlineStr">
        <is>
          <t>No</t>
        </is>
      </c>
      <c r="CA281" s="30">
        <f>IF(BZ281="Yes",-10,0)</f>
        <v/>
      </c>
      <c r="CB281" s="30" t="inlineStr">
        <is>
          <t>Less than 15%</t>
        </is>
      </c>
      <c r="CC281" s="30">
        <f>IF(CB281="More than 15%",-10,IF(CB281="Less than 15%",10,0))</f>
        <v/>
      </c>
      <c r="CD281" s="30" t="inlineStr">
        <is>
          <t>No</t>
        </is>
      </c>
      <c r="CE281" s="30">
        <f>IF(CD281="Yes, more than 10%",-10,IF(CD281="No",10,0))</f>
        <v/>
      </c>
    </row>
    <row r="282">
      <c r="A282" s="30">
        <f>IF(B282=0,"",RANK(B282,$B$2:$B$331,0))</f>
        <v/>
      </c>
      <c r="B282" s="31">
        <f>SUM(N282,Y282,AA282,AC282,AE282,AG282,AI282,AK282,AM282,AO282,AQ282,AS282,AU282,AW282,AY282,BA282,BC282,BE282,BG282,BI282,BK282,BM282,BO282,BQ282,BS282,BU282,BW282,BY282,CA282,CC282,CE282)</f>
        <v/>
      </c>
      <c r="C282" s="30" t="inlineStr">
        <is>
          <t>CYIENT</t>
        </is>
      </c>
      <c r="D282" s="30" t="inlineStr">
        <is>
          <t>Cyient Limited</t>
        </is>
      </c>
      <c r="E282" s="30" t="inlineStr">
        <is>
          <t>i.t</t>
        </is>
      </c>
      <c r="F282" s="30" t="inlineStr">
        <is>
          <t>computers - software - medium / small</t>
        </is>
      </c>
      <c r="G282" s="30" t="inlineStr">
        <is>
          <t>midcap</t>
        </is>
      </c>
      <c r="H282" s="31" t="n">
        <v>11260.79</v>
      </c>
      <c r="I282" s="31" t="n">
        <v>1076.4</v>
      </c>
      <c r="J282" s="31" t="n">
        <v>0.12</v>
      </c>
      <c r="K282" s="31" t="n">
        <v>187031</v>
      </c>
      <c r="L282" s="30" t="n">
        <v>9</v>
      </c>
      <c r="M282" s="30" t="inlineStr">
        <is>
          <t>Outperforming</t>
        </is>
      </c>
      <c r="N282" s="31">
        <f>IF(M282="Underperforming",-5,IF(L282&gt;=95,15,IF(L282&gt;=90,10,IF(L282&gt;=80,5,0))))</f>
        <v/>
      </c>
      <c r="O282" s="31" t="n">
        <v>63.63</v>
      </c>
      <c r="P282" s="31" t="n">
        <v>16.17</v>
      </c>
      <c r="Q282" s="31" t="n">
        <v>878.66</v>
      </c>
      <c r="R282" s="30" t="inlineStr">
        <is>
          <t>Earnings / Momentum Support</t>
        </is>
      </c>
      <c r="S282" s="30" t="inlineStr">
        <is>
          <t>Nifty IT</t>
        </is>
      </c>
      <c r="T282" s="31" t="n">
        <v>-19.99</v>
      </c>
      <c r="U282" s="31" t="n">
        <v>-11.1</v>
      </c>
      <c r="V282" s="31" t="n">
        <v>11.12</v>
      </c>
      <c r="W282" s="31" t="n">
        <v>3.41</v>
      </c>
      <c r="X282" s="30" t="inlineStr">
        <is>
          <t>Growing Industry</t>
        </is>
      </c>
      <c r="Y282" s="30">
        <f>IF(X282="Growing Industry",10,IF(X282="Cyclical in an Upturn",5,0))</f>
        <v/>
      </c>
      <c r="Z282" s="30" t="inlineStr">
        <is>
          <t>Too Many Players with High ROCE</t>
        </is>
      </c>
      <c r="AA282" s="30">
        <f>IF(Z282="Monopoly",10,IF(Z282="Oligopoly",5,IF(Z282="Duopoly that cooperate",10,IF(Z282="Duopoly that compete",5,IF(Z282="Too many players with High ROCE",5,0)))))</f>
        <v/>
      </c>
      <c r="AB282" s="30" t="inlineStr">
        <is>
          <t>No</t>
        </is>
      </c>
      <c r="AC282" s="30">
        <f>IF(AB282="No",5,0)</f>
        <v/>
      </c>
      <c r="AD282" s="30" t="inlineStr">
        <is>
          <t>Tailwind</t>
        </is>
      </c>
      <c r="AE282" s="30">
        <f>IF(AD282="Tailwind",10,0)</f>
        <v/>
      </c>
      <c r="AF282" s="30" t="inlineStr">
        <is>
          <t>Structural (10 Years Consistency)</t>
        </is>
      </c>
      <c r="AG282" s="30">
        <f>IF(AF282="Structural (10 Years Consistency)",10,IF(AF282="Shallow Cyclical (2 to 3 years growth)",5,0))</f>
        <v/>
      </c>
      <c r="AH282" s="30" t="inlineStr">
        <is>
          <t>No</t>
        </is>
      </c>
      <c r="AI282" s="30">
        <f>IF(AH282="Yes due to Product Mix change or Operating Leverage",10,IF(AH282="Yes, these are peak margins",-5,IF(AH282="No",5,0)))</f>
        <v/>
      </c>
      <c r="AJ282" s="30" t="inlineStr">
        <is>
          <t>Stable</t>
        </is>
      </c>
      <c r="AK282" s="30">
        <f>IF(AJ282="Stable",10,0)</f>
        <v/>
      </c>
      <c r="AL282" s="30" t="inlineStr">
        <is>
          <t>Yes</t>
        </is>
      </c>
      <c r="AM282" s="30">
        <f>IF(AL282="Yes",10,0)</f>
        <v/>
      </c>
      <c r="AN282" s="30" t="inlineStr">
        <is>
          <t>B2B</t>
        </is>
      </c>
      <c r="AO282" s="30">
        <f>IF(AN282="B2C",10,IF(AN282="B2B",5,0))</f>
        <v/>
      </c>
      <c r="AP282" s="30" t="inlineStr">
        <is>
          <t>No</t>
        </is>
      </c>
      <c r="AQ282" s="30">
        <f>IF(AP282="Yes",10,0)</f>
        <v/>
      </c>
      <c r="AR282" s="30" t="inlineStr">
        <is>
          <t>Higher Annuity, Lower One Time</t>
        </is>
      </c>
      <c r="AS282" s="30">
        <f>IF(AR282="Fully Annuity",10,IF(AR282="Higher Annuity, Lower One Time",5,IF(AR282="Higher One Time, Lower Annuity",3,0)))</f>
        <v/>
      </c>
      <c r="AT282" s="30" t="inlineStr">
        <is>
          <t>Good</t>
        </is>
      </c>
      <c r="AU282" s="30">
        <f>IF(AT282="Good",10,0)</f>
        <v/>
      </c>
      <c r="AV282" s="30" t="inlineStr">
        <is>
          <t>Yes for more than 2 years</t>
        </is>
      </c>
      <c r="AW282" s="30">
        <f>IF(AV282="Yes for more than 2 years",10,IF(AV282="Yes only for next 1 to 2 years",5,0))</f>
        <v/>
      </c>
      <c r="AX282" s="30" t="inlineStr">
        <is>
          <t>0 to 20</t>
        </is>
      </c>
      <c r="AY282" s="30">
        <f>IF(AX282="Above 40",20,IF(AX282="20 to 40",10,IF(AX282="0 to 20",-5,0)))</f>
        <v/>
      </c>
      <c r="AZ282" s="30" t="inlineStr">
        <is>
          <t>Between 50 to 75</t>
        </is>
      </c>
      <c r="BA282" s="30">
        <f>IF(AZ282="Between 50 to 75",10,IF(AZ282="Above 75",0,0))</f>
        <v/>
      </c>
      <c r="BB282" s="30" t="inlineStr">
        <is>
          <t>Stage 2</t>
        </is>
      </c>
      <c r="BC282" s="30">
        <f>IF(BB282="Stage 2",20,IF(BB282="Stage 1",0,IF(BB282="Stage 3",5,IF(BB282="Stage 4",-5,0))))</f>
        <v/>
      </c>
      <c r="BD282" s="30" t="inlineStr">
        <is>
          <t>Positive Trend</t>
        </is>
      </c>
      <c r="BE282" s="30">
        <f>IF(BD282="Positive Trend",20,IF(BD282="Negative Trend",-10,0))</f>
        <v/>
      </c>
      <c r="BF282" s="30" t="inlineStr">
        <is>
          <t>Uptrend</t>
        </is>
      </c>
      <c r="BG282" s="30">
        <f>IF(BF282="Uptrend",10,IF(BF282="Sideways",5,0))</f>
        <v/>
      </c>
      <c r="BH282" s="30" t="inlineStr">
        <is>
          <t>Uptrend</t>
        </is>
      </c>
      <c r="BI282" s="30">
        <f>IF(BH282="Uptrend",10,IF(BH282="Sideways",5,0))</f>
        <v/>
      </c>
      <c r="BJ282" s="30" t="inlineStr">
        <is>
          <t>Close to 52 week high or retracement</t>
        </is>
      </c>
      <c r="BK282" s="30">
        <f>IF(BJ282="Overhead supply in last 2 years in last 2 years",-5,IF(BJ282="Close to 52 week high or retracement",5,IF(BJ282="Blue sky scenario",10,IF(BJ282="Long term Downtrend",-10,0))))</f>
        <v/>
      </c>
      <c r="BL282" s="30" t="inlineStr">
        <is>
          <t>Yes</t>
        </is>
      </c>
      <c r="BM282" s="30">
        <f>IF(BL282="Yes",10,0)</f>
        <v/>
      </c>
      <c r="BN282" s="30" t="inlineStr">
        <is>
          <t>Less than 12%</t>
        </is>
      </c>
      <c r="BO282" s="30">
        <f>IF(BN282="More than 20%",10,IF(BN282="Between 12 to 20%",5,IF(BN282="Less than 12%",0,0)))</f>
        <v/>
      </c>
      <c r="BP282" s="30" t="inlineStr">
        <is>
          <t>No</t>
        </is>
      </c>
      <c r="BQ282" s="30">
        <f>IF(BP282="No",10,0)</f>
        <v/>
      </c>
      <c r="BR282" s="30" t="inlineStr">
        <is>
          <t>No</t>
        </is>
      </c>
      <c r="BS282" s="30">
        <f>IF(BR282="NO",5,0)</f>
        <v/>
      </c>
      <c r="BT282" s="30" t="inlineStr">
        <is>
          <t>Above 2</t>
        </is>
      </c>
      <c r="BU282" s="30">
        <f>IF(BT282="Above 2",0,IF(BT282="Between 1.5 to 2",5,IF(BT282="Less than 1.5",10,0)))</f>
        <v/>
      </c>
      <c r="BV282" s="30" t="inlineStr">
        <is>
          <t>Above 70%</t>
        </is>
      </c>
      <c r="BW282" s="30">
        <f>IF(BV282="Above 70%",10,IF(BV282="Between 50% to 70%",5,IF(BV282="Less than 50%",0,IF(BV282="Negative",-10,IF(BV282="Less than 50% and Borrowings are increasing",-5,0)))))</f>
        <v/>
      </c>
      <c r="BX282" s="30" t="inlineStr">
        <is>
          <t>Less than 0.7</t>
        </is>
      </c>
      <c r="BY282" s="30">
        <f>IF(BX282="More than 1.2",-10,IF(BX282="Between 0.7 to 1.2",0,IF(BX282="Less than 0.7",10,0)))</f>
        <v/>
      </c>
      <c r="BZ282" s="30" t="inlineStr">
        <is>
          <t>No</t>
        </is>
      </c>
      <c r="CA282" s="30">
        <f>IF(BZ282="Yes",-10,0)</f>
        <v/>
      </c>
      <c r="CB282" s="30" t="inlineStr">
        <is>
          <t>Less than 15%</t>
        </is>
      </c>
      <c r="CC282" s="30">
        <f>IF(CB282="More than 15%",-10,IF(CB282="Less than 15%",10,0))</f>
        <v/>
      </c>
      <c r="CD282" s="30" t="inlineStr">
        <is>
          <t>No</t>
        </is>
      </c>
      <c r="CE282" s="30">
        <f>IF(CD282="Yes, more than 10%",-10,IF(CD282="No",10,0))</f>
        <v/>
      </c>
    </row>
    <row r="283">
      <c r="A283" s="30">
        <f>IF(B283=0,"",RANK(B283,$B$2:$B$331,0))</f>
        <v/>
      </c>
      <c r="B283" s="31">
        <f>SUM(N283,Y283,AA283,AC283,AE283,AG283,AI283,AK283,AM283,AO283,AQ283,AS283,AU283,AW283,AY283,BA283,BC283,BE283,BG283,BI283,BK283,BM283,BO283,BQ283,BS283,BU283,BW283,BY283,CA283,CC283,CE283)</f>
        <v/>
      </c>
      <c r="C283" s="32" t="inlineStr">
        <is>
          <t>ANDHRAPAP</t>
        </is>
      </c>
      <c r="D283" s="32" t="inlineStr">
        <is>
          <t>Andhra Paper Ltd</t>
        </is>
      </c>
      <c r="E283" s="30" t="inlineStr">
        <is>
          <t>building materials</t>
        </is>
      </c>
      <c r="F283" s="30" t="inlineStr">
        <is>
          <t>paper</t>
        </is>
      </c>
      <c r="G283" s="30" t="inlineStr">
        <is>
          <t>smallcap</t>
        </is>
      </c>
      <c r="H283" s="31" t="n">
        <v>1353.77</v>
      </c>
      <c r="I283" s="31" t="n">
        <v>72.58</v>
      </c>
      <c r="J283" s="31" t="n">
        <v>6.61</v>
      </c>
      <c r="K283" s="31" t="n">
        <v>4500334</v>
      </c>
      <c r="L283" s="30" t="n">
        <v>6</v>
      </c>
      <c r="M283" s="30" t="inlineStr">
        <is>
          <t>Underperforming</t>
        </is>
      </c>
      <c r="N283" s="31">
        <f>IF(M283="Underperforming",-5,IF(L283&gt;=95,15,IF(L283&gt;=90,10,IF(L283&gt;=80,5,0))))</f>
        <v/>
      </c>
      <c r="O283" s="31" t="n">
        <v>68.53</v>
      </c>
      <c r="P283" s="31" t="n">
        <v>12.44</v>
      </c>
      <c r="Q283" s="31" t="n">
        <v>58.02</v>
      </c>
      <c r="R283" s="30" t="inlineStr">
        <is>
          <t>Volume Spike / Accumulation</t>
        </is>
      </c>
      <c r="S283" s="30" t="inlineStr">
        <is>
          <t>Nifty Infra</t>
        </is>
      </c>
      <c r="T283" s="31" t="n">
        <v>0.74</v>
      </c>
      <c r="U283" s="31" t="n">
        <v>-4.16</v>
      </c>
      <c r="V283" s="31" t="n">
        <v>-4.86</v>
      </c>
      <c r="W283" s="31" t="n">
        <v>1.86</v>
      </c>
      <c r="X283" s="30" t="inlineStr">
        <is>
          <t>Growing Industry</t>
        </is>
      </c>
      <c r="Y283" s="30">
        <f>IF(X283="Growing Industry",10,IF(X283="Cyclical in an Upturn",5,0))</f>
        <v/>
      </c>
      <c r="Z283" s="30" t="inlineStr">
        <is>
          <t>Too Many Players with High ROCE</t>
        </is>
      </c>
      <c r="AA283" s="30">
        <f>IF(Z283="Monopoly",10,IF(Z283="Oligopoly",5,IF(Z283="Duopoly that cooperate",10,IF(Z283="Duopoly that compete",5,IF(Z283="Too many players with High ROCE",5,0)))))</f>
        <v/>
      </c>
      <c r="AB283" s="30" t="inlineStr">
        <is>
          <t>No</t>
        </is>
      </c>
      <c r="AC283" s="30">
        <f>IF(AB283="No",5,0)</f>
        <v/>
      </c>
      <c r="AD283" s="30" t="inlineStr">
        <is>
          <t>Tailwind</t>
        </is>
      </c>
      <c r="AE283" s="30">
        <f>IF(AD283="Tailwind",10,0)</f>
        <v/>
      </c>
      <c r="AF283" s="30" t="inlineStr">
        <is>
          <t>Structural (10 Years Consistency)</t>
        </is>
      </c>
      <c r="AG283" s="30">
        <f>IF(AF283="Structural (10 Years Consistency)",10,IF(AF283="Shallow Cyclical (2 to 3 years growth)",5,0))</f>
        <v/>
      </c>
      <c r="AH283" s="30" t="inlineStr">
        <is>
          <t>No</t>
        </is>
      </c>
      <c r="AI283" s="30">
        <f>IF(AH283="Yes due to Product Mix change or Operating Leverage",10,IF(AH283="Yes, these are peak margins",-5,IF(AH283="No",5,0)))</f>
        <v/>
      </c>
      <c r="AJ283" s="30" t="inlineStr">
        <is>
          <t>Stable</t>
        </is>
      </c>
      <c r="AK283" s="30">
        <f>IF(AJ283="Stable",10,0)</f>
        <v/>
      </c>
      <c r="AL283" s="30" t="inlineStr">
        <is>
          <t>Yes</t>
        </is>
      </c>
      <c r="AM283" s="30">
        <f>IF(AL283="Yes",10,0)</f>
        <v/>
      </c>
      <c r="AN283" s="30" t="inlineStr">
        <is>
          <t>B2B</t>
        </is>
      </c>
      <c r="AO283" s="30">
        <f>IF(AN283="B2C",10,IF(AN283="B2B",5,0))</f>
        <v/>
      </c>
      <c r="AP283" s="30" t="inlineStr">
        <is>
          <t>Yes</t>
        </is>
      </c>
      <c r="AQ283" s="30">
        <f>IF(AP283="Yes",10,0)</f>
        <v/>
      </c>
      <c r="AR283" s="30" t="inlineStr">
        <is>
          <t>Higher One Time, Lower Annuity</t>
        </is>
      </c>
      <c r="AS283" s="30">
        <f>IF(AR283="Fully Annuity",10,IF(AR283="Higher Annuity, Lower One Time",5,IF(AR283="Higher One Time, Lower Annuity",3,0)))</f>
        <v/>
      </c>
      <c r="AT283" s="30" t="inlineStr">
        <is>
          <t>Good</t>
        </is>
      </c>
      <c r="AU283" s="30">
        <f>IF(AT283="Good",10,0)</f>
        <v/>
      </c>
      <c r="AV283" s="30" t="inlineStr">
        <is>
          <t>Yes for more than 2 years</t>
        </is>
      </c>
      <c r="AW283" s="30">
        <f>IF(AV283="Yes for more than 2 years",10,IF(AV283="Yes only for next 1 to 2 years",5,0))</f>
        <v/>
      </c>
      <c r="AX283" s="30" t="inlineStr">
        <is>
          <t>0 to 20</t>
        </is>
      </c>
      <c r="AY283" s="30">
        <f>IF(AX283="Above 40",20,IF(AX283="20 to 40",10,IF(AX283="0 to 20",-5,0)))</f>
        <v/>
      </c>
      <c r="AZ283" s="30" t="inlineStr">
        <is>
          <t>Between 50 to 75</t>
        </is>
      </c>
      <c r="BA283" s="30">
        <f>IF(AZ283="Between 50 to 75",10,IF(AZ283="Above 75",0,0))</f>
        <v/>
      </c>
      <c r="BB283" s="30" t="inlineStr">
        <is>
          <t>Stage 1</t>
        </is>
      </c>
      <c r="BC283" s="30">
        <f>IF(BB283="Stage 2",20,IF(BB283="Stage 1",0,IF(BB283="Stage 3",5,IF(BB283="Stage 4",-5,0))))</f>
        <v/>
      </c>
      <c r="BD283" s="30" t="inlineStr">
        <is>
          <t>Positive Trend</t>
        </is>
      </c>
      <c r="BE283" s="30">
        <f>IF(BD283="Positive Trend",20,IF(BD283="Negative Trend",-10,0))</f>
        <v/>
      </c>
      <c r="BF283" s="30" t="inlineStr">
        <is>
          <t>Uptrend</t>
        </is>
      </c>
      <c r="BG283" s="30">
        <f>IF(BF283="Uptrend",10,IF(BF283="Sideways",5,0))</f>
        <v/>
      </c>
      <c r="BH283" s="30" t="inlineStr">
        <is>
          <t>Uptrend</t>
        </is>
      </c>
      <c r="BI283" s="30">
        <f>IF(BH283="Uptrend",10,IF(BH283="Sideways",5,0))</f>
        <v/>
      </c>
      <c r="BJ283" s="30" t="inlineStr">
        <is>
          <t>Close to 52 week high or retracement</t>
        </is>
      </c>
      <c r="BK283" s="30">
        <f>IF(BJ283="Overhead supply in last 2 years in last 2 years",-5,IF(BJ283="Close to 52 week high or retracement",5,IF(BJ283="Blue sky scenario",10,IF(BJ283="Long term Downtrend",-10,0))))</f>
        <v/>
      </c>
      <c r="BL283" s="30" t="inlineStr">
        <is>
          <t>Yes</t>
        </is>
      </c>
      <c r="BM283" s="30">
        <f>IF(BL283="Yes",10,0)</f>
        <v/>
      </c>
      <c r="BN283" s="30" t="inlineStr">
        <is>
          <t>More than 20%</t>
        </is>
      </c>
      <c r="BO283" s="30">
        <f>IF(BN283="More than 20%",10,IF(BN283="Between 12 to 20%",5,IF(BN283="Less than 12%",0,0)))</f>
        <v/>
      </c>
      <c r="BP283" s="30" t="inlineStr">
        <is>
          <t>No</t>
        </is>
      </c>
      <c r="BQ283" s="30">
        <f>IF(BP283="No",10,0)</f>
        <v/>
      </c>
      <c r="BR283" s="30" t="inlineStr">
        <is>
          <t>Yes</t>
        </is>
      </c>
      <c r="BS283" s="30">
        <f>IF(BR283="NO",5,0)</f>
        <v/>
      </c>
      <c r="BT283" s="30" t="inlineStr">
        <is>
          <t>Less than 1.5</t>
        </is>
      </c>
      <c r="BU283" s="30">
        <f>IF(BT283="Above 2",0,IF(BT283="Between 1.5 to 2",5,IF(BT283="Less than 1.5",10,0)))</f>
        <v/>
      </c>
      <c r="BV283" s="30" t="inlineStr">
        <is>
          <t>Above 70%</t>
        </is>
      </c>
      <c r="BW283" s="30">
        <f>IF(BV283="Above 70%",10,IF(BV283="Between 50% to 70%",5,IF(BV283="Less than 50%",0,IF(BV283="Negative",-10,IF(BV283="Less than 50% and Borrowings are increasing",-5,0)))))</f>
        <v/>
      </c>
      <c r="BX283" s="30" t="inlineStr">
        <is>
          <t>Less than 0.7</t>
        </is>
      </c>
      <c r="BY283" s="30">
        <f>IF(BX283="More than 1.2",-10,IF(BX283="Between 0.7 to 1.2",0,IF(BX283="Less than 0.7",10,0)))</f>
        <v/>
      </c>
      <c r="BZ283" s="30" t="inlineStr">
        <is>
          <t>No</t>
        </is>
      </c>
      <c r="CA283" s="30">
        <f>IF(BZ283="Yes",-10,0)</f>
        <v/>
      </c>
      <c r="CB283" s="30" t="inlineStr">
        <is>
          <t>Less than 15%</t>
        </is>
      </c>
      <c r="CC283" s="30">
        <f>IF(CB283="More than 15%",-10,IF(CB283="Less than 15%",10,0))</f>
        <v/>
      </c>
      <c r="CD283" s="30" t="inlineStr">
        <is>
          <t>No</t>
        </is>
      </c>
      <c r="CE283" s="30">
        <f>IF(CD283="Yes, more than 10%",-10,IF(CD283="No",10,0))</f>
        <v/>
      </c>
    </row>
    <row r="284">
      <c r="A284" s="30">
        <f>IF(B284=0,"",RANK(B284,$B$2:$B$331,0))</f>
        <v/>
      </c>
      <c r="B284" s="31">
        <f>SUM(N284,Y284,AA284,AC284,AE284,AG284,AI284,AK284,AM284,AO284,AQ284,AS284,AU284,AW284,AY284,BA284,BC284,BE284,BG284,BI284,BK284,BM284,BO284,BQ284,BS284,BU284,BW284,BY284,CA284,CC284,CE284)</f>
        <v/>
      </c>
      <c r="C284" s="30" t="inlineStr">
        <is>
          <t>RAMRAT</t>
        </is>
      </c>
      <c r="D284" s="30" t="inlineStr">
        <is>
          <t>Ram Ratna Wires Ltd</t>
        </is>
      </c>
      <c r="E284" s="30" t="inlineStr">
        <is>
          <t>metals &amp; mining</t>
        </is>
      </c>
      <c r="F284" s="30" t="inlineStr">
        <is>
          <t>mining / minerals / metals</t>
        </is>
      </c>
      <c r="G284" s="30" t="inlineStr">
        <is>
          <t>smallcap</t>
        </is>
      </c>
      <c r="H284" s="31" t="n">
        <v>4922.76</v>
      </c>
      <c r="I284" s="31" t="n">
        <v>536.75</v>
      </c>
      <c r="J284" s="31" t="n">
        <v>1.78</v>
      </c>
      <c r="K284" s="31" t="n">
        <v>205735</v>
      </c>
      <c r="L284" s="30" t="n">
        <v>62</v>
      </c>
      <c r="M284" s="30" t="inlineStr">
        <is>
          <t>Outperforming</t>
        </is>
      </c>
      <c r="N284" s="31">
        <f>IF(M284="Underperforming",-5,IF(L284&gt;=95,15,IF(L284&gt;=90,10,IF(L284&gt;=80,5,0))))</f>
        <v/>
      </c>
      <c r="O284" s="31" t="n">
        <v>67.66</v>
      </c>
      <c r="P284" s="31" t="n">
        <v>44.82</v>
      </c>
      <c r="Q284" s="31" t="n">
        <v>447.04</v>
      </c>
      <c r="R284" s="30" t="inlineStr">
        <is>
          <t>Earnings / Momentum Support</t>
        </is>
      </c>
      <c r="S284" s="30" t="inlineStr">
        <is>
          <t>Nifty Metal</t>
        </is>
      </c>
      <c r="T284" s="31" t="n">
        <v>41.17</v>
      </c>
      <c r="U284" s="31" t="n">
        <v>54.26</v>
      </c>
      <c r="V284" s="31" t="n">
        <v>9.27</v>
      </c>
      <c r="W284" s="31" t="n">
        <v>19.11</v>
      </c>
      <c r="X284" s="30" t="inlineStr">
        <is>
          <t>Cyclical in an Upturn</t>
        </is>
      </c>
      <c r="Y284" s="30">
        <f>IF(X284="Growing Industry",10,IF(X284="Cyclical in an Upturn",5,0))</f>
        <v/>
      </c>
      <c r="Z284" s="30" t="inlineStr">
        <is>
          <t>Too Many Players with High ROCE</t>
        </is>
      </c>
      <c r="AA284" s="30">
        <f>IF(Z284="Monopoly",10,IF(Z284="Oligopoly",5,IF(Z284="Duopoly that cooperate",10,IF(Z284="Duopoly that compete",5,IF(Z284="Too many players with High ROCE",5,0)))))</f>
        <v/>
      </c>
      <c r="AB284" s="30" t="inlineStr">
        <is>
          <t>No</t>
        </is>
      </c>
      <c r="AC284" s="30">
        <f>IF(AB284="No",5,0)</f>
        <v/>
      </c>
      <c r="AD284" s="30" t="inlineStr">
        <is>
          <t>Tailwind</t>
        </is>
      </c>
      <c r="AE284" s="30">
        <f>IF(AD284="Tailwind",10,0)</f>
        <v/>
      </c>
      <c r="AF284" s="30" t="inlineStr">
        <is>
          <t>Cyclical</t>
        </is>
      </c>
      <c r="AG284" s="30">
        <f>IF(AF284="Structural (10 Years Consistency)",10,IF(AF284="Shallow Cyclical (2 to 3 years growth)",5,0))</f>
        <v/>
      </c>
      <c r="AH284" s="30" t="inlineStr">
        <is>
          <t>No</t>
        </is>
      </c>
      <c r="AI284" s="30">
        <f>IF(AH284="Yes due to Product Mix change or Operating Leverage",10,IF(AH284="Yes, these are peak margins",-5,IF(AH284="No",5,0)))</f>
        <v/>
      </c>
      <c r="AJ284" s="30" t="inlineStr">
        <is>
          <t>Volatile</t>
        </is>
      </c>
      <c r="AK284" s="30">
        <f>IF(AJ284="Stable",10,0)</f>
        <v/>
      </c>
      <c r="AL284" s="30" t="inlineStr">
        <is>
          <t>Yes</t>
        </is>
      </c>
      <c r="AM284" s="30">
        <f>IF(AL284="Yes",10,0)</f>
        <v/>
      </c>
      <c r="AN284" s="30" t="inlineStr">
        <is>
          <t>B2B</t>
        </is>
      </c>
      <c r="AO284" s="30">
        <f>IF(AN284="B2C",10,IF(AN284="B2B",5,0))</f>
        <v/>
      </c>
      <c r="AP284" s="30" t="inlineStr">
        <is>
          <t>No</t>
        </is>
      </c>
      <c r="AQ284" s="30">
        <f>IF(AP284="Yes",10,0)</f>
        <v/>
      </c>
      <c r="AR284" s="30" t="inlineStr">
        <is>
          <t>Higher One Time, Lower Annuity</t>
        </is>
      </c>
      <c r="AS284" s="30">
        <f>IF(AR284="Fully Annuity",10,IF(AR284="Higher Annuity, Lower One Time",5,IF(AR284="Higher One Time, Lower Annuity",3,0)))</f>
        <v/>
      </c>
      <c r="AT284" s="30" t="inlineStr">
        <is>
          <t>Good</t>
        </is>
      </c>
      <c r="AU284" s="30">
        <f>IF(AT284="Good",10,0)</f>
        <v/>
      </c>
      <c r="AV284" s="30" t="inlineStr">
        <is>
          <t>Yes for more than 2 years</t>
        </is>
      </c>
      <c r="AW284" s="30">
        <f>IF(AV284="Yes for more than 2 years",10,IF(AV284="Yes only for next 1 to 2 years",5,0))</f>
        <v/>
      </c>
      <c r="AX284" s="30" t="inlineStr">
        <is>
          <t>Above 40</t>
        </is>
      </c>
      <c r="AY284" s="30">
        <f>IF(AX284="Above 40",20,IF(AX284="20 to 40",10,IF(AX284="0 to 20",-5,0)))</f>
        <v/>
      </c>
      <c r="AZ284" s="30" t="inlineStr">
        <is>
          <t>Between 50 to 75</t>
        </is>
      </c>
      <c r="BA284" s="30">
        <f>IF(AZ284="Between 50 to 75",10,IF(AZ284="Above 75",0,0))</f>
        <v/>
      </c>
      <c r="BB284" s="30" t="inlineStr">
        <is>
          <t>Stage 2</t>
        </is>
      </c>
      <c r="BC284" s="30">
        <f>IF(BB284="Stage 2",20,IF(BB284="Stage 1",0,IF(BB284="Stage 3",5,IF(BB284="Stage 4",-5,0))))</f>
        <v/>
      </c>
      <c r="BD284" s="30" t="inlineStr">
        <is>
          <t>Positive Trend</t>
        </is>
      </c>
      <c r="BE284" s="30">
        <f>IF(BD284="Positive Trend",20,IF(BD284="Negative Trend",-10,0))</f>
        <v/>
      </c>
      <c r="BF284" s="30" t="inlineStr">
        <is>
          <t>Uptrend</t>
        </is>
      </c>
      <c r="BG284" s="30">
        <f>IF(BF284="Uptrend",10,IF(BF284="Sideways",5,0))</f>
        <v/>
      </c>
      <c r="BH284" s="30" t="inlineStr">
        <is>
          <t>Uptrend</t>
        </is>
      </c>
      <c r="BI284" s="30">
        <f>IF(BH284="Uptrend",10,IF(BH284="Sideways",5,0))</f>
        <v/>
      </c>
      <c r="BJ284" s="30" t="inlineStr">
        <is>
          <t>Close to 52 week high or retracement</t>
        </is>
      </c>
      <c r="BK284" s="30">
        <f>IF(BJ284="Overhead supply in last 2 years in last 2 years",-5,IF(BJ284="Close to 52 week high or retracement",5,IF(BJ284="Blue sky scenario",10,IF(BJ284="Long term Downtrend",-10,0))))</f>
        <v/>
      </c>
      <c r="BL284" s="30" t="inlineStr">
        <is>
          <t>Yes</t>
        </is>
      </c>
      <c r="BM284" s="30">
        <f>IF(BL284="Yes",10,0)</f>
        <v/>
      </c>
      <c r="BN284" s="30" t="inlineStr">
        <is>
          <t>More than 20%</t>
        </is>
      </c>
      <c r="BO284" s="30">
        <f>IF(BN284="More than 20%",10,IF(BN284="Between 12 to 20%",5,IF(BN284="Less than 12%",0,0)))</f>
        <v/>
      </c>
      <c r="BP284" s="30" t="inlineStr">
        <is>
          <t>No</t>
        </is>
      </c>
      <c r="BQ284" s="30">
        <f>IF(BP284="No",10,0)</f>
        <v/>
      </c>
      <c r="BR284" s="30" t="inlineStr">
        <is>
          <t>No</t>
        </is>
      </c>
      <c r="BS284" s="30">
        <f>IF(BR284="NO",5,0)</f>
        <v/>
      </c>
      <c r="BT284" s="30" t="inlineStr">
        <is>
          <t>Above 2</t>
        </is>
      </c>
      <c r="BU284" s="30">
        <f>IF(BT284="Above 2",0,IF(BT284="Between 1.5 to 2",5,IF(BT284="Less than 1.5",10,0)))</f>
        <v/>
      </c>
      <c r="BV284" s="30" t="inlineStr">
        <is>
          <t>Above 70%</t>
        </is>
      </c>
      <c r="BW284" s="30">
        <f>IF(BV284="Above 70%",10,IF(BV284="Between 50% to 70%",5,IF(BV284="Less than 50%",0,IF(BV284="Negative",-10,IF(BV284="Less than 50% and Borrowings are increasing",-5,0)))))</f>
        <v/>
      </c>
      <c r="BX284" s="30" t="inlineStr">
        <is>
          <t>Between 0.7 to 1.2</t>
        </is>
      </c>
      <c r="BY284" s="30">
        <f>IF(BX284="More than 1.2",-10,IF(BX284="Between 0.7 to 1.2",0,IF(BX284="Less than 0.7",10,0)))</f>
        <v/>
      </c>
      <c r="BZ284" s="30" t="inlineStr">
        <is>
          <t>No</t>
        </is>
      </c>
      <c r="CA284" s="30">
        <f>IF(BZ284="Yes",-10,0)</f>
        <v/>
      </c>
      <c r="CB284" s="30" t="inlineStr">
        <is>
          <t>Less than 15%</t>
        </is>
      </c>
      <c r="CC284" s="30">
        <f>IF(CB284="More than 15%",-10,IF(CB284="Less than 15%",10,0))</f>
        <v/>
      </c>
      <c r="CD284" s="30" t="inlineStr">
        <is>
          <t>No</t>
        </is>
      </c>
      <c r="CE284" s="30">
        <f>IF(CD284="Yes, more than 10%",-10,IF(CD284="No",10,0))</f>
        <v/>
      </c>
    </row>
    <row r="285">
      <c r="A285" s="30">
        <f>IF(B285=0,"",RANK(B285,$B$2:$B$331,0))</f>
        <v/>
      </c>
      <c r="B285" s="31">
        <f>SUM(N285,Y285,AA285,AC285,AE285,AG285,AI285,AK285,AM285,AO285,AQ285,AS285,AU285,AW285,AY285,BA285,BC285,BE285,BG285,BI285,BK285,BM285,BO285,BQ285,BS285,BU285,BW285,BY285,CA285,CC285,CE285)</f>
        <v/>
      </c>
      <c r="C285" s="30" t="inlineStr">
        <is>
          <t>OIL</t>
        </is>
      </c>
      <c r="D285" s="30" t="inlineStr">
        <is>
          <t>Oil India Limited</t>
        </is>
      </c>
      <c r="E285" s="30" t="inlineStr">
        <is>
          <t>energy</t>
        </is>
      </c>
      <c r="F285" s="30" t="inlineStr">
        <is>
          <t>oil drilling / allied services</t>
        </is>
      </c>
      <c r="G285" s="30" t="inlineStr">
        <is>
          <t>largecap</t>
        </is>
      </c>
      <c r="H285" s="31" t="n">
        <v>81159.60000000001</v>
      </c>
      <c r="I285" s="31" t="n">
        <v>500.3</v>
      </c>
      <c r="J285" s="31" t="n">
        <v>0.27</v>
      </c>
      <c r="K285" s="31" t="n">
        <v>4397946</v>
      </c>
      <c r="L285" s="30" t="n">
        <v>14</v>
      </c>
      <c r="M285" s="30" t="inlineStr">
        <is>
          <t>Outperforming</t>
        </is>
      </c>
      <c r="N285" s="31">
        <f>IF(M285="Underperforming",-5,IF(L285&gt;=95,15,IF(L285&gt;=90,10,IF(L285&gt;=80,5,0))))</f>
        <v/>
      </c>
      <c r="O285" s="31" t="n">
        <v>60.91</v>
      </c>
      <c r="P285" s="31" t="n">
        <v>15.08</v>
      </c>
      <c r="Q285" s="31" t="n">
        <v>413.59</v>
      </c>
      <c r="R285" s="30" t="inlineStr">
        <is>
          <t>Near 52W High Breakout</t>
        </is>
      </c>
      <c r="S285" s="30" t="inlineStr">
        <is>
          <t>Nifty Energy</t>
        </is>
      </c>
      <c r="T285" s="31" t="n">
        <v>8.43</v>
      </c>
      <c r="U285" s="31" t="n">
        <v>18.46</v>
      </c>
      <c r="V285" s="31" t="n">
        <v>9.25</v>
      </c>
      <c r="W285" s="31" t="n">
        <v>4.72</v>
      </c>
      <c r="X285" s="30" t="inlineStr">
        <is>
          <t>Cyclical in an Upturn</t>
        </is>
      </c>
      <c r="Y285" s="30">
        <f>IF(X285="Growing Industry",10,IF(X285="Cyclical in an Upturn",5,0))</f>
        <v/>
      </c>
      <c r="Z285" s="30" t="inlineStr">
        <is>
          <t>Oligopoly</t>
        </is>
      </c>
      <c r="AA285" s="30">
        <f>IF(Z285="Monopoly",10,IF(Z285="Oligopoly",5,IF(Z285="Duopoly that cooperate",10,IF(Z285="Duopoly that compete",5,IF(Z285="Too many players with High ROCE",5,0)))))</f>
        <v/>
      </c>
      <c r="AB285" s="30" t="inlineStr">
        <is>
          <t>Yes</t>
        </is>
      </c>
      <c r="AC285" s="30">
        <f>IF(AB285="No",5,0)</f>
        <v/>
      </c>
      <c r="AD285" s="30" t="inlineStr">
        <is>
          <t>Tailwind</t>
        </is>
      </c>
      <c r="AE285" s="30">
        <f>IF(AD285="Tailwind",10,0)</f>
        <v/>
      </c>
      <c r="AF285" s="30" t="inlineStr">
        <is>
          <t>Cyclical</t>
        </is>
      </c>
      <c r="AG285" s="30">
        <f>IF(AF285="Structural (10 Years Consistency)",10,IF(AF285="Shallow Cyclical (2 to 3 years growth)",5,0))</f>
        <v/>
      </c>
      <c r="AH285" s="30" t="inlineStr">
        <is>
          <t>No</t>
        </is>
      </c>
      <c r="AI285" s="30">
        <f>IF(AH285="Yes due to Product Mix change or Operating Leverage",10,IF(AH285="Yes, these are peak margins",-5,IF(AH285="No",5,0)))</f>
        <v/>
      </c>
      <c r="AJ285" s="30" t="inlineStr">
        <is>
          <t>Volatile</t>
        </is>
      </c>
      <c r="AK285" s="30">
        <f>IF(AJ285="Stable",10,0)</f>
        <v/>
      </c>
      <c r="AL285" s="30" t="inlineStr">
        <is>
          <t>Yes</t>
        </is>
      </c>
      <c r="AM285" s="30">
        <f>IF(AL285="Yes",10,0)</f>
        <v/>
      </c>
      <c r="AN285" s="30" t="inlineStr">
        <is>
          <t>B2B</t>
        </is>
      </c>
      <c r="AO285" s="30">
        <f>IF(AN285="B2C",10,IF(AN285="B2B",5,0))</f>
        <v/>
      </c>
      <c r="AP285" s="30" t="inlineStr">
        <is>
          <t>Yes</t>
        </is>
      </c>
      <c r="AQ285" s="30">
        <f>IF(AP285="Yes",10,0)</f>
        <v/>
      </c>
      <c r="AR285" s="30" t="inlineStr">
        <is>
          <t>Higher One Time, Lower Annuity</t>
        </is>
      </c>
      <c r="AS285" s="30">
        <f>IF(AR285="Fully Annuity",10,IF(AR285="Higher Annuity, Lower One Time",5,IF(AR285="Higher One Time, Lower Annuity",3,0)))</f>
        <v/>
      </c>
      <c r="AT285" s="30" t="inlineStr">
        <is>
          <t>Good</t>
        </is>
      </c>
      <c r="AU285" s="30">
        <f>IF(AT285="Good",10,0)</f>
        <v/>
      </c>
      <c r="AV285" s="30" t="inlineStr">
        <is>
          <t>Yes for more than 2 years</t>
        </is>
      </c>
      <c r="AW285" s="30">
        <f>IF(AV285="Yes for more than 2 years",10,IF(AV285="Yes only for next 1 to 2 years",5,0))</f>
        <v/>
      </c>
      <c r="AX285" s="30" t="inlineStr">
        <is>
          <t>0 to 20</t>
        </is>
      </c>
      <c r="AY285" s="30">
        <f>IF(AX285="Above 40",20,IF(AX285="20 to 40",10,IF(AX285="0 to 20",-5,0)))</f>
        <v/>
      </c>
      <c r="AZ285" s="30" t="inlineStr">
        <is>
          <t>Between 50 to 75</t>
        </is>
      </c>
      <c r="BA285" s="30">
        <f>IF(AZ285="Between 50 to 75",10,IF(AZ285="Above 75",0,0))</f>
        <v/>
      </c>
      <c r="BB285" s="30" t="inlineStr">
        <is>
          <t>Stage 2</t>
        </is>
      </c>
      <c r="BC285" s="30">
        <f>IF(BB285="Stage 2",20,IF(BB285="Stage 1",0,IF(BB285="Stage 3",5,IF(BB285="Stage 4",-5,0))))</f>
        <v/>
      </c>
      <c r="BD285" s="30" t="inlineStr">
        <is>
          <t>Positive Trend</t>
        </is>
      </c>
      <c r="BE285" s="30">
        <f>IF(BD285="Positive Trend",20,IF(BD285="Negative Trend",-10,0))</f>
        <v/>
      </c>
      <c r="BF285" s="30" t="inlineStr">
        <is>
          <t>Uptrend</t>
        </is>
      </c>
      <c r="BG285" s="30">
        <f>IF(BF285="Uptrend",10,IF(BF285="Sideways",5,0))</f>
        <v/>
      </c>
      <c r="BH285" s="30" t="inlineStr">
        <is>
          <t>Uptrend</t>
        </is>
      </c>
      <c r="BI285" s="30">
        <f>IF(BH285="Uptrend",10,IF(BH285="Sideways",5,0))</f>
        <v/>
      </c>
      <c r="BJ285" s="30" t="inlineStr">
        <is>
          <t>Close to 52 week high or retracement</t>
        </is>
      </c>
      <c r="BK285" s="30">
        <f>IF(BJ285="Overhead supply in last 2 years in last 2 years",-5,IF(BJ285="Close to 52 week high or retracement",5,IF(BJ285="Blue sky scenario",10,IF(BJ285="Long term Downtrend",-10,0))))</f>
        <v/>
      </c>
      <c r="BL285" s="30" t="inlineStr">
        <is>
          <t>Yes</t>
        </is>
      </c>
      <c r="BM285" s="30">
        <f>IF(BL285="Yes",10,0)</f>
        <v/>
      </c>
      <c r="BN285" s="30" t="inlineStr">
        <is>
          <t>More than 20%</t>
        </is>
      </c>
      <c r="BO285" s="30">
        <f>IF(BN285="More than 20%",10,IF(BN285="Between 12 to 20%",5,IF(BN285="Less than 12%",0,0)))</f>
        <v/>
      </c>
      <c r="BP285" s="30" t="inlineStr">
        <is>
          <t>No</t>
        </is>
      </c>
      <c r="BQ285" s="30">
        <f>IF(BP285="No",10,0)</f>
        <v/>
      </c>
      <c r="BR285" s="30" t="inlineStr">
        <is>
          <t>No</t>
        </is>
      </c>
      <c r="BS285" s="30">
        <f>IF(BR285="NO",5,0)</f>
        <v/>
      </c>
      <c r="BT285" s="30" t="inlineStr">
        <is>
          <t>Less than 1.5</t>
        </is>
      </c>
      <c r="BU285" s="30">
        <f>IF(BT285="Above 2",0,IF(BT285="Between 1.5 to 2",5,IF(BT285="Less than 1.5",10,0)))</f>
        <v/>
      </c>
      <c r="BV285" s="30" t="inlineStr">
        <is>
          <t>Above 70%</t>
        </is>
      </c>
      <c r="BW285" s="30">
        <f>IF(BV285="Above 70%",10,IF(BV285="Between 50% to 70%",5,IF(BV285="Less than 50%",0,IF(BV285="Negative",-10,IF(BV285="Less than 50% and Borrowings are increasing",-5,0)))))</f>
        <v/>
      </c>
      <c r="BX285" s="30" t="inlineStr">
        <is>
          <t>Less than 0.7</t>
        </is>
      </c>
      <c r="BY285" s="30">
        <f>IF(BX285="More than 1.2",-10,IF(BX285="Between 0.7 to 1.2",0,IF(BX285="Less than 0.7",10,0)))</f>
        <v/>
      </c>
      <c r="BZ285" s="30" t="inlineStr">
        <is>
          <t>No</t>
        </is>
      </c>
      <c r="CA285" s="30">
        <f>IF(BZ285="Yes",-10,0)</f>
        <v/>
      </c>
      <c r="CB285" s="30" t="inlineStr">
        <is>
          <t>Less than 15%</t>
        </is>
      </c>
      <c r="CC285" s="30">
        <f>IF(CB285="More than 15%",-10,IF(CB285="Less than 15%",10,0))</f>
        <v/>
      </c>
      <c r="CD285" s="30" t="inlineStr">
        <is>
          <t>No</t>
        </is>
      </c>
      <c r="CE285" s="30">
        <f>IF(CD285="Yes, more than 10%",-10,IF(CD285="No",10,0))</f>
        <v/>
      </c>
    </row>
    <row r="286">
      <c r="A286" s="30">
        <f>IF(B286=0,"",RANK(B286,$B$2:$B$331,0))</f>
        <v/>
      </c>
      <c r="B286" s="31">
        <f>SUM(N286,Y286,AA286,AC286,AE286,AG286,AI286,AK286,AM286,AO286,AQ286,AS286,AU286,AW286,AY286,BA286,BC286,BE286,BG286,BI286,BK286,BM286,BO286,BQ286,BS286,BU286,BW286,BY286,CA286,CC286,CE286)</f>
        <v/>
      </c>
      <c r="C286" s="30" t="inlineStr">
        <is>
          <t>ASIANENE</t>
        </is>
      </c>
      <c r="D286" s="30" t="inlineStr">
        <is>
          <t>Asian Energy Services Ltd</t>
        </is>
      </c>
      <c r="E286" s="30" t="inlineStr">
        <is>
          <t>energy</t>
        </is>
      </c>
      <c r="F286" s="30" t="inlineStr">
        <is>
          <t>oil drilling / allied services</t>
        </is>
      </c>
      <c r="G286" s="30" t="inlineStr">
        <is>
          <t>smallcap</t>
        </is>
      </c>
      <c r="H286" s="31" t="n">
        <v>2604.12</v>
      </c>
      <c r="I286" s="31" t="n">
        <v>533.95</v>
      </c>
      <c r="J286" s="31" t="n">
        <v>-0.29</v>
      </c>
      <c r="K286" s="31" t="n">
        <v>161522</v>
      </c>
      <c r="L286" s="30" t="n">
        <v>83</v>
      </c>
      <c r="M286" s="30" t="inlineStr">
        <is>
          <t>Outperforming</t>
        </is>
      </c>
      <c r="N286" s="31">
        <f>IF(M286="Underperforming",-5,IF(L286&gt;=95,15,IF(L286&gt;=90,10,IF(L286&gt;=80,5,0))))</f>
        <v/>
      </c>
      <c r="O286" s="31" t="n">
        <v>75.48999999999999</v>
      </c>
      <c r="P286" s="31" t="n">
        <v>24.85</v>
      </c>
      <c r="Q286" s="31" t="n">
        <v>390.36</v>
      </c>
      <c r="R286" s="30" t="inlineStr">
        <is>
          <t>Near 52W High Breakout</t>
        </is>
      </c>
      <c r="S286" s="30" t="inlineStr">
        <is>
          <t>Nifty Energy</t>
        </is>
      </c>
      <c r="T286" s="31" t="n">
        <v>8.43</v>
      </c>
      <c r="U286" s="31" t="n">
        <v>87.78</v>
      </c>
      <c r="V286" s="31" t="n">
        <v>73.18000000000001</v>
      </c>
      <c r="W286" s="31" t="n">
        <v>33.19</v>
      </c>
      <c r="X286" s="30" t="inlineStr">
        <is>
          <t>Cyclical in an Upturn</t>
        </is>
      </c>
      <c r="Y286" s="30">
        <f>IF(X286="Growing Industry",10,IF(X286="Cyclical in an Upturn",5,0))</f>
        <v/>
      </c>
      <c r="Z286" s="30" t="inlineStr">
        <is>
          <t>Oligopoly</t>
        </is>
      </c>
      <c r="AA286" s="30">
        <f>IF(Z286="Monopoly",10,IF(Z286="Oligopoly",5,IF(Z286="Duopoly that cooperate",10,IF(Z286="Duopoly that compete",5,IF(Z286="Too many players with High ROCE",5,0)))))</f>
        <v/>
      </c>
      <c r="AB286" s="30" t="inlineStr">
        <is>
          <t>Yes</t>
        </is>
      </c>
      <c r="AC286" s="30">
        <f>IF(AB286="No",5,0)</f>
        <v/>
      </c>
      <c r="AD286" s="30" t="inlineStr">
        <is>
          <t>Tailwind</t>
        </is>
      </c>
      <c r="AE286" s="30">
        <f>IF(AD286="Tailwind",10,0)</f>
        <v/>
      </c>
      <c r="AF286" s="30" t="inlineStr">
        <is>
          <t>Cyclical</t>
        </is>
      </c>
      <c r="AG286" s="30">
        <f>IF(AF286="Structural (10 Years Consistency)",10,IF(AF286="Shallow Cyclical (2 to 3 years growth)",5,0))</f>
        <v/>
      </c>
      <c r="AH286" s="30" t="inlineStr">
        <is>
          <t>No</t>
        </is>
      </c>
      <c r="AI286" s="30">
        <f>IF(AH286="Yes due to Product Mix change or Operating Leverage",10,IF(AH286="Yes, these are peak margins",-5,IF(AH286="No",5,0)))</f>
        <v/>
      </c>
      <c r="AJ286" s="30" t="inlineStr">
        <is>
          <t>Volatile</t>
        </is>
      </c>
      <c r="AK286" s="30">
        <f>IF(AJ286="Stable",10,0)</f>
        <v/>
      </c>
      <c r="AL286" s="30" t="inlineStr">
        <is>
          <t>Yes</t>
        </is>
      </c>
      <c r="AM286" s="30">
        <f>IF(AL286="Yes",10,0)</f>
        <v/>
      </c>
      <c r="AN286" s="30" t="inlineStr">
        <is>
          <t>B2B</t>
        </is>
      </c>
      <c r="AO286" s="30">
        <f>IF(AN286="B2C",10,IF(AN286="B2B",5,0))</f>
        <v/>
      </c>
      <c r="AP286" s="30" t="inlineStr">
        <is>
          <t>Yes</t>
        </is>
      </c>
      <c r="AQ286" s="30">
        <f>IF(AP286="Yes",10,0)</f>
        <v/>
      </c>
      <c r="AR286" s="30" t="inlineStr">
        <is>
          <t>Higher One Time, Lower Annuity</t>
        </is>
      </c>
      <c r="AS286" s="30">
        <f>IF(AR286="Fully Annuity",10,IF(AR286="Higher Annuity, Lower One Time",5,IF(AR286="Higher One Time, Lower Annuity",3,0)))</f>
        <v/>
      </c>
      <c r="AT286" s="30" t="inlineStr">
        <is>
          <t>Good</t>
        </is>
      </c>
      <c r="AU286" s="30">
        <f>IF(AT286="Good",10,0)</f>
        <v/>
      </c>
      <c r="AV286" s="30" t="inlineStr">
        <is>
          <t>Yes for more than 2 years</t>
        </is>
      </c>
      <c r="AW286" s="30">
        <f>IF(AV286="Yes for more than 2 years",10,IF(AV286="Yes only for next 1 to 2 years",5,0))</f>
        <v/>
      </c>
      <c r="AX286" s="30" t="inlineStr">
        <is>
          <t>20 to 40</t>
        </is>
      </c>
      <c r="AY286" s="30">
        <f>IF(AX286="Above 40",20,IF(AX286="20 to 40",10,IF(AX286="0 to 20",-5,0)))</f>
        <v/>
      </c>
      <c r="AZ286" s="30" t="inlineStr">
        <is>
          <t>Above 75</t>
        </is>
      </c>
      <c r="BA286" s="30">
        <f>IF(AZ286="Between 50 to 75",10,IF(AZ286="Above 75",0,0))</f>
        <v/>
      </c>
      <c r="BB286" s="30" t="inlineStr">
        <is>
          <t>Stage 2</t>
        </is>
      </c>
      <c r="BC286" s="30">
        <f>IF(BB286="Stage 2",20,IF(BB286="Stage 1",0,IF(BB286="Stage 3",5,IF(BB286="Stage 4",-5,0))))</f>
        <v/>
      </c>
      <c r="BD286" s="30" t="inlineStr">
        <is>
          <t>Positive Trend</t>
        </is>
      </c>
      <c r="BE286" s="30">
        <f>IF(BD286="Positive Trend",20,IF(BD286="Negative Trend",-10,0))</f>
        <v/>
      </c>
      <c r="BF286" s="30" t="inlineStr">
        <is>
          <t>Uptrend</t>
        </is>
      </c>
      <c r="BG286" s="30">
        <f>IF(BF286="Uptrend",10,IF(BF286="Sideways",5,0))</f>
        <v/>
      </c>
      <c r="BH286" s="30" t="inlineStr">
        <is>
          <t>Uptrend</t>
        </is>
      </c>
      <c r="BI286" s="30">
        <f>IF(BH286="Uptrend",10,IF(BH286="Sideways",5,0))</f>
        <v/>
      </c>
      <c r="BJ286" s="30" t="inlineStr">
        <is>
          <t>Blue sky scenario</t>
        </is>
      </c>
      <c r="BK286" s="30">
        <f>IF(BJ286="Overhead supply in last 2 years in last 2 years",-5,IF(BJ286="Close to 52 week high or retracement",5,IF(BJ286="Blue sky scenario",10,IF(BJ286="Long term Downtrend",-10,0))))</f>
        <v/>
      </c>
      <c r="BL286" s="30" t="inlineStr">
        <is>
          <t>Yes</t>
        </is>
      </c>
      <c r="BM286" s="30">
        <f>IF(BL286="Yes",10,0)</f>
        <v/>
      </c>
      <c r="BN286" s="30" t="inlineStr">
        <is>
          <t>More than 20%</t>
        </is>
      </c>
      <c r="BO286" s="30">
        <f>IF(BN286="More than 20%",10,IF(BN286="Between 12 to 20%",5,IF(BN286="Less than 12%",0,0)))</f>
        <v/>
      </c>
      <c r="BP286" s="30" t="inlineStr">
        <is>
          <t>No</t>
        </is>
      </c>
      <c r="BQ286" s="30">
        <f>IF(BP286="No",10,0)</f>
        <v/>
      </c>
      <c r="BR286" s="30" t="inlineStr">
        <is>
          <t>Yes</t>
        </is>
      </c>
      <c r="BS286" s="30">
        <f>IF(BR286="NO",5,0)</f>
        <v/>
      </c>
      <c r="BT286" s="30" t="inlineStr">
        <is>
          <t>Above 2</t>
        </is>
      </c>
      <c r="BU286" s="30">
        <f>IF(BT286="Above 2",0,IF(BT286="Between 1.5 to 2",5,IF(BT286="Less than 1.5",10,0)))</f>
        <v/>
      </c>
      <c r="BV286" s="30" t="inlineStr">
        <is>
          <t>Above 70%</t>
        </is>
      </c>
      <c r="BW286" s="30">
        <f>IF(BV286="Above 70%",10,IF(BV286="Between 50% to 70%",5,IF(BV286="Less than 50%",0,IF(BV286="Negative",-10,IF(BV286="Less than 50% and Borrowings are increasing",-5,0)))))</f>
        <v/>
      </c>
      <c r="BX286" s="30" t="inlineStr">
        <is>
          <t>Less than 0.7</t>
        </is>
      </c>
      <c r="BY286" s="30">
        <f>IF(BX286="More than 1.2",-10,IF(BX286="Between 0.7 to 1.2",0,IF(BX286="Less than 0.7",10,0)))</f>
        <v/>
      </c>
      <c r="BZ286" s="30" t="inlineStr">
        <is>
          <t>No</t>
        </is>
      </c>
      <c r="CA286" s="30">
        <f>IF(BZ286="Yes",-10,0)</f>
        <v/>
      </c>
      <c r="CB286" s="30" t="inlineStr">
        <is>
          <t>Less than 15%</t>
        </is>
      </c>
      <c r="CC286" s="30">
        <f>IF(CB286="More than 15%",-10,IF(CB286="Less than 15%",10,0))</f>
        <v/>
      </c>
      <c r="CD286" s="30" t="inlineStr">
        <is>
          <t>No</t>
        </is>
      </c>
      <c r="CE286" s="30">
        <f>IF(CD286="Yes, more than 10%",-10,IF(CD286="No",10,0))</f>
        <v/>
      </c>
    </row>
    <row r="287">
      <c r="A287" s="30">
        <f>IF(B287=0,"",RANK(B287,$B$2:$B$331,0))</f>
        <v/>
      </c>
      <c r="B287" s="31">
        <f>SUM(N287,Y287,AA287,AC287,AE287,AG287,AI287,AK287,AM287,AO287,AQ287,AS287,AU287,AW287,AY287,BA287,BC287,BE287,BG287,BI287,BK287,BM287,BO287,BQ287,BS287,BU287,BW287,BY287,CA287,CC287,CE287)</f>
        <v/>
      </c>
      <c r="C287" s="30" t="inlineStr">
        <is>
          <t>ADANIPORTS</t>
        </is>
      </c>
      <c r="D287" s="30" t="inlineStr">
        <is>
          <t>Adani Ports And Special Economic Zone Limited</t>
        </is>
      </c>
      <c r="E287" s="30" t="inlineStr">
        <is>
          <t>transportation</t>
        </is>
      </c>
      <c r="F287" s="30" t="inlineStr">
        <is>
          <t>miscellaneous</t>
        </is>
      </c>
      <c r="G287" s="30" t="inlineStr">
        <is>
          <t>largecap</t>
        </is>
      </c>
      <c r="H287" s="31" t="n">
        <v>408952.74</v>
      </c>
      <c r="I287" s="31" t="n">
        <v>1768</v>
      </c>
      <c r="J287" s="31" t="n">
        <v>-0.39</v>
      </c>
      <c r="K287" s="31" t="n">
        <v>2777377</v>
      </c>
      <c r="L287" s="30" t="n">
        <v>17</v>
      </c>
      <c r="M287" s="30" t="inlineStr">
        <is>
          <t>Outperforming</t>
        </is>
      </c>
      <c r="N287" s="31">
        <f>IF(M287="Underperforming",-5,IF(L287&gt;=95,15,IF(L287&gt;=90,10,IF(L287&gt;=80,5,0))))</f>
        <v/>
      </c>
      <c r="O287" s="31" t="n">
        <v>59.4</v>
      </c>
      <c r="P287" s="31" t="n">
        <v>19.77</v>
      </c>
      <c r="Q287" s="31" t="n">
        <v>1616.46</v>
      </c>
      <c r="R287" s="30" t="inlineStr">
        <is>
          <t>Earnings / Momentum Support</t>
        </is>
      </c>
      <c r="S287" s="30" t="inlineStr">
        <is>
          <t>Nifty 50</t>
        </is>
      </c>
      <c r="T287" s="31" t="n">
        <v>-6.52</v>
      </c>
      <c r="U287" s="31" t="n">
        <v>27.45</v>
      </c>
      <c r="V287" s="31" t="n">
        <v>36.33</v>
      </c>
      <c r="W287" s="31" t="n">
        <v>5.49</v>
      </c>
      <c r="X287" s="30" t="inlineStr">
        <is>
          <t>Growing Industry</t>
        </is>
      </c>
      <c r="Y287" s="30">
        <f>IF(X287="Growing Industry",10,IF(X287="Cyclical in an Upturn",5,0))</f>
        <v/>
      </c>
      <c r="Z287" s="30" t="inlineStr">
        <is>
          <t>Too Many Players with High ROCE</t>
        </is>
      </c>
      <c r="AA287" s="30">
        <f>IF(Z287="Monopoly",10,IF(Z287="Oligopoly",5,IF(Z287="Duopoly that cooperate",10,IF(Z287="Duopoly that compete",5,IF(Z287="Too many players with High ROCE",5,0)))))</f>
        <v/>
      </c>
      <c r="AB287" s="30" t="inlineStr">
        <is>
          <t>No</t>
        </is>
      </c>
      <c r="AC287" s="30">
        <f>IF(AB287="No",5,0)</f>
        <v/>
      </c>
      <c r="AD287" s="30" t="inlineStr">
        <is>
          <t>Tailwind</t>
        </is>
      </c>
      <c r="AE287" s="30">
        <f>IF(AD287="Tailwind",10,0)</f>
        <v/>
      </c>
      <c r="AF287" s="30" t="inlineStr">
        <is>
          <t>Structural (10 Years Consistency)</t>
        </is>
      </c>
      <c r="AG287" s="30">
        <f>IF(AF287="Structural (10 Years Consistency)",10,IF(AF287="Shallow Cyclical (2 to 3 years growth)",5,0))</f>
        <v/>
      </c>
      <c r="AH287" s="30" t="inlineStr">
        <is>
          <t>No</t>
        </is>
      </c>
      <c r="AI287" s="30">
        <f>IF(AH287="Yes due to Product Mix change or Operating Leverage",10,IF(AH287="Yes, these are peak margins",-5,IF(AH287="No",5,0)))</f>
        <v/>
      </c>
      <c r="AJ287" s="30" t="inlineStr">
        <is>
          <t>Stable</t>
        </is>
      </c>
      <c r="AK287" s="30">
        <f>IF(AJ287="Stable",10,0)</f>
        <v/>
      </c>
      <c r="AL287" s="30" t="inlineStr">
        <is>
          <t>Yes</t>
        </is>
      </c>
      <c r="AM287" s="30">
        <f>IF(AL287="Yes",10,0)</f>
        <v/>
      </c>
      <c r="AN287" s="30" t="inlineStr">
        <is>
          <t>B2B</t>
        </is>
      </c>
      <c r="AO287" s="30">
        <f>IF(AN287="B2C",10,IF(AN287="B2B",5,0))</f>
        <v/>
      </c>
      <c r="AP287" s="30" t="inlineStr">
        <is>
          <t>No</t>
        </is>
      </c>
      <c r="AQ287" s="30">
        <f>IF(AP287="Yes",10,0)</f>
        <v/>
      </c>
      <c r="AR287" s="30" t="inlineStr">
        <is>
          <t>Higher One Time, Lower Annuity</t>
        </is>
      </c>
      <c r="AS287" s="30">
        <f>IF(AR287="Fully Annuity",10,IF(AR287="Higher Annuity, Lower One Time",5,IF(AR287="Higher One Time, Lower Annuity",3,0)))</f>
        <v/>
      </c>
      <c r="AT287" s="30" t="inlineStr">
        <is>
          <t>Good</t>
        </is>
      </c>
      <c r="AU287" s="30">
        <f>IF(AT287="Good",10,0)</f>
        <v/>
      </c>
      <c r="AV287" s="30" t="inlineStr">
        <is>
          <t>Yes for more than 2 years</t>
        </is>
      </c>
      <c r="AW287" s="30">
        <f>IF(AV287="Yes for more than 2 years",10,IF(AV287="Yes only for next 1 to 2 years",5,0))</f>
        <v/>
      </c>
      <c r="AX287" s="30" t="inlineStr">
        <is>
          <t>0 to 20</t>
        </is>
      </c>
      <c r="AY287" s="30">
        <f>IF(AX287="Above 40",20,IF(AX287="20 to 40",10,IF(AX287="0 to 20",-5,0)))</f>
        <v/>
      </c>
      <c r="AZ287" s="30" t="inlineStr">
        <is>
          <t>Between 50 to 75</t>
        </is>
      </c>
      <c r="BA287" s="30">
        <f>IF(AZ287="Between 50 to 75",10,IF(AZ287="Above 75",0,0))</f>
        <v/>
      </c>
      <c r="BB287" s="30" t="inlineStr">
        <is>
          <t>Stage 2</t>
        </is>
      </c>
      <c r="BC287" s="30">
        <f>IF(BB287="Stage 2",20,IF(BB287="Stage 1",0,IF(BB287="Stage 3",5,IF(BB287="Stage 4",-5,0))))</f>
        <v/>
      </c>
      <c r="BD287" s="30" t="inlineStr">
        <is>
          <t>Positive Trend</t>
        </is>
      </c>
      <c r="BE287" s="30">
        <f>IF(BD287="Positive Trend",20,IF(BD287="Negative Trend",-10,0))</f>
        <v/>
      </c>
      <c r="BF287" s="30" t="inlineStr">
        <is>
          <t>Uptrend</t>
        </is>
      </c>
      <c r="BG287" s="30">
        <f>IF(BF287="Uptrend",10,IF(BF287="Sideways",5,0))</f>
        <v/>
      </c>
      <c r="BH287" s="30" t="inlineStr">
        <is>
          <t>Uptrend</t>
        </is>
      </c>
      <c r="BI287" s="30">
        <f>IF(BH287="Uptrend",10,IF(BH287="Sideways",5,0))</f>
        <v/>
      </c>
      <c r="BJ287" s="30" t="inlineStr">
        <is>
          <t>Close to 52 week high or retracement</t>
        </is>
      </c>
      <c r="BK287" s="30">
        <f>IF(BJ287="Overhead supply in last 2 years in last 2 years",-5,IF(BJ287="Close to 52 week high or retracement",5,IF(BJ287="Blue sky scenario",10,IF(BJ287="Long term Downtrend",-10,0))))</f>
        <v/>
      </c>
      <c r="BL287" s="30" t="inlineStr">
        <is>
          <t>Yes</t>
        </is>
      </c>
      <c r="BM287" s="30">
        <f>IF(BL287="Yes",10,0)</f>
        <v/>
      </c>
      <c r="BN287" s="30" t="inlineStr">
        <is>
          <t>Less than 12%</t>
        </is>
      </c>
      <c r="BO287" s="30">
        <f>IF(BN287="More than 20%",10,IF(BN287="Between 12 to 20%",5,IF(BN287="Less than 12%",0,0)))</f>
        <v/>
      </c>
      <c r="BP287" s="30" t="inlineStr">
        <is>
          <t>No</t>
        </is>
      </c>
      <c r="BQ287" s="30">
        <f>IF(BP287="No",10,0)</f>
        <v/>
      </c>
      <c r="BR287" s="30" t="inlineStr">
        <is>
          <t>No</t>
        </is>
      </c>
      <c r="BS287" s="30">
        <f>IF(BR287="NO",5,0)</f>
        <v/>
      </c>
      <c r="BT287" s="30" t="inlineStr">
        <is>
          <t>Above 2</t>
        </is>
      </c>
      <c r="BU287" s="30">
        <f>IF(BT287="Above 2",0,IF(BT287="Between 1.5 to 2",5,IF(BT287="Less than 1.5",10,0)))</f>
        <v/>
      </c>
      <c r="BV287" s="30" t="inlineStr">
        <is>
          <t>Above 70%</t>
        </is>
      </c>
      <c r="BW287" s="30">
        <f>IF(BV287="Above 70%",10,IF(BV287="Between 50% to 70%",5,IF(BV287="Less than 50%",0,IF(BV287="Negative",-10,IF(BV287="Less than 50% and Borrowings are increasing",-5,0)))))</f>
        <v/>
      </c>
      <c r="BX287" s="30" t="inlineStr">
        <is>
          <t>Less than 0.7</t>
        </is>
      </c>
      <c r="BY287" s="30">
        <f>IF(BX287="More than 1.2",-10,IF(BX287="Between 0.7 to 1.2",0,IF(BX287="Less than 0.7",10,0)))</f>
        <v/>
      </c>
      <c r="BZ287" s="30" t="inlineStr">
        <is>
          <t>No</t>
        </is>
      </c>
      <c r="CA287" s="30">
        <f>IF(BZ287="Yes",-10,0)</f>
        <v/>
      </c>
      <c r="CB287" s="30" t="inlineStr">
        <is>
          <t>Less than 15%</t>
        </is>
      </c>
      <c r="CC287" s="30">
        <f>IF(CB287="More than 15%",-10,IF(CB287="Less than 15%",10,0))</f>
        <v/>
      </c>
      <c r="CD287" s="30" t="inlineStr">
        <is>
          <t>No</t>
        </is>
      </c>
      <c r="CE287" s="30">
        <f>IF(CD287="Yes, more than 10%",-10,IF(CD287="No",10,0))</f>
        <v/>
      </c>
    </row>
    <row r="288">
      <c r="A288" s="30">
        <f>IF(B288=0,"",RANK(B288,$B$2:$B$331,0))</f>
        <v/>
      </c>
      <c r="B288" s="31">
        <f>SUM(N288,Y288,AA288,AC288,AE288,AG288,AI288,AK288,AM288,AO288,AQ288,AS288,AU288,AW288,AY288,BA288,BC288,BE288,BG288,BI288,BK288,BM288,BO288,BQ288,BS288,BU288,BW288,BY288,CA288,CC288,CE288)</f>
        <v/>
      </c>
      <c r="C288" s="30" t="inlineStr">
        <is>
          <t>JYOTICNC</t>
        </is>
      </c>
      <c r="D288" s="30" t="inlineStr">
        <is>
          <t>Jyoti CNC Automation Ltd</t>
        </is>
      </c>
      <c r="E288" s="30" t="inlineStr">
        <is>
          <t>industrials</t>
        </is>
      </c>
      <c r="F288" s="30" t="inlineStr">
        <is>
          <t>engineering</t>
        </is>
      </c>
      <c r="G288" s="30" t="inlineStr">
        <is>
          <t>largecap</t>
        </is>
      </c>
      <c r="H288" s="31" t="n">
        <v>22948.13</v>
      </c>
      <c r="I288" s="31" t="n">
        <v>1003.9</v>
      </c>
      <c r="J288" s="31" t="n">
        <v>-0.51</v>
      </c>
      <c r="K288" s="31" t="n">
        <v>356066</v>
      </c>
      <c r="L288" s="30" t="n">
        <v>47</v>
      </c>
      <c r="M288" s="30" t="inlineStr">
        <is>
          <t>Outperforming</t>
        </is>
      </c>
      <c r="N288" s="31">
        <f>IF(M288="Underperforming",-5,IF(L288&gt;=95,15,IF(L288&gt;=90,10,IF(L288&gt;=80,5,0))))</f>
        <v/>
      </c>
      <c r="O288" s="31" t="n">
        <v>66.12</v>
      </c>
      <c r="P288" s="31" t="n">
        <v>14.73</v>
      </c>
      <c r="Q288" s="31" t="n">
        <v>805.4400000000001</v>
      </c>
      <c r="R288" s="30" t="inlineStr">
        <is>
          <t>Near 52W High Breakout</t>
        </is>
      </c>
      <c r="S288" s="30" t="inlineStr">
        <is>
          <t>Nifty 50</t>
        </is>
      </c>
      <c r="T288" s="31" t="n">
        <v>-6.52</v>
      </c>
      <c r="U288" s="31" t="n">
        <v>11.53</v>
      </c>
      <c r="V288" s="31" t="n">
        <v>19.3</v>
      </c>
      <c r="W288" s="31" t="n">
        <v>14.18</v>
      </c>
      <c r="X288" s="30" t="inlineStr">
        <is>
          <t>Cyclical in an Upturn</t>
        </is>
      </c>
      <c r="Y288" s="30">
        <f>IF(X288="Growing Industry",10,IF(X288="Cyclical in an Upturn",5,0))</f>
        <v/>
      </c>
      <c r="Z288" s="30" t="inlineStr">
        <is>
          <t>Too Many Players with High ROCE</t>
        </is>
      </c>
      <c r="AA288" s="30">
        <f>IF(Z288="Monopoly",10,IF(Z288="Oligopoly",5,IF(Z288="Duopoly that cooperate",10,IF(Z288="Duopoly that compete",5,IF(Z288="Too many players with High ROCE",5,0)))))</f>
        <v/>
      </c>
      <c r="AB288" s="30" t="inlineStr">
        <is>
          <t>No</t>
        </is>
      </c>
      <c r="AC288" s="30">
        <f>IF(AB288="No",5,0)</f>
        <v/>
      </c>
      <c r="AD288" s="30" t="inlineStr">
        <is>
          <t>Tailwind</t>
        </is>
      </c>
      <c r="AE288" s="30">
        <f>IF(AD288="Tailwind",10,0)</f>
        <v/>
      </c>
      <c r="AF288" s="30" t="inlineStr">
        <is>
          <t>Structural (10 Years Consistency)</t>
        </is>
      </c>
      <c r="AG288" s="30">
        <f>IF(AF288="Structural (10 Years Consistency)",10,IF(AF288="Shallow Cyclical (2 to 3 years growth)",5,0))</f>
        <v/>
      </c>
      <c r="AH288" s="30" t="inlineStr">
        <is>
          <t>No</t>
        </is>
      </c>
      <c r="AI288" s="30">
        <f>IF(AH288="Yes due to Product Mix change or Operating Leverage",10,IF(AH288="Yes, these are peak margins",-5,IF(AH288="No",5,0)))</f>
        <v/>
      </c>
      <c r="AJ288" s="30" t="inlineStr">
        <is>
          <t>Stable</t>
        </is>
      </c>
      <c r="AK288" s="30">
        <f>IF(AJ288="Stable",10,0)</f>
        <v/>
      </c>
      <c r="AL288" s="30" t="inlineStr">
        <is>
          <t>Yes</t>
        </is>
      </c>
      <c r="AM288" s="30">
        <f>IF(AL288="Yes",10,0)</f>
        <v/>
      </c>
      <c r="AN288" s="30" t="inlineStr">
        <is>
          <t>B2B</t>
        </is>
      </c>
      <c r="AO288" s="30">
        <f>IF(AN288="B2C",10,IF(AN288="B2B",5,0))</f>
        <v/>
      </c>
      <c r="AP288" s="30" t="inlineStr">
        <is>
          <t>Yes</t>
        </is>
      </c>
      <c r="AQ288" s="30">
        <f>IF(AP288="Yes",10,0)</f>
        <v/>
      </c>
      <c r="AR288" s="30" t="inlineStr">
        <is>
          <t>Higher One Time, Lower Annuity</t>
        </is>
      </c>
      <c r="AS288" s="30">
        <f>IF(AR288="Fully Annuity",10,IF(AR288="Higher Annuity, Lower One Time",5,IF(AR288="Higher One Time, Lower Annuity",3,0)))</f>
        <v/>
      </c>
      <c r="AT288" s="30" t="inlineStr">
        <is>
          <t>Good</t>
        </is>
      </c>
      <c r="AU288" s="30">
        <f>IF(AT288="Good",10,0)</f>
        <v/>
      </c>
      <c r="AV288" s="30" t="inlineStr">
        <is>
          <t>Yes for more than 2 years</t>
        </is>
      </c>
      <c r="AW288" s="30">
        <f>IF(AV288="Yes for more than 2 years",10,IF(AV288="Yes only for next 1 to 2 years",5,0))</f>
        <v/>
      </c>
      <c r="AX288" s="30" t="inlineStr">
        <is>
          <t>0 to 20</t>
        </is>
      </c>
      <c r="AY288" s="30">
        <f>IF(AX288="Above 40",20,IF(AX288="20 to 40",10,IF(AX288="0 to 20",-5,0)))</f>
        <v/>
      </c>
      <c r="AZ288" s="30" t="inlineStr">
        <is>
          <t>Between 50 to 75</t>
        </is>
      </c>
      <c r="BA288" s="30">
        <f>IF(AZ288="Between 50 to 75",10,IF(AZ288="Above 75",0,0))</f>
        <v/>
      </c>
      <c r="BB288" s="30" t="inlineStr">
        <is>
          <t>Stage 2</t>
        </is>
      </c>
      <c r="BC288" s="30">
        <f>IF(BB288="Stage 2",20,IF(BB288="Stage 1",0,IF(BB288="Stage 3",5,IF(BB288="Stage 4",-5,0))))</f>
        <v/>
      </c>
      <c r="BD288" s="30" t="inlineStr">
        <is>
          <t>Positive Trend</t>
        </is>
      </c>
      <c r="BE288" s="30">
        <f>IF(BD288="Positive Trend",20,IF(BD288="Negative Trend",-10,0))</f>
        <v/>
      </c>
      <c r="BF288" s="30" t="inlineStr">
        <is>
          <t>Uptrend</t>
        </is>
      </c>
      <c r="BG288" s="30">
        <f>IF(BF288="Uptrend",10,IF(BF288="Sideways",5,0))</f>
        <v/>
      </c>
      <c r="BH288" s="30" t="inlineStr">
        <is>
          <t>Uptrend</t>
        </is>
      </c>
      <c r="BI288" s="30">
        <f>IF(BH288="Uptrend",10,IF(BH288="Sideways",5,0))</f>
        <v/>
      </c>
      <c r="BJ288" s="30" t="inlineStr">
        <is>
          <t>Close to 52 week high or retracement</t>
        </is>
      </c>
      <c r="BK288" s="30">
        <f>IF(BJ288="Overhead supply in last 2 years in last 2 years",-5,IF(BJ288="Close to 52 week high or retracement",5,IF(BJ288="Blue sky scenario",10,IF(BJ288="Long term Downtrend",-10,0))))</f>
        <v/>
      </c>
      <c r="BL288" s="30" t="inlineStr">
        <is>
          <t>Yes</t>
        </is>
      </c>
      <c r="BM288" s="30">
        <f>IF(BL288="Yes",10,0)</f>
        <v/>
      </c>
      <c r="BN288" s="30" t="inlineStr">
        <is>
          <t>Less than 12%</t>
        </is>
      </c>
      <c r="BO288" s="30">
        <f>IF(BN288="More than 20%",10,IF(BN288="Between 12 to 20%",5,IF(BN288="Less than 12%",0,0)))</f>
        <v/>
      </c>
      <c r="BP288" s="30" t="inlineStr">
        <is>
          <t>No</t>
        </is>
      </c>
      <c r="BQ288" s="30">
        <f>IF(BP288="No",10,0)</f>
        <v/>
      </c>
      <c r="BR288" s="30" t="inlineStr">
        <is>
          <t>Yes</t>
        </is>
      </c>
      <c r="BS288" s="30">
        <f>IF(BR288="NO",5,0)</f>
        <v/>
      </c>
      <c r="BT288" s="30" t="inlineStr">
        <is>
          <t>Above 2</t>
        </is>
      </c>
      <c r="BU288" s="30">
        <f>IF(BT288="Above 2",0,IF(BT288="Between 1.5 to 2",5,IF(BT288="Less than 1.5",10,0)))</f>
        <v/>
      </c>
      <c r="BV288" s="30" t="inlineStr">
        <is>
          <t>Above 70%</t>
        </is>
      </c>
      <c r="BW288" s="30">
        <f>IF(BV288="Above 70%",10,IF(BV288="Between 50% to 70%",5,IF(BV288="Less than 50%",0,IF(BV288="Negative",-10,IF(BV288="Less than 50% and Borrowings are increasing",-5,0)))))</f>
        <v/>
      </c>
      <c r="BX288" s="30" t="inlineStr">
        <is>
          <t>Less than 0.7</t>
        </is>
      </c>
      <c r="BY288" s="30">
        <f>IF(BX288="More than 1.2",-10,IF(BX288="Between 0.7 to 1.2",0,IF(BX288="Less than 0.7",10,0)))</f>
        <v/>
      </c>
      <c r="BZ288" s="30" t="inlineStr">
        <is>
          <t>No</t>
        </is>
      </c>
      <c r="CA288" s="30">
        <f>IF(BZ288="Yes",-10,0)</f>
        <v/>
      </c>
      <c r="CB288" s="30" t="inlineStr">
        <is>
          <t>Less than 15%</t>
        </is>
      </c>
      <c r="CC288" s="30">
        <f>IF(CB288="More than 15%",-10,IF(CB288="Less than 15%",10,0))</f>
        <v/>
      </c>
      <c r="CD288" s="30" t="inlineStr">
        <is>
          <t>No</t>
        </is>
      </c>
      <c r="CE288" s="30">
        <f>IF(CD288="Yes, more than 10%",-10,IF(CD288="No",10,0))</f>
        <v/>
      </c>
    </row>
    <row r="289">
      <c r="A289" s="30">
        <f>IF(B289=0,"",RANK(B289,$B$2:$B$331,0))</f>
        <v/>
      </c>
      <c r="B289" s="31">
        <f>SUM(N289,Y289,AA289,AC289,AE289,AG289,AI289,AK289,AM289,AO289,AQ289,AS289,AU289,AW289,AY289,BA289,BC289,BE289,BG289,BI289,BK289,BM289,BO289,BQ289,BS289,BU289,BW289,BY289,CA289,CC289,CE289)</f>
        <v/>
      </c>
      <c r="C289" s="30" t="inlineStr">
        <is>
          <t>SMARTWORKS</t>
        </is>
      </c>
      <c r="D289" s="30" t="inlineStr">
        <is>
          <t>Smartworks Coworking Spaces Ltd</t>
        </is>
      </c>
      <c r="E289" s="30" t="inlineStr">
        <is>
          <t>co-working</t>
        </is>
      </c>
      <c r="F289" s="30" t="inlineStr">
        <is>
          <t>miscellaneous</t>
        </is>
      </c>
      <c r="G289" s="30" t="inlineStr">
        <is>
          <t>midcap</t>
        </is>
      </c>
      <c r="H289" s="31" t="n">
        <v>6260.99</v>
      </c>
      <c r="I289" s="31" t="n">
        <v>535.55</v>
      </c>
      <c r="J289" s="31" t="n">
        <v>-2.26</v>
      </c>
      <c r="K289" s="31" t="n">
        <v>112126</v>
      </c>
      <c r="L289" s="30" t="n">
        <v>18</v>
      </c>
      <c r="M289" s="30" t="inlineStr">
        <is>
          <t>Outperforming</t>
        </is>
      </c>
      <c r="N289" s="31">
        <f>IF(M289="Underperforming",-5,IF(L289&gt;=95,15,IF(L289&gt;=90,10,IF(L289&gt;=80,5,0))))</f>
        <v/>
      </c>
      <c r="O289" s="31" t="n">
        <v>62.44</v>
      </c>
      <c r="P289" s="31" t="n">
        <v>37.52</v>
      </c>
      <c r="Q289" s="31" t="n">
        <v>429.65</v>
      </c>
      <c r="R289" s="30" t="inlineStr">
        <is>
          <t>Earnings / Momentum Support</t>
        </is>
      </c>
      <c r="S289" s="30" t="inlineStr">
        <is>
          <t>Nifty 50</t>
        </is>
      </c>
      <c r="T289" s="31" t="n">
        <v>-6.52</v>
      </c>
      <c r="U289" s="31" t="n">
        <v>3.76</v>
      </c>
      <c r="V289" s="31" t="n">
        <v>10.99</v>
      </c>
      <c r="W289" s="31" t="n">
        <v>5.77</v>
      </c>
      <c r="X289" s="30" t="inlineStr">
        <is>
          <t>Growing Industry</t>
        </is>
      </c>
      <c r="Y289" s="30">
        <f>IF(X289="Growing Industry",10,IF(X289="Cyclical in an Upturn",5,0))</f>
        <v/>
      </c>
      <c r="Z289" s="30" t="inlineStr">
        <is>
          <t>Too Many Players with High ROCE</t>
        </is>
      </c>
      <c r="AA289" s="30">
        <f>IF(Z289="Monopoly",10,IF(Z289="Oligopoly",5,IF(Z289="Duopoly that cooperate",10,IF(Z289="Duopoly that compete",5,IF(Z289="Too many players with High ROCE",5,0)))))</f>
        <v/>
      </c>
      <c r="AB289" s="30" t="inlineStr">
        <is>
          <t>No</t>
        </is>
      </c>
      <c r="AC289" s="30">
        <f>IF(AB289="No",5,0)</f>
        <v/>
      </c>
      <c r="AD289" s="30" t="inlineStr">
        <is>
          <t>Tailwind</t>
        </is>
      </c>
      <c r="AE289" s="30">
        <f>IF(AD289="Tailwind",10,0)</f>
        <v/>
      </c>
      <c r="AF289" s="30" t="inlineStr">
        <is>
          <t>Structural (10 Years Consistency)</t>
        </is>
      </c>
      <c r="AG289" s="30">
        <f>IF(AF289="Structural (10 Years Consistency)",10,IF(AF289="Shallow Cyclical (2 to 3 years growth)",5,0))</f>
        <v/>
      </c>
      <c r="AH289" s="30" t="inlineStr">
        <is>
          <t>No</t>
        </is>
      </c>
      <c r="AI289" s="30">
        <f>IF(AH289="Yes due to Product Mix change or Operating Leverage",10,IF(AH289="Yes, these are peak margins",-5,IF(AH289="No",5,0)))</f>
        <v/>
      </c>
      <c r="AJ289" s="30" t="inlineStr">
        <is>
          <t>Stable</t>
        </is>
      </c>
      <c r="AK289" s="30">
        <f>IF(AJ289="Stable",10,0)</f>
        <v/>
      </c>
      <c r="AL289" s="30" t="inlineStr">
        <is>
          <t>Yes</t>
        </is>
      </c>
      <c r="AM289" s="30">
        <f>IF(AL289="Yes",10,0)</f>
        <v/>
      </c>
      <c r="AN289" s="30" t="inlineStr">
        <is>
          <t>B2B</t>
        </is>
      </c>
      <c r="AO289" s="30">
        <f>IF(AN289="B2C",10,IF(AN289="B2B",5,0))</f>
        <v/>
      </c>
      <c r="AP289" s="30" t="inlineStr">
        <is>
          <t>No</t>
        </is>
      </c>
      <c r="AQ289" s="30">
        <f>IF(AP289="Yes",10,0)</f>
        <v/>
      </c>
      <c r="AR289" s="30" t="inlineStr">
        <is>
          <t>Higher One Time, Lower Annuity</t>
        </is>
      </c>
      <c r="AS289" s="30">
        <f>IF(AR289="Fully Annuity",10,IF(AR289="Higher Annuity, Lower One Time",5,IF(AR289="Higher One Time, Lower Annuity",3,0)))</f>
        <v/>
      </c>
      <c r="AT289" s="30" t="inlineStr">
        <is>
          <t>Good</t>
        </is>
      </c>
      <c r="AU289" s="30">
        <f>IF(AT289="Good",10,0)</f>
        <v/>
      </c>
      <c r="AV289" s="30" t="inlineStr">
        <is>
          <t>Yes for more than 2 years</t>
        </is>
      </c>
      <c r="AW289" s="30">
        <f>IF(AV289="Yes for more than 2 years",10,IF(AV289="Yes only for next 1 to 2 years",5,0))</f>
        <v/>
      </c>
      <c r="AX289" s="30" t="inlineStr">
        <is>
          <t>20 to 40</t>
        </is>
      </c>
      <c r="AY289" s="30">
        <f>IF(AX289="Above 40",20,IF(AX289="20 to 40",10,IF(AX289="0 to 20",-5,0)))</f>
        <v/>
      </c>
      <c r="AZ289" s="30" t="inlineStr">
        <is>
          <t>Between 50 to 75</t>
        </is>
      </c>
      <c r="BA289" s="30">
        <f>IF(AZ289="Between 50 to 75",10,IF(AZ289="Above 75",0,0))</f>
        <v/>
      </c>
      <c r="BB289" s="30" t="inlineStr">
        <is>
          <t>Stage 2</t>
        </is>
      </c>
      <c r="BC289" s="30">
        <f>IF(BB289="Stage 2",20,IF(BB289="Stage 1",0,IF(BB289="Stage 3",5,IF(BB289="Stage 4",-5,0))))</f>
        <v/>
      </c>
      <c r="BD289" s="30" t="inlineStr">
        <is>
          <t>Positive Trend</t>
        </is>
      </c>
      <c r="BE289" s="30">
        <f>IF(BD289="Positive Trend",20,IF(BD289="Negative Trend",-10,0))</f>
        <v/>
      </c>
      <c r="BF289" s="30" t="inlineStr">
        <is>
          <t>Uptrend</t>
        </is>
      </c>
      <c r="BG289" s="30">
        <f>IF(BF289="Uptrend",10,IF(BF289="Sideways",5,0))</f>
        <v/>
      </c>
      <c r="BH289" s="30" t="inlineStr">
        <is>
          <t>Uptrend</t>
        </is>
      </c>
      <c r="BI289" s="30">
        <f>IF(BH289="Uptrend",10,IF(BH289="Sideways",5,0))</f>
        <v/>
      </c>
      <c r="BJ289" s="30" t="inlineStr">
        <is>
          <t>Close to 52 week high or retracement</t>
        </is>
      </c>
      <c r="BK289" s="30">
        <f>IF(BJ289="Overhead supply in last 2 years in last 2 years",-5,IF(BJ289="Close to 52 week high or retracement",5,IF(BJ289="Blue sky scenario",10,IF(BJ289="Long term Downtrend",-10,0))))</f>
        <v/>
      </c>
      <c r="BL289" s="30" t="inlineStr">
        <is>
          <t>Yes</t>
        </is>
      </c>
      <c r="BM289" s="30">
        <f>IF(BL289="Yes",10,0)</f>
        <v/>
      </c>
      <c r="BN289" s="30" t="inlineStr">
        <is>
          <t>More than 20%</t>
        </is>
      </c>
      <c r="BO289" s="30">
        <f>IF(BN289="More than 20%",10,IF(BN289="Between 12 to 20%",5,IF(BN289="Less than 12%",0,0)))</f>
        <v/>
      </c>
      <c r="BP289" s="30" t="inlineStr">
        <is>
          <t>No</t>
        </is>
      </c>
      <c r="BQ289" s="30">
        <f>IF(BP289="No",10,0)</f>
        <v/>
      </c>
      <c r="BR289" s="30" t="inlineStr">
        <is>
          <t>Yes</t>
        </is>
      </c>
      <c r="BS289" s="30">
        <f>IF(BR289="NO",5,0)</f>
        <v/>
      </c>
      <c r="BT289" s="30" t="inlineStr">
        <is>
          <t>Above 2</t>
        </is>
      </c>
      <c r="BU289" s="30">
        <f>IF(BT289="Above 2",0,IF(BT289="Between 1.5 to 2",5,IF(BT289="Less than 1.5",10,0)))</f>
        <v/>
      </c>
      <c r="BV289" s="30" t="inlineStr">
        <is>
          <t>Above 70%</t>
        </is>
      </c>
      <c r="BW289" s="30">
        <f>IF(BV289="Above 70%",10,IF(BV289="Between 50% to 70%",5,IF(BV289="Less than 50%",0,IF(BV289="Negative",-10,IF(BV289="Less than 50% and Borrowings are increasing",-5,0)))))</f>
        <v/>
      </c>
      <c r="BX289" s="30" t="inlineStr">
        <is>
          <t>More than 1.2</t>
        </is>
      </c>
      <c r="BY289" s="30">
        <f>IF(BX289="More than 1.2",-10,IF(BX289="Between 0.7 to 1.2",0,IF(BX289="Less than 0.7",10,0)))</f>
        <v/>
      </c>
      <c r="BZ289" s="30" t="inlineStr">
        <is>
          <t>No</t>
        </is>
      </c>
      <c r="CA289" s="30">
        <f>IF(BZ289="Yes",-10,0)</f>
        <v/>
      </c>
      <c r="CB289" s="30" t="inlineStr">
        <is>
          <t>Less than 15%</t>
        </is>
      </c>
      <c r="CC289" s="30">
        <f>IF(CB289="More than 15%",-10,IF(CB289="Less than 15%",10,0))</f>
        <v/>
      </c>
      <c r="CD289" s="30" t="inlineStr">
        <is>
          <t>No</t>
        </is>
      </c>
      <c r="CE289" s="30">
        <f>IF(CD289="Yes, more than 10%",-10,IF(CD289="No",10,0))</f>
        <v/>
      </c>
    </row>
    <row r="290">
      <c r="A290" s="30">
        <f>IF(B290=0,"",RANK(B290,$B$2:$B$331,0))</f>
        <v/>
      </c>
      <c r="B290" s="31">
        <f>SUM(N290,Y290,AA290,AC290,AE290,AG290,AI290,AK290,AM290,AO290,AQ290,AS290,AU290,AW290,AY290,BA290,BC290,BE290,BG290,BI290,BK290,BM290,BO290,BQ290,BS290,BU290,BW290,BY290,CA290,CC290,CE290)</f>
        <v/>
      </c>
      <c r="C290" s="30" t="inlineStr">
        <is>
          <t>DICIND</t>
        </is>
      </c>
      <c r="D290" s="30" t="inlineStr">
        <is>
          <t>Dic India Limited</t>
        </is>
      </c>
      <c r="E290" s="30" t="inlineStr">
        <is>
          <t>chemicals</t>
        </is>
      </c>
      <c r="F290" s="30" t="inlineStr">
        <is>
          <t>chemicals</t>
        </is>
      </c>
      <c r="G290" s="30" t="inlineStr">
        <is>
          <t>smallcap</t>
        </is>
      </c>
      <c r="H290" s="31" t="n">
        <v>566.89</v>
      </c>
      <c r="I290" s="31" t="n">
        <v>601.25</v>
      </c>
      <c r="J290" s="31" t="n">
        <v>-2.65</v>
      </c>
      <c r="K290" s="31" t="n">
        <v>2387</v>
      </c>
      <c r="L290" s="30" t="n">
        <v>20</v>
      </c>
      <c r="M290" s="30" t="inlineStr">
        <is>
          <t>Outperforming</t>
        </is>
      </c>
      <c r="N290" s="31">
        <f>IF(M290="Underperforming",-5,IF(L290&gt;=95,15,IF(L290&gt;=90,10,IF(L290&gt;=80,5,0))))</f>
        <v/>
      </c>
      <c r="O290" s="31" t="n">
        <v>65.09</v>
      </c>
      <c r="P290" s="31" t="n">
        <v>15.72</v>
      </c>
      <c r="Q290" s="31" t="n">
        <v>471.55</v>
      </c>
      <c r="R290" s="30" t="inlineStr">
        <is>
          <t>Near 52W High Breakout</t>
        </is>
      </c>
      <c r="S290" s="30" t="inlineStr">
        <is>
          <t>Nifty 50</t>
        </is>
      </c>
      <c r="T290" s="31" t="n">
        <v>-6.52</v>
      </c>
      <c r="U290" s="31" t="n">
        <v>7.13</v>
      </c>
      <c r="V290" s="31" t="n">
        <v>14.6</v>
      </c>
      <c r="W290" s="31" t="n">
        <v>6.33</v>
      </c>
      <c r="X290" s="30" t="inlineStr">
        <is>
          <t>Growing Industry</t>
        </is>
      </c>
      <c r="Y290" s="30">
        <f>IF(X290="Growing Industry",10,IF(X290="Cyclical in an Upturn",5,0))</f>
        <v/>
      </c>
      <c r="Z290" s="30" t="inlineStr">
        <is>
          <t>Too Many Players with High ROCE</t>
        </is>
      </c>
      <c r="AA290" s="30">
        <f>IF(Z290="Monopoly",10,IF(Z290="Oligopoly",5,IF(Z290="Duopoly that cooperate",10,IF(Z290="Duopoly that compete",5,IF(Z290="Too many players with High ROCE",5,0)))))</f>
        <v/>
      </c>
      <c r="AB290" s="30" t="inlineStr">
        <is>
          <t>No</t>
        </is>
      </c>
      <c r="AC290" s="30">
        <f>IF(AB290="No",5,0)</f>
        <v/>
      </c>
      <c r="AD290" s="30" t="inlineStr">
        <is>
          <t>Tailwind</t>
        </is>
      </c>
      <c r="AE290" s="30">
        <f>IF(AD290="Tailwind",10,0)</f>
        <v/>
      </c>
      <c r="AF290" s="30" t="inlineStr">
        <is>
          <t>Structural (10 Years Consistency)</t>
        </is>
      </c>
      <c r="AG290" s="30">
        <f>IF(AF290="Structural (10 Years Consistency)",10,IF(AF290="Shallow Cyclical (2 to 3 years growth)",5,0))</f>
        <v/>
      </c>
      <c r="AH290" s="30" t="inlineStr">
        <is>
          <t>No</t>
        </is>
      </c>
      <c r="AI290" s="30">
        <f>IF(AH290="Yes due to Product Mix change or Operating Leverage",10,IF(AH290="Yes, these are peak margins",-5,IF(AH290="No",5,0)))</f>
        <v/>
      </c>
      <c r="AJ290" s="30" t="inlineStr">
        <is>
          <t>Stable</t>
        </is>
      </c>
      <c r="AK290" s="30">
        <f>IF(AJ290="Stable",10,0)</f>
        <v/>
      </c>
      <c r="AL290" s="30" t="inlineStr">
        <is>
          <t>Yes</t>
        </is>
      </c>
      <c r="AM290" s="30">
        <f>IF(AL290="Yes",10,0)</f>
        <v/>
      </c>
      <c r="AN290" s="30" t="inlineStr">
        <is>
          <t>B2B</t>
        </is>
      </c>
      <c r="AO290" s="30">
        <f>IF(AN290="B2C",10,IF(AN290="B2B",5,0))</f>
        <v/>
      </c>
      <c r="AP290" s="30" t="inlineStr">
        <is>
          <t>Yes</t>
        </is>
      </c>
      <c r="AQ290" s="30">
        <f>IF(AP290="Yes",10,0)</f>
        <v/>
      </c>
      <c r="AR290" s="30" t="inlineStr">
        <is>
          <t>Higher One Time, Lower Annuity</t>
        </is>
      </c>
      <c r="AS290" s="30">
        <f>IF(AR290="Fully Annuity",10,IF(AR290="Higher Annuity, Lower One Time",5,IF(AR290="Higher One Time, Lower Annuity",3,0)))</f>
        <v/>
      </c>
      <c r="AT290" s="30" t="inlineStr">
        <is>
          <t>Good</t>
        </is>
      </c>
      <c r="AU290" s="30">
        <f>IF(AT290="Good",10,0)</f>
        <v/>
      </c>
      <c r="AV290" s="30" t="inlineStr">
        <is>
          <t>Yes for more than 2 years</t>
        </is>
      </c>
      <c r="AW290" s="30">
        <f>IF(AV290="Yes for more than 2 years",10,IF(AV290="Yes only for next 1 to 2 years",5,0))</f>
        <v/>
      </c>
      <c r="AX290" s="30" t="inlineStr">
        <is>
          <t>0 to 20</t>
        </is>
      </c>
      <c r="AY290" s="30">
        <f>IF(AX290="Above 40",20,IF(AX290="20 to 40",10,IF(AX290="0 to 20",-5,0)))</f>
        <v/>
      </c>
      <c r="AZ290" s="30" t="inlineStr">
        <is>
          <t>Between 50 to 75</t>
        </is>
      </c>
      <c r="BA290" s="30">
        <f>IF(AZ290="Between 50 to 75",10,IF(AZ290="Above 75",0,0))</f>
        <v/>
      </c>
      <c r="BB290" s="30" t="inlineStr">
        <is>
          <t>Stage 2</t>
        </is>
      </c>
      <c r="BC290" s="30">
        <f>IF(BB290="Stage 2",20,IF(BB290="Stage 1",0,IF(BB290="Stage 3",5,IF(BB290="Stage 4",-5,0))))</f>
        <v/>
      </c>
      <c r="BD290" s="30" t="inlineStr">
        <is>
          <t>Positive Trend</t>
        </is>
      </c>
      <c r="BE290" s="30">
        <f>IF(BD290="Positive Trend",20,IF(BD290="Negative Trend",-10,0))</f>
        <v/>
      </c>
      <c r="BF290" s="30" t="inlineStr">
        <is>
          <t>Uptrend</t>
        </is>
      </c>
      <c r="BG290" s="30">
        <f>IF(BF290="Uptrend",10,IF(BF290="Sideways",5,0))</f>
        <v/>
      </c>
      <c r="BH290" s="30" t="inlineStr">
        <is>
          <t>Uptrend</t>
        </is>
      </c>
      <c r="BI290" s="30">
        <f>IF(BH290="Uptrend",10,IF(BH290="Sideways",5,0))</f>
        <v/>
      </c>
      <c r="BJ290" s="30" t="inlineStr">
        <is>
          <t>Close to 52 week high or retracement</t>
        </is>
      </c>
      <c r="BK290" s="30">
        <f>IF(BJ290="Overhead supply in last 2 years in last 2 years",-5,IF(BJ290="Close to 52 week high or retracement",5,IF(BJ290="Blue sky scenario",10,IF(BJ290="Long term Downtrend",-10,0))))</f>
        <v/>
      </c>
      <c r="BL290" s="30" t="inlineStr">
        <is>
          <t>Yes</t>
        </is>
      </c>
      <c r="BM290" s="30">
        <f>IF(BL290="Yes",10,0)</f>
        <v/>
      </c>
      <c r="BN290" s="30" t="inlineStr">
        <is>
          <t>More than 20%</t>
        </is>
      </c>
      <c r="BO290" s="30">
        <f>IF(BN290="More than 20%",10,IF(BN290="Between 12 to 20%",5,IF(BN290="Less than 12%",0,0)))</f>
        <v/>
      </c>
      <c r="BP290" s="30" t="inlineStr">
        <is>
          <t>No</t>
        </is>
      </c>
      <c r="BQ290" s="30">
        <f>IF(BP290="No",10,0)</f>
        <v/>
      </c>
      <c r="BR290" s="30" t="inlineStr">
        <is>
          <t>No</t>
        </is>
      </c>
      <c r="BS290" s="30">
        <f>IF(BR290="NO",5,0)</f>
        <v/>
      </c>
      <c r="BT290" s="30" t="inlineStr">
        <is>
          <t>Above 2</t>
        </is>
      </c>
      <c r="BU290" s="30">
        <f>IF(BT290="Above 2",0,IF(BT290="Between 1.5 to 2",5,IF(BT290="Less than 1.5",10,0)))</f>
        <v/>
      </c>
      <c r="BV290" s="30" t="inlineStr">
        <is>
          <t>Negative</t>
        </is>
      </c>
      <c r="BW290" s="30">
        <f>IF(BV290="Above 70%",10,IF(BV290="Between 50% to 70%",5,IF(BV290="Less than 50%",0,IF(BV290="Negative",-10,IF(BV290="Less than 50% and Borrowings are increasing",-5,0)))))</f>
        <v/>
      </c>
      <c r="BX290" s="30" t="inlineStr">
        <is>
          <t>Less than 0.7</t>
        </is>
      </c>
      <c r="BY290" s="30">
        <f>IF(BX290="More than 1.2",-10,IF(BX290="Between 0.7 to 1.2",0,IF(BX290="Less than 0.7",10,0)))</f>
        <v/>
      </c>
      <c r="BZ290" s="30" t="inlineStr">
        <is>
          <t>No</t>
        </is>
      </c>
      <c r="CA290" s="30">
        <f>IF(BZ290="Yes",-10,0)</f>
        <v/>
      </c>
      <c r="CB290" s="30" t="inlineStr">
        <is>
          <t>Less than 15%</t>
        </is>
      </c>
      <c r="CC290" s="30">
        <f>IF(CB290="More than 15%",-10,IF(CB290="Less than 15%",10,0))</f>
        <v/>
      </c>
      <c r="CD290" s="30" t="inlineStr">
        <is>
          <t>No</t>
        </is>
      </c>
      <c r="CE290" s="30">
        <f>IF(CD290="Yes, more than 10%",-10,IF(CD290="No",10,0))</f>
        <v/>
      </c>
    </row>
    <row r="291">
      <c r="A291" s="30">
        <f>IF(B291=0,"",RANK(B291,$B$2:$B$331,0))</f>
        <v/>
      </c>
      <c r="B291" s="31">
        <f>SUM(N291,Y291,AA291,AC291,AE291,AG291,AI291,AK291,AM291,AO291,AQ291,AS291,AU291,AW291,AY291,BA291,BC291,BE291,BG291,BI291,BK291,BM291,BO291,BQ291,BS291,BU291,BW291,BY291,CA291,CC291,CE291)</f>
        <v/>
      </c>
      <c r="C291" s="32" t="inlineStr">
        <is>
          <t>JINDRILL</t>
        </is>
      </c>
      <c r="D291" s="32" t="inlineStr">
        <is>
          <t>Jindal Drilling And Industries Limited</t>
        </is>
      </c>
      <c r="E291" s="30" t="inlineStr">
        <is>
          <t>energy</t>
        </is>
      </c>
      <c r="F291" s="30" t="inlineStr">
        <is>
          <t>oil drilling / allied services</t>
        </is>
      </c>
      <c r="G291" s="30" t="inlineStr">
        <is>
          <t>smallcap</t>
        </is>
      </c>
      <c r="H291" s="31" t="n">
        <v>1952.6</v>
      </c>
      <c r="I291" s="31" t="n">
        <v>654.2</v>
      </c>
      <c r="J291" s="31" t="n">
        <v>-2.9</v>
      </c>
      <c r="K291" s="31" t="n">
        <v>777024</v>
      </c>
      <c r="L291" s="30" t="n">
        <v>18</v>
      </c>
      <c r="M291" s="30" t="inlineStr">
        <is>
          <t>Underperforming</t>
        </is>
      </c>
      <c r="N291" s="31">
        <f>IF(M291="Underperforming",-5,IF(L291&gt;=95,15,IF(L291&gt;=90,10,IF(L291&gt;=80,5,0))))</f>
        <v/>
      </c>
      <c r="O291" s="31" t="n">
        <v>58.62</v>
      </c>
      <c r="P291" s="31" t="n">
        <v>45.48</v>
      </c>
      <c r="Q291" s="31" t="n">
        <v>482.34</v>
      </c>
      <c r="R291" s="30" t="inlineStr">
        <is>
          <t>Near 52W High Breakout</t>
        </is>
      </c>
      <c r="S291" s="30" t="inlineStr">
        <is>
          <t>Nifty Energy</t>
        </is>
      </c>
      <c r="T291" s="31" t="n">
        <v>8.43</v>
      </c>
      <c r="U291" s="31" t="n">
        <v>5.03</v>
      </c>
      <c r="V291" s="31" t="n">
        <v>-3.14</v>
      </c>
      <c r="W291" s="31" t="n">
        <v>6.03</v>
      </c>
      <c r="X291" s="30" t="inlineStr">
        <is>
          <t>Cyclical in an Upturn</t>
        </is>
      </c>
      <c r="Y291" s="30">
        <f>IF(X291="Growing Industry",10,IF(X291="Cyclical in an Upturn",5,0))</f>
        <v/>
      </c>
      <c r="Z291" s="30" t="inlineStr">
        <is>
          <t>Oligopoly</t>
        </is>
      </c>
      <c r="AA291" s="30">
        <f>IF(Z291="Monopoly",10,IF(Z291="Oligopoly",5,IF(Z291="Duopoly that cooperate",10,IF(Z291="Duopoly that compete",5,IF(Z291="Too many players with High ROCE",5,0)))))</f>
        <v/>
      </c>
      <c r="AB291" s="30" t="inlineStr">
        <is>
          <t>Yes</t>
        </is>
      </c>
      <c r="AC291" s="30">
        <f>IF(AB291="No",5,0)</f>
        <v/>
      </c>
      <c r="AD291" s="30" t="inlineStr">
        <is>
          <t>Tailwind</t>
        </is>
      </c>
      <c r="AE291" s="30">
        <f>IF(AD291="Tailwind",10,0)</f>
        <v/>
      </c>
      <c r="AF291" s="30" t="inlineStr">
        <is>
          <t>Cyclical</t>
        </is>
      </c>
      <c r="AG291" s="30">
        <f>IF(AF291="Structural (10 Years Consistency)",10,IF(AF291="Shallow Cyclical (2 to 3 years growth)",5,0))</f>
        <v/>
      </c>
      <c r="AH291" s="30" t="inlineStr">
        <is>
          <t>No</t>
        </is>
      </c>
      <c r="AI291" s="30">
        <f>IF(AH291="Yes due to Product Mix change or Operating Leverage",10,IF(AH291="Yes, these are peak margins",-5,IF(AH291="No",5,0)))</f>
        <v/>
      </c>
      <c r="AJ291" s="30" t="inlineStr">
        <is>
          <t>Volatile</t>
        </is>
      </c>
      <c r="AK291" s="30">
        <f>IF(AJ291="Stable",10,0)</f>
        <v/>
      </c>
      <c r="AL291" s="30" t="inlineStr">
        <is>
          <t>Yes</t>
        </is>
      </c>
      <c r="AM291" s="30">
        <f>IF(AL291="Yes",10,0)</f>
        <v/>
      </c>
      <c r="AN291" s="30" t="inlineStr">
        <is>
          <t>B2B</t>
        </is>
      </c>
      <c r="AO291" s="30">
        <f>IF(AN291="B2C",10,IF(AN291="B2B",5,0))</f>
        <v/>
      </c>
      <c r="AP291" s="30" t="inlineStr">
        <is>
          <t>Yes</t>
        </is>
      </c>
      <c r="AQ291" s="30">
        <f>IF(AP291="Yes",10,0)</f>
        <v/>
      </c>
      <c r="AR291" s="30" t="inlineStr">
        <is>
          <t>Higher One Time, Lower Annuity</t>
        </is>
      </c>
      <c r="AS291" s="30">
        <f>IF(AR291="Fully Annuity",10,IF(AR291="Higher Annuity, Lower One Time",5,IF(AR291="Higher One Time, Lower Annuity",3,0)))</f>
        <v/>
      </c>
      <c r="AT291" s="30" t="inlineStr">
        <is>
          <t>Good</t>
        </is>
      </c>
      <c r="AU291" s="30">
        <f>IF(AT291="Good",10,0)</f>
        <v/>
      </c>
      <c r="AV291" s="30" t="inlineStr">
        <is>
          <t>Yes for more than 2 years</t>
        </is>
      </c>
      <c r="AW291" s="30">
        <f>IF(AV291="Yes for more than 2 years",10,IF(AV291="Yes only for next 1 to 2 years",5,0))</f>
        <v/>
      </c>
      <c r="AX291" s="30" t="inlineStr">
        <is>
          <t>Above 40</t>
        </is>
      </c>
      <c r="AY291" s="30">
        <f>IF(AX291="Above 40",20,IF(AX291="20 to 40",10,IF(AX291="0 to 20",-5,0)))</f>
        <v/>
      </c>
      <c r="AZ291" s="30" t="inlineStr">
        <is>
          <t>Between 50 to 75</t>
        </is>
      </c>
      <c r="BA291" s="30">
        <f>IF(AZ291="Between 50 to 75",10,IF(AZ291="Above 75",0,0))</f>
        <v/>
      </c>
      <c r="BB291" s="30" t="inlineStr">
        <is>
          <t>Stage 2</t>
        </is>
      </c>
      <c r="BC291" s="30">
        <f>IF(BB291="Stage 2",20,IF(BB291="Stage 1",0,IF(BB291="Stage 3",5,IF(BB291="Stage 4",-5,0))))</f>
        <v/>
      </c>
      <c r="BD291" s="30" t="inlineStr">
        <is>
          <t>Positive Trend</t>
        </is>
      </c>
      <c r="BE291" s="30">
        <f>IF(BD291="Positive Trend",20,IF(BD291="Negative Trend",-10,0))</f>
        <v/>
      </c>
      <c r="BF291" s="30" t="inlineStr">
        <is>
          <t>Uptrend</t>
        </is>
      </c>
      <c r="BG291" s="30">
        <f>IF(BF291="Uptrend",10,IF(BF291="Sideways",5,0))</f>
        <v/>
      </c>
      <c r="BH291" s="30" t="inlineStr">
        <is>
          <t>Uptrend</t>
        </is>
      </c>
      <c r="BI291" s="30">
        <f>IF(BH291="Uptrend",10,IF(BH291="Sideways",5,0))</f>
        <v/>
      </c>
      <c r="BJ291" s="30" t="inlineStr">
        <is>
          <t>Close to 52 week high or retracement</t>
        </is>
      </c>
      <c r="BK291" s="30">
        <f>IF(BJ291="Overhead supply in last 2 years in last 2 years",-5,IF(BJ291="Close to 52 week high or retracement",5,IF(BJ291="Blue sky scenario",10,IF(BJ291="Long term Downtrend",-10,0))))</f>
        <v/>
      </c>
      <c r="BL291" s="30" t="inlineStr">
        <is>
          <t>Yes</t>
        </is>
      </c>
      <c r="BM291" s="30">
        <f>IF(BL291="Yes",10,0)</f>
        <v/>
      </c>
      <c r="BN291" s="30" t="inlineStr">
        <is>
          <t>Less than 12%</t>
        </is>
      </c>
      <c r="BO291" s="30">
        <f>IF(BN291="More than 20%",10,IF(BN291="Between 12 to 20%",5,IF(BN291="Less than 12%",0,0)))</f>
        <v/>
      </c>
      <c r="BP291" s="30" t="inlineStr">
        <is>
          <t>No</t>
        </is>
      </c>
      <c r="BQ291" s="30">
        <f>IF(BP291="No",10,0)</f>
        <v/>
      </c>
      <c r="BR291" s="30" t="inlineStr">
        <is>
          <t>No</t>
        </is>
      </c>
      <c r="BS291" s="30">
        <f>IF(BR291="NO",5,0)</f>
        <v/>
      </c>
      <c r="BT291" s="30" t="inlineStr">
        <is>
          <t>Above 2</t>
        </is>
      </c>
      <c r="BU291" s="30">
        <f>IF(BT291="Above 2",0,IF(BT291="Between 1.5 to 2",5,IF(BT291="Less than 1.5",10,0)))</f>
        <v/>
      </c>
      <c r="BV291" s="30" t="inlineStr">
        <is>
          <t>Above 70%</t>
        </is>
      </c>
      <c r="BW291" s="30">
        <f>IF(BV291="Above 70%",10,IF(BV291="Between 50% to 70%",5,IF(BV291="Less than 50%",0,IF(BV291="Negative",-10,IF(BV291="Less than 50% and Borrowings are increasing",-5,0)))))</f>
        <v/>
      </c>
      <c r="BX291" s="30" t="inlineStr">
        <is>
          <t>Less than 0.7</t>
        </is>
      </c>
      <c r="BY291" s="30">
        <f>IF(BX291="More than 1.2",-10,IF(BX291="Between 0.7 to 1.2",0,IF(BX291="Less than 0.7",10,0)))</f>
        <v/>
      </c>
      <c r="BZ291" s="30" t="inlineStr">
        <is>
          <t>No</t>
        </is>
      </c>
      <c r="CA291" s="30">
        <f>IF(BZ291="Yes",-10,0)</f>
        <v/>
      </c>
      <c r="CB291" s="30" t="inlineStr">
        <is>
          <t>Less than 15%</t>
        </is>
      </c>
      <c r="CC291" s="30">
        <f>IF(CB291="More than 15%",-10,IF(CB291="Less than 15%",10,0))</f>
        <v/>
      </c>
      <c r="CD291" s="30" t="inlineStr">
        <is>
          <t>No</t>
        </is>
      </c>
      <c r="CE291" s="30">
        <f>IF(CD291="Yes, more than 10%",-10,IF(CD291="No",10,0))</f>
        <v/>
      </c>
    </row>
    <row r="292">
      <c r="A292" s="30">
        <f>IF(B292=0,"",RANK(B292,$B$2:$B$331,0))</f>
        <v/>
      </c>
      <c r="B292" s="31">
        <f>SUM(N292,Y292,AA292,AC292,AE292,AG292,AI292,AK292,AM292,AO292,AQ292,AS292,AU292,AW292,AY292,BA292,BC292,BE292,BG292,BI292,BK292,BM292,BO292,BQ292,BS292,BU292,BW292,BY292,CA292,CC292,CE292)</f>
        <v/>
      </c>
      <c r="C292" s="30" t="inlineStr">
        <is>
          <t>TNPETRO</t>
        </is>
      </c>
      <c r="D292" s="30" t="inlineStr">
        <is>
          <t>Tamilnadu Petroproducts Limited</t>
        </is>
      </c>
      <c r="E292" s="30" t="inlineStr">
        <is>
          <t>energy</t>
        </is>
      </c>
      <c r="F292" s="30" t="inlineStr">
        <is>
          <t>petrochemicals</t>
        </is>
      </c>
      <c r="G292" s="30" t="inlineStr">
        <is>
          <t>smallcap</t>
        </is>
      </c>
      <c r="H292" s="31" t="n">
        <v>1238.01</v>
      </c>
      <c r="I292" s="31" t="n">
        <v>133.14</v>
      </c>
      <c r="J292" s="31" t="n">
        <v>-3.24</v>
      </c>
      <c r="K292" s="31" t="n">
        <v>854501</v>
      </c>
      <c r="L292" s="30" t="n">
        <v>59</v>
      </c>
      <c r="M292" s="30" t="inlineStr">
        <is>
          <t>Outperforming</t>
        </is>
      </c>
      <c r="N292" s="31">
        <f>IF(M292="Underperforming",-5,IF(L292&gt;=95,15,IF(L292&gt;=90,10,IF(L292&gt;=80,5,0))))</f>
        <v/>
      </c>
      <c r="O292" s="31" t="n">
        <v>78.26000000000001</v>
      </c>
      <c r="P292" s="31" t="n">
        <v>37</v>
      </c>
      <c r="Q292" s="31" t="n">
        <v>101.82</v>
      </c>
      <c r="R292" s="30" t="inlineStr">
        <is>
          <t>Near 52W High Breakout</t>
        </is>
      </c>
      <c r="S292" s="30" t="inlineStr">
        <is>
          <t>Nifty Energy</t>
        </is>
      </c>
      <c r="T292" s="31" t="n">
        <v>8.43</v>
      </c>
      <c r="U292" s="31" t="n">
        <v>31.45</v>
      </c>
      <c r="V292" s="31" t="n">
        <v>21.23</v>
      </c>
      <c r="W292" s="31" t="n">
        <v>18.36</v>
      </c>
      <c r="X292" s="30" t="inlineStr">
        <is>
          <t>Cyclical in an Upturn</t>
        </is>
      </c>
      <c r="Y292" s="30">
        <f>IF(X292="Growing Industry",10,IF(X292="Cyclical in an Upturn",5,0))</f>
        <v/>
      </c>
      <c r="Z292" s="30" t="inlineStr">
        <is>
          <t>Oligopoly</t>
        </is>
      </c>
      <c r="AA292" s="30">
        <f>IF(Z292="Monopoly",10,IF(Z292="Oligopoly",5,IF(Z292="Duopoly that cooperate",10,IF(Z292="Duopoly that compete",5,IF(Z292="Too many players with High ROCE",5,0)))))</f>
        <v/>
      </c>
      <c r="AB292" s="30" t="inlineStr">
        <is>
          <t>Yes</t>
        </is>
      </c>
      <c r="AC292" s="30">
        <f>IF(AB292="No",5,0)</f>
        <v/>
      </c>
      <c r="AD292" s="30" t="inlineStr">
        <is>
          <t>Tailwind</t>
        </is>
      </c>
      <c r="AE292" s="30">
        <f>IF(AD292="Tailwind",10,0)</f>
        <v/>
      </c>
      <c r="AF292" s="30" t="inlineStr">
        <is>
          <t>Cyclical</t>
        </is>
      </c>
      <c r="AG292" s="30">
        <f>IF(AF292="Structural (10 Years Consistency)",10,IF(AF292="Shallow Cyclical (2 to 3 years growth)",5,0))</f>
        <v/>
      </c>
      <c r="AH292" s="30" t="inlineStr">
        <is>
          <t>No</t>
        </is>
      </c>
      <c r="AI292" s="30">
        <f>IF(AH292="Yes due to Product Mix change or Operating Leverage",10,IF(AH292="Yes, these are peak margins",-5,IF(AH292="No",5,0)))</f>
        <v/>
      </c>
      <c r="AJ292" s="30" t="inlineStr">
        <is>
          <t>Volatile</t>
        </is>
      </c>
      <c r="AK292" s="30">
        <f>IF(AJ292="Stable",10,0)</f>
        <v/>
      </c>
      <c r="AL292" s="30" t="inlineStr">
        <is>
          <t>Yes</t>
        </is>
      </c>
      <c r="AM292" s="30">
        <f>IF(AL292="Yes",10,0)</f>
        <v/>
      </c>
      <c r="AN292" s="30" t="inlineStr">
        <is>
          <t>B2B</t>
        </is>
      </c>
      <c r="AO292" s="30">
        <f>IF(AN292="B2C",10,IF(AN292="B2B",5,0))</f>
        <v/>
      </c>
      <c r="AP292" s="30" t="inlineStr">
        <is>
          <t>Yes</t>
        </is>
      </c>
      <c r="AQ292" s="30">
        <f>IF(AP292="Yes",10,0)</f>
        <v/>
      </c>
      <c r="AR292" s="30" t="inlineStr">
        <is>
          <t>Higher One Time, Lower Annuity</t>
        </is>
      </c>
      <c r="AS292" s="30">
        <f>IF(AR292="Fully Annuity",10,IF(AR292="Higher Annuity, Lower One Time",5,IF(AR292="Higher One Time, Lower Annuity",3,0)))</f>
        <v/>
      </c>
      <c r="AT292" s="30" t="inlineStr">
        <is>
          <t>Good</t>
        </is>
      </c>
      <c r="AU292" s="30">
        <f>IF(AT292="Good",10,0)</f>
        <v/>
      </c>
      <c r="AV292" s="30" t="inlineStr">
        <is>
          <t>Yes for more than 2 years</t>
        </is>
      </c>
      <c r="AW292" s="30">
        <f>IF(AV292="Yes for more than 2 years",10,IF(AV292="Yes only for next 1 to 2 years",5,0))</f>
        <v/>
      </c>
      <c r="AX292" s="30" t="inlineStr">
        <is>
          <t>20 to 40</t>
        </is>
      </c>
      <c r="AY292" s="30">
        <f>IF(AX292="Above 40",20,IF(AX292="20 to 40",10,IF(AX292="0 to 20",-5,0)))</f>
        <v/>
      </c>
      <c r="AZ292" s="30" t="inlineStr">
        <is>
          <t>Above 75</t>
        </is>
      </c>
      <c r="BA292" s="30">
        <f>IF(AZ292="Between 50 to 75",10,IF(AZ292="Above 75",0,0))</f>
        <v/>
      </c>
      <c r="BB292" s="30" t="inlineStr">
        <is>
          <t>Stage 2</t>
        </is>
      </c>
      <c r="BC292" s="30">
        <f>IF(BB292="Stage 2",20,IF(BB292="Stage 1",0,IF(BB292="Stage 3",5,IF(BB292="Stage 4",-5,0))))</f>
        <v/>
      </c>
      <c r="BD292" s="30" t="inlineStr">
        <is>
          <t>Positive Trend</t>
        </is>
      </c>
      <c r="BE292" s="30">
        <f>IF(BD292="Positive Trend",20,IF(BD292="Negative Trend",-10,0))</f>
        <v/>
      </c>
      <c r="BF292" s="30" t="inlineStr">
        <is>
          <t>Uptrend</t>
        </is>
      </c>
      <c r="BG292" s="30">
        <f>IF(BF292="Uptrend",10,IF(BF292="Sideways",5,0))</f>
        <v/>
      </c>
      <c r="BH292" s="30" t="inlineStr">
        <is>
          <t>Uptrend</t>
        </is>
      </c>
      <c r="BI292" s="30">
        <f>IF(BH292="Uptrend",10,IF(BH292="Sideways",5,0))</f>
        <v/>
      </c>
      <c r="BJ292" s="30" t="inlineStr">
        <is>
          <t>Blue sky scenario</t>
        </is>
      </c>
      <c r="BK292" s="30">
        <f>IF(BJ292="Overhead supply in last 2 years in last 2 years",-5,IF(BJ292="Close to 52 week high or retracement",5,IF(BJ292="Blue sky scenario",10,IF(BJ292="Long term Downtrend",-10,0))))</f>
        <v/>
      </c>
      <c r="BL292" s="30" t="inlineStr">
        <is>
          <t>Yes</t>
        </is>
      </c>
      <c r="BM292" s="30">
        <f>IF(BL292="Yes",10,0)</f>
        <v/>
      </c>
      <c r="BN292" s="30" t="inlineStr">
        <is>
          <t>More than 20%</t>
        </is>
      </c>
      <c r="BO292" s="30">
        <f>IF(BN292="More than 20%",10,IF(BN292="Between 12 to 20%",5,IF(BN292="Less than 12%",0,0)))</f>
        <v/>
      </c>
      <c r="BP292" s="30" t="inlineStr">
        <is>
          <t>No</t>
        </is>
      </c>
      <c r="BQ292" s="30">
        <f>IF(BP292="No",10,0)</f>
        <v/>
      </c>
      <c r="BR292" s="30" t="inlineStr">
        <is>
          <t>No</t>
        </is>
      </c>
      <c r="BS292" s="30">
        <f>IF(BR292="NO",5,0)</f>
        <v/>
      </c>
      <c r="BT292" s="30" t="inlineStr">
        <is>
          <t>Above 2</t>
        </is>
      </c>
      <c r="BU292" s="30">
        <f>IF(BT292="Above 2",0,IF(BT292="Between 1.5 to 2",5,IF(BT292="Less than 1.5",10,0)))</f>
        <v/>
      </c>
      <c r="BV292" s="30" t="inlineStr">
        <is>
          <t>Above 70%</t>
        </is>
      </c>
      <c r="BW292" s="30">
        <f>IF(BV292="Above 70%",10,IF(BV292="Between 50% to 70%",5,IF(BV292="Less than 50%",0,IF(BV292="Negative",-10,IF(BV292="Less than 50% and Borrowings are increasing",-5,0)))))</f>
        <v/>
      </c>
      <c r="BX292" s="30" t="inlineStr">
        <is>
          <t>Less than 0.7</t>
        </is>
      </c>
      <c r="BY292" s="30">
        <f>IF(BX292="More than 1.2",-10,IF(BX292="Between 0.7 to 1.2",0,IF(BX292="Less than 0.7",10,0)))</f>
        <v/>
      </c>
      <c r="BZ292" s="30" t="inlineStr">
        <is>
          <t>No</t>
        </is>
      </c>
      <c r="CA292" s="30">
        <f>IF(BZ292="Yes",-10,0)</f>
        <v/>
      </c>
      <c r="CB292" s="30" t="inlineStr">
        <is>
          <t>Less than 15%</t>
        </is>
      </c>
      <c r="CC292" s="30">
        <f>IF(CB292="More than 15%",-10,IF(CB292="Less than 15%",10,0))</f>
        <v/>
      </c>
      <c r="CD292" s="30" t="inlineStr">
        <is>
          <t>No</t>
        </is>
      </c>
      <c r="CE292" s="30">
        <f>IF(CD292="Yes, more than 10%",-10,IF(CD292="No",10,0))</f>
        <v/>
      </c>
    </row>
    <row r="293">
      <c r="A293" s="30">
        <f>IF(B293=0,"",RANK(B293,$B$2:$B$331,0))</f>
        <v/>
      </c>
      <c r="B293" s="31">
        <f>SUM(N293,Y293,AA293,AC293,AE293,AG293,AI293,AK293,AM293,AO293,AQ293,AS293,AU293,AW293,AY293,BA293,BC293,BE293,BG293,BI293,BK293,BM293,BO293,BQ293,BS293,BU293,BW293,BY293,CA293,CC293,CE293)</f>
        <v/>
      </c>
      <c r="C293" s="32" t="inlineStr">
        <is>
          <t>BEML</t>
        </is>
      </c>
      <c r="D293" s="32" t="inlineStr">
        <is>
          <t>Beml Limited</t>
        </is>
      </c>
      <c r="E293" s="30" t="inlineStr">
        <is>
          <t>aerospace &amp; defence</t>
        </is>
      </c>
      <c r="F293" s="30" t="inlineStr">
        <is>
          <t>engineering</t>
        </is>
      </c>
      <c r="G293" s="30" t="inlineStr">
        <is>
          <t>midcap</t>
        </is>
      </c>
      <c r="H293" s="31" t="n">
        <v>17472.37</v>
      </c>
      <c r="I293" s="31" t="n">
        <v>2029</v>
      </c>
      <c r="J293" s="31" t="n">
        <v>-3.28</v>
      </c>
      <c r="K293" s="31" t="n">
        <v>403865</v>
      </c>
      <c r="L293" s="30" t="n">
        <v>7</v>
      </c>
      <c r="M293" s="30" t="inlineStr">
        <is>
          <t>Underperforming</t>
        </is>
      </c>
      <c r="N293" s="31">
        <f>IF(M293="Underperforming",-5,IF(L293&gt;=95,15,IF(L293&gt;=90,10,IF(L293&gt;=80,5,0))))</f>
        <v/>
      </c>
      <c r="O293" s="31" t="n">
        <v>62.31</v>
      </c>
      <c r="P293" s="31" t="n">
        <v>17.04</v>
      </c>
      <c r="Q293" s="31" t="n">
        <v>1627.18</v>
      </c>
      <c r="R293" s="30" t="inlineStr">
        <is>
          <t>Earnings / Momentum Support</t>
        </is>
      </c>
      <c r="S293" s="30" t="inlineStr">
        <is>
          <t>Nifty 50</t>
        </is>
      </c>
      <c r="T293" s="31" t="n">
        <v>-6.52</v>
      </c>
      <c r="U293" s="31" t="n">
        <v>-7.92</v>
      </c>
      <c r="V293" s="31" t="n">
        <v>-1.5</v>
      </c>
      <c r="W293" s="31" t="n">
        <v>2.39</v>
      </c>
      <c r="X293" s="30" t="inlineStr">
        <is>
          <t>Growing Industry</t>
        </is>
      </c>
      <c r="Y293" s="30">
        <f>IF(X293="Growing Industry",10,IF(X293="Cyclical in an Upturn",5,0))</f>
        <v/>
      </c>
      <c r="Z293" s="30" t="inlineStr">
        <is>
          <t>Too Many Players with High ROCE</t>
        </is>
      </c>
      <c r="AA293" s="30">
        <f>IF(Z293="Monopoly",10,IF(Z293="Oligopoly",5,IF(Z293="Duopoly that cooperate",10,IF(Z293="Duopoly that compete",5,IF(Z293="Too many players with High ROCE",5,0)))))</f>
        <v/>
      </c>
      <c r="AB293" s="30" t="inlineStr">
        <is>
          <t>No</t>
        </is>
      </c>
      <c r="AC293" s="30">
        <f>IF(AB293="No",5,0)</f>
        <v/>
      </c>
      <c r="AD293" s="30" t="inlineStr">
        <is>
          <t>Tailwind</t>
        </is>
      </c>
      <c r="AE293" s="30">
        <f>IF(AD293="Tailwind",10,0)</f>
        <v/>
      </c>
      <c r="AF293" s="30" t="inlineStr">
        <is>
          <t>Structural (10 Years Consistency)</t>
        </is>
      </c>
      <c r="AG293" s="30">
        <f>IF(AF293="Structural (10 Years Consistency)",10,IF(AF293="Shallow Cyclical (2 to 3 years growth)",5,0))</f>
        <v/>
      </c>
      <c r="AH293" s="30" t="inlineStr">
        <is>
          <t>No</t>
        </is>
      </c>
      <c r="AI293" s="30">
        <f>IF(AH293="Yes due to Product Mix change or Operating Leverage",10,IF(AH293="Yes, these are peak margins",-5,IF(AH293="No",5,0)))</f>
        <v/>
      </c>
      <c r="AJ293" s="30" t="inlineStr">
        <is>
          <t>Stable</t>
        </is>
      </c>
      <c r="AK293" s="30">
        <f>IF(AJ293="Stable",10,0)</f>
        <v/>
      </c>
      <c r="AL293" s="30" t="inlineStr">
        <is>
          <t>Yes</t>
        </is>
      </c>
      <c r="AM293" s="30">
        <f>IF(AL293="Yes",10,0)</f>
        <v/>
      </c>
      <c r="AN293" s="30" t="inlineStr">
        <is>
          <t>B2B</t>
        </is>
      </c>
      <c r="AO293" s="30">
        <f>IF(AN293="B2C",10,IF(AN293="B2B",5,0))</f>
        <v/>
      </c>
      <c r="AP293" s="30" t="inlineStr">
        <is>
          <t>No</t>
        </is>
      </c>
      <c r="AQ293" s="30">
        <f>IF(AP293="Yes",10,0)</f>
        <v/>
      </c>
      <c r="AR293" s="30" t="inlineStr">
        <is>
          <t>Higher One Time, Lower Annuity</t>
        </is>
      </c>
      <c r="AS293" s="30">
        <f>IF(AR293="Fully Annuity",10,IF(AR293="Higher Annuity, Lower One Time",5,IF(AR293="Higher One Time, Lower Annuity",3,0)))</f>
        <v/>
      </c>
      <c r="AT293" s="30" t="inlineStr">
        <is>
          <t>Good</t>
        </is>
      </c>
      <c r="AU293" s="30">
        <f>IF(AT293="Good",10,0)</f>
        <v/>
      </c>
      <c r="AV293" s="30" t="inlineStr">
        <is>
          <t>Yes for more than 2 years</t>
        </is>
      </c>
      <c r="AW293" s="30">
        <f>IF(AV293="Yes for more than 2 years",10,IF(AV293="Yes only for next 1 to 2 years",5,0))</f>
        <v/>
      </c>
      <c r="AX293" s="30" t="inlineStr">
        <is>
          <t>0 to 20</t>
        </is>
      </c>
      <c r="AY293" s="30">
        <f>IF(AX293="Above 40",20,IF(AX293="20 to 40",10,IF(AX293="0 to 20",-5,0)))</f>
        <v/>
      </c>
      <c r="AZ293" s="30" t="inlineStr">
        <is>
          <t>Between 50 to 75</t>
        </is>
      </c>
      <c r="BA293" s="30">
        <f>IF(AZ293="Between 50 to 75",10,IF(AZ293="Above 75",0,0))</f>
        <v/>
      </c>
      <c r="BB293" s="30" t="inlineStr">
        <is>
          <t>Stage 2</t>
        </is>
      </c>
      <c r="BC293" s="30">
        <f>IF(BB293="Stage 2",20,IF(BB293="Stage 1",0,IF(BB293="Stage 3",5,IF(BB293="Stage 4",-5,0))))</f>
        <v/>
      </c>
      <c r="BD293" s="30" t="inlineStr">
        <is>
          <t>Positive Trend</t>
        </is>
      </c>
      <c r="BE293" s="30">
        <f>IF(BD293="Positive Trend",20,IF(BD293="Negative Trend",-10,0))</f>
        <v/>
      </c>
      <c r="BF293" s="30" t="inlineStr">
        <is>
          <t>Uptrend</t>
        </is>
      </c>
      <c r="BG293" s="30">
        <f>IF(BF293="Uptrend",10,IF(BF293="Sideways",5,0))</f>
        <v/>
      </c>
      <c r="BH293" s="30" t="inlineStr">
        <is>
          <t>Uptrend</t>
        </is>
      </c>
      <c r="BI293" s="30">
        <f>IF(BH293="Uptrend",10,IF(BH293="Sideways",5,0))</f>
        <v/>
      </c>
      <c r="BJ293" s="30" t="inlineStr">
        <is>
          <t>Close to 52 week high or retracement</t>
        </is>
      </c>
      <c r="BK293" s="30">
        <f>IF(BJ293="Overhead supply in last 2 years in last 2 years",-5,IF(BJ293="Close to 52 week high or retracement",5,IF(BJ293="Blue sky scenario",10,IF(BJ293="Long term Downtrend",-10,0))))</f>
        <v/>
      </c>
      <c r="BL293" s="30" t="inlineStr">
        <is>
          <t>Yes</t>
        </is>
      </c>
      <c r="BM293" s="30">
        <f>IF(BL293="Yes",10,0)</f>
        <v/>
      </c>
      <c r="BN293" s="30" t="inlineStr">
        <is>
          <t>More than 20%</t>
        </is>
      </c>
      <c r="BO293" s="30">
        <f>IF(BN293="More than 20%",10,IF(BN293="Between 12 to 20%",5,IF(BN293="Less than 12%",0,0)))</f>
        <v/>
      </c>
      <c r="BP293" s="30" t="inlineStr">
        <is>
          <t>No</t>
        </is>
      </c>
      <c r="BQ293" s="30">
        <f>IF(BP293="No",10,0)</f>
        <v/>
      </c>
      <c r="BR293" s="30" t="inlineStr">
        <is>
          <t>Yes</t>
        </is>
      </c>
      <c r="BS293" s="30">
        <f>IF(BR293="NO",5,0)</f>
        <v/>
      </c>
      <c r="BT293" s="30" t="inlineStr">
        <is>
          <t>Above 2</t>
        </is>
      </c>
      <c r="BU293" s="30">
        <f>IF(BT293="Above 2",0,IF(BT293="Between 1.5 to 2",5,IF(BT293="Less than 1.5",10,0)))</f>
        <v/>
      </c>
      <c r="BV293" s="30" t="inlineStr">
        <is>
          <t>Above 70%</t>
        </is>
      </c>
      <c r="BW293" s="30">
        <f>IF(BV293="Above 70%",10,IF(BV293="Between 50% to 70%",5,IF(BV293="Less than 50%",0,IF(BV293="Negative",-10,IF(BV293="Less than 50% and Borrowings are increasing",-5,0)))))</f>
        <v/>
      </c>
      <c r="BX293" s="30" t="inlineStr">
        <is>
          <t>Less than 0.7</t>
        </is>
      </c>
      <c r="BY293" s="30">
        <f>IF(BX293="More than 1.2",-10,IF(BX293="Between 0.7 to 1.2",0,IF(BX293="Less than 0.7",10,0)))</f>
        <v/>
      </c>
      <c r="BZ293" s="30" t="inlineStr">
        <is>
          <t>No</t>
        </is>
      </c>
      <c r="CA293" s="30">
        <f>IF(BZ293="Yes",-10,0)</f>
        <v/>
      </c>
      <c r="CB293" s="30" t="inlineStr">
        <is>
          <t>Less than 15%</t>
        </is>
      </c>
      <c r="CC293" s="30">
        <f>IF(CB293="More than 15%",-10,IF(CB293="Less than 15%",10,0))</f>
        <v/>
      </c>
      <c r="CD293" s="30" t="inlineStr">
        <is>
          <t>No</t>
        </is>
      </c>
      <c r="CE293" s="30">
        <f>IF(CD293="Yes, more than 10%",-10,IF(CD293="No",10,0))</f>
        <v/>
      </c>
    </row>
    <row r="294">
      <c r="A294" s="30">
        <f>IF(B294=0,"",RANK(B294,$B$2:$B$331,0))</f>
        <v/>
      </c>
      <c r="B294" s="31">
        <f>SUM(N294,Y294,AA294,AC294,AE294,AG294,AI294,AK294,AM294,AO294,AQ294,AS294,AU294,AW294,AY294,BA294,BC294,BE294,BG294,BI294,BK294,BM294,BO294,BQ294,BS294,BU294,BW294,BY294,CA294,CC294,CE294)</f>
        <v/>
      </c>
      <c r="C294" s="30" t="inlineStr">
        <is>
          <t>HINDOILEXP</t>
        </is>
      </c>
      <c r="D294" s="30" t="inlineStr">
        <is>
          <t>Hindustan Oil Exploration Company Limited</t>
        </is>
      </c>
      <c r="E294" s="30" t="inlineStr">
        <is>
          <t>energy</t>
        </is>
      </c>
      <c r="F294" s="30" t="inlineStr">
        <is>
          <t>oil drilling / allied services</t>
        </is>
      </c>
      <c r="G294" s="30" t="inlineStr">
        <is>
          <t>smallcap</t>
        </is>
      </c>
      <c r="H294" s="31" t="n">
        <v>2589.72</v>
      </c>
      <c r="I294" s="31" t="n">
        <v>187.66</v>
      </c>
      <c r="J294" s="31" t="n">
        <v>-4.17</v>
      </c>
      <c r="K294" s="31" t="n">
        <v>1268291</v>
      </c>
      <c r="L294" s="30" t="n">
        <v>28</v>
      </c>
      <c r="M294" s="30" t="inlineStr">
        <is>
          <t>Outperforming</t>
        </is>
      </c>
      <c r="N294" s="31">
        <f>IF(M294="Underperforming",-5,IF(L294&gt;=95,15,IF(L294&gt;=90,10,IF(L294&gt;=80,5,0))))</f>
        <v/>
      </c>
      <c r="O294" s="31" t="n">
        <v>65.31999999999999</v>
      </c>
      <c r="P294" s="31" t="n">
        <v>41</v>
      </c>
      <c r="Q294" s="31" t="n">
        <v>143.24</v>
      </c>
      <c r="R294" s="30" t="inlineStr">
        <is>
          <t>Near 52W High Breakout</t>
        </is>
      </c>
      <c r="S294" s="30" t="inlineStr">
        <is>
          <t>Nifty Energy</t>
        </is>
      </c>
      <c r="T294" s="31" t="n">
        <v>8.43</v>
      </c>
      <c r="U294" s="31" t="n">
        <v>15.9</v>
      </c>
      <c r="V294" s="31" t="n">
        <v>6.88</v>
      </c>
      <c r="W294" s="31" t="n">
        <v>8.73</v>
      </c>
      <c r="X294" s="30" t="inlineStr">
        <is>
          <t>Cyclical in an Upturn</t>
        </is>
      </c>
      <c r="Y294" s="30">
        <f>IF(X294="Growing Industry",10,IF(X294="Cyclical in an Upturn",5,0))</f>
        <v/>
      </c>
      <c r="Z294" s="30" t="inlineStr">
        <is>
          <t>Oligopoly</t>
        </is>
      </c>
      <c r="AA294" s="30">
        <f>IF(Z294="Monopoly",10,IF(Z294="Oligopoly",5,IF(Z294="Duopoly that cooperate",10,IF(Z294="Duopoly that compete",5,IF(Z294="Too many players with High ROCE",5,0)))))</f>
        <v/>
      </c>
      <c r="AB294" s="30" t="inlineStr">
        <is>
          <t>Yes</t>
        </is>
      </c>
      <c r="AC294" s="30">
        <f>IF(AB294="No",5,0)</f>
        <v/>
      </c>
      <c r="AD294" s="30" t="inlineStr">
        <is>
          <t>Tailwind</t>
        </is>
      </c>
      <c r="AE294" s="30">
        <f>IF(AD294="Tailwind",10,0)</f>
        <v/>
      </c>
      <c r="AF294" s="30" t="inlineStr">
        <is>
          <t>Cyclical</t>
        </is>
      </c>
      <c r="AG294" s="30">
        <f>IF(AF294="Structural (10 Years Consistency)",10,IF(AF294="Shallow Cyclical (2 to 3 years growth)",5,0))</f>
        <v/>
      </c>
      <c r="AH294" s="30" t="inlineStr">
        <is>
          <t>No</t>
        </is>
      </c>
      <c r="AI294" s="30">
        <f>IF(AH294="Yes due to Product Mix change or Operating Leverage",10,IF(AH294="Yes, these are peak margins",-5,IF(AH294="No",5,0)))</f>
        <v/>
      </c>
      <c r="AJ294" s="30" t="inlineStr">
        <is>
          <t>Volatile</t>
        </is>
      </c>
      <c r="AK294" s="30">
        <f>IF(AJ294="Stable",10,0)</f>
        <v/>
      </c>
      <c r="AL294" s="30" t="inlineStr">
        <is>
          <t>Yes</t>
        </is>
      </c>
      <c r="AM294" s="30">
        <f>IF(AL294="Yes",10,0)</f>
        <v/>
      </c>
      <c r="AN294" s="30" t="inlineStr">
        <is>
          <t>B2B</t>
        </is>
      </c>
      <c r="AO294" s="30">
        <f>IF(AN294="B2C",10,IF(AN294="B2B",5,0))</f>
        <v/>
      </c>
      <c r="AP294" s="30" t="inlineStr">
        <is>
          <t>Yes</t>
        </is>
      </c>
      <c r="AQ294" s="30">
        <f>IF(AP294="Yes",10,0)</f>
        <v/>
      </c>
      <c r="AR294" s="30" t="inlineStr">
        <is>
          <t>Higher One Time, Lower Annuity</t>
        </is>
      </c>
      <c r="AS294" s="30">
        <f>IF(AR294="Fully Annuity",10,IF(AR294="Higher Annuity, Lower One Time",5,IF(AR294="Higher One Time, Lower Annuity",3,0)))</f>
        <v/>
      </c>
      <c r="AT294" s="30" t="inlineStr">
        <is>
          <t>Good</t>
        </is>
      </c>
      <c r="AU294" s="30">
        <f>IF(AT294="Good",10,0)</f>
        <v/>
      </c>
      <c r="AV294" s="30" t="inlineStr">
        <is>
          <t>Yes for more than 2 years</t>
        </is>
      </c>
      <c r="AW294" s="30">
        <f>IF(AV294="Yes for more than 2 years",10,IF(AV294="Yes only for next 1 to 2 years",5,0))</f>
        <v/>
      </c>
      <c r="AX294" s="30" t="inlineStr">
        <is>
          <t>Above 40</t>
        </is>
      </c>
      <c r="AY294" s="30">
        <f>IF(AX294="Above 40",20,IF(AX294="20 to 40",10,IF(AX294="0 to 20",-5,0)))</f>
        <v/>
      </c>
      <c r="AZ294" s="30" t="inlineStr">
        <is>
          <t>Between 50 to 75</t>
        </is>
      </c>
      <c r="BA294" s="30">
        <f>IF(AZ294="Between 50 to 75",10,IF(AZ294="Above 75",0,0))</f>
        <v/>
      </c>
      <c r="BB294" s="30" t="inlineStr">
        <is>
          <t>Stage 2</t>
        </is>
      </c>
      <c r="BC294" s="30">
        <f>IF(BB294="Stage 2",20,IF(BB294="Stage 1",0,IF(BB294="Stage 3",5,IF(BB294="Stage 4",-5,0))))</f>
        <v/>
      </c>
      <c r="BD294" s="30" t="inlineStr">
        <is>
          <t>Positive Trend</t>
        </is>
      </c>
      <c r="BE294" s="30">
        <f>IF(BD294="Positive Trend",20,IF(BD294="Negative Trend",-10,0))</f>
        <v/>
      </c>
      <c r="BF294" s="30" t="inlineStr">
        <is>
          <t>Uptrend</t>
        </is>
      </c>
      <c r="BG294" s="30">
        <f>IF(BF294="Uptrend",10,IF(BF294="Sideways",5,0))</f>
        <v/>
      </c>
      <c r="BH294" s="30" t="inlineStr">
        <is>
          <t>Uptrend</t>
        </is>
      </c>
      <c r="BI294" s="30">
        <f>IF(BH294="Uptrend",10,IF(BH294="Sideways",5,0))</f>
        <v/>
      </c>
      <c r="BJ294" s="30" t="inlineStr">
        <is>
          <t>Close to 52 week high or retracement</t>
        </is>
      </c>
      <c r="BK294" s="30">
        <f>IF(BJ294="Overhead supply in last 2 years in last 2 years",-5,IF(BJ294="Close to 52 week high or retracement",5,IF(BJ294="Blue sky scenario",10,IF(BJ294="Long term Downtrend",-10,0))))</f>
        <v/>
      </c>
      <c r="BL294" s="30" t="inlineStr">
        <is>
          <t>Yes</t>
        </is>
      </c>
      <c r="BM294" s="30">
        <f>IF(BL294="Yes",10,0)</f>
        <v/>
      </c>
      <c r="BN294" s="30" t="inlineStr">
        <is>
          <t>Less than 12%</t>
        </is>
      </c>
      <c r="BO294" s="30">
        <f>IF(BN294="More than 20%",10,IF(BN294="Between 12 to 20%",5,IF(BN294="Less than 12%",0,0)))</f>
        <v/>
      </c>
      <c r="BP294" s="30" t="inlineStr">
        <is>
          <t>No</t>
        </is>
      </c>
      <c r="BQ294" s="30">
        <f>IF(BP294="No",10,0)</f>
        <v/>
      </c>
      <c r="BR294" s="30" t="inlineStr">
        <is>
          <t>Yes</t>
        </is>
      </c>
      <c r="BS294" s="30">
        <f>IF(BR294="NO",5,0)</f>
        <v/>
      </c>
      <c r="BT294" s="30" t="inlineStr">
        <is>
          <t>Above 2</t>
        </is>
      </c>
      <c r="BU294" s="30">
        <f>IF(BT294="Above 2",0,IF(BT294="Between 1.5 to 2",5,IF(BT294="Less than 1.5",10,0)))</f>
        <v/>
      </c>
      <c r="BV294" s="30" t="inlineStr">
        <is>
          <t>Above 70%</t>
        </is>
      </c>
      <c r="BW294" s="30">
        <f>IF(BV294="Above 70%",10,IF(BV294="Between 50% to 70%",5,IF(BV294="Less than 50%",0,IF(BV294="Negative",-10,IF(BV294="Less than 50% and Borrowings are increasing",-5,0)))))</f>
        <v/>
      </c>
      <c r="BX294" s="30" t="inlineStr">
        <is>
          <t>Less than 0.7</t>
        </is>
      </c>
      <c r="BY294" s="30">
        <f>IF(BX294="More than 1.2",-10,IF(BX294="Between 0.7 to 1.2",0,IF(BX294="Less than 0.7",10,0)))</f>
        <v/>
      </c>
      <c r="BZ294" s="30" t="inlineStr">
        <is>
          <t>No</t>
        </is>
      </c>
      <c r="CA294" s="30">
        <f>IF(BZ294="Yes",-10,0)</f>
        <v/>
      </c>
      <c r="CB294" s="30" t="inlineStr">
        <is>
          <t>Less than 15%</t>
        </is>
      </c>
      <c r="CC294" s="30">
        <f>IF(CB294="More than 15%",-10,IF(CB294="Less than 15%",10,0))</f>
        <v/>
      </c>
      <c r="CD294" s="30" t="inlineStr">
        <is>
          <t>No</t>
        </is>
      </c>
      <c r="CE294" s="30">
        <f>IF(CD294="Yes, more than 10%",-10,IF(CD294="No",10,0))</f>
        <v/>
      </c>
    </row>
    <row r="295">
      <c r="A295" s="30">
        <f>IF(B295=0,"",RANK(B295,$B$2:$B$331,0))</f>
        <v/>
      </c>
      <c r="B295" s="31">
        <f>SUM(N295,Y295,AA295,AC295,AE295,AG295,AI295,AK295,AM295,AO295,AQ295,AS295,AU295,AW295,AY295,BA295,BC295,BE295,BG295,BI295,BK295,BM295,BO295,BQ295,BS295,BU295,BW295,BY295,CA295,CC295,CE295)</f>
        <v/>
      </c>
      <c r="C295" s="30" t="inlineStr">
        <is>
          <t>GODREJAGRO</t>
        </is>
      </c>
      <c r="D295" s="30" t="inlineStr">
        <is>
          <t>Godrej Agrovet Ltd</t>
        </is>
      </c>
      <c r="E295" s="30" t="inlineStr">
        <is>
          <t>fmcg</t>
        </is>
      </c>
      <c r="F295" s="30" t="inlineStr">
        <is>
          <t>food - processing - indian</t>
        </is>
      </c>
      <c r="G295" s="30" t="inlineStr">
        <is>
          <t>midcap</t>
        </is>
      </c>
      <c r="H295" s="31" t="n">
        <v>12977.57</v>
      </c>
      <c r="I295" s="31" t="n">
        <v>673.05</v>
      </c>
      <c r="J295" s="31" t="n">
        <v>-0.24</v>
      </c>
      <c r="K295" s="31" t="n">
        <v>424433</v>
      </c>
      <c r="L295" s="30" t="n">
        <v>5</v>
      </c>
      <c r="M295" s="30" t="inlineStr">
        <is>
          <t>Outperforming</t>
        </is>
      </c>
      <c r="N295" s="31">
        <f>IF(M295="Underperforming",-5,IF(L295&gt;=95,15,IF(L295&gt;=90,10,IF(L295&gt;=80,5,0))))</f>
        <v/>
      </c>
      <c r="O295" s="31" t="n">
        <v>68.84</v>
      </c>
      <c r="P295" s="31" t="n">
        <v>19.57</v>
      </c>
      <c r="Q295" s="31" t="n">
        <v>555.38</v>
      </c>
      <c r="R295" s="30" t="inlineStr">
        <is>
          <t>Earnings / Momentum Support</t>
        </is>
      </c>
      <c r="S295" s="30" t="inlineStr">
        <is>
          <t>Nifty FMCG</t>
        </is>
      </c>
      <c r="T295" s="31" t="n">
        <v>-17.21</v>
      </c>
      <c r="U295" s="31" t="n">
        <v>-17.14</v>
      </c>
      <c r="V295" s="31" t="n">
        <v>0.08</v>
      </c>
      <c r="W295" s="31" t="n">
        <v>0.72</v>
      </c>
      <c r="X295" s="30" t="inlineStr">
        <is>
          <t>Growing Industry</t>
        </is>
      </c>
      <c r="Y295" s="30">
        <f>IF(X295="Growing Industry",10,IF(X295="Cyclical in an Upturn",5,0))</f>
        <v/>
      </c>
      <c r="Z295" s="30" t="inlineStr">
        <is>
          <t>Too Many Players with High ROCE</t>
        </is>
      </c>
      <c r="AA295" s="30">
        <f>IF(Z295="Monopoly",10,IF(Z295="Oligopoly",5,IF(Z295="Duopoly that cooperate",10,IF(Z295="Duopoly that compete",5,IF(Z295="Too many players with High ROCE",5,0)))))</f>
        <v/>
      </c>
      <c r="AB295" s="30" t="inlineStr">
        <is>
          <t>No</t>
        </is>
      </c>
      <c r="AC295" s="30">
        <f>IF(AB295="No",5,0)</f>
        <v/>
      </c>
      <c r="AD295" s="30" t="inlineStr">
        <is>
          <t>Tailwind</t>
        </is>
      </c>
      <c r="AE295" s="30">
        <f>IF(AD295="Tailwind",10,0)</f>
        <v/>
      </c>
      <c r="AF295" s="30" t="inlineStr">
        <is>
          <t>Structural (10 Years Consistency)</t>
        </is>
      </c>
      <c r="AG295" s="30">
        <f>IF(AF295="Structural (10 Years Consistency)",10,IF(AF295="Shallow Cyclical (2 to 3 years growth)",5,0))</f>
        <v/>
      </c>
      <c r="AH295" s="30" t="inlineStr">
        <is>
          <t>No</t>
        </is>
      </c>
      <c r="AI295" s="30">
        <f>IF(AH295="Yes due to Product Mix change or Operating Leverage",10,IF(AH295="Yes, these are peak margins",-5,IF(AH295="No",5,0)))</f>
        <v/>
      </c>
      <c r="AJ295" s="30" t="inlineStr">
        <is>
          <t>Stable</t>
        </is>
      </c>
      <c r="AK295" s="30">
        <f>IF(AJ295="Stable",10,0)</f>
        <v/>
      </c>
      <c r="AL295" s="30" t="inlineStr">
        <is>
          <t>Yes</t>
        </is>
      </c>
      <c r="AM295" s="30">
        <f>IF(AL295="Yes",10,0)</f>
        <v/>
      </c>
      <c r="AN295" s="30" t="inlineStr">
        <is>
          <t>B2C</t>
        </is>
      </c>
      <c r="AO295" s="30">
        <f>IF(AN295="B2C",10,IF(AN295="B2B",5,0))</f>
        <v/>
      </c>
      <c r="AP295" s="30" t="inlineStr">
        <is>
          <t>No</t>
        </is>
      </c>
      <c r="AQ295" s="30">
        <f>IF(AP295="Yes",10,0)</f>
        <v/>
      </c>
      <c r="AR295" s="30" t="inlineStr">
        <is>
          <t>Higher Annuity, Lower One Time</t>
        </is>
      </c>
      <c r="AS295" s="30">
        <f>IF(AR295="Fully Annuity",10,IF(AR295="Higher Annuity, Lower One Time",5,IF(AR295="Higher One Time, Lower Annuity",3,0)))</f>
        <v/>
      </c>
      <c r="AT295" s="30" t="inlineStr">
        <is>
          <t>Good</t>
        </is>
      </c>
      <c r="AU295" s="30">
        <f>IF(AT295="Good",10,0)</f>
        <v/>
      </c>
      <c r="AV295" s="30" t="inlineStr">
        <is>
          <t>Yes for more than 2 years</t>
        </is>
      </c>
      <c r="AW295" s="30">
        <f>IF(AV295="Yes for more than 2 years",10,IF(AV295="Yes only for next 1 to 2 years",5,0))</f>
        <v/>
      </c>
      <c r="AX295" s="30" t="inlineStr">
        <is>
          <t>0 to 20</t>
        </is>
      </c>
      <c r="AY295" s="30">
        <f>IF(AX295="Above 40",20,IF(AX295="20 to 40",10,IF(AX295="0 to 20",-5,0)))</f>
        <v/>
      </c>
      <c r="AZ295" s="30" t="inlineStr">
        <is>
          <t>Between 50 to 75</t>
        </is>
      </c>
      <c r="BA295" s="30">
        <f>IF(AZ295="Between 50 to 75",10,IF(AZ295="Above 75",0,0))</f>
        <v/>
      </c>
      <c r="BB295" s="30" t="inlineStr">
        <is>
          <t>Stage 2</t>
        </is>
      </c>
      <c r="BC295" s="30">
        <f>IF(BB295="Stage 2",20,IF(BB295="Stage 1",0,IF(BB295="Stage 3",5,IF(BB295="Stage 4",-5,0))))</f>
        <v/>
      </c>
      <c r="BD295" s="30" t="inlineStr">
        <is>
          <t>Positive Trend</t>
        </is>
      </c>
      <c r="BE295" s="30">
        <f>IF(BD295="Positive Trend",20,IF(BD295="Negative Trend",-10,0))</f>
        <v/>
      </c>
      <c r="BF295" s="30" t="inlineStr">
        <is>
          <t>Uptrend</t>
        </is>
      </c>
      <c r="BG295" s="30">
        <f>IF(BF295="Uptrend",10,IF(BF295="Sideways",5,0))</f>
        <v/>
      </c>
      <c r="BH295" s="30" t="inlineStr">
        <is>
          <t>Uptrend</t>
        </is>
      </c>
      <c r="BI295" s="30">
        <f>IF(BH295="Uptrend",10,IF(BH295="Sideways",5,0))</f>
        <v/>
      </c>
      <c r="BJ295" s="30" t="inlineStr">
        <is>
          <t>Close to 52 week high or retracement</t>
        </is>
      </c>
      <c r="BK295" s="30">
        <f>IF(BJ295="Overhead supply in last 2 years in last 2 years",-5,IF(BJ295="Close to 52 week high or retracement",5,IF(BJ295="Blue sky scenario",10,IF(BJ295="Long term Downtrend",-10,0))))</f>
        <v/>
      </c>
      <c r="BL295" s="30" t="inlineStr">
        <is>
          <t>Yes</t>
        </is>
      </c>
      <c r="BM295" s="30">
        <f>IF(BL295="Yes",10,0)</f>
        <v/>
      </c>
      <c r="BN295" s="30" t="inlineStr">
        <is>
          <t>Less than 12%</t>
        </is>
      </c>
      <c r="BO295" s="30">
        <f>IF(BN295="More than 20%",10,IF(BN295="Between 12 to 20%",5,IF(BN295="Less than 12%",0,0)))</f>
        <v/>
      </c>
      <c r="BP295" s="30" t="inlineStr">
        <is>
          <t>No</t>
        </is>
      </c>
      <c r="BQ295" s="30">
        <f>IF(BP295="No",10,0)</f>
        <v/>
      </c>
      <c r="BR295" s="30" t="inlineStr">
        <is>
          <t>No</t>
        </is>
      </c>
      <c r="BS295" s="30">
        <f>IF(BR295="NO",5,0)</f>
        <v/>
      </c>
      <c r="BT295" s="30" t="inlineStr">
        <is>
          <t>Above 2</t>
        </is>
      </c>
      <c r="BU295" s="30">
        <f>IF(BT295="Above 2",0,IF(BT295="Between 1.5 to 2",5,IF(BT295="Less than 1.5",10,0)))</f>
        <v/>
      </c>
      <c r="BV295" s="30" t="inlineStr">
        <is>
          <t>Above 70%</t>
        </is>
      </c>
      <c r="BW295" s="30">
        <f>IF(BV295="Above 70%",10,IF(BV295="Between 50% to 70%",5,IF(BV295="Less than 50%",0,IF(BV295="Negative",-10,IF(BV295="Less than 50% and Borrowings are increasing",-5,0)))))</f>
        <v/>
      </c>
      <c r="BX295" s="30" t="inlineStr">
        <is>
          <t>Between 0.7 to 1.2</t>
        </is>
      </c>
      <c r="BY295" s="30">
        <f>IF(BX295="More than 1.2",-10,IF(BX295="Between 0.7 to 1.2",0,IF(BX295="Less than 0.7",10,0)))</f>
        <v/>
      </c>
      <c r="BZ295" s="30" t="inlineStr">
        <is>
          <t>No</t>
        </is>
      </c>
      <c r="CA295" s="30">
        <f>IF(BZ295="Yes",-10,0)</f>
        <v/>
      </c>
      <c r="CB295" s="30" t="inlineStr">
        <is>
          <t>Less than 15%</t>
        </is>
      </c>
      <c r="CC295" s="30">
        <f>IF(CB295="More than 15%",-10,IF(CB295="Less than 15%",10,0))</f>
        <v/>
      </c>
      <c r="CD295" s="30" t="inlineStr">
        <is>
          <t>No</t>
        </is>
      </c>
      <c r="CE295" s="30">
        <f>IF(CD295="Yes, more than 10%",-10,IF(CD295="No",10,0))</f>
        <v/>
      </c>
    </row>
    <row r="296">
      <c r="A296" s="30">
        <f>IF(B296=0,"",RANK(B296,$B$2:$B$331,0))</f>
        <v/>
      </c>
      <c r="B296" s="31">
        <f>SUM(N296,Y296,AA296,AC296,AE296,AG296,AI296,AK296,AM296,AO296,AQ296,AS296,AU296,AW296,AY296,BA296,BC296,BE296,BG296,BI296,BK296,BM296,BO296,BQ296,BS296,BU296,BW296,BY296,CA296,CC296,CE296)</f>
        <v/>
      </c>
      <c r="C296" s="32" t="inlineStr">
        <is>
          <t>KILITCH</t>
        </is>
      </c>
      <c r="D296" s="32" t="inlineStr">
        <is>
          <t>Kilitch Drugs (india) Limited</t>
        </is>
      </c>
      <c r="E296" s="30" t="inlineStr">
        <is>
          <t>healthcare</t>
        </is>
      </c>
      <c r="F296" s="30" t="inlineStr">
        <is>
          <t>pharmaceuticals - indian - formulations</t>
        </is>
      </c>
      <c r="G296" s="30" t="inlineStr">
        <is>
          <t>smallcap</t>
        </is>
      </c>
      <c r="H296" s="31" t="n">
        <v>658.85</v>
      </c>
      <c r="I296" s="31" t="n">
        <v>185.03</v>
      </c>
      <c r="J296" s="31" t="n">
        <v>-1.81</v>
      </c>
      <c r="K296" s="31" t="n">
        <v>10194</v>
      </c>
      <c r="L296" s="30" t="n">
        <v>4</v>
      </c>
      <c r="M296" s="30" t="inlineStr">
        <is>
          <t>Underperforming</t>
        </is>
      </c>
      <c r="N296" s="31">
        <f>IF(M296="Underperforming",-5,IF(L296&gt;=95,15,IF(L296&gt;=90,10,IF(L296&gt;=80,5,0))))</f>
        <v/>
      </c>
      <c r="O296" s="31" t="n">
        <v>54.72</v>
      </c>
      <c r="P296" s="31" t="n">
        <v>26.82</v>
      </c>
      <c r="Q296" s="31" t="n">
        <v>139.28</v>
      </c>
      <c r="R296" s="30" t="inlineStr">
        <is>
          <t>Near 52W High Breakout</t>
        </is>
      </c>
      <c r="S296" s="30" t="inlineStr">
        <is>
          <t>Nifty Pharma</t>
        </is>
      </c>
      <c r="T296" s="31" t="n">
        <v>18.86</v>
      </c>
      <c r="U296" s="31" t="n">
        <v>2.78</v>
      </c>
      <c r="V296" s="31" t="n">
        <v>-13.53</v>
      </c>
      <c r="W296" s="31" t="n">
        <v>0.66</v>
      </c>
      <c r="X296" s="30" t="inlineStr">
        <is>
          <t>Growing Industry</t>
        </is>
      </c>
      <c r="Y296" s="30">
        <f>IF(X296="Growing Industry",10,IF(X296="Cyclical in an Upturn",5,0))</f>
        <v/>
      </c>
      <c r="Z296" s="30" t="inlineStr">
        <is>
          <t>Too Many Players with High ROCE</t>
        </is>
      </c>
      <c r="AA296" s="30">
        <f>IF(Z296="Monopoly",10,IF(Z296="Oligopoly",5,IF(Z296="Duopoly that cooperate",10,IF(Z296="Duopoly that compete",5,IF(Z296="Too many players with High ROCE",5,0)))))</f>
        <v/>
      </c>
      <c r="AB296" s="30" t="inlineStr">
        <is>
          <t>Yes</t>
        </is>
      </c>
      <c r="AC296" s="30">
        <f>IF(AB296="No",5,0)</f>
        <v/>
      </c>
      <c r="AD296" s="30" t="inlineStr">
        <is>
          <t>Tailwind</t>
        </is>
      </c>
      <c r="AE296" s="30">
        <f>IF(AD296="Tailwind",10,0)</f>
        <v/>
      </c>
      <c r="AF296" s="30" t="inlineStr">
        <is>
          <t>Structural (10 Years Consistency)</t>
        </is>
      </c>
      <c r="AG296" s="30">
        <f>IF(AF296="Structural (10 Years Consistency)",10,IF(AF296="Shallow Cyclical (2 to 3 years growth)",5,0))</f>
        <v/>
      </c>
      <c r="AH296" s="30" t="inlineStr">
        <is>
          <t>No</t>
        </is>
      </c>
      <c r="AI296" s="30">
        <f>IF(AH296="Yes due to Product Mix change or Operating Leverage",10,IF(AH296="Yes, these are peak margins",-5,IF(AH296="No",5,0)))</f>
        <v/>
      </c>
      <c r="AJ296" s="30" t="inlineStr">
        <is>
          <t>Stable</t>
        </is>
      </c>
      <c r="AK296" s="30">
        <f>IF(AJ296="Stable",10,0)</f>
        <v/>
      </c>
      <c r="AL296" s="30" t="inlineStr">
        <is>
          <t>Yes</t>
        </is>
      </c>
      <c r="AM296" s="30">
        <f>IF(AL296="Yes",10,0)</f>
        <v/>
      </c>
      <c r="AN296" s="30" t="inlineStr">
        <is>
          <t>B2B</t>
        </is>
      </c>
      <c r="AO296" s="30">
        <f>IF(AN296="B2C",10,IF(AN296="B2B",5,0))</f>
        <v/>
      </c>
      <c r="AP296" s="30" t="inlineStr">
        <is>
          <t>Yes</t>
        </is>
      </c>
      <c r="AQ296" s="30">
        <f>IF(AP296="Yes",10,0)</f>
        <v/>
      </c>
      <c r="AR296" s="30" t="inlineStr">
        <is>
          <t>Higher Annuity, Lower One Time</t>
        </is>
      </c>
      <c r="AS296" s="30">
        <f>IF(AR296="Fully Annuity",10,IF(AR296="Higher Annuity, Lower One Time",5,IF(AR296="Higher One Time, Lower Annuity",3,0)))</f>
        <v/>
      </c>
      <c r="AT296" s="30" t="inlineStr">
        <is>
          <t>Good</t>
        </is>
      </c>
      <c r="AU296" s="30">
        <f>IF(AT296="Good",10,0)</f>
        <v/>
      </c>
      <c r="AV296" s="30" t="inlineStr">
        <is>
          <t>Yes for more than 2 years</t>
        </is>
      </c>
      <c r="AW296" s="30">
        <f>IF(AV296="Yes for more than 2 years",10,IF(AV296="Yes only for next 1 to 2 years",5,0))</f>
        <v/>
      </c>
      <c r="AX296" s="30" t="inlineStr">
        <is>
          <t>20 to 40</t>
        </is>
      </c>
      <c r="AY296" s="30">
        <f>IF(AX296="Above 40",20,IF(AX296="20 to 40",10,IF(AX296="0 to 20",-5,0)))</f>
        <v/>
      </c>
      <c r="AZ296" s="30" t="inlineStr">
        <is>
          <t>Between 50 to 75</t>
        </is>
      </c>
      <c r="BA296" s="30">
        <f>IF(AZ296="Between 50 to 75",10,IF(AZ296="Above 75",0,0))</f>
        <v/>
      </c>
      <c r="BB296" s="30" t="inlineStr">
        <is>
          <t>Stage 1</t>
        </is>
      </c>
      <c r="BC296" s="30">
        <f>IF(BB296="Stage 2",20,IF(BB296="Stage 1",0,IF(BB296="Stage 3",5,IF(BB296="Stage 4",-5,0))))</f>
        <v/>
      </c>
      <c r="BD296" s="30" t="inlineStr">
        <is>
          <t>Positive Trend</t>
        </is>
      </c>
      <c r="BE296" s="30">
        <f>IF(BD296="Positive Trend",20,IF(BD296="Negative Trend",-10,0))</f>
        <v/>
      </c>
      <c r="BF296" s="30" t="inlineStr">
        <is>
          <t>Uptrend</t>
        </is>
      </c>
      <c r="BG296" s="30">
        <f>IF(BF296="Uptrend",10,IF(BF296="Sideways",5,0))</f>
        <v/>
      </c>
      <c r="BH296" s="30" t="inlineStr">
        <is>
          <t>Uptrend</t>
        </is>
      </c>
      <c r="BI296" s="30">
        <f>IF(BH296="Uptrend",10,IF(BH296="Sideways",5,0))</f>
        <v/>
      </c>
      <c r="BJ296" s="30" t="inlineStr">
        <is>
          <t>Close to 52 week high or retracement</t>
        </is>
      </c>
      <c r="BK296" s="30">
        <f>IF(BJ296="Overhead supply in last 2 years in last 2 years",-5,IF(BJ296="Close to 52 week high or retracement",5,IF(BJ296="Blue sky scenario",10,IF(BJ296="Long term Downtrend",-10,0))))</f>
        <v/>
      </c>
      <c r="BL296" s="30" t="inlineStr">
        <is>
          <t>Yes</t>
        </is>
      </c>
      <c r="BM296" s="30">
        <f>IF(BL296="Yes",10,0)</f>
        <v/>
      </c>
      <c r="BN296" s="30" t="inlineStr">
        <is>
          <t>Less than 12%</t>
        </is>
      </c>
      <c r="BO296" s="30">
        <f>IF(BN296="More than 20%",10,IF(BN296="Between 12 to 20%",5,IF(BN296="Less than 12%",0,0)))</f>
        <v/>
      </c>
      <c r="BP296" s="30" t="inlineStr">
        <is>
          <t>No</t>
        </is>
      </c>
      <c r="BQ296" s="30">
        <f>IF(BP296="No",10,0)</f>
        <v/>
      </c>
      <c r="BR296" s="30" t="inlineStr">
        <is>
          <t>No</t>
        </is>
      </c>
      <c r="BS296" s="30">
        <f>IF(BR296="NO",5,0)</f>
        <v/>
      </c>
      <c r="BT296" s="30" t="inlineStr">
        <is>
          <t>Above 2</t>
        </is>
      </c>
      <c r="BU296" s="30">
        <f>IF(BT296="Above 2",0,IF(BT296="Between 1.5 to 2",5,IF(BT296="Less than 1.5",10,0)))</f>
        <v/>
      </c>
      <c r="BV296" s="30" t="inlineStr">
        <is>
          <t>Above 70%</t>
        </is>
      </c>
      <c r="BW296" s="30">
        <f>IF(BV296="Above 70%",10,IF(BV296="Between 50% to 70%",5,IF(BV296="Less than 50%",0,IF(BV296="Negative",-10,IF(BV296="Less than 50% and Borrowings are increasing",-5,0)))))</f>
        <v/>
      </c>
      <c r="BX296" s="30" t="inlineStr">
        <is>
          <t>Less than 0.7</t>
        </is>
      </c>
      <c r="BY296" s="30">
        <f>IF(BX296="More than 1.2",-10,IF(BX296="Between 0.7 to 1.2",0,IF(BX296="Less than 0.7",10,0)))</f>
        <v/>
      </c>
      <c r="BZ296" s="30" t="inlineStr">
        <is>
          <t>No</t>
        </is>
      </c>
      <c r="CA296" s="30">
        <f>IF(BZ296="Yes",-10,0)</f>
        <v/>
      </c>
      <c r="CB296" s="30" t="inlineStr">
        <is>
          <t>Less than 15%</t>
        </is>
      </c>
      <c r="CC296" s="30">
        <f>IF(CB296="More than 15%",-10,IF(CB296="Less than 15%",10,0))</f>
        <v/>
      </c>
      <c r="CD296" s="30" t="inlineStr">
        <is>
          <t>No</t>
        </is>
      </c>
      <c r="CE296" s="30">
        <f>IF(CD296="Yes, more than 10%",-10,IF(CD296="No",10,0))</f>
        <v/>
      </c>
    </row>
    <row r="297">
      <c r="A297" s="30">
        <f>IF(B297=0,"",RANK(B297,$B$2:$B$331,0))</f>
        <v/>
      </c>
      <c r="B297" s="31">
        <f>SUM(N297,Y297,AA297,AC297,AE297,AG297,AI297,AK297,AM297,AO297,AQ297,AS297,AU297,AW297,AY297,BA297,BC297,BE297,BG297,BI297,BK297,BM297,BO297,BQ297,BS297,BU297,BW297,BY297,CA297,CC297,CE297)</f>
        <v/>
      </c>
      <c r="C297" s="32" t="inlineStr">
        <is>
          <t>KSL</t>
        </is>
      </c>
      <c r="D297" s="32" t="inlineStr">
        <is>
          <t>Kalyani Steels Limited</t>
        </is>
      </c>
      <c r="E297" s="30" t="inlineStr">
        <is>
          <t>metals &amp; mining</t>
        </is>
      </c>
      <c r="F297" s="30" t="inlineStr">
        <is>
          <t>steel - medium / small</t>
        </is>
      </c>
      <c r="G297" s="30" t="inlineStr">
        <is>
          <t>smallcap</t>
        </is>
      </c>
      <c r="H297" s="31" t="n">
        <v>3974.17</v>
      </c>
      <c r="I297" s="31" t="n">
        <v>968.2</v>
      </c>
      <c r="J297" s="31" t="n">
        <v>6.35</v>
      </c>
      <c r="K297" s="31" t="n">
        <v>661316</v>
      </c>
      <c r="L297" s="30" t="n">
        <v>25</v>
      </c>
      <c r="M297" s="30" t="inlineStr">
        <is>
          <t>Underperforming</t>
        </is>
      </c>
      <c r="N297" s="31">
        <f>IF(M297="Underperforming",-5,IF(L297&gt;=95,15,IF(L297&gt;=90,10,IF(L297&gt;=80,5,0))))</f>
        <v/>
      </c>
      <c r="O297" s="31" t="n">
        <v>66.8</v>
      </c>
      <c r="P297" s="31" t="n">
        <v>25.68</v>
      </c>
      <c r="Q297" s="31" t="n">
        <v>761.67</v>
      </c>
      <c r="R297" s="30" t="inlineStr">
        <is>
          <t>Volume Spike &amp; Near 52W High Breakout</t>
        </is>
      </c>
      <c r="S297" s="30" t="inlineStr">
        <is>
          <t>Nifty Metal</t>
        </is>
      </c>
      <c r="T297" s="31" t="n">
        <v>41.17</v>
      </c>
      <c r="U297" s="31" t="n">
        <v>10.85</v>
      </c>
      <c r="V297" s="31" t="n">
        <v>-21.48</v>
      </c>
      <c r="W297" s="31" t="n">
        <v>7.91</v>
      </c>
      <c r="X297" s="30" t="inlineStr">
        <is>
          <t>Cyclical in an Upturn</t>
        </is>
      </c>
      <c r="Y297" s="30">
        <f>IF(X297="Growing Industry",10,IF(X297="Cyclical in an Upturn",5,0))</f>
        <v/>
      </c>
      <c r="Z297" s="30" t="inlineStr">
        <is>
          <t>Too Many Players with High ROCE</t>
        </is>
      </c>
      <c r="AA297" s="30">
        <f>IF(Z297="Monopoly",10,IF(Z297="Oligopoly",5,IF(Z297="Duopoly that cooperate",10,IF(Z297="Duopoly that compete",5,IF(Z297="Too many players with High ROCE",5,0)))))</f>
        <v/>
      </c>
      <c r="AB297" s="30" t="inlineStr">
        <is>
          <t>No</t>
        </is>
      </c>
      <c r="AC297" s="30">
        <f>IF(AB297="No",5,0)</f>
        <v/>
      </c>
      <c r="AD297" s="30" t="inlineStr">
        <is>
          <t>Tailwind</t>
        </is>
      </c>
      <c r="AE297" s="30">
        <f>IF(AD297="Tailwind",10,0)</f>
        <v/>
      </c>
      <c r="AF297" s="30" t="inlineStr">
        <is>
          <t>Cyclical</t>
        </is>
      </c>
      <c r="AG297" s="30">
        <f>IF(AF297="Structural (10 Years Consistency)",10,IF(AF297="Shallow Cyclical (2 to 3 years growth)",5,0))</f>
        <v/>
      </c>
      <c r="AH297" s="30" t="inlineStr">
        <is>
          <t>No</t>
        </is>
      </c>
      <c r="AI297" s="30">
        <f>IF(AH297="Yes due to Product Mix change or Operating Leverage",10,IF(AH297="Yes, these are peak margins",-5,IF(AH297="No",5,0)))</f>
        <v/>
      </c>
      <c r="AJ297" s="30" t="inlineStr">
        <is>
          <t>Volatile</t>
        </is>
      </c>
      <c r="AK297" s="30">
        <f>IF(AJ297="Stable",10,0)</f>
        <v/>
      </c>
      <c r="AL297" s="30" t="inlineStr">
        <is>
          <t>Yes</t>
        </is>
      </c>
      <c r="AM297" s="30">
        <f>IF(AL297="Yes",10,0)</f>
        <v/>
      </c>
      <c r="AN297" s="30" t="inlineStr">
        <is>
          <t>B2B</t>
        </is>
      </c>
      <c r="AO297" s="30">
        <f>IF(AN297="B2C",10,IF(AN297="B2B",5,0))</f>
        <v/>
      </c>
      <c r="AP297" s="30" t="inlineStr">
        <is>
          <t>Yes</t>
        </is>
      </c>
      <c r="AQ297" s="30">
        <f>IF(AP297="Yes",10,0)</f>
        <v/>
      </c>
      <c r="AR297" s="30" t="inlineStr">
        <is>
          <t>Higher One Time, Lower Annuity</t>
        </is>
      </c>
      <c r="AS297" s="30">
        <f>IF(AR297="Fully Annuity",10,IF(AR297="Higher Annuity, Lower One Time",5,IF(AR297="Higher One Time, Lower Annuity",3,0)))</f>
        <v/>
      </c>
      <c r="AT297" s="30" t="inlineStr">
        <is>
          <t>Good</t>
        </is>
      </c>
      <c r="AU297" s="30">
        <f>IF(AT297="Good",10,0)</f>
        <v/>
      </c>
      <c r="AV297" s="30" t="inlineStr">
        <is>
          <t>Yes for more than 2 years</t>
        </is>
      </c>
      <c r="AW297" s="30">
        <f>IF(AV297="Yes for more than 2 years",10,IF(AV297="Yes only for next 1 to 2 years",5,0))</f>
        <v/>
      </c>
      <c r="AX297" s="30" t="inlineStr">
        <is>
          <t>20 to 40</t>
        </is>
      </c>
      <c r="AY297" s="30">
        <f>IF(AX297="Above 40",20,IF(AX297="20 to 40",10,IF(AX297="0 to 20",-5,0)))</f>
        <v/>
      </c>
      <c r="AZ297" s="30" t="inlineStr">
        <is>
          <t>Between 50 to 75</t>
        </is>
      </c>
      <c r="BA297" s="30">
        <f>IF(AZ297="Between 50 to 75",10,IF(AZ297="Above 75",0,0))</f>
        <v/>
      </c>
      <c r="BB297" s="30" t="inlineStr">
        <is>
          <t>Stage 2</t>
        </is>
      </c>
      <c r="BC297" s="30">
        <f>IF(BB297="Stage 2",20,IF(BB297="Stage 1",0,IF(BB297="Stage 3",5,IF(BB297="Stage 4",-5,0))))</f>
        <v/>
      </c>
      <c r="BD297" s="30" t="inlineStr">
        <is>
          <t>Positive Trend</t>
        </is>
      </c>
      <c r="BE297" s="30">
        <f>IF(BD297="Positive Trend",20,IF(BD297="Negative Trend",-10,0))</f>
        <v/>
      </c>
      <c r="BF297" s="30" t="inlineStr">
        <is>
          <t>Uptrend</t>
        </is>
      </c>
      <c r="BG297" s="30">
        <f>IF(BF297="Uptrend",10,IF(BF297="Sideways",5,0))</f>
        <v/>
      </c>
      <c r="BH297" s="30" t="inlineStr">
        <is>
          <t>Uptrend</t>
        </is>
      </c>
      <c r="BI297" s="30">
        <f>IF(BH297="Uptrend",10,IF(BH297="Sideways",5,0))</f>
        <v/>
      </c>
      <c r="BJ297" s="30" t="inlineStr">
        <is>
          <t>Close to 52 week high or retracement</t>
        </is>
      </c>
      <c r="BK297" s="30">
        <f>IF(BJ297="Overhead supply in last 2 years in last 2 years",-5,IF(BJ297="Close to 52 week high or retracement",5,IF(BJ297="Blue sky scenario",10,IF(BJ297="Long term Downtrend",-10,0))))</f>
        <v/>
      </c>
      <c r="BL297" s="30" t="inlineStr">
        <is>
          <t>Yes</t>
        </is>
      </c>
      <c r="BM297" s="30">
        <f>IF(BL297="Yes",10,0)</f>
        <v/>
      </c>
      <c r="BN297" s="30" t="inlineStr">
        <is>
          <t>Less than 12%</t>
        </is>
      </c>
      <c r="BO297" s="30">
        <f>IF(BN297="More than 20%",10,IF(BN297="Between 12 to 20%",5,IF(BN297="Less than 12%",0,0)))</f>
        <v/>
      </c>
      <c r="BP297" s="30" t="inlineStr">
        <is>
          <t>No</t>
        </is>
      </c>
      <c r="BQ297" s="30">
        <f>IF(BP297="No",10,0)</f>
        <v/>
      </c>
      <c r="BR297" s="30" t="inlineStr">
        <is>
          <t>No</t>
        </is>
      </c>
      <c r="BS297" s="30">
        <f>IF(BR297="NO",5,0)</f>
        <v/>
      </c>
      <c r="BT297" s="30" t="inlineStr">
        <is>
          <t>Above 2</t>
        </is>
      </c>
      <c r="BU297" s="30">
        <f>IF(BT297="Above 2",0,IF(BT297="Between 1.5 to 2",5,IF(BT297="Less than 1.5",10,0)))</f>
        <v/>
      </c>
      <c r="BV297" s="30" t="inlineStr">
        <is>
          <t>Above 70%</t>
        </is>
      </c>
      <c r="BW297" s="30">
        <f>IF(BV297="Above 70%",10,IF(BV297="Between 50% to 70%",5,IF(BV297="Less than 50%",0,IF(BV297="Negative",-10,IF(BV297="Less than 50% and Borrowings are increasing",-5,0)))))</f>
        <v/>
      </c>
      <c r="BX297" s="30" t="inlineStr">
        <is>
          <t>Less than 0.7</t>
        </is>
      </c>
      <c r="BY297" s="30">
        <f>IF(BX297="More than 1.2",-10,IF(BX297="Between 0.7 to 1.2",0,IF(BX297="Less than 0.7",10,0)))</f>
        <v/>
      </c>
      <c r="BZ297" s="30" t="inlineStr">
        <is>
          <t>No</t>
        </is>
      </c>
      <c r="CA297" s="30">
        <f>IF(BZ297="Yes",-10,0)</f>
        <v/>
      </c>
      <c r="CB297" s="30" t="inlineStr">
        <is>
          <t>Less than 15%</t>
        </is>
      </c>
      <c r="CC297" s="30">
        <f>IF(CB297="More than 15%",-10,IF(CB297="Less than 15%",10,0))</f>
        <v/>
      </c>
      <c r="CD297" s="30" t="inlineStr">
        <is>
          <t>No</t>
        </is>
      </c>
      <c r="CE297" s="30">
        <f>IF(CD297="Yes, more than 10%",-10,IF(CD297="No",10,0))</f>
        <v/>
      </c>
    </row>
    <row r="298">
      <c r="A298" s="30">
        <f>IF(B298=0,"",RANK(B298,$B$2:$B$331,0))</f>
        <v/>
      </c>
      <c r="B298" s="31">
        <f>SUM(N298,Y298,AA298,AC298,AE298,AG298,AI298,AK298,AM298,AO298,AQ298,AS298,AU298,AW298,AY298,BA298,BC298,BE298,BG298,BI298,BK298,BM298,BO298,BQ298,BS298,BU298,BW298,BY298,CA298,CC298,CE298)</f>
        <v/>
      </c>
      <c r="C298" s="30" t="inlineStr">
        <is>
          <t>KAPSTON</t>
        </is>
      </c>
      <c r="D298" s="30" t="inlineStr">
        <is>
          <t>Kapston Services Ltd</t>
        </is>
      </c>
      <c r="E298" s="30" t="inlineStr">
        <is>
          <t>miscellaneous</t>
        </is>
      </c>
      <c r="F298" s="30" t="inlineStr">
        <is>
          <t>miscellaneous</t>
        </is>
      </c>
      <c r="G298" s="30" t="inlineStr">
        <is>
          <t>smallcap</t>
        </is>
      </c>
      <c r="H298" s="31" t="n">
        <v>1717.29</v>
      </c>
      <c r="I298" s="31" t="n">
        <v>584.95</v>
      </c>
      <c r="J298" s="31" t="n">
        <v>3.66</v>
      </c>
      <c r="K298" s="31" t="n">
        <v>77377</v>
      </c>
      <c r="L298" s="30" t="n">
        <v>87</v>
      </c>
      <c r="M298" s="30" t="inlineStr">
        <is>
          <t>Outperforming</t>
        </is>
      </c>
      <c r="N298" s="31">
        <f>IF(M298="Underperforming",-5,IF(L298&gt;=95,15,IF(L298&gt;=90,10,IF(L298&gt;=80,5,0))))</f>
        <v/>
      </c>
      <c r="O298" s="31" t="n">
        <v>74.48999999999999</v>
      </c>
      <c r="P298" s="31" t="n">
        <v>38.7</v>
      </c>
      <c r="Q298" s="31" t="n">
        <v>452.46</v>
      </c>
      <c r="R298" s="30" t="inlineStr">
        <is>
          <t>Near 52W High Breakout</t>
        </is>
      </c>
      <c r="S298" s="30" t="inlineStr">
        <is>
          <t>Nifty 50</t>
        </is>
      </c>
      <c r="T298" s="31" t="n">
        <v>-6.52</v>
      </c>
      <c r="U298" s="31" t="n">
        <v>140.69</v>
      </c>
      <c r="V298" s="31" t="n">
        <v>157.46</v>
      </c>
      <c r="W298" s="31" t="n">
        <v>36.74</v>
      </c>
      <c r="X298" s="30" t="inlineStr">
        <is>
          <t>Growing Industry</t>
        </is>
      </c>
      <c r="Y298" s="30">
        <f>IF(X298="Growing Industry",10,IF(X298="Cyclical in an Upturn",5,0))</f>
        <v/>
      </c>
      <c r="Z298" s="30" t="inlineStr">
        <is>
          <t>Too Many Players with High ROCE</t>
        </is>
      </c>
      <c r="AA298" s="30">
        <f>IF(Z298="Monopoly",10,IF(Z298="Oligopoly",5,IF(Z298="Duopoly that cooperate",10,IF(Z298="Duopoly that compete",5,IF(Z298="Too many players with High ROCE",5,0)))))</f>
        <v/>
      </c>
      <c r="AB298" s="30" t="inlineStr">
        <is>
          <t>No</t>
        </is>
      </c>
      <c r="AC298" s="30">
        <f>IF(AB298="No",5,0)</f>
        <v/>
      </c>
      <c r="AD298" s="30" t="inlineStr">
        <is>
          <t>Tailwind</t>
        </is>
      </c>
      <c r="AE298" s="30">
        <f>IF(AD298="Tailwind",10,0)</f>
        <v/>
      </c>
      <c r="AF298" s="30" t="inlineStr">
        <is>
          <t>Structural (10 Years Consistency)</t>
        </is>
      </c>
      <c r="AG298" s="30">
        <f>IF(AF298="Structural (10 Years Consistency)",10,IF(AF298="Shallow Cyclical (2 to 3 years growth)",5,0))</f>
        <v/>
      </c>
      <c r="AH298" s="30" t="inlineStr">
        <is>
          <t>No</t>
        </is>
      </c>
      <c r="AI298" s="30">
        <f>IF(AH298="Yes due to Product Mix change or Operating Leverage",10,IF(AH298="Yes, these are peak margins",-5,IF(AH298="No",5,0)))</f>
        <v/>
      </c>
      <c r="AJ298" s="30" t="inlineStr">
        <is>
          <t>Stable</t>
        </is>
      </c>
      <c r="AK298" s="30">
        <f>IF(AJ298="Stable",10,0)</f>
        <v/>
      </c>
      <c r="AL298" s="30" t="inlineStr">
        <is>
          <t>Yes</t>
        </is>
      </c>
      <c r="AM298" s="30">
        <f>IF(AL298="Yes",10,0)</f>
        <v/>
      </c>
      <c r="AN298" s="30" t="inlineStr">
        <is>
          <t>B2B</t>
        </is>
      </c>
      <c r="AO298" s="30">
        <f>IF(AN298="B2C",10,IF(AN298="B2B",5,0))</f>
        <v/>
      </c>
      <c r="AP298" s="30" t="inlineStr">
        <is>
          <t>Yes</t>
        </is>
      </c>
      <c r="AQ298" s="30">
        <f>IF(AP298="Yes",10,0)</f>
        <v/>
      </c>
      <c r="AR298" s="30" t="inlineStr">
        <is>
          <t>Higher One Time, Lower Annuity</t>
        </is>
      </c>
      <c r="AS298" s="30">
        <f>IF(AR298="Fully Annuity",10,IF(AR298="Higher Annuity, Lower One Time",5,IF(AR298="Higher One Time, Lower Annuity",3,0)))</f>
        <v/>
      </c>
      <c r="AT298" s="30" t="inlineStr">
        <is>
          <t>Good</t>
        </is>
      </c>
      <c r="AU298" s="30">
        <f>IF(AT298="Good",10,0)</f>
        <v/>
      </c>
      <c r="AV298" s="30" t="inlineStr">
        <is>
          <t>Yes for more than 2 years</t>
        </is>
      </c>
      <c r="AW298" s="30">
        <f>IF(AV298="Yes for more than 2 years",10,IF(AV298="Yes only for next 1 to 2 years",5,0))</f>
        <v/>
      </c>
      <c r="AX298" s="30" t="inlineStr">
        <is>
          <t>20 to 40</t>
        </is>
      </c>
      <c r="AY298" s="30">
        <f>IF(AX298="Above 40",20,IF(AX298="20 to 40",10,IF(AX298="0 to 20",-5,0)))</f>
        <v/>
      </c>
      <c r="AZ298" s="30" t="inlineStr">
        <is>
          <t>Between 50 to 75</t>
        </is>
      </c>
      <c r="BA298" s="30">
        <f>IF(AZ298="Between 50 to 75",10,IF(AZ298="Above 75",0,0))</f>
        <v/>
      </c>
      <c r="BB298" s="30" t="inlineStr">
        <is>
          <t>Stage 2</t>
        </is>
      </c>
      <c r="BC298" s="30">
        <f>IF(BB298="Stage 2",20,IF(BB298="Stage 1",0,IF(BB298="Stage 3",5,IF(BB298="Stage 4",-5,0))))</f>
        <v/>
      </c>
      <c r="BD298" s="30" t="inlineStr">
        <is>
          <t>Negative Trend</t>
        </is>
      </c>
      <c r="BE298" s="30">
        <f>IF(BD298="Positive Trend",20,IF(BD298="Negative Trend",-10,0))</f>
        <v/>
      </c>
      <c r="BF298" s="30" t="inlineStr">
        <is>
          <t>Uptrend</t>
        </is>
      </c>
      <c r="BG298" s="30">
        <f>IF(BF298="Uptrend",10,IF(BF298="Sideways",5,0))</f>
        <v/>
      </c>
      <c r="BH298" s="30" t="inlineStr">
        <is>
          <t>Uptrend</t>
        </is>
      </c>
      <c r="BI298" s="30">
        <f>IF(BH298="Uptrend",10,IF(BH298="Sideways",5,0))</f>
        <v/>
      </c>
      <c r="BJ298" s="30" t="inlineStr">
        <is>
          <t>Blue sky scenario</t>
        </is>
      </c>
      <c r="BK298" s="30">
        <f>IF(BJ298="Overhead supply in last 2 years in last 2 years",-5,IF(BJ298="Close to 52 week high or retracement",5,IF(BJ298="Blue sky scenario",10,IF(BJ298="Long term Downtrend",-10,0))))</f>
        <v/>
      </c>
      <c r="BL298" s="30" t="inlineStr">
        <is>
          <t>Yes</t>
        </is>
      </c>
      <c r="BM298" s="30">
        <f>IF(BL298="Yes",10,0)</f>
        <v/>
      </c>
      <c r="BN298" s="30" t="inlineStr">
        <is>
          <t>More than 20%</t>
        </is>
      </c>
      <c r="BO298" s="30">
        <f>IF(BN298="More than 20%",10,IF(BN298="Between 12 to 20%",5,IF(BN298="Less than 12%",0,0)))</f>
        <v/>
      </c>
      <c r="BP298" s="30" t="inlineStr">
        <is>
          <t>No</t>
        </is>
      </c>
      <c r="BQ298" s="30">
        <f>IF(BP298="No",10,0)</f>
        <v/>
      </c>
      <c r="BR298" s="30" t="inlineStr">
        <is>
          <t>Yes</t>
        </is>
      </c>
      <c r="BS298" s="30">
        <f>IF(BR298="NO",5,0)</f>
        <v/>
      </c>
      <c r="BT298" s="30" t="inlineStr">
        <is>
          <t>Between 1.5 to 2</t>
        </is>
      </c>
      <c r="BU298" s="30">
        <f>IF(BT298="Above 2",0,IF(BT298="Between 1.5 to 2",5,IF(BT298="Less than 1.5",10,0)))</f>
        <v/>
      </c>
      <c r="BV298" s="30" t="inlineStr">
        <is>
          <t>Above 70%</t>
        </is>
      </c>
      <c r="BW298" s="30">
        <f>IF(BV298="Above 70%",10,IF(BV298="Between 50% to 70%",5,IF(BV298="Less than 50%",0,IF(BV298="Negative",-10,IF(BV298="Less than 50% and Borrowings are increasing",-5,0)))))</f>
        <v/>
      </c>
      <c r="BX298" s="30" t="inlineStr">
        <is>
          <t>More than 1.2</t>
        </is>
      </c>
      <c r="BY298" s="30">
        <f>IF(BX298="More than 1.2",-10,IF(BX298="Between 0.7 to 1.2",0,IF(BX298="Less than 0.7",10,0)))</f>
        <v/>
      </c>
      <c r="BZ298" s="30" t="inlineStr">
        <is>
          <t>No</t>
        </is>
      </c>
      <c r="CA298" s="30">
        <f>IF(BZ298="Yes",-10,0)</f>
        <v/>
      </c>
      <c r="CB298" s="30" t="inlineStr">
        <is>
          <t>Less than 15%</t>
        </is>
      </c>
      <c r="CC298" s="30">
        <f>IF(CB298="More than 15%",-10,IF(CB298="Less than 15%",10,0))</f>
        <v/>
      </c>
      <c r="CD298" s="30" t="inlineStr">
        <is>
          <t>No</t>
        </is>
      </c>
      <c r="CE298" s="30">
        <f>IF(CD298="Yes, more than 10%",-10,IF(CD298="No",10,0))</f>
        <v/>
      </c>
    </row>
    <row r="299">
      <c r="A299" s="30">
        <f>IF(B299=0,"",RANK(B299,$B$2:$B$331,0))</f>
        <v/>
      </c>
      <c r="B299" s="31">
        <f>SUM(N299,Y299,AA299,AC299,AE299,AG299,AI299,AK299,AM299,AO299,AQ299,AS299,AU299,AW299,AY299,BA299,BC299,BE299,BG299,BI299,BK299,BM299,BO299,BQ299,BS299,BU299,BW299,BY299,CA299,CC299,CE299)</f>
        <v/>
      </c>
      <c r="C299" s="30" t="inlineStr">
        <is>
          <t>JAMNAAUTO</t>
        </is>
      </c>
      <c r="D299" s="30" t="inlineStr">
        <is>
          <t>Jamna Auto Industries Limited</t>
        </is>
      </c>
      <c r="E299" s="30" t="inlineStr">
        <is>
          <t>auto</t>
        </is>
      </c>
      <c r="F299" s="30" t="inlineStr">
        <is>
          <t>auto ancillaries</t>
        </is>
      </c>
      <c r="G299" s="30" t="inlineStr">
        <is>
          <t>midcap</t>
        </is>
      </c>
      <c r="H299" s="31" t="n">
        <v>5154.45</v>
      </c>
      <c r="I299" s="31" t="n">
        <v>131.86</v>
      </c>
      <c r="J299" s="31" t="n">
        <v>2.27</v>
      </c>
      <c r="K299" s="31" t="n">
        <v>3397638</v>
      </c>
      <c r="L299" s="30" t="n">
        <v>30</v>
      </c>
      <c r="M299" s="30" t="inlineStr">
        <is>
          <t>Outperforming</t>
        </is>
      </c>
      <c r="N299" s="31">
        <f>IF(M299="Underperforming",-5,IF(L299&gt;=95,15,IF(L299&gt;=90,10,IF(L299&gt;=80,5,0))))</f>
        <v/>
      </c>
      <c r="O299" s="31" t="n">
        <v>53.57</v>
      </c>
      <c r="P299" s="31" t="n">
        <v>30.43</v>
      </c>
      <c r="Q299" s="31" t="n">
        <v>112.21</v>
      </c>
      <c r="R299" s="30" t="inlineStr">
        <is>
          <t>Earnings / Momentum Support</t>
        </is>
      </c>
      <c r="S299" s="30" t="inlineStr">
        <is>
          <t>Nifty Auto</t>
        </is>
      </c>
      <c r="T299" s="31" t="n">
        <v>15.81</v>
      </c>
      <c r="U299" s="31" t="n">
        <v>43.95</v>
      </c>
      <c r="V299" s="31" t="n">
        <v>24.3</v>
      </c>
      <c r="W299" s="31" t="n">
        <v>9.33</v>
      </c>
      <c r="X299" s="30" t="inlineStr">
        <is>
          <t>Growing Industry</t>
        </is>
      </c>
      <c r="Y299" s="30">
        <f>IF(X299="Growing Industry",10,IF(X299="Cyclical in an Upturn",5,0))</f>
        <v/>
      </c>
      <c r="Z299" s="30" t="inlineStr">
        <is>
          <t>Too Many Players with High ROCE</t>
        </is>
      </c>
      <c r="AA299" s="30">
        <f>IF(Z299="Monopoly",10,IF(Z299="Oligopoly",5,IF(Z299="Duopoly that cooperate",10,IF(Z299="Duopoly that compete",5,IF(Z299="Too many players with High ROCE",5,0)))))</f>
        <v/>
      </c>
      <c r="AB299" s="30" t="inlineStr">
        <is>
          <t>No</t>
        </is>
      </c>
      <c r="AC299" s="30">
        <f>IF(AB299="No",5,0)</f>
        <v/>
      </c>
      <c r="AD299" s="30" t="inlineStr">
        <is>
          <t>Tailwind</t>
        </is>
      </c>
      <c r="AE299" s="30">
        <f>IF(AD299="Tailwind",10,0)</f>
        <v/>
      </c>
      <c r="AF299" s="30" t="inlineStr">
        <is>
          <t>Structural (10 Years Consistency)</t>
        </is>
      </c>
      <c r="AG299" s="30">
        <f>IF(AF299="Structural (10 Years Consistency)",10,IF(AF299="Shallow Cyclical (2 to 3 years growth)",5,0))</f>
        <v/>
      </c>
      <c r="AH299" s="30" t="inlineStr">
        <is>
          <t>No</t>
        </is>
      </c>
      <c r="AI299" s="30">
        <f>IF(AH299="Yes due to Product Mix change or Operating Leverage",10,IF(AH299="Yes, these are peak margins",-5,IF(AH299="No",5,0)))</f>
        <v/>
      </c>
      <c r="AJ299" s="30" t="inlineStr">
        <is>
          <t>Stable</t>
        </is>
      </c>
      <c r="AK299" s="30">
        <f>IF(AJ299="Stable",10,0)</f>
        <v/>
      </c>
      <c r="AL299" s="30" t="inlineStr">
        <is>
          <t>Yes</t>
        </is>
      </c>
      <c r="AM299" s="30">
        <f>IF(AL299="Yes",10,0)</f>
        <v/>
      </c>
      <c r="AN299" s="30" t="inlineStr">
        <is>
          <t>B2B</t>
        </is>
      </c>
      <c r="AO299" s="30">
        <f>IF(AN299="B2C",10,IF(AN299="B2B",5,0))</f>
        <v/>
      </c>
      <c r="AP299" s="30" t="inlineStr">
        <is>
          <t>No</t>
        </is>
      </c>
      <c r="AQ299" s="30">
        <f>IF(AP299="Yes",10,0)</f>
        <v/>
      </c>
      <c r="AR299" s="30" t="inlineStr">
        <is>
          <t>Higher One Time, Lower Annuity</t>
        </is>
      </c>
      <c r="AS299" s="30">
        <f>IF(AR299="Fully Annuity",10,IF(AR299="Higher Annuity, Lower One Time",5,IF(AR299="Higher One Time, Lower Annuity",3,0)))</f>
        <v/>
      </c>
      <c r="AT299" s="30" t="inlineStr">
        <is>
          <t>Good</t>
        </is>
      </c>
      <c r="AU299" s="30">
        <f>IF(AT299="Good",10,0)</f>
        <v/>
      </c>
      <c r="AV299" s="30" t="inlineStr">
        <is>
          <t>Yes for more than 2 years</t>
        </is>
      </c>
      <c r="AW299" s="30">
        <f>IF(AV299="Yes for more than 2 years",10,IF(AV299="Yes only for next 1 to 2 years",5,0))</f>
        <v/>
      </c>
      <c r="AX299" s="30" t="inlineStr">
        <is>
          <t>20 to 40</t>
        </is>
      </c>
      <c r="AY299" s="30">
        <f>IF(AX299="Above 40",20,IF(AX299="20 to 40",10,IF(AX299="0 to 20",-5,0)))</f>
        <v/>
      </c>
      <c r="AZ299" s="30" t="inlineStr">
        <is>
          <t>Between 50 to 75</t>
        </is>
      </c>
      <c r="BA299" s="30">
        <f>IF(AZ299="Between 50 to 75",10,IF(AZ299="Above 75",0,0))</f>
        <v/>
      </c>
      <c r="BB299" s="30" t="inlineStr">
        <is>
          <t>Stage 1</t>
        </is>
      </c>
      <c r="BC299" s="30">
        <f>IF(BB299="Stage 2",20,IF(BB299="Stage 1",0,IF(BB299="Stage 3",5,IF(BB299="Stage 4",-5,0))))</f>
        <v/>
      </c>
      <c r="BD299" s="30" t="inlineStr">
        <is>
          <t>Positive Trend</t>
        </is>
      </c>
      <c r="BE299" s="30">
        <f>IF(BD299="Positive Trend",20,IF(BD299="Negative Trend",-10,0))</f>
        <v/>
      </c>
      <c r="BF299" s="30" t="inlineStr">
        <is>
          <t>Uptrend</t>
        </is>
      </c>
      <c r="BG299" s="30">
        <f>IF(BF299="Uptrend",10,IF(BF299="Sideways",5,0))</f>
        <v/>
      </c>
      <c r="BH299" s="30" t="inlineStr">
        <is>
          <t>Uptrend</t>
        </is>
      </c>
      <c r="BI299" s="30">
        <f>IF(BH299="Uptrend",10,IF(BH299="Sideways",5,0))</f>
        <v/>
      </c>
      <c r="BJ299" s="30" t="inlineStr">
        <is>
          <t>Close to 52 week high or retracement</t>
        </is>
      </c>
      <c r="BK299" s="30">
        <f>IF(BJ299="Overhead supply in last 2 years in last 2 years",-5,IF(BJ299="Close to 52 week high or retracement",5,IF(BJ299="Blue sky scenario",10,IF(BJ299="Long term Downtrend",-10,0))))</f>
        <v/>
      </c>
      <c r="BL299" s="30" t="inlineStr">
        <is>
          <t>Yes</t>
        </is>
      </c>
      <c r="BM299" s="30">
        <f>IF(BL299="Yes",10,0)</f>
        <v/>
      </c>
      <c r="BN299" s="30" t="inlineStr">
        <is>
          <t>Less than 12%</t>
        </is>
      </c>
      <c r="BO299" s="30">
        <f>IF(BN299="More than 20%",10,IF(BN299="Between 12 to 20%",5,IF(BN299="Less than 12%",0,0)))</f>
        <v/>
      </c>
      <c r="BP299" s="30" t="inlineStr">
        <is>
          <t>No</t>
        </is>
      </c>
      <c r="BQ299" s="30">
        <f>IF(BP299="No",10,0)</f>
        <v/>
      </c>
      <c r="BR299" s="30" t="inlineStr">
        <is>
          <t>No</t>
        </is>
      </c>
      <c r="BS299" s="30">
        <f>IF(BR299="NO",5,0)</f>
        <v/>
      </c>
      <c r="BT299" s="30" t="inlineStr">
        <is>
          <t>Above 2</t>
        </is>
      </c>
      <c r="BU299" s="30">
        <f>IF(BT299="Above 2",0,IF(BT299="Between 1.5 to 2",5,IF(BT299="Less than 1.5",10,0)))</f>
        <v/>
      </c>
      <c r="BV299" s="30" t="inlineStr">
        <is>
          <t>Above 70%</t>
        </is>
      </c>
      <c r="BW299" s="30">
        <f>IF(BV299="Above 70%",10,IF(BV299="Between 50% to 70%",5,IF(BV299="Less than 50%",0,IF(BV299="Negative",-10,IF(BV299="Less than 50% and Borrowings are increasing",-5,0)))))</f>
        <v/>
      </c>
      <c r="BX299" s="30" t="inlineStr">
        <is>
          <t>Less than 0.7</t>
        </is>
      </c>
      <c r="BY299" s="30">
        <f>IF(BX299="More than 1.2",-10,IF(BX299="Between 0.7 to 1.2",0,IF(BX299="Less than 0.7",10,0)))</f>
        <v/>
      </c>
      <c r="BZ299" s="30" t="inlineStr">
        <is>
          <t>No</t>
        </is>
      </c>
      <c r="CA299" s="30">
        <f>IF(BZ299="Yes",-10,0)</f>
        <v/>
      </c>
      <c r="CB299" s="30" t="inlineStr">
        <is>
          <t>Less than 15%</t>
        </is>
      </c>
      <c r="CC299" s="30">
        <f>IF(CB299="More than 15%",-10,IF(CB299="Less than 15%",10,0))</f>
        <v/>
      </c>
      <c r="CD299" s="30" t="inlineStr">
        <is>
          <t>No</t>
        </is>
      </c>
      <c r="CE299" s="30">
        <f>IF(CD299="Yes, more than 10%",-10,IF(CD299="No",10,0))</f>
        <v/>
      </c>
    </row>
    <row r="300">
      <c r="A300" s="30">
        <f>IF(B300=0,"",RANK(B300,$B$2:$B$331,0))</f>
        <v/>
      </c>
      <c r="B300" s="31">
        <f>SUM(N300,Y300,AA300,AC300,AE300,AG300,AI300,AK300,AM300,AO300,AQ300,AS300,AU300,AW300,AY300,BA300,BC300,BE300,BG300,BI300,BK300,BM300,BO300,BQ300,BS300,BU300,BW300,BY300,CA300,CC300,CE300)</f>
        <v/>
      </c>
      <c r="C300" s="32" t="inlineStr">
        <is>
          <t>STEELXIND</t>
        </is>
      </c>
      <c r="D300" s="32" t="inlineStr">
        <is>
          <t>Steel Exchange India Ltd</t>
        </is>
      </c>
      <c r="E300" s="30" t="inlineStr">
        <is>
          <t>metals &amp; mining</t>
        </is>
      </c>
      <c r="F300" s="30" t="inlineStr">
        <is>
          <t>steel - medium / small</t>
        </is>
      </c>
      <c r="G300" s="30" t="inlineStr">
        <is>
          <t>smallcap</t>
        </is>
      </c>
      <c r="H300" s="31" t="n">
        <v>1530.62</v>
      </c>
      <c r="I300" s="31" t="n">
        <v>12.17</v>
      </c>
      <c r="J300" s="31" t="n">
        <v>1.42</v>
      </c>
      <c r="K300" s="31" t="n">
        <v>28145206</v>
      </c>
      <c r="L300" s="30" t="n">
        <v>28</v>
      </c>
      <c r="M300" s="30" t="inlineStr">
        <is>
          <t>Underperforming</t>
        </is>
      </c>
      <c r="N300" s="31">
        <f>IF(M300="Underperforming",-5,IF(L300&gt;=95,15,IF(L300&gt;=90,10,IF(L300&gt;=80,5,0))))</f>
        <v/>
      </c>
      <c r="O300" s="31" t="n">
        <v>59.77</v>
      </c>
      <c r="P300" s="31" t="n">
        <v>13.72</v>
      </c>
      <c r="Q300" s="31" t="n">
        <v>9.75</v>
      </c>
      <c r="R300" s="30" t="inlineStr">
        <is>
          <t>Volume Spike / Accumulation</t>
        </is>
      </c>
      <c r="S300" s="30" t="inlineStr">
        <is>
          <t>Nifty Metal</t>
        </is>
      </c>
      <c r="T300" s="31" t="n">
        <v>41.17</v>
      </c>
      <c r="U300" s="31" t="n">
        <v>14.6</v>
      </c>
      <c r="V300" s="31" t="n">
        <v>-18.82</v>
      </c>
      <c r="W300" s="31" t="n">
        <v>8.609999999999999</v>
      </c>
      <c r="X300" s="30" t="inlineStr">
        <is>
          <t>Cyclical in an Upturn</t>
        </is>
      </c>
      <c r="Y300" s="30">
        <f>IF(X300="Growing Industry",10,IF(X300="Cyclical in an Upturn",5,0))</f>
        <v/>
      </c>
      <c r="Z300" s="30" t="inlineStr">
        <is>
          <t>Too Many Players with High ROCE</t>
        </is>
      </c>
      <c r="AA300" s="30">
        <f>IF(Z300="Monopoly",10,IF(Z300="Oligopoly",5,IF(Z300="Duopoly that cooperate",10,IF(Z300="Duopoly that compete",5,IF(Z300="Too many players with High ROCE",5,0)))))</f>
        <v/>
      </c>
      <c r="AB300" s="30" t="inlineStr">
        <is>
          <t>No</t>
        </is>
      </c>
      <c r="AC300" s="30">
        <f>IF(AB300="No",5,0)</f>
        <v/>
      </c>
      <c r="AD300" s="30" t="inlineStr">
        <is>
          <t>Tailwind</t>
        </is>
      </c>
      <c r="AE300" s="30">
        <f>IF(AD300="Tailwind",10,0)</f>
        <v/>
      </c>
      <c r="AF300" s="30" t="inlineStr">
        <is>
          <t>Cyclical</t>
        </is>
      </c>
      <c r="AG300" s="30">
        <f>IF(AF300="Structural (10 Years Consistency)",10,IF(AF300="Shallow Cyclical (2 to 3 years growth)",5,0))</f>
        <v/>
      </c>
      <c r="AH300" s="30" t="inlineStr">
        <is>
          <t>No</t>
        </is>
      </c>
      <c r="AI300" s="30">
        <f>IF(AH300="Yes due to Product Mix change or Operating Leverage",10,IF(AH300="Yes, these are peak margins",-5,IF(AH300="No",5,0)))</f>
        <v/>
      </c>
      <c r="AJ300" s="30" t="inlineStr">
        <is>
          <t>Volatile</t>
        </is>
      </c>
      <c r="AK300" s="30">
        <f>IF(AJ300="Stable",10,0)</f>
        <v/>
      </c>
      <c r="AL300" s="30" t="inlineStr">
        <is>
          <t>Yes</t>
        </is>
      </c>
      <c r="AM300" s="30">
        <f>IF(AL300="Yes",10,0)</f>
        <v/>
      </c>
      <c r="AN300" s="30" t="inlineStr">
        <is>
          <t>B2B</t>
        </is>
      </c>
      <c r="AO300" s="30">
        <f>IF(AN300="B2C",10,IF(AN300="B2B",5,0))</f>
        <v/>
      </c>
      <c r="AP300" s="30" t="inlineStr">
        <is>
          <t>Yes</t>
        </is>
      </c>
      <c r="AQ300" s="30">
        <f>IF(AP300="Yes",10,0)</f>
        <v/>
      </c>
      <c r="AR300" s="30" t="inlineStr">
        <is>
          <t>Higher One Time, Lower Annuity</t>
        </is>
      </c>
      <c r="AS300" s="30">
        <f>IF(AR300="Fully Annuity",10,IF(AR300="Higher Annuity, Lower One Time",5,IF(AR300="Higher One Time, Lower Annuity",3,0)))</f>
        <v/>
      </c>
      <c r="AT300" s="30" t="inlineStr">
        <is>
          <t>Good</t>
        </is>
      </c>
      <c r="AU300" s="30">
        <f>IF(AT300="Good",10,0)</f>
        <v/>
      </c>
      <c r="AV300" s="30" t="inlineStr">
        <is>
          <t>Yes for more than 2 years</t>
        </is>
      </c>
      <c r="AW300" s="30">
        <f>IF(AV300="Yes for more than 2 years",10,IF(AV300="Yes only for next 1 to 2 years",5,0))</f>
        <v/>
      </c>
      <c r="AX300" s="30" t="inlineStr">
        <is>
          <t>0 to 20</t>
        </is>
      </c>
      <c r="AY300" s="30">
        <f>IF(AX300="Above 40",20,IF(AX300="20 to 40",10,IF(AX300="0 to 20",-5,0)))</f>
        <v/>
      </c>
      <c r="AZ300" s="30" t="inlineStr">
        <is>
          <t>Between 50 to 75</t>
        </is>
      </c>
      <c r="BA300" s="30">
        <f>IF(AZ300="Between 50 to 75",10,IF(AZ300="Above 75",0,0))</f>
        <v/>
      </c>
      <c r="BB300" s="30" t="inlineStr">
        <is>
          <t>Stage 2</t>
        </is>
      </c>
      <c r="BC300" s="30">
        <f>IF(BB300="Stage 2",20,IF(BB300="Stage 1",0,IF(BB300="Stage 3",5,IF(BB300="Stage 4",-5,0))))</f>
        <v/>
      </c>
      <c r="BD300" s="30" t="inlineStr">
        <is>
          <t>Positive Trend</t>
        </is>
      </c>
      <c r="BE300" s="30">
        <f>IF(BD300="Positive Trend",20,IF(BD300="Negative Trend",-10,0))</f>
        <v/>
      </c>
      <c r="BF300" s="30" t="inlineStr">
        <is>
          <t>Uptrend</t>
        </is>
      </c>
      <c r="BG300" s="30">
        <f>IF(BF300="Uptrend",10,IF(BF300="Sideways",5,0))</f>
        <v/>
      </c>
      <c r="BH300" s="30" t="inlineStr">
        <is>
          <t>Uptrend</t>
        </is>
      </c>
      <c r="BI300" s="30">
        <f>IF(BH300="Uptrend",10,IF(BH300="Sideways",5,0))</f>
        <v/>
      </c>
      <c r="BJ300" s="30" t="inlineStr">
        <is>
          <t>Close to 52 week high or retracement</t>
        </is>
      </c>
      <c r="BK300" s="30">
        <f>IF(BJ300="Overhead supply in last 2 years in last 2 years",-5,IF(BJ300="Close to 52 week high or retracement",5,IF(BJ300="Blue sky scenario",10,IF(BJ300="Long term Downtrend",-10,0))))</f>
        <v/>
      </c>
      <c r="BL300" s="30" t="inlineStr">
        <is>
          <t>Yes</t>
        </is>
      </c>
      <c r="BM300" s="30">
        <f>IF(BL300="Yes",10,0)</f>
        <v/>
      </c>
      <c r="BN300" s="30" t="inlineStr">
        <is>
          <t>More than 20%</t>
        </is>
      </c>
      <c r="BO300" s="30">
        <f>IF(BN300="More than 20%",10,IF(BN300="Between 12 to 20%",5,IF(BN300="Less than 12%",0,0)))</f>
        <v/>
      </c>
      <c r="BP300" s="30" t="inlineStr">
        <is>
          <t>No</t>
        </is>
      </c>
      <c r="BQ300" s="30">
        <f>IF(BP300="No",10,0)</f>
        <v/>
      </c>
      <c r="BR300" s="30" t="inlineStr">
        <is>
          <t>Yes</t>
        </is>
      </c>
      <c r="BS300" s="30">
        <f>IF(BR300="NO",5,0)</f>
        <v/>
      </c>
      <c r="BT300" s="30" t="inlineStr">
        <is>
          <t>Less than 1.5</t>
        </is>
      </c>
      <c r="BU300" s="30">
        <f>IF(BT300="Above 2",0,IF(BT300="Between 1.5 to 2",5,IF(BT300="Less than 1.5",10,0)))</f>
        <v/>
      </c>
      <c r="BV300" s="30" t="inlineStr">
        <is>
          <t>Above 70%</t>
        </is>
      </c>
      <c r="BW300" s="30">
        <f>IF(BV300="Above 70%",10,IF(BV300="Between 50% to 70%",5,IF(BV300="Less than 50%",0,IF(BV300="Negative",-10,IF(BV300="Less than 50% and Borrowings are increasing",-5,0)))))</f>
        <v/>
      </c>
      <c r="BX300" s="30" t="inlineStr">
        <is>
          <t>Less than 0.7</t>
        </is>
      </c>
      <c r="BY300" s="30">
        <f>IF(BX300="More than 1.2",-10,IF(BX300="Between 0.7 to 1.2",0,IF(BX300="Less than 0.7",10,0)))</f>
        <v/>
      </c>
      <c r="BZ300" s="30" t="inlineStr">
        <is>
          <t>No</t>
        </is>
      </c>
      <c r="CA300" s="30">
        <f>IF(BZ300="Yes",-10,0)</f>
        <v/>
      </c>
      <c r="CB300" s="30" t="inlineStr">
        <is>
          <t>Less than 15%</t>
        </is>
      </c>
      <c r="CC300" s="30">
        <f>IF(CB300="More than 15%",-10,IF(CB300="Less than 15%",10,0))</f>
        <v/>
      </c>
      <c r="CD300" s="30" t="inlineStr">
        <is>
          <t>No</t>
        </is>
      </c>
      <c r="CE300" s="30">
        <f>IF(CD300="Yes, more than 10%",-10,IF(CD300="No",10,0))</f>
        <v/>
      </c>
    </row>
    <row r="301">
      <c r="A301" s="30">
        <f>IF(B301=0,"",RANK(B301,$B$2:$B$331,0))</f>
        <v/>
      </c>
      <c r="B301" s="31">
        <f>SUM(N301,Y301,AA301,AC301,AE301,AG301,AI301,AK301,AM301,AO301,AQ301,AS301,AU301,AW301,AY301,BA301,BC301,BE301,BG301,BI301,BK301,BM301,BO301,BQ301,BS301,BU301,BW301,BY301,CA301,CC301,CE301)</f>
        <v/>
      </c>
      <c r="C301" s="32" t="inlineStr">
        <is>
          <t>VENUSPIPES</t>
        </is>
      </c>
      <c r="D301" s="32" t="inlineStr">
        <is>
          <t>Venus Pipes &amp; Tubes Ltd</t>
        </is>
      </c>
      <c r="E301" s="30" t="inlineStr">
        <is>
          <t>metals &amp; mining</t>
        </is>
      </c>
      <c r="F301" s="30" t="inlineStr">
        <is>
          <t>steel - medium / small</t>
        </is>
      </c>
      <c r="G301" s="30" t="inlineStr">
        <is>
          <t>smallcap</t>
        </is>
      </c>
      <c r="H301" s="31" t="n">
        <v>3998.42</v>
      </c>
      <c r="I301" s="31" t="n">
        <v>1949.1</v>
      </c>
      <c r="J301" s="31" t="n">
        <v>0.98</v>
      </c>
      <c r="K301" s="31" t="n">
        <v>171606</v>
      </c>
      <c r="L301" s="30" t="n">
        <v>56</v>
      </c>
      <c r="M301" s="30" t="inlineStr">
        <is>
          <t>Underperforming</t>
        </is>
      </c>
      <c r="N301" s="31">
        <f>IF(M301="Underperforming",-5,IF(L301&gt;=95,15,IF(L301&gt;=90,10,IF(L301&gt;=80,5,0))))</f>
        <v/>
      </c>
      <c r="O301" s="31" t="n">
        <v>72.11</v>
      </c>
      <c r="P301" s="31" t="n">
        <v>31.87</v>
      </c>
      <c r="Q301" s="31" t="n">
        <v>1507.09</v>
      </c>
      <c r="R301" s="30" t="inlineStr">
        <is>
          <t>Volume Spike &amp; Near 52W High Breakout</t>
        </is>
      </c>
      <c r="S301" s="30" t="inlineStr">
        <is>
          <t>Nifty Metal</t>
        </is>
      </c>
      <c r="T301" s="31" t="n">
        <v>41.17</v>
      </c>
      <c r="U301" s="31" t="n">
        <v>32.82</v>
      </c>
      <c r="V301" s="31" t="n">
        <v>-5.91</v>
      </c>
      <c r="W301" s="31" t="n">
        <v>17.86</v>
      </c>
      <c r="X301" s="30" t="inlineStr">
        <is>
          <t>Cyclical in an Upturn</t>
        </is>
      </c>
      <c r="Y301" s="30">
        <f>IF(X301="Growing Industry",10,IF(X301="Cyclical in an Upturn",5,0))</f>
        <v/>
      </c>
      <c r="Z301" s="30" t="inlineStr">
        <is>
          <t>Too Many Players with High ROCE</t>
        </is>
      </c>
      <c r="AA301" s="30">
        <f>IF(Z301="Monopoly",10,IF(Z301="Oligopoly",5,IF(Z301="Duopoly that cooperate",10,IF(Z301="Duopoly that compete",5,IF(Z301="Too many players with High ROCE",5,0)))))</f>
        <v/>
      </c>
      <c r="AB301" s="30" t="inlineStr">
        <is>
          <t>No</t>
        </is>
      </c>
      <c r="AC301" s="30">
        <f>IF(AB301="No",5,0)</f>
        <v/>
      </c>
      <c r="AD301" s="30" t="inlineStr">
        <is>
          <t>Tailwind</t>
        </is>
      </c>
      <c r="AE301" s="30">
        <f>IF(AD301="Tailwind",10,0)</f>
        <v/>
      </c>
      <c r="AF301" s="30" t="inlineStr">
        <is>
          <t>Cyclical</t>
        </is>
      </c>
      <c r="AG301" s="30">
        <f>IF(AF301="Structural (10 Years Consistency)",10,IF(AF301="Shallow Cyclical (2 to 3 years growth)",5,0))</f>
        <v/>
      </c>
      <c r="AH301" s="30" t="inlineStr">
        <is>
          <t>No</t>
        </is>
      </c>
      <c r="AI301" s="30">
        <f>IF(AH301="Yes due to Product Mix change or Operating Leverage",10,IF(AH301="Yes, these are peak margins",-5,IF(AH301="No",5,0)))</f>
        <v/>
      </c>
      <c r="AJ301" s="30" t="inlineStr">
        <is>
          <t>Volatile</t>
        </is>
      </c>
      <c r="AK301" s="30">
        <f>IF(AJ301="Stable",10,0)</f>
        <v/>
      </c>
      <c r="AL301" s="30" t="inlineStr">
        <is>
          <t>Yes</t>
        </is>
      </c>
      <c r="AM301" s="30">
        <f>IF(AL301="Yes",10,0)</f>
        <v/>
      </c>
      <c r="AN301" s="30" t="inlineStr">
        <is>
          <t>B2B</t>
        </is>
      </c>
      <c r="AO301" s="30">
        <f>IF(AN301="B2C",10,IF(AN301="B2B",5,0))</f>
        <v/>
      </c>
      <c r="AP301" s="30" t="inlineStr">
        <is>
          <t>Yes</t>
        </is>
      </c>
      <c r="AQ301" s="30">
        <f>IF(AP301="Yes",10,0)</f>
        <v/>
      </c>
      <c r="AR301" s="30" t="inlineStr">
        <is>
          <t>Higher One Time, Lower Annuity</t>
        </is>
      </c>
      <c r="AS301" s="30">
        <f>IF(AR301="Fully Annuity",10,IF(AR301="Higher Annuity, Lower One Time",5,IF(AR301="Higher One Time, Lower Annuity",3,0)))</f>
        <v/>
      </c>
      <c r="AT301" s="30" t="inlineStr">
        <is>
          <t>Good</t>
        </is>
      </c>
      <c r="AU301" s="30">
        <f>IF(AT301="Good",10,0)</f>
        <v/>
      </c>
      <c r="AV301" s="30" t="inlineStr">
        <is>
          <t>Yes for more than 2 years</t>
        </is>
      </c>
      <c r="AW301" s="30">
        <f>IF(AV301="Yes for more than 2 years",10,IF(AV301="Yes only for next 1 to 2 years",5,0))</f>
        <v/>
      </c>
      <c r="AX301" s="30" t="inlineStr">
        <is>
          <t>20 to 40</t>
        </is>
      </c>
      <c r="AY301" s="30">
        <f>IF(AX301="Above 40",20,IF(AX301="20 to 40",10,IF(AX301="0 to 20",-5,0)))</f>
        <v/>
      </c>
      <c r="AZ301" s="30" t="inlineStr">
        <is>
          <t>Between 50 to 75</t>
        </is>
      </c>
      <c r="BA301" s="30">
        <f>IF(AZ301="Between 50 to 75",10,IF(AZ301="Above 75",0,0))</f>
        <v/>
      </c>
      <c r="BB301" s="30" t="inlineStr">
        <is>
          <t>Stage 2</t>
        </is>
      </c>
      <c r="BC301" s="30">
        <f>IF(BB301="Stage 2",20,IF(BB301="Stage 1",0,IF(BB301="Stage 3",5,IF(BB301="Stage 4",-5,0))))</f>
        <v/>
      </c>
      <c r="BD301" s="30" t="inlineStr">
        <is>
          <t>Positive Trend</t>
        </is>
      </c>
      <c r="BE301" s="30">
        <f>IF(BD301="Positive Trend",20,IF(BD301="Negative Trend",-10,0))</f>
        <v/>
      </c>
      <c r="BF301" s="30" t="inlineStr">
        <is>
          <t>Uptrend</t>
        </is>
      </c>
      <c r="BG301" s="30">
        <f>IF(BF301="Uptrend",10,IF(BF301="Sideways",5,0))</f>
        <v/>
      </c>
      <c r="BH301" s="30" t="inlineStr">
        <is>
          <t>Uptrend</t>
        </is>
      </c>
      <c r="BI301" s="30">
        <f>IF(BH301="Uptrend",10,IF(BH301="Sideways",5,0))</f>
        <v/>
      </c>
      <c r="BJ301" s="30" t="inlineStr">
        <is>
          <t>Close to 52 week high or retracement</t>
        </is>
      </c>
      <c r="BK301" s="30">
        <f>IF(BJ301="Overhead supply in last 2 years in last 2 years",-5,IF(BJ301="Close to 52 week high or retracement",5,IF(BJ301="Blue sky scenario",10,IF(BJ301="Long term Downtrend",-10,0))))</f>
        <v/>
      </c>
      <c r="BL301" s="30" t="inlineStr">
        <is>
          <t>Yes</t>
        </is>
      </c>
      <c r="BM301" s="30">
        <f>IF(BL301="Yes",10,0)</f>
        <v/>
      </c>
      <c r="BN301" s="30" t="inlineStr">
        <is>
          <t>Less than 12%</t>
        </is>
      </c>
      <c r="BO301" s="30">
        <f>IF(BN301="More than 20%",10,IF(BN301="Between 12 to 20%",5,IF(BN301="Less than 12%",0,0)))</f>
        <v/>
      </c>
      <c r="BP301" s="30" t="inlineStr">
        <is>
          <t>No</t>
        </is>
      </c>
      <c r="BQ301" s="30">
        <f>IF(BP301="No",10,0)</f>
        <v/>
      </c>
      <c r="BR301" s="30" t="inlineStr">
        <is>
          <t>No</t>
        </is>
      </c>
      <c r="BS301" s="30">
        <f>IF(BR301="NO",5,0)</f>
        <v/>
      </c>
      <c r="BT301" s="30" t="inlineStr">
        <is>
          <t>Above 2</t>
        </is>
      </c>
      <c r="BU301" s="30">
        <f>IF(BT301="Above 2",0,IF(BT301="Between 1.5 to 2",5,IF(BT301="Less than 1.5",10,0)))</f>
        <v/>
      </c>
      <c r="BV301" s="30" t="inlineStr">
        <is>
          <t>Above 70%</t>
        </is>
      </c>
      <c r="BW301" s="30">
        <f>IF(BV301="Above 70%",10,IF(BV301="Between 50% to 70%",5,IF(BV301="Less than 50%",0,IF(BV301="Negative",-10,IF(BV301="Less than 50% and Borrowings are increasing",-5,0)))))</f>
        <v/>
      </c>
      <c r="BX301" s="30" t="inlineStr">
        <is>
          <t>Less than 0.7</t>
        </is>
      </c>
      <c r="BY301" s="30">
        <f>IF(BX301="More than 1.2",-10,IF(BX301="Between 0.7 to 1.2",0,IF(BX301="Less than 0.7",10,0)))</f>
        <v/>
      </c>
      <c r="BZ301" s="30" t="inlineStr">
        <is>
          <t>No</t>
        </is>
      </c>
      <c r="CA301" s="30">
        <f>IF(BZ301="Yes",-10,0)</f>
        <v/>
      </c>
      <c r="CB301" s="30" t="inlineStr">
        <is>
          <t>Less than 15%</t>
        </is>
      </c>
      <c r="CC301" s="30">
        <f>IF(CB301="More than 15%",-10,IF(CB301="Less than 15%",10,0))</f>
        <v/>
      </c>
      <c r="CD301" s="30" t="inlineStr">
        <is>
          <t>No</t>
        </is>
      </c>
      <c r="CE301" s="30">
        <f>IF(CD301="Yes, more than 10%",-10,IF(CD301="No",10,0))</f>
        <v/>
      </c>
    </row>
    <row r="302">
      <c r="A302" s="30">
        <f>IF(B302=0,"",RANK(B302,$B$2:$B$331,0))</f>
        <v/>
      </c>
      <c r="B302" s="31">
        <f>SUM(N302,Y302,AA302,AC302,AE302,AG302,AI302,AK302,AM302,AO302,AQ302,AS302,AU302,AW302,AY302,BA302,BC302,BE302,BG302,BI302,BK302,BM302,BO302,BQ302,BS302,BU302,BW302,BY302,CA302,CC302,CE302)</f>
        <v/>
      </c>
      <c r="C302" s="30" t="inlineStr">
        <is>
          <t>SANATHAN</t>
        </is>
      </c>
      <c r="D302" s="30" t="inlineStr">
        <is>
          <t>Sanathan Textiles Ltd</t>
        </is>
      </c>
      <c r="E302" s="30" t="inlineStr">
        <is>
          <t>textiles</t>
        </is>
      </c>
      <c r="F302" s="30" t="inlineStr">
        <is>
          <t>textiles - cotton/blended</t>
        </is>
      </c>
      <c r="G302" s="30" t="inlineStr">
        <is>
          <t>smallcap</t>
        </is>
      </c>
      <c r="H302" s="31" t="n">
        <v>4054.35</v>
      </c>
      <c r="I302" s="31" t="n">
        <v>483.1</v>
      </c>
      <c r="J302" s="31" t="n">
        <v>0.57</v>
      </c>
      <c r="K302" s="31" t="n">
        <v>210461</v>
      </c>
      <c r="L302" s="30" t="n">
        <v>8</v>
      </c>
      <c r="M302" s="30" t="inlineStr">
        <is>
          <t>Outperforming</t>
        </is>
      </c>
      <c r="N302" s="31">
        <f>IF(M302="Underperforming",-5,IF(L302&gt;=95,15,IF(L302&gt;=90,10,IF(L302&gt;=80,5,0))))</f>
        <v/>
      </c>
      <c r="O302" s="31" t="n">
        <v>60.97</v>
      </c>
      <c r="P302" s="31" t="n">
        <v>18.54</v>
      </c>
      <c r="Q302" s="31" t="n">
        <v>371.18</v>
      </c>
      <c r="R302" s="30" t="inlineStr">
        <is>
          <t>Volume Spike / Accumulation</t>
        </is>
      </c>
      <c r="S302" s="30" t="inlineStr">
        <is>
          <t>Nifty 50</t>
        </is>
      </c>
      <c r="T302" s="31" t="n">
        <v>-6.52</v>
      </c>
      <c r="U302" s="31" t="n">
        <v>-6.45</v>
      </c>
      <c r="V302" s="31" t="n">
        <v>0.07000000000000001</v>
      </c>
      <c r="W302" s="31" t="n">
        <v>3.09</v>
      </c>
      <c r="X302" s="30" t="inlineStr">
        <is>
          <t>Growing Industry</t>
        </is>
      </c>
      <c r="Y302" s="30">
        <f>IF(X302="Growing Industry",10,IF(X302="Cyclical in an Upturn",5,0))</f>
        <v/>
      </c>
      <c r="Z302" s="30" t="inlineStr">
        <is>
          <t>Too Many Players with High ROCE</t>
        </is>
      </c>
      <c r="AA302" s="30">
        <f>IF(Z302="Monopoly",10,IF(Z302="Oligopoly",5,IF(Z302="Duopoly that cooperate",10,IF(Z302="Duopoly that compete",5,IF(Z302="Too many players with High ROCE",5,0)))))</f>
        <v/>
      </c>
      <c r="AB302" s="30" t="inlineStr">
        <is>
          <t>No</t>
        </is>
      </c>
      <c r="AC302" s="30">
        <f>IF(AB302="No",5,0)</f>
        <v/>
      </c>
      <c r="AD302" s="30" t="inlineStr">
        <is>
          <t>Tailwind</t>
        </is>
      </c>
      <c r="AE302" s="30">
        <f>IF(AD302="Tailwind",10,0)</f>
        <v/>
      </c>
      <c r="AF302" s="30" t="inlineStr">
        <is>
          <t>Structural (10 Years Consistency)</t>
        </is>
      </c>
      <c r="AG302" s="30">
        <f>IF(AF302="Structural (10 Years Consistency)",10,IF(AF302="Shallow Cyclical (2 to 3 years growth)",5,0))</f>
        <v/>
      </c>
      <c r="AH302" s="30" t="inlineStr">
        <is>
          <t>No</t>
        </is>
      </c>
      <c r="AI302" s="30">
        <f>IF(AH302="Yes due to Product Mix change or Operating Leverage",10,IF(AH302="Yes, these are peak margins",-5,IF(AH302="No",5,0)))</f>
        <v/>
      </c>
      <c r="AJ302" s="30" t="inlineStr">
        <is>
          <t>Stable</t>
        </is>
      </c>
      <c r="AK302" s="30">
        <f>IF(AJ302="Stable",10,0)</f>
        <v/>
      </c>
      <c r="AL302" s="30" t="inlineStr">
        <is>
          <t>Yes</t>
        </is>
      </c>
      <c r="AM302" s="30">
        <f>IF(AL302="Yes",10,0)</f>
        <v/>
      </c>
      <c r="AN302" s="30" t="inlineStr">
        <is>
          <t>B2B</t>
        </is>
      </c>
      <c r="AO302" s="30">
        <f>IF(AN302="B2C",10,IF(AN302="B2B",5,0))</f>
        <v/>
      </c>
      <c r="AP302" s="30" t="inlineStr">
        <is>
          <t>Yes</t>
        </is>
      </c>
      <c r="AQ302" s="30">
        <f>IF(AP302="Yes",10,0)</f>
        <v/>
      </c>
      <c r="AR302" s="30" t="inlineStr">
        <is>
          <t>Higher One Time, Lower Annuity</t>
        </is>
      </c>
      <c r="AS302" s="30">
        <f>IF(AR302="Fully Annuity",10,IF(AR302="Higher Annuity, Lower One Time",5,IF(AR302="Higher One Time, Lower Annuity",3,0)))</f>
        <v/>
      </c>
      <c r="AT302" s="30" t="inlineStr">
        <is>
          <t>Good</t>
        </is>
      </c>
      <c r="AU302" s="30">
        <f>IF(AT302="Good",10,0)</f>
        <v/>
      </c>
      <c r="AV302" s="30" t="inlineStr">
        <is>
          <t>Yes for more than 2 years</t>
        </is>
      </c>
      <c r="AW302" s="30">
        <f>IF(AV302="Yes for more than 2 years",10,IF(AV302="Yes only for next 1 to 2 years",5,0))</f>
        <v/>
      </c>
      <c r="AX302" s="30" t="inlineStr">
        <is>
          <t>0 to 20</t>
        </is>
      </c>
      <c r="AY302" s="30">
        <f>IF(AX302="Above 40",20,IF(AX302="20 to 40",10,IF(AX302="0 to 20",-5,0)))</f>
        <v/>
      </c>
      <c r="AZ302" s="30" t="inlineStr">
        <is>
          <t>Between 50 to 75</t>
        </is>
      </c>
      <c r="BA302" s="30">
        <f>IF(AZ302="Between 50 to 75",10,IF(AZ302="Above 75",0,0))</f>
        <v/>
      </c>
      <c r="BB302" s="30" t="inlineStr">
        <is>
          <t>Stage 2</t>
        </is>
      </c>
      <c r="BC302" s="30">
        <f>IF(BB302="Stage 2",20,IF(BB302="Stage 1",0,IF(BB302="Stage 3",5,IF(BB302="Stage 4",-5,0))))</f>
        <v/>
      </c>
      <c r="BD302" s="30" t="inlineStr">
        <is>
          <t>Positive Trend</t>
        </is>
      </c>
      <c r="BE302" s="30">
        <f>IF(BD302="Positive Trend",20,IF(BD302="Negative Trend",-10,0))</f>
        <v/>
      </c>
      <c r="BF302" s="30" t="inlineStr">
        <is>
          <t>Uptrend</t>
        </is>
      </c>
      <c r="BG302" s="30">
        <f>IF(BF302="Uptrend",10,IF(BF302="Sideways",5,0))</f>
        <v/>
      </c>
      <c r="BH302" s="30" t="inlineStr">
        <is>
          <t>Uptrend</t>
        </is>
      </c>
      <c r="BI302" s="30">
        <f>IF(BH302="Uptrend",10,IF(BH302="Sideways",5,0))</f>
        <v/>
      </c>
      <c r="BJ302" s="30" t="inlineStr">
        <is>
          <t>Close to 52 week high or retracement</t>
        </is>
      </c>
      <c r="BK302" s="30">
        <f>IF(BJ302="Overhead supply in last 2 years in last 2 years",-5,IF(BJ302="Close to 52 week high or retracement",5,IF(BJ302="Blue sky scenario",10,IF(BJ302="Long term Downtrend",-10,0))))</f>
        <v/>
      </c>
      <c r="BL302" s="30" t="inlineStr">
        <is>
          <t>Yes</t>
        </is>
      </c>
      <c r="BM302" s="30">
        <f>IF(BL302="Yes",10,0)</f>
        <v/>
      </c>
      <c r="BN302" s="30" t="inlineStr">
        <is>
          <t>Less than 12%</t>
        </is>
      </c>
      <c r="BO302" s="30">
        <f>IF(BN302="More than 20%",10,IF(BN302="Between 12 to 20%",5,IF(BN302="Less than 12%",0,0)))</f>
        <v/>
      </c>
      <c r="BP302" s="30" t="inlineStr">
        <is>
          <t>No</t>
        </is>
      </c>
      <c r="BQ302" s="30">
        <f>IF(BP302="No",10,0)</f>
        <v/>
      </c>
      <c r="BR302" s="30" t="inlineStr">
        <is>
          <t>Yes</t>
        </is>
      </c>
      <c r="BS302" s="30">
        <f>IF(BR302="NO",5,0)</f>
        <v/>
      </c>
      <c r="BT302" s="30" t="inlineStr">
        <is>
          <t>Above 2</t>
        </is>
      </c>
      <c r="BU302" s="30">
        <f>IF(BT302="Above 2",0,IF(BT302="Between 1.5 to 2",5,IF(BT302="Less than 1.5",10,0)))</f>
        <v/>
      </c>
      <c r="BV302" s="30" t="inlineStr">
        <is>
          <t>Above 70%</t>
        </is>
      </c>
      <c r="BW302" s="30">
        <f>IF(BV302="Above 70%",10,IF(BV302="Between 50% to 70%",5,IF(BV302="Less than 50%",0,IF(BV302="Negative",-10,IF(BV302="Less than 50% and Borrowings are increasing",-5,0)))))</f>
        <v/>
      </c>
      <c r="BX302" s="30" t="inlineStr">
        <is>
          <t>Between 0.7 to 1.2</t>
        </is>
      </c>
      <c r="BY302" s="30">
        <f>IF(BX302="More than 1.2",-10,IF(BX302="Between 0.7 to 1.2",0,IF(BX302="Less than 0.7",10,0)))</f>
        <v/>
      </c>
      <c r="BZ302" s="30" t="inlineStr">
        <is>
          <t>No</t>
        </is>
      </c>
      <c r="CA302" s="30">
        <f>IF(BZ302="Yes",-10,0)</f>
        <v/>
      </c>
      <c r="CB302" s="30" t="inlineStr">
        <is>
          <t>Less than 15%</t>
        </is>
      </c>
      <c r="CC302" s="30">
        <f>IF(CB302="More than 15%",-10,IF(CB302="Less than 15%",10,0))</f>
        <v/>
      </c>
      <c r="CD302" s="30" t="inlineStr">
        <is>
          <t>No</t>
        </is>
      </c>
      <c r="CE302" s="30">
        <f>IF(CD302="Yes, more than 10%",-10,IF(CD302="No",10,0))</f>
        <v/>
      </c>
    </row>
    <row r="303">
      <c r="A303" s="30">
        <f>IF(B303=0,"",RANK(B303,$B$2:$B$331,0))</f>
        <v/>
      </c>
      <c r="B303" s="31">
        <f>SUM(N303,Y303,AA303,AC303,AE303,AG303,AI303,AK303,AM303,AO303,AQ303,AS303,AU303,AW303,AY303,BA303,BC303,BE303,BG303,BI303,BK303,BM303,BO303,BQ303,BS303,BU303,BW303,BY303,CA303,CC303,CE303)</f>
        <v/>
      </c>
      <c r="C303" s="32" t="inlineStr">
        <is>
          <t>PRABHA</t>
        </is>
      </c>
      <c r="D303" s="32" t="inlineStr">
        <is>
          <t>Prabha Energy Ltd</t>
        </is>
      </c>
      <c r="E303" s="30" t="inlineStr">
        <is>
          <t>energy</t>
        </is>
      </c>
      <c r="F303" s="30" t="inlineStr">
        <is>
          <t>oil drilling / allied services</t>
        </is>
      </c>
      <c r="G303" s="30" t="inlineStr">
        <is>
          <t>smallcap</t>
        </is>
      </c>
      <c r="H303" s="31" t="n">
        <v>3614.19</v>
      </c>
      <c r="I303" s="31" t="n">
        <v>247.58</v>
      </c>
      <c r="J303" s="31" t="n">
        <v>0.41</v>
      </c>
      <c r="K303" s="31" t="n">
        <v>118160</v>
      </c>
      <c r="L303" s="30" t="n">
        <v>43</v>
      </c>
      <c r="M303" s="30" t="inlineStr">
        <is>
          <t>Underperforming</t>
        </is>
      </c>
      <c r="N303" s="31">
        <f>IF(M303="Underperforming",-5,IF(L303&gt;=95,15,IF(L303&gt;=90,10,IF(L303&gt;=80,5,0))))</f>
        <v/>
      </c>
      <c r="O303" s="31" t="n">
        <v>73.98999999999999</v>
      </c>
      <c r="P303" s="31" t="n">
        <v>24.78</v>
      </c>
      <c r="Q303" s="31" t="n">
        <v>180.91</v>
      </c>
      <c r="R303" s="30" t="inlineStr">
        <is>
          <t>Near 52W High Breakout</t>
        </is>
      </c>
      <c r="S303" s="30" t="inlineStr">
        <is>
          <t>Nifty Energy</t>
        </is>
      </c>
      <c r="T303" s="31" t="n">
        <v>8.43</v>
      </c>
      <c r="U303" s="31" t="n">
        <v>-5.61</v>
      </c>
      <c r="V303" s="31" t="n">
        <v>-12.95</v>
      </c>
      <c r="W303" s="31" t="n">
        <v>13.06</v>
      </c>
      <c r="X303" s="30" t="inlineStr">
        <is>
          <t>Cyclical in an Upturn</t>
        </is>
      </c>
      <c r="Y303" s="30">
        <f>IF(X303="Growing Industry",10,IF(X303="Cyclical in an Upturn",5,0))</f>
        <v/>
      </c>
      <c r="Z303" s="30" t="inlineStr">
        <is>
          <t>Oligopoly</t>
        </is>
      </c>
      <c r="AA303" s="30">
        <f>IF(Z303="Monopoly",10,IF(Z303="Oligopoly",5,IF(Z303="Duopoly that cooperate",10,IF(Z303="Duopoly that compete",5,IF(Z303="Too many players with High ROCE",5,0)))))</f>
        <v/>
      </c>
      <c r="AB303" s="30" t="inlineStr">
        <is>
          <t>Yes</t>
        </is>
      </c>
      <c r="AC303" s="30">
        <f>IF(AB303="No",5,0)</f>
        <v/>
      </c>
      <c r="AD303" s="30" t="inlineStr">
        <is>
          <t>Tailwind</t>
        </is>
      </c>
      <c r="AE303" s="30">
        <f>IF(AD303="Tailwind",10,0)</f>
        <v/>
      </c>
      <c r="AF303" s="30" t="inlineStr">
        <is>
          <t>Cyclical</t>
        </is>
      </c>
      <c r="AG303" s="30">
        <f>IF(AF303="Structural (10 Years Consistency)",10,IF(AF303="Shallow Cyclical (2 to 3 years growth)",5,0))</f>
        <v/>
      </c>
      <c r="AH303" s="30" t="inlineStr">
        <is>
          <t>No</t>
        </is>
      </c>
      <c r="AI303" s="30">
        <f>IF(AH303="Yes due to Product Mix change or Operating Leverage",10,IF(AH303="Yes, these are peak margins",-5,IF(AH303="No",5,0)))</f>
        <v/>
      </c>
      <c r="AJ303" s="30" t="inlineStr">
        <is>
          <t>Volatile</t>
        </is>
      </c>
      <c r="AK303" s="30">
        <f>IF(AJ303="Stable",10,0)</f>
        <v/>
      </c>
      <c r="AL303" s="30" t="inlineStr">
        <is>
          <t>Yes</t>
        </is>
      </c>
      <c r="AM303" s="30">
        <f>IF(AL303="Yes",10,0)</f>
        <v/>
      </c>
      <c r="AN303" s="30" t="inlineStr">
        <is>
          <t>B2B</t>
        </is>
      </c>
      <c r="AO303" s="30">
        <f>IF(AN303="B2C",10,IF(AN303="B2B",5,0))</f>
        <v/>
      </c>
      <c r="AP303" s="30" t="inlineStr">
        <is>
          <t>Yes</t>
        </is>
      </c>
      <c r="AQ303" s="30">
        <f>IF(AP303="Yes",10,0)</f>
        <v/>
      </c>
      <c r="AR303" s="30" t="inlineStr">
        <is>
          <t>Higher One Time, Lower Annuity</t>
        </is>
      </c>
      <c r="AS303" s="30">
        <f>IF(AR303="Fully Annuity",10,IF(AR303="Higher Annuity, Lower One Time",5,IF(AR303="Higher One Time, Lower Annuity",3,0)))</f>
        <v/>
      </c>
      <c r="AT303" s="30" t="inlineStr">
        <is>
          <t>Good</t>
        </is>
      </c>
      <c r="AU303" s="30">
        <f>IF(AT303="Good",10,0)</f>
        <v/>
      </c>
      <c r="AV303" s="30" t="inlineStr">
        <is>
          <t>Yes for more than 2 years</t>
        </is>
      </c>
      <c r="AW303" s="30">
        <f>IF(AV303="Yes for more than 2 years",10,IF(AV303="Yes only for next 1 to 2 years",5,0))</f>
        <v/>
      </c>
      <c r="AX303" s="30" t="inlineStr">
        <is>
          <t>20 to 40</t>
        </is>
      </c>
      <c r="AY303" s="30">
        <f>IF(AX303="Above 40",20,IF(AX303="20 to 40",10,IF(AX303="0 to 20",-5,0)))</f>
        <v/>
      </c>
      <c r="AZ303" s="30" t="inlineStr">
        <is>
          <t>Between 50 to 75</t>
        </is>
      </c>
      <c r="BA303" s="30">
        <f>IF(AZ303="Between 50 to 75",10,IF(AZ303="Above 75",0,0))</f>
        <v/>
      </c>
      <c r="BB303" s="30" t="inlineStr">
        <is>
          <t>Stage 2</t>
        </is>
      </c>
      <c r="BC303" s="30">
        <f>IF(BB303="Stage 2",20,IF(BB303="Stage 1",0,IF(BB303="Stage 3",5,IF(BB303="Stage 4",-5,0))))</f>
        <v/>
      </c>
      <c r="BD303" s="30" t="inlineStr">
        <is>
          <t>Positive Trend</t>
        </is>
      </c>
      <c r="BE303" s="30">
        <f>IF(BD303="Positive Trend",20,IF(BD303="Negative Trend",-10,0))</f>
        <v/>
      </c>
      <c r="BF303" s="30" t="inlineStr">
        <is>
          <t>Uptrend</t>
        </is>
      </c>
      <c r="BG303" s="30">
        <f>IF(BF303="Uptrend",10,IF(BF303="Sideways",5,0))</f>
        <v/>
      </c>
      <c r="BH303" s="30" t="inlineStr">
        <is>
          <t>Uptrend</t>
        </is>
      </c>
      <c r="BI303" s="30">
        <f>IF(BH303="Uptrend",10,IF(BH303="Sideways",5,0))</f>
        <v/>
      </c>
      <c r="BJ303" s="30" t="inlineStr">
        <is>
          <t>Close to 52 week high or retracement</t>
        </is>
      </c>
      <c r="BK303" s="30">
        <f>IF(BJ303="Overhead supply in last 2 years in last 2 years",-5,IF(BJ303="Close to 52 week high or retracement",5,IF(BJ303="Blue sky scenario",10,IF(BJ303="Long term Downtrend",-10,0))))</f>
        <v/>
      </c>
      <c r="BL303" s="30" t="inlineStr">
        <is>
          <t>Yes</t>
        </is>
      </c>
      <c r="BM303" s="30">
        <f>IF(BL303="Yes",10,0)</f>
        <v/>
      </c>
      <c r="BN303" s="30" t="inlineStr">
        <is>
          <t>More than 20%</t>
        </is>
      </c>
      <c r="BO303" s="30">
        <f>IF(BN303="More than 20%",10,IF(BN303="Between 12 to 20%",5,IF(BN303="Less than 12%",0,0)))</f>
        <v/>
      </c>
      <c r="BP303" s="30" t="inlineStr">
        <is>
          <t>No</t>
        </is>
      </c>
      <c r="BQ303" s="30">
        <f>IF(BP303="No",10,0)</f>
        <v/>
      </c>
      <c r="BR303" s="30" t="inlineStr">
        <is>
          <t>Yes</t>
        </is>
      </c>
      <c r="BS303" s="30">
        <f>IF(BR303="NO",5,0)</f>
        <v/>
      </c>
      <c r="BT303" s="30" t="inlineStr">
        <is>
          <t>Above 2</t>
        </is>
      </c>
      <c r="BU303" s="30">
        <f>IF(BT303="Above 2",0,IF(BT303="Between 1.5 to 2",5,IF(BT303="Less than 1.5",10,0)))</f>
        <v/>
      </c>
      <c r="BV303" s="30" t="inlineStr">
        <is>
          <t>Above 70%</t>
        </is>
      </c>
      <c r="BW303" s="30">
        <f>IF(BV303="Above 70%",10,IF(BV303="Between 50% to 70%",5,IF(BV303="Less than 50%",0,IF(BV303="Negative",-10,IF(BV303="Less than 50% and Borrowings are increasing",-5,0)))))</f>
        <v/>
      </c>
      <c r="BX303" s="30" t="inlineStr">
        <is>
          <t>Less than 0.7</t>
        </is>
      </c>
      <c r="BY303" s="30">
        <f>IF(BX303="More than 1.2",-10,IF(BX303="Between 0.7 to 1.2",0,IF(BX303="Less than 0.7",10,0)))</f>
        <v/>
      </c>
      <c r="BZ303" s="30" t="inlineStr">
        <is>
          <t>No</t>
        </is>
      </c>
      <c r="CA303" s="30">
        <f>IF(BZ303="Yes",-10,0)</f>
        <v/>
      </c>
      <c r="CB303" s="30" t="inlineStr">
        <is>
          <t>Less than 15%</t>
        </is>
      </c>
      <c r="CC303" s="30">
        <f>IF(CB303="More than 15%",-10,IF(CB303="Less than 15%",10,0))</f>
        <v/>
      </c>
      <c r="CD303" s="30" t="inlineStr">
        <is>
          <t>No</t>
        </is>
      </c>
      <c r="CE303" s="30">
        <f>IF(CD303="Yes, more than 10%",-10,IF(CD303="No",10,0))</f>
        <v/>
      </c>
    </row>
    <row r="304">
      <c r="A304" s="30">
        <f>IF(B304=0,"",RANK(B304,$B$2:$B$331,0))</f>
        <v/>
      </c>
      <c r="B304" s="31">
        <f>SUM(N304,Y304,AA304,AC304,AE304,AG304,AI304,AK304,AM304,AO304,AQ304,AS304,AU304,AW304,AY304,BA304,BC304,BE304,BG304,BI304,BK304,BM304,BO304,BQ304,BS304,BU304,BW304,BY304,CA304,CC304,CE304)</f>
        <v/>
      </c>
      <c r="C304" s="32" t="inlineStr">
        <is>
          <t>TNPL</t>
        </is>
      </c>
      <c r="D304" s="32" t="inlineStr">
        <is>
          <t>Tamil Nadu Newsprint &amp; Papers Limited</t>
        </is>
      </c>
      <c r="E304" s="30" t="inlineStr">
        <is>
          <t>building materials</t>
        </is>
      </c>
      <c r="F304" s="30" t="inlineStr">
        <is>
          <t>paper</t>
        </is>
      </c>
      <c r="G304" s="30" t="inlineStr">
        <is>
          <t>smallcap</t>
        </is>
      </c>
      <c r="H304" s="31" t="n">
        <v>1075.12</v>
      </c>
      <c r="I304" s="31" t="n">
        <v>154.03</v>
      </c>
      <c r="J304" s="31" t="n">
        <v>-0.84</v>
      </c>
      <c r="K304" s="31" t="n">
        <v>364842</v>
      </c>
      <c r="L304" s="30" t="n">
        <v>5</v>
      </c>
      <c r="M304" s="30" t="inlineStr">
        <is>
          <t>Underperforming</t>
        </is>
      </c>
      <c r="N304" s="31">
        <f>IF(M304="Underperforming",-5,IF(L304&gt;=95,15,IF(L304&gt;=90,10,IF(L304&gt;=80,5,0))))</f>
        <v/>
      </c>
      <c r="O304" s="31" t="n">
        <v>57.03</v>
      </c>
      <c r="P304" s="31" t="n">
        <v>12.28</v>
      </c>
      <c r="Q304" s="31" t="n">
        <v>126.05</v>
      </c>
      <c r="R304" s="30" t="inlineStr">
        <is>
          <t>Near 52W High Breakout</t>
        </is>
      </c>
      <c r="S304" s="30" t="inlineStr">
        <is>
          <t>Nifty Infra</t>
        </is>
      </c>
      <c r="T304" s="31" t="n">
        <v>0.74</v>
      </c>
      <c r="U304" s="31" t="n">
        <v>-4.88</v>
      </c>
      <c r="V304" s="31" t="n">
        <v>-5.57</v>
      </c>
      <c r="W304" s="31" t="n">
        <v>1.29</v>
      </c>
      <c r="X304" s="30" t="inlineStr">
        <is>
          <t>Growing Industry</t>
        </is>
      </c>
      <c r="Y304" s="30">
        <f>IF(X304="Growing Industry",10,IF(X304="Cyclical in an Upturn",5,0))</f>
        <v/>
      </c>
      <c r="Z304" s="30" t="inlineStr">
        <is>
          <t>Too Many Players with High ROCE</t>
        </is>
      </c>
      <c r="AA304" s="30">
        <f>IF(Z304="Monopoly",10,IF(Z304="Oligopoly",5,IF(Z304="Duopoly that cooperate",10,IF(Z304="Duopoly that compete",5,IF(Z304="Too many players with High ROCE",5,0)))))</f>
        <v/>
      </c>
      <c r="AB304" s="30" t="inlineStr">
        <is>
          <t>No</t>
        </is>
      </c>
      <c r="AC304" s="30">
        <f>IF(AB304="No",5,0)</f>
        <v/>
      </c>
      <c r="AD304" s="30" t="inlineStr">
        <is>
          <t>Tailwind</t>
        </is>
      </c>
      <c r="AE304" s="30">
        <f>IF(AD304="Tailwind",10,0)</f>
        <v/>
      </c>
      <c r="AF304" s="30" t="inlineStr">
        <is>
          <t>Structural (10 Years Consistency)</t>
        </is>
      </c>
      <c r="AG304" s="30">
        <f>IF(AF304="Structural (10 Years Consistency)",10,IF(AF304="Shallow Cyclical (2 to 3 years growth)",5,0))</f>
        <v/>
      </c>
      <c r="AH304" s="30" t="inlineStr">
        <is>
          <t>No</t>
        </is>
      </c>
      <c r="AI304" s="30">
        <f>IF(AH304="Yes due to Product Mix change or Operating Leverage",10,IF(AH304="Yes, these are peak margins",-5,IF(AH304="No",5,0)))</f>
        <v/>
      </c>
      <c r="AJ304" s="30" t="inlineStr">
        <is>
          <t>Stable</t>
        </is>
      </c>
      <c r="AK304" s="30">
        <f>IF(AJ304="Stable",10,0)</f>
        <v/>
      </c>
      <c r="AL304" s="30" t="inlineStr">
        <is>
          <t>Yes</t>
        </is>
      </c>
      <c r="AM304" s="30">
        <f>IF(AL304="Yes",10,0)</f>
        <v/>
      </c>
      <c r="AN304" s="30" t="inlineStr">
        <is>
          <t>B2B</t>
        </is>
      </c>
      <c r="AO304" s="30">
        <f>IF(AN304="B2C",10,IF(AN304="B2B",5,0))</f>
        <v/>
      </c>
      <c r="AP304" s="30" t="inlineStr">
        <is>
          <t>Yes</t>
        </is>
      </c>
      <c r="AQ304" s="30">
        <f>IF(AP304="Yes",10,0)</f>
        <v/>
      </c>
      <c r="AR304" s="30" t="inlineStr">
        <is>
          <t>Higher One Time, Lower Annuity</t>
        </is>
      </c>
      <c r="AS304" s="30">
        <f>IF(AR304="Fully Annuity",10,IF(AR304="Higher Annuity, Lower One Time",5,IF(AR304="Higher One Time, Lower Annuity",3,0)))</f>
        <v/>
      </c>
      <c r="AT304" s="30" t="inlineStr">
        <is>
          <t>Good</t>
        </is>
      </c>
      <c r="AU304" s="30">
        <f>IF(AT304="Good",10,0)</f>
        <v/>
      </c>
      <c r="AV304" s="30" t="inlineStr">
        <is>
          <t>Yes for more than 2 years</t>
        </is>
      </c>
      <c r="AW304" s="30">
        <f>IF(AV304="Yes for more than 2 years",10,IF(AV304="Yes only for next 1 to 2 years",5,0))</f>
        <v/>
      </c>
      <c r="AX304" s="30" t="inlineStr">
        <is>
          <t>0 to 20</t>
        </is>
      </c>
      <c r="AY304" s="30">
        <f>IF(AX304="Above 40",20,IF(AX304="20 to 40",10,IF(AX304="0 to 20",-5,0)))</f>
        <v/>
      </c>
      <c r="AZ304" s="30" t="inlineStr">
        <is>
          <t>Between 50 to 75</t>
        </is>
      </c>
      <c r="BA304" s="30">
        <f>IF(AZ304="Between 50 to 75",10,IF(AZ304="Above 75",0,0))</f>
        <v/>
      </c>
      <c r="BB304" s="30" t="inlineStr">
        <is>
          <t>Stage 1</t>
        </is>
      </c>
      <c r="BC304" s="30">
        <f>IF(BB304="Stage 2",20,IF(BB304="Stage 1",0,IF(BB304="Stage 3",5,IF(BB304="Stage 4",-5,0))))</f>
        <v/>
      </c>
      <c r="BD304" s="30" t="inlineStr">
        <is>
          <t>Positive Trend</t>
        </is>
      </c>
      <c r="BE304" s="30">
        <f>IF(BD304="Positive Trend",20,IF(BD304="Negative Trend",-10,0))</f>
        <v/>
      </c>
      <c r="BF304" s="30" t="inlineStr">
        <is>
          <t>Uptrend</t>
        </is>
      </c>
      <c r="BG304" s="30">
        <f>IF(BF304="Uptrend",10,IF(BF304="Sideways",5,0))</f>
        <v/>
      </c>
      <c r="BH304" s="30" t="inlineStr">
        <is>
          <t>Uptrend</t>
        </is>
      </c>
      <c r="BI304" s="30">
        <f>IF(BH304="Uptrend",10,IF(BH304="Sideways",5,0))</f>
        <v/>
      </c>
      <c r="BJ304" s="30" t="inlineStr">
        <is>
          <t>Close to 52 week high or retracement</t>
        </is>
      </c>
      <c r="BK304" s="30">
        <f>IF(BJ304="Overhead supply in last 2 years in last 2 years",-5,IF(BJ304="Close to 52 week high or retracement",5,IF(BJ304="Blue sky scenario",10,IF(BJ304="Long term Downtrend",-10,0))))</f>
        <v/>
      </c>
      <c r="BL304" s="30" t="inlineStr">
        <is>
          <t>Yes</t>
        </is>
      </c>
      <c r="BM304" s="30">
        <f>IF(BL304="Yes",10,0)</f>
        <v/>
      </c>
      <c r="BN304" s="30" t="inlineStr">
        <is>
          <t>More than 20%</t>
        </is>
      </c>
      <c r="BO304" s="30">
        <f>IF(BN304="More than 20%",10,IF(BN304="Between 12 to 20%",5,IF(BN304="Less than 12%",0,0)))</f>
        <v/>
      </c>
      <c r="BP304" s="30" t="inlineStr">
        <is>
          <t>No</t>
        </is>
      </c>
      <c r="BQ304" s="30">
        <f>IF(BP304="No",10,0)</f>
        <v/>
      </c>
      <c r="BR304" s="30" t="inlineStr">
        <is>
          <t>No</t>
        </is>
      </c>
      <c r="BS304" s="30">
        <f>IF(BR304="NO",5,0)</f>
        <v/>
      </c>
      <c r="BT304" s="30" t="inlineStr">
        <is>
          <t>Above 2</t>
        </is>
      </c>
      <c r="BU304" s="30">
        <f>IF(BT304="Above 2",0,IF(BT304="Between 1.5 to 2",5,IF(BT304="Less than 1.5",10,0)))</f>
        <v/>
      </c>
      <c r="BV304" s="30" t="inlineStr">
        <is>
          <t>Above 70%</t>
        </is>
      </c>
      <c r="BW304" s="30">
        <f>IF(BV304="Above 70%",10,IF(BV304="Between 50% to 70%",5,IF(BV304="Less than 50%",0,IF(BV304="Negative",-10,IF(BV304="Less than 50% and Borrowings are increasing",-5,0)))))</f>
        <v/>
      </c>
      <c r="BX304" s="30" t="inlineStr">
        <is>
          <t>Less than 0.7</t>
        </is>
      </c>
      <c r="BY304" s="30">
        <f>IF(BX304="More than 1.2",-10,IF(BX304="Between 0.7 to 1.2",0,IF(BX304="Less than 0.7",10,0)))</f>
        <v/>
      </c>
      <c r="BZ304" s="30" t="inlineStr">
        <is>
          <t>No</t>
        </is>
      </c>
      <c r="CA304" s="30">
        <f>IF(BZ304="Yes",-10,0)</f>
        <v/>
      </c>
      <c r="CB304" s="30" t="inlineStr">
        <is>
          <t>Less than 15%</t>
        </is>
      </c>
      <c r="CC304" s="30">
        <f>IF(CB304="More than 15%",-10,IF(CB304="Less than 15%",10,0))</f>
        <v/>
      </c>
      <c r="CD304" s="30" t="inlineStr">
        <is>
          <t>No</t>
        </is>
      </c>
      <c r="CE304" s="30">
        <f>IF(CD304="Yes, more than 10%",-10,IF(CD304="No",10,0))</f>
        <v/>
      </c>
    </row>
    <row r="305">
      <c r="A305" s="30">
        <f>IF(B305=0,"",RANK(B305,$B$2:$B$331,0))</f>
        <v/>
      </c>
      <c r="B305" s="31">
        <f>SUM(N305,Y305,AA305,AC305,AE305,AG305,AI305,AK305,AM305,AO305,AQ305,AS305,AU305,AW305,AY305,BA305,BC305,BE305,BG305,BI305,BK305,BM305,BO305,BQ305,BS305,BU305,BW305,BY305,CA305,CC305,CE305)</f>
        <v/>
      </c>
      <c r="C305" s="32" t="inlineStr">
        <is>
          <t>MAITHANALL</t>
        </is>
      </c>
      <c r="D305" s="32" t="inlineStr">
        <is>
          <t>Maithan Alloys Limited</t>
        </is>
      </c>
      <c r="E305" s="30" t="inlineStr">
        <is>
          <t>metals &amp; mining</t>
        </is>
      </c>
      <c r="F305" s="30" t="inlineStr">
        <is>
          <t>mining / minerals / metals</t>
        </is>
      </c>
      <c r="G305" s="30" t="inlineStr">
        <is>
          <t>smallcap</t>
        </is>
      </c>
      <c r="H305" s="31" t="n">
        <v>3135.31</v>
      </c>
      <c r="I305" s="31" t="n">
        <v>1055.6</v>
      </c>
      <c r="J305" s="31" t="n">
        <v>-1.99</v>
      </c>
      <c r="K305" s="31" t="n">
        <v>80381</v>
      </c>
      <c r="L305" s="30" t="n">
        <v>3</v>
      </c>
      <c r="M305" s="30" t="inlineStr">
        <is>
          <t>Underperforming</t>
        </is>
      </c>
      <c r="N305" s="31">
        <f>IF(M305="Underperforming",-5,IF(L305&gt;=95,15,IF(L305&gt;=90,10,IF(L305&gt;=80,5,0))))</f>
        <v/>
      </c>
      <c r="O305" s="31" t="n">
        <v>55.53</v>
      </c>
      <c r="P305" s="31" t="n">
        <v>26.11</v>
      </c>
      <c r="Q305" s="31" t="n">
        <v>873.74</v>
      </c>
      <c r="R305" s="30" t="inlineStr">
        <is>
          <t>Volume Spike / Accumulation</t>
        </is>
      </c>
      <c r="S305" s="30" t="inlineStr">
        <is>
          <t>Nifty Metal</t>
        </is>
      </c>
      <c r="T305" s="31" t="n">
        <v>41.17</v>
      </c>
      <c r="U305" s="31" t="n">
        <v>-5.81</v>
      </c>
      <c r="V305" s="31" t="n">
        <v>-33.28</v>
      </c>
      <c r="W305" s="31" t="n">
        <v>0.36</v>
      </c>
      <c r="X305" s="30" t="inlineStr">
        <is>
          <t>Cyclical in an Upturn</t>
        </is>
      </c>
      <c r="Y305" s="30">
        <f>IF(X305="Growing Industry",10,IF(X305="Cyclical in an Upturn",5,0))</f>
        <v/>
      </c>
      <c r="Z305" s="30" t="inlineStr">
        <is>
          <t>Too Many Players with High ROCE</t>
        </is>
      </c>
      <c r="AA305" s="30">
        <f>IF(Z305="Monopoly",10,IF(Z305="Oligopoly",5,IF(Z305="Duopoly that cooperate",10,IF(Z305="Duopoly that compete",5,IF(Z305="Too many players with High ROCE",5,0)))))</f>
        <v/>
      </c>
      <c r="AB305" s="30" t="inlineStr">
        <is>
          <t>No</t>
        </is>
      </c>
      <c r="AC305" s="30">
        <f>IF(AB305="No",5,0)</f>
        <v/>
      </c>
      <c r="AD305" s="30" t="inlineStr">
        <is>
          <t>Tailwind</t>
        </is>
      </c>
      <c r="AE305" s="30">
        <f>IF(AD305="Tailwind",10,0)</f>
        <v/>
      </c>
      <c r="AF305" s="30" t="inlineStr">
        <is>
          <t>Cyclical</t>
        </is>
      </c>
      <c r="AG305" s="30">
        <f>IF(AF305="Structural (10 Years Consistency)",10,IF(AF305="Shallow Cyclical (2 to 3 years growth)",5,0))</f>
        <v/>
      </c>
      <c r="AH305" s="30" t="inlineStr">
        <is>
          <t>No</t>
        </is>
      </c>
      <c r="AI305" s="30">
        <f>IF(AH305="Yes due to Product Mix change or Operating Leverage",10,IF(AH305="Yes, these are peak margins",-5,IF(AH305="No",5,0)))</f>
        <v/>
      </c>
      <c r="AJ305" s="30" t="inlineStr">
        <is>
          <t>Volatile</t>
        </is>
      </c>
      <c r="AK305" s="30">
        <f>IF(AJ305="Stable",10,0)</f>
        <v/>
      </c>
      <c r="AL305" s="30" t="inlineStr">
        <is>
          <t>Yes</t>
        </is>
      </c>
      <c r="AM305" s="30">
        <f>IF(AL305="Yes",10,0)</f>
        <v/>
      </c>
      <c r="AN305" s="30" t="inlineStr">
        <is>
          <t>B2B</t>
        </is>
      </c>
      <c r="AO305" s="30">
        <f>IF(AN305="B2C",10,IF(AN305="B2B",5,0))</f>
        <v/>
      </c>
      <c r="AP305" s="30" t="inlineStr">
        <is>
          <t>Yes</t>
        </is>
      </c>
      <c r="AQ305" s="30">
        <f>IF(AP305="Yes",10,0)</f>
        <v/>
      </c>
      <c r="AR305" s="30" t="inlineStr">
        <is>
          <t>Higher One Time, Lower Annuity</t>
        </is>
      </c>
      <c r="AS305" s="30">
        <f>IF(AR305="Fully Annuity",10,IF(AR305="Higher Annuity, Lower One Time",5,IF(AR305="Higher One Time, Lower Annuity",3,0)))</f>
        <v/>
      </c>
      <c r="AT305" s="30" t="inlineStr">
        <is>
          <t>Good</t>
        </is>
      </c>
      <c r="AU305" s="30">
        <f>IF(AT305="Good",10,0)</f>
        <v/>
      </c>
      <c r="AV305" s="30" t="inlineStr">
        <is>
          <t>Yes for more than 2 years</t>
        </is>
      </c>
      <c r="AW305" s="30">
        <f>IF(AV305="Yes for more than 2 years",10,IF(AV305="Yes only for next 1 to 2 years",5,0))</f>
        <v/>
      </c>
      <c r="AX305" s="30" t="inlineStr">
        <is>
          <t>20 to 40</t>
        </is>
      </c>
      <c r="AY305" s="30">
        <f>IF(AX305="Above 40",20,IF(AX305="20 to 40",10,IF(AX305="0 to 20",-5,0)))</f>
        <v/>
      </c>
      <c r="AZ305" s="30" t="inlineStr">
        <is>
          <t>Between 50 to 75</t>
        </is>
      </c>
      <c r="BA305" s="30">
        <f>IF(AZ305="Between 50 to 75",10,IF(AZ305="Above 75",0,0))</f>
        <v/>
      </c>
      <c r="BB305" s="30" t="inlineStr">
        <is>
          <t>Stage 2</t>
        </is>
      </c>
      <c r="BC305" s="30">
        <f>IF(BB305="Stage 2",20,IF(BB305="Stage 1",0,IF(BB305="Stage 3",5,IF(BB305="Stage 4",-5,0))))</f>
        <v/>
      </c>
      <c r="BD305" s="30" t="inlineStr">
        <is>
          <t>Positive Trend</t>
        </is>
      </c>
      <c r="BE305" s="30">
        <f>IF(BD305="Positive Trend",20,IF(BD305="Negative Trend",-10,0))</f>
        <v/>
      </c>
      <c r="BF305" s="30" t="inlineStr">
        <is>
          <t>Uptrend</t>
        </is>
      </c>
      <c r="BG305" s="30">
        <f>IF(BF305="Uptrend",10,IF(BF305="Sideways",5,0))</f>
        <v/>
      </c>
      <c r="BH305" s="30" t="inlineStr">
        <is>
          <t>Uptrend</t>
        </is>
      </c>
      <c r="BI305" s="30">
        <f>IF(BH305="Uptrend",10,IF(BH305="Sideways",5,0))</f>
        <v/>
      </c>
      <c r="BJ305" s="30" t="inlineStr">
        <is>
          <t>Close to 52 week high or retracement</t>
        </is>
      </c>
      <c r="BK305" s="30">
        <f>IF(BJ305="Overhead supply in last 2 years in last 2 years",-5,IF(BJ305="Close to 52 week high or retracement",5,IF(BJ305="Blue sky scenario",10,IF(BJ305="Long term Downtrend",-10,0))))</f>
        <v/>
      </c>
      <c r="BL305" s="30" t="inlineStr">
        <is>
          <t>Yes</t>
        </is>
      </c>
      <c r="BM305" s="30">
        <f>IF(BL305="Yes",10,0)</f>
        <v/>
      </c>
      <c r="BN305" s="30" t="inlineStr">
        <is>
          <t>Less than 12%</t>
        </is>
      </c>
      <c r="BO305" s="30">
        <f>IF(BN305="More than 20%",10,IF(BN305="Between 12 to 20%",5,IF(BN305="Less than 12%",0,0)))</f>
        <v/>
      </c>
      <c r="BP305" s="30" t="inlineStr">
        <is>
          <t>No</t>
        </is>
      </c>
      <c r="BQ305" s="30">
        <f>IF(BP305="No",10,0)</f>
        <v/>
      </c>
      <c r="BR305" s="30" t="inlineStr">
        <is>
          <t>No</t>
        </is>
      </c>
      <c r="BS305" s="30">
        <f>IF(BR305="NO",5,0)</f>
        <v/>
      </c>
      <c r="BT305" s="30" t="inlineStr">
        <is>
          <t>Above 2</t>
        </is>
      </c>
      <c r="BU305" s="30">
        <f>IF(BT305="Above 2",0,IF(BT305="Between 1.5 to 2",5,IF(BT305="Less than 1.5",10,0)))</f>
        <v/>
      </c>
      <c r="BV305" s="30" t="inlineStr">
        <is>
          <t>Above 70%</t>
        </is>
      </c>
      <c r="BW305" s="30">
        <f>IF(BV305="Above 70%",10,IF(BV305="Between 50% to 70%",5,IF(BV305="Less than 50%",0,IF(BV305="Negative",-10,IF(BV305="Less than 50% and Borrowings are increasing",-5,0)))))</f>
        <v/>
      </c>
      <c r="BX305" s="30" t="inlineStr">
        <is>
          <t>Less than 0.7</t>
        </is>
      </c>
      <c r="BY305" s="30">
        <f>IF(BX305="More than 1.2",-10,IF(BX305="Between 0.7 to 1.2",0,IF(BX305="Less than 0.7",10,0)))</f>
        <v/>
      </c>
      <c r="BZ305" s="30" t="inlineStr">
        <is>
          <t>No</t>
        </is>
      </c>
      <c r="CA305" s="30">
        <f>IF(BZ305="Yes",-10,0)</f>
        <v/>
      </c>
      <c r="CB305" s="30" t="inlineStr">
        <is>
          <t>Less than 15%</t>
        </is>
      </c>
      <c r="CC305" s="30">
        <f>IF(CB305="More than 15%",-10,IF(CB305="Less than 15%",10,0))</f>
        <v/>
      </c>
      <c r="CD305" s="30" t="inlineStr">
        <is>
          <t>No</t>
        </is>
      </c>
      <c r="CE305" s="30">
        <f>IF(CD305="Yes, more than 10%",-10,IF(CD305="No",10,0))</f>
        <v/>
      </c>
    </row>
    <row r="306">
      <c r="A306" s="30">
        <f>IF(B306=0,"",RANK(B306,$B$2:$B$331,0))</f>
        <v/>
      </c>
      <c r="B306" s="31">
        <f>SUM(N306,Y306,AA306,AC306,AE306,AG306,AI306,AK306,AM306,AO306,AQ306,AS306,AU306,AW306,AY306,BA306,BC306,BE306,BG306,BI306,BK306,BM306,BO306,BQ306,BS306,BU306,BW306,BY306,CA306,CC306,CE306)</f>
        <v/>
      </c>
      <c r="C306" s="30" t="inlineStr">
        <is>
          <t>ONEPOINT</t>
        </is>
      </c>
      <c r="D306" s="30" t="inlineStr">
        <is>
          <t>One Point One Solutions Ltd</t>
        </is>
      </c>
      <c r="E306" s="30" t="inlineStr">
        <is>
          <t>i.t</t>
        </is>
      </c>
      <c r="F306" s="30" t="inlineStr">
        <is>
          <t>computers - software - medium / small</t>
        </is>
      </c>
      <c r="G306" s="30" t="inlineStr">
        <is>
          <t>smallcap</t>
        </is>
      </c>
      <c r="H306" s="31" t="n">
        <v>1526.87</v>
      </c>
      <c r="I306" s="31" t="n">
        <v>57.74</v>
      </c>
      <c r="J306" s="31" t="n">
        <v>-0.57</v>
      </c>
      <c r="K306" s="31" t="n">
        <v>661574</v>
      </c>
      <c r="L306" s="30" t="n">
        <v>22</v>
      </c>
      <c r="M306" s="30" t="inlineStr">
        <is>
          <t>Outperforming</t>
        </is>
      </c>
      <c r="N306" s="31">
        <f>IF(M306="Underperforming",-5,IF(L306&gt;=95,15,IF(L306&gt;=90,10,IF(L306&gt;=80,5,0))))</f>
        <v/>
      </c>
      <c r="O306" s="31" t="n">
        <v>53.99</v>
      </c>
      <c r="P306" s="31" t="n">
        <v>11.02</v>
      </c>
      <c r="Q306" s="31" t="n">
        <v>46.29</v>
      </c>
      <c r="R306" s="30" t="inlineStr">
        <is>
          <t>Earnings / Momentum Support</t>
        </is>
      </c>
      <c r="S306" s="30" t="inlineStr">
        <is>
          <t>Nifty IT</t>
        </is>
      </c>
      <c r="T306" s="31" t="n">
        <v>-19.99</v>
      </c>
      <c r="U306" s="31" t="n">
        <v>30.66</v>
      </c>
      <c r="V306" s="31" t="n">
        <v>63.32</v>
      </c>
      <c r="W306" s="31" t="n">
        <v>6.7</v>
      </c>
      <c r="X306" s="30" t="inlineStr">
        <is>
          <t>Growing Industry</t>
        </is>
      </c>
      <c r="Y306" s="30">
        <f>IF(X306="Growing Industry",10,IF(X306="Cyclical in an Upturn",5,0))</f>
        <v/>
      </c>
      <c r="Z306" s="30" t="inlineStr">
        <is>
          <t>Too Many Players with High ROCE</t>
        </is>
      </c>
      <c r="AA306" s="30">
        <f>IF(Z306="Monopoly",10,IF(Z306="Oligopoly",5,IF(Z306="Duopoly that cooperate",10,IF(Z306="Duopoly that compete",5,IF(Z306="Too many players with High ROCE",5,0)))))</f>
        <v/>
      </c>
      <c r="AB306" s="30" t="inlineStr">
        <is>
          <t>No</t>
        </is>
      </c>
      <c r="AC306" s="30">
        <f>IF(AB306="No",5,0)</f>
        <v/>
      </c>
      <c r="AD306" s="30" t="inlineStr">
        <is>
          <t>Tailwind</t>
        </is>
      </c>
      <c r="AE306" s="30">
        <f>IF(AD306="Tailwind",10,0)</f>
        <v/>
      </c>
      <c r="AF306" s="30" t="inlineStr">
        <is>
          <t>Structural (10 Years Consistency)</t>
        </is>
      </c>
      <c r="AG306" s="30">
        <f>IF(AF306="Structural (10 Years Consistency)",10,IF(AF306="Shallow Cyclical (2 to 3 years growth)",5,0))</f>
        <v/>
      </c>
      <c r="AH306" s="30" t="inlineStr">
        <is>
          <t>No</t>
        </is>
      </c>
      <c r="AI306" s="30">
        <f>IF(AH306="Yes due to Product Mix change or Operating Leverage",10,IF(AH306="Yes, these are peak margins",-5,IF(AH306="No",5,0)))</f>
        <v/>
      </c>
      <c r="AJ306" s="30" t="inlineStr">
        <is>
          <t>Stable</t>
        </is>
      </c>
      <c r="AK306" s="30">
        <f>IF(AJ306="Stable",10,0)</f>
        <v/>
      </c>
      <c r="AL306" s="30" t="inlineStr">
        <is>
          <t>Yes</t>
        </is>
      </c>
      <c r="AM306" s="30">
        <f>IF(AL306="Yes",10,0)</f>
        <v/>
      </c>
      <c r="AN306" s="30" t="inlineStr">
        <is>
          <t>B2B</t>
        </is>
      </c>
      <c r="AO306" s="30">
        <f>IF(AN306="B2C",10,IF(AN306="B2B",5,0))</f>
        <v/>
      </c>
      <c r="AP306" s="30" t="inlineStr">
        <is>
          <t>No</t>
        </is>
      </c>
      <c r="AQ306" s="30">
        <f>IF(AP306="Yes",10,0)</f>
        <v/>
      </c>
      <c r="AR306" s="30" t="inlineStr">
        <is>
          <t>Higher Annuity, Lower One Time</t>
        </is>
      </c>
      <c r="AS306" s="30">
        <f>IF(AR306="Fully Annuity",10,IF(AR306="Higher Annuity, Lower One Time",5,IF(AR306="Higher One Time, Lower Annuity",3,0)))</f>
        <v/>
      </c>
      <c r="AT306" s="30" t="inlineStr">
        <is>
          <t>Good</t>
        </is>
      </c>
      <c r="AU306" s="30">
        <f>IF(AT306="Good",10,0)</f>
        <v/>
      </c>
      <c r="AV306" s="30" t="inlineStr">
        <is>
          <t>Yes for more than 2 years</t>
        </is>
      </c>
      <c r="AW306" s="30">
        <f>IF(AV306="Yes for more than 2 years",10,IF(AV306="Yes only for next 1 to 2 years",5,0))</f>
        <v/>
      </c>
      <c r="AX306" s="30" t="inlineStr">
        <is>
          <t>0 to 20</t>
        </is>
      </c>
      <c r="AY306" s="30">
        <f>IF(AX306="Above 40",20,IF(AX306="20 to 40",10,IF(AX306="0 to 20",-5,0)))</f>
        <v/>
      </c>
      <c r="AZ306" s="30" t="inlineStr">
        <is>
          <t>Between 50 to 75</t>
        </is>
      </c>
      <c r="BA306" s="30">
        <f>IF(AZ306="Between 50 to 75",10,IF(AZ306="Above 75",0,0))</f>
        <v/>
      </c>
      <c r="BB306" s="30" t="inlineStr">
        <is>
          <t>Stage 2</t>
        </is>
      </c>
      <c r="BC306" s="30">
        <f>IF(BB306="Stage 2",20,IF(BB306="Stage 1",0,IF(BB306="Stage 3",5,IF(BB306="Stage 4",-5,0))))</f>
        <v/>
      </c>
      <c r="BD306" s="30" t="inlineStr">
        <is>
          <t>Negative Trend</t>
        </is>
      </c>
      <c r="BE306" s="30">
        <f>IF(BD306="Positive Trend",20,IF(BD306="Negative Trend",-10,0))</f>
        <v/>
      </c>
      <c r="BF306" s="30" t="inlineStr">
        <is>
          <t>Uptrend</t>
        </is>
      </c>
      <c r="BG306" s="30">
        <f>IF(BF306="Uptrend",10,IF(BF306="Sideways",5,0))</f>
        <v/>
      </c>
      <c r="BH306" s="30" t="inlineStr">
        <is>
          <t>Uptrend</t>
        </is>
      </c>
      <c r="BI306" s="30">
        <f>IF(BH306="Uptrend",10,IF(BH306="Sideways",5,0))</f>
        <v/>
      </c>
      <c r="BJ306" s="30" t="inlineStr">
        <is>
          <t>Close to 52 week high or retracement</t>
        </is>
      </c>
      <c r="BK306" s="30">
        <f>IF(BJ306="Overhead supply in last 2 years in last 2 years",-5,IF(BJ306="Close to 52 week high or retracement",5,IF(BJ306="Blue sky scenario",10,IF(BJ306="Long term Downtrend",-10,0))))</f>
        <v/>
      </c>
      <c r="BL306" s="30" t="inlineStr">
        <is>
          <t>Yes</t>
        </is>
      </c>
      <c r="BM306" s="30">
        <f>IF(BL306="Yes",10,0)</f>
        <v/>
      </c>
      <c r="BN306" s="30" t="inlineStr">
        <is>
          <t>More than 20%</t>
        </is>
      </c>
      <c r="BO306" s="30">
        <f>IF(BN306="More than 20%",10,IF(BN306="Between 12 to 20%",5,IF(BN306="Less than 12%",0,0)))</f>
        <v/>
      </c>
      <c r="BP306" s="30" t="inlineStr">
        <is>
          <t>No</t>
        </is>
      </c>
      <c r="BQ306" s="30">
        <f>IF(BP306="No",10,0)</f>
        <v/>
      </c>
      <c r="BR306" s="30" t="inlineStr">
        <is>
          <t>No</t>
        </is>
      </c>
      <c r="BS306" s="30">
        <f>IF(BR306="NO",5,0)</f>
        <v/>
      </c>
      <c r="BT306" s="30" t="inlineStr">
        <is>
          <t>Less than 1.5</t>
        </is>
      </c>
      <c r="BU306" s="30">
        <f>IF(BT306="Above 2",0,IF(BT306="Between 1.5 to 2",5,IF(BT306="Less than 1.5",10,0)))</f>
        <v/>
      </c>
      <c r="BV306" s="30" t="inlineStr">
        <is>
          <t>Above 70%</t>
        </is>
      </c>
      <c r="BW306" s="30">
        <f>IF(BV306="Above 70%",10,IF(BV306="Between 50% to 70%",5,IF(BV306="Less than 50%",0,IF(BV306="Negative",-10,IF(BV306="Less than 50% and Borrowings are increasing",-5,0)))))</f>
        <v/>
      </c>
      <c r="BX306" s="30" t="inlineStr">
        <is>
          <t>Less than 0.7</t>
        </is>
      </c>
      <c r="BY306" s="30">
        <f>IF(BX306="More than 1.2",-10,IF(BX306="Between 0.7 to 1.2",0,IF(BX306="Less than 0.7",10,0)))</f>
        <v/>
      </c>
      <c r="BZ306" s="30" t="inlineStr">
        <is>
          <t>No</t>
        </is>
      </c>
      <c r="CA306" s="30">
        <f>IF(BZ306="Yes",-10,0)</f>
        <v/>
      </c>
      <c r="CB306" s="30" t="inlineStr">
        <is>
          <t>Less than 15%</t>
        </is>
      </c>
      <c r="CC306" s="30">
        <f>IF(CB306="More than 15%",-10,IF(CB306="Less than 15%",10,0))</f>
        <v/>
      </c>
      <c r="CD306" s="30" t="inlineStr">
        <is>
          <t>No</t>
        </is>
      </c>
      <c r="CE306" s="30">
        <f>IF(CD306="Yes, more than 10%",-10,IF(CD306="No",10,0))</f>
        <v/>
      </c>
    </row>
    <row r="307">
      <c r="A307" s="30">
        <f>IF(B307=0,"",RANK(B307,$B$2:$B$331,0))</f>
        <v/>
      </c>
      <c r="B307" s="31">
        <f>SUM(N307,Y307,AA307,AC307,AE307,AG307,AI307,AK307,AM307,AO307,AQ307,AS307,AU307,AW307,AY307,BA307,BC307,BE307,BG307,BI307,BK307,BM307,BO307,BQ307,BS307,BU307,BW307,BY307,CA307,CC307,CE307)</f>
        <v/>
      </c>
      <c r="C307" s="32" t="inlineStr">
        <is>
          <t>JTLIND</t>
        </is>
      </c>
      <c r="D307" s="32" t="inlineStr">
        <is>
          <t>JTL Industries Ltd</t>
        </is>
      </c>
      <c r="E307" s="30" t="inlineStr">
        <is>
          <t>metals &amp; mining</t>
        </is>
      </c>
      <c r="F307" s="30" t="inlineStr">
        <is>
          <t>steel - medium / small</t>
        </is>
      </c>
      <c r="G307" s="30" t="inlineStr">
        <is>
          <t>smallcap</t>
        </is>
      </c>
      <c r="H307" s="31" t="n">
        <v>3451.26</v>
      </c>
      <c r="I307" s="31" t="n">
        <v>89.59999999999999</v>
      </c>
      <c r="J307" s="31" t="n">
        <v>2.05</v>
      </c>
      <c r="K307" s="31" t="n">
        <v>4005608</v>
      </c>
      <c r="L307" s="30" t="n">
        <v>17</v>
      </c>
      <c r="M307" s="30" t="inlineStr">
        <is>
          <t>Underperforming</t>
        </is>
      </c>
      <c r="N307" s="31">
        <f>IF(M307="Underperforming",-5,IF(L307&gt;=95,15,IF(L307&gt;=90,10,IF(L307&gt;=80,5,0))))</f>
        <v/>
      </c>
      <c r="O307" s="31" t="n">
        <v>63.04</v>
      </c>
      <c r="P307" s="31" t="n">
        <v>14.47</v>
      </c>
      <c r="Q307" s="31" t="n">
        <v>67.19</v>
      </c>
      <c r="R307" s="30" t="inlineStr">
        <is>
          <t>Near 52W High Breakout</t>
        </is>
      </c>
      <c r="S307" s="30" t="inlineStr">
        <is>
          <t>Nifty Metal</t>
        </is>
      </c>
      <c r="T307" s="31" t="n">
        <v>41.17</v>
      </c>
      <c r="U307" s="31" t="n">
        <v>16.59</v>
      </c>
      <c r="V307" s="31" t="n">
        <v>-17.41</v>
      </c>
      <c r="W307" s="31" t="n">
        <v>5.52</v>
      </c>
      <c r="X307" s="30" t="inlineStr">
        <is>
          <t>Cyclical in an Upturn</t>
        </is>
      </c>
      <c r="Y307" s="30">
        <f>IF(X307="Growing Industry",10,IF(X307="Cyclical in an Upturn",5,0))</f>
        <v/>
      </c>
      <c r="Z307" s="30" t="inlineStr">
        <is>
          <t>Too Many Players with High ROCE</t>
        </is>
      </c>
      <c r="AA307" s="30">
        <f>IF(Z307="Monopoly",10,IF(Z307="Oligopoly",5,IF(Z307="Duopoly that cooperate",10,IF(Z307="Duopoly that compete",5,IF(Z307="Too many players with High ROCE",5,0)))))</f>
        <v/>
      </c>
      <c r="AB307" s="30" t="inlineStr">
        <is>
          <t>No</t>
        </is>
      </c>
      <c r="AC307" s="30">
        <f>IF(AB307="No",5,0)</f>
        <v/>
      </c>
      <c r="AD307" s="30" t="inlineStr">
        <is>
          <t>Tailwind</t>
        </is>
      </c>
      <c r="AE307" s="30">
        <f>IF(AD307="Tailwind",10,0)</f>
        <v/>
      </c>
      <c r="AF307" s="30" t="inlineStr">
        <is>
          <t>Cyclical</t>
        </is>
      </c>
      <c r="AG307" s="30">
        <f>IF(AF307="Structural (10 Years Consistency)",10,IF(AF307="Shallow Cyclical (2 to 3 years growth)",5,0))</f>
        <v/>
      </c>
      <c r="AH307" s="30" t="inlineStr">
        <is>
          <t>No</t>
        </is>
      </c>
      <c r="AI307" s="30">
        <f>IF(AH307="Yes due to Product Mix change or Operating Leverage",10,IF(AH307="Yes, these are peak margins",-5,IF(AH307="No",5,0)))</f>
        <v/>
      </c>
      <c r="AJ307" s="30" t="inlineStr">
        <is>
          <t>Volatile</t>
        </is>
      </c>
      <c r="AK307" s="30">
        <f>IF(AJ307="Stable",10,0)</f>
        <v/>
      </c>
      <c r="AL307" s="30" t="inlineStr">
        <is>
          <t>Yes</t>
        </is>
      </c>
      <c r="AM307" s="30">
        <f>IF(AL307="Yes",10,0)</f>
        <v/>
      </c>
      <c r="AN307" s="30" t="inlineStr">
        <is>
          <t>B2B</t>
        </is>
      </c>
      <c r="AO307" s="30">
        <f>IF(AN307="B2C",10,IF(AN307="B2B",5,0))</f>
        <v/>
      </c>
      <c r="AP307" s="30" t="inlineStr">
        <is>
          <t>Yes</t>
        </is>
      </c>
      <c r="AQ307" s="30">
        <f>IF(AP307="Yes",10,0)</f>
        <v/>
      </c>
      <c r="AR307" s="30" t="inlineStr">
        <is>
          <t>Higher One Time, Lower Annuity</t>
        </is>
      </c>
      <c r="AS307" s="30">
        <f>IF(AR307="Fully Annuity",10,IF(AR307="Higher Annuity, Lower One Time",5,IF(AR307="Higher One Time, Lower Annuity",3,0)))</f>
        <v/>
      </c>
      <c r="AT307" s="30" t="inlineStr">
        <is>
          <t>Good</t>
        </is>
      </c>
      <c r="AU307" s="30">
        <f>IF(AT307="Good",10,0)</f>
        <v/>
      </c>
      <c r="AV307" s="30" t="inlineStr">
        <is>
          <t>Yes for more than 2 years</t>
        </is>
      </c>
      <c r="AW307" s="30">
        <f>IF(AV307="Yes for more than 2 years",10,IF(AV307="Yes only for next 1 to 2 years",5,0))</f>
        <v/>
      </c>
      <c r="AX307" s="30" t="inlineStr">
        <is>
          <t>0 to 20</t>
        </is>
      </c>
      <c r="AY307" s="30">
        <f>IF(AX307="Above 40",20,IF(AX307="20 to 40",10,IF(AX307="0 to 20",-5,0)))</f>
        <v/>
      </c>
      <c r="AZ307" s="30" t="inlineStr">
        <is>
          <t>Between 50 to 75</t>
        </is>
      </c>
      <c r="BA307" s="30">
        <f>IF(AZ307="Between 50 to 75",10,IF(AZ307="Above 75",0,0))</f>
        <v/>
      </c>
      <c r="BB307" s="30" t="inlineStr">
        <is>
          <t>Stage 2</t>
        </is>
      </c>
      <c r="BC307" s="30">
        <f>IF(BB307="Stage 2",20,IF(BB307="Stage 1",0,IF(BB307="Stage 3",5,IF(BB307="Stage 4",-5,0))))</f>
        <v/>
      </c>
      <c r="BD307" s="30" t="inlineStr">
        <is>
          <t>Positive Trend</t>
        </is>
      </c>
      <c r="BE307" s="30">
        <f>IF(BD307="Positive Trend",20,IF(BD307="Negative Trend",-10,0))</f>
        <v/>
      </c>
      <c r="BF307" s="30" t="inlineStr">
        <is>
          <t>Uptrend</t>
        </is>
      </c>
      <c r="BG307" s="30">
        <f>IF(BF307="Uptrend",10,IF(BF307="Sideways",5,0))</f>
        <v/>
      </c>
      <c r="BH307" s="30" t="inlineStr">
        <is>
          <t>Uptrend</t>
        </is>
      </c>
      <c r="BI307" s="30">
        <f>IF(BH307="Uptrend",10,IF(BH307="Sideways",5,0))</f>
        <v/>
      </c>
      <c r="BJ307" s="30" t="inlineStr">
        <is>
          <t>Close to 52 week high or retracement</t>
        </is>
      </c>
      <c r="BK307" s="30">
        <f>IF(BJ307="Overhead supply in last 2 years in last 2 years",-5,IF(BJ307="Close to 52 week high or retracement",5,IF(BJ307="Blue sky scenario",10,IF(BJ307="Long term Downtrend",-10,0))))</f>
        <v/>
      </c>
      <c r="BL307" s="30" t="inlineStr">
        <is>
          <t>Yes</t>
        </is>
      </c>
      <c r="BM307" s="30">
        <f>IF(BL307="Yes",10,0)</f>
        <v/>
      </c>
      <c r="BN307" s="30" t="inlineStr">
        <is>
          <t>More than 20%</t>
        </is>
      </c>
      <c r="BO307" s="30">
        <f>IF(BN307="More than 20%",10,IF(BN307="Between 12 to 20%",5,IF(BN307="Less than 12%",0,0)))</f>
        <v/>
      </c>
      <c r="BP307" s="30" t="inlineStr">
        <is>
          <t>No</t>
        </is>
      </c>
      <c r="BQ307" s="30">
        <f>IF(BP307="No",10,0)</f>
        <v/>
      </c>
      <c r="BR307" s="30" t="inlineStr">
        <is>
          <t>No</t>
        </is>
      </c>
      <c r="BS307" s="30">
        <f>IF(BR307="NO",5,0)</f>
        <v/>
      </c>
      <c r="BT307" s="30" t="inlineStr">
        <is>
          <t>Above 2</t>
        </is>
      </c>
      <c r="BU307" s="30">
        <f>IF(BT307="Above 2",0,IF(BT307="Between 1.5 to 2",5,IF(BT307="Less than 1.5",10,0)))</f>
        <v/>
      </c>
      <c r="BV307" s="30" t="inlineStr">
        <is>
          <t>Above 70%</t>
        </is>
      </c>
      <c r="BW307" s="30">
        <f>IF(BV307="Above 70%",10,IF(BV307="Between 50% to 70%",5,IF(BV307="Less than 50%",0,IF(BV307="Negative",-10,IF(BV307="Less than 50% and Borrowings are increasing",-5,0)))))</f>
        <v/>
      </c>
      <c r="BX307" s="30" t="inlineStr">
        <is>
          <t>Less than 0.7</t>
        </is>
      </c>
      <c r="BY307" s="30">
        <f>IF(BX307="More than 1.2",-10,IF(BX307="Between 0.7 to 1.2",0,IF(BX307="Less than 0.7",10,0)))</f>
        <v/>
      </c>
      <c r="BZ307" s="30" t="inlineStr">
        <is>
          <t>No</t>
        </is>
      </c>
      <c r="CA307" s="30">
        <f>IF(BZ307="Yes",-10,0)</f>
        <v/>
      </c>
      <c r="CB307" s="30" t="inlineStr">
        <is>
          <t>Less than 15%</t>
        </is>
      </c>
      <c r="CC307" s="30">
        <f>IF(CB307="More than 15%",-10,IF(CB307="Less than 15%",10,0))</f>
        <v/>
      </c>
      <c r="CD307" s="30" t="inlineStr">
        <is>
          <t>No</t>
        </is>
      </c>
      <c r="CE307" s="30">
        <f>IF(CD307="Yes, more than 10%",-10,IF(CD307="No",10,0))</f>
        <v/>
      </c>
    </row>
    <row r="308">
      <c r="A308" s="30">
        <f>IF(B308=0,"",RANK(B308,$B$2:$B$331,0))</f>
        <v/>
      </c>
      <c r="B308" s="31">
        <f>SUM(N308,Y308,AA308,AC308,AE308,AG308,AI308,AK308,AM308,AO308,AQ308,AS308,AU308,AW308,AY308,BA308,BC308,BE308,BG308,BI308,BK308,BM308,BO308,BQ308,BS308,BU308,BW308,BY308,CA308,CC308,CE308)</f>
        <v/>
      </c>
      <c r="C308" s="32" t="inlineStr">
        <is>
          <t>AJAXENGG</t>
        </is>
      </c>
      <c r="D308" s="32" t="inlineStr">
        <is>
          <t>Ajax Engineering Ltd</t>
        </is>
      </c>
      <c r="E308" s="30" t="inlineStr">
        <is>
          <t>industrials</t>
        </is>
      </c>
      <c r="F308" s="30" t="inlineStr">
        <is>
          <t>engineering</t>
        </is>
      </c>
      <c r="G308" s="30" t="inlineStr">
        <is>
          <t>midcap</t>
        </is>
      </c>
      <c r="H308" s="31" t="n">
        <v>6613.29</v>
      </c>
      <c r="I308" s="31" t="n">
        <v>589.5</v>
      </c>
      <c r="J308" s="31" t="n">
        <v>1.98</v>
      </c>
      <c r="K308" s="31" t="n">
        <v>58801</v>
      </c>
      <c r="L308" s="30" t="n">
        <v>4</v>
      </c>
      <c r="M308" s="30" t="inlineStr">
        <is>
          <t>Underperforming</t>
        </is>
      </c>
      <c r="N308" s="31">
        <f>IF(M308="Underperforming",-5,IF(L308&gt;=95,15,IF(L308&gt;=90,10,IF(L308&gt;=80,5,0))))</f>
        <v/>
      </c>
      <c r="O308" s="31" t="n">
        <v>56.22</v>
      </c>
      <c r="P308" s="31" t="n">
        <v>18.73</v>
      </c>
      <c r="Q308" s="31" t="n">
        <v>465.81</v>
      </c>
      <c r="R308" s="30" t="inlineStr">
        <is>
          <t>Earnings / Momentum Support</t>
        </is>
      </c>
      <c r="S308" s="30" t="inlineStr">
        <is>
          <t>Nifty Infra</t>
        </is>
      </c>
      <c r="T308" s="31" t="n">
        <v>0.74</v>
      </c>
      <c r="U308" s="31" t="n">
        <v>-12.43</v>
      </c>
      <c r="V308" s="31" t="n">
        <v>-13.08</v>
      </c>
      <c r="W308" s="31" t="n">
        <v>0.47</v>
      </c>
      <c r="X308" s="30" t="inlineStr">
        <is>
          <t>Cyclical in an Upturn</t>
        </is>
      </c>
      <c r="Y308" s="30">
        <f>IF(X308="Growing Industry",10,IF(X308="Cyclical in an Upturn",5,0))</f>
        <v/>
      </c>
      <c r="Z308" s="30" t="inlineStr">
        <is>
          <t>Too Many Players with High ROCE</t>
        </is>
      </c>
      <c r="AA308" s="30">
        <f>IF(Z308="Monopoly",10,IF(Z308="Oligopoly",5,IF(Z308="Duopoly that cooperate",10,IF(Z308="Duopoly that compete",5,IF(Z308="Too many players with High ROCE",5,0)))))</f>
        <v/>
      </c>
      <c r="AB308" s="30" t="inlineStr">
        <is>
          <t>No</t>
        </is>
      </c>
      <c r="AC308" s="30">
        <f>IF(AB308="No",5,0)</f>
        <v/>
      </c>
      <c r="AD308" s="30" t="inlineStr">
        <is>
          <t>Tailwind</t>
        </is>
      </c>
      <c r="AE308" s="30">
        <f>IF(AD308="Tailwind",10,0)</f>
        <v/>
      </c>
      <c r="AF308" s="30" t="inlineStr">
        <is>
          <t>Structural (10 Years Consistency)</t>
        </is>
      </c>
      <c r="AG308" s="30">
        <f>IF(AF308="Structural (10 Years Consistency)",10,IF(AF308="Shallow Cyclical (2 to 3 years growth)",5,0))</f>
        <v/>
      </c>
      <c r="AH308" s="30" t="inlineStr">
        <is>
          <t>No</t>
        </is>
      </c>
      <c r="AI308" s="30">
        <f>IF(AH308="Yes due to Product Mix change or Operating Leverage",10,IF(AH308="Yes, these are peak margins",-5,IF(AH308="No",5,0)))</f>
        <v/>
      </c>
      <c r="AJ308" s="30" t="inlineStr">
        <is>
          <t>Stable</t>
        </is>
      </c>
      <c r="AK308" s="30">
        <f>IF(AJ308="Stable",10,0)</f>
        <v/>
      </c>
      <c r="AL308" s="30" t="inlineStr">
        <is>
          <t>Yes</t>
        </is>
      </c>
      <c r="AM308" s="30">
        <f>IF(AL308="Yes",10,0)</f>
        <v/>
      </c>
      <c r="AN308" s="30" t="inlineStr">
        <is>
          <t>B2B</t>
        </is>
      </c>
      <c r="AO308" s="30">
        <f>IF(AN308="B2C",10,IF(AN308="B2B",5,0))</f>
        <v/>
      </c>
      <c r="AP308" s="30" t="inlineStr">
        <is>
          <t>No</t>
        </is>
      </c>
      <c r="AQ308" s="30">
        <f>IF(AP308="Yes",10,0)</f>
        <v/>
      </c>
      <c r="AR308" s="30" t="inlineStr">
        <is>
          <t>Higher One Time, Lower Annuity</t>
        </is>
      </c>
      <c r="AS308" s="30">
        <f>IF(AR308="Fully Annuity",10,IF(AR308="Higher Annuity, Lower One Time",5,IF(AR308="Higher One Time, Lower Annuity",3,0)))</f>
        <v/>
      </c>
      <c r="AT308" s="30" t="inlineStr">
        <is>
          <t>Good</t>
        </is>
      </c>
      <c r="AU308" s="30">
        <f>IF(AT308="Good",10,0)</f>
        <v/>
      </c>
      <c r="AV308" s="30" t="inlineStr">
        <is>
          <t>Yes for more than 2 years</t>
        </is>
      </c>
      <c r="AW308" s="30">
        <f>IF(AV308="Yes for more than 2 years",10,IF(AV308="Yes only for next 1 to 2 years",5,0))</f>
        <v/>
      </c>
      <c r="AX308" s="30" t="inlineStr">
        <is>
          <t>0 to 20</t>
        </is>
      </c>
      <c r="AY308" s="30">
        <f>IF(AX308="Above 40",20,IF(AX308="20 to 40",10,IF(AX308="0 to 20",-5,0)))</f>
        <v/>
      </c>
      <c r="AZ308" s="30" t="inlineStr">
        <is>
          <t>Between 50 to 75</t>
        </is>
      </c>
      <c r="BA308" s="30">
        <f>IF(AZ308="Between 50 to 75",10,IF(AZ308="Above 75",0,0))</f>
        <v/>
      </c>
      <c r="BB308" s="30" t="inlineStr">
        <is>
          <t>Stage 2</t>
        </is>
      </c>
      <c r="BC308" s="30">
        <f>IF(BB308="Stage 2",20,IF(BB308="Stage 1",0,IF(BB308="Stage 3",5,IF(BB308="Stage 4",-5,0))))</f>
        <v/>
      </c>
      <c r="BD308" s="30" t="inlineStr">
        <is>
          <t>Positive Trend</t>
        </is>
      </c>
      <c r="BE308" s="30">
        <f>IF(BD308="Positive Trend",20,IF(BD308="Negative Trend",-10,0))</f>
        <v/>
      </c>
      <c r="BF308" s="30" t="inlineStr">
        <is>
          <t>Uptrend</t>
        </is>
      </c>
      <c r="BG308" s="30">
        <f>IF(BF308="Uptrend",10,IF(BF308="Sideways",5,0))</f>
        <v/>
      </c>
      <c r="BH308" s="30" t="inlineStr">
        <is>
          <t>Uptrend</t>
        </is>
      </c>
      <c r="BI308" s="30">
        <f>IF(BH308="Uptrend",10,IF(BH308="Sideways",5,0))</f>
        <v/>
      </c>
      <c r="BJ308" s="30" t="inlineStr">
        <is>
          <t>Close to 52 week high or retracement</t>
        </is>
      </c>
      <c r="BK308" s="30">
        <f>IF(BJ308="Overhead supply in last 2 years in last 2 years",-5,IF(BJ308="Close to 52 week high or retracement",5,IF(BJ308="Blue sky scenario",10,IF(BJ308="Long term Downtrend",-10,0))))</f>
        <v/>
      </c>
      <c r="BL308" s="30" t="inlineStr">
        <is>
          <t>Yes</t>
        </is>
      </c>
      <c r="BM308" s="30">
        <f>IF(BL308="Yes",10,0)</f>
        <v/>
      </c>
      <c r="BN308" s="30" t="inlineStr">
        <is>
          <t>Less than 12%</t>
        </is>
      </c>
      <c r="BO308" s="30">
        <f>IF(BN308="More than 20%",10,IF(BN308="Between 12 to 20%",5,IF(BN308="Less than 12%",0,0)))</f>
        <v/>
      </c>
      <c r="BP308" s="30" t="inlineStr">
        <is>
          <t>No</t>
        </is>
      </c>
      <c r="BQ308" s="30">
        <f>IF(BP308="No",10,0)</f>
        <v/>
      </c>
      <c r="BR308" s="30" t="inlineStr">
        <is>
          <t>No</t>
        </is>
      </c>
      <c r="BS308" s="30">
        <f>IF(BR308="NO",5,0)</f>
        <v/>
      </c>
      <c r="BT308" s="30" t="inlineStr">
        <is>
          <t>Above 2</t>
        </is>
      </c>
      <c r="BU308" s="30">
        <f>IF(BT308="Above 2",0,IF(BT308="Between 1.5 to 2",5,IF(BT308="Less than 1.5",10,0)))</f>
        <v/>
      </c>
      <c r="BV308" s="30" t="inlineStr">
        <is>
          <t>Above 70%</t>
        </is>
      </c>
      <c r="BW308" s="30">
        <f>IF(BV308="Above 70%",10,IF(BV308="Between 50% to 70%",5,IF(BV308="Less than 50%",0,IF(BV308="Negative",-10,IF(BV308="Less than 50% and Borrowings are increasing",-5,0)))))</f>
        <v/>
      </c>
      <c r="BX308" s="30" t="inlineStr">
        <is>
          <t>Less than 0.7</t>
        </is>
      </c>
      <c r="BY308" s="30">
        <f>IF(BX308="More than 1.2",-10,IF(BX308="Between 0.7 to 1.2",0,IF(BX308="Less than 0.7",10,0)))</f>
        <v/>
      </c>
      <c r="BZ308" s="30" t="inlineStr">
        <is>
          <t>No</t>
        </is>
      </c>
      <c r="CA308" s="30">
        <f>IF(BZ308="Yes",-10,0)</f>
        <v/>
      </c>
      <c r="CB308" s="30" t="inlineStr">
        <is>
          <t>Less than 15%</t>
        </is>
      </c>
      <c r="CC308" s="30">
        <f>IF(CB308="More than 15%",-10,IF(CB308="Less than 15%",10,0))</f>
        <v/>
      </c>
      <c r="CD308" s="30" t="inlineStr">
        <is>
          <t>No</t>
        </is>
      </c>
      <c r="CE308" s="30">
        <f>IF(CD308="Yes, more than 10%",-10,IF(CD308="No",10,0))</f>
        <v/>
      </c>
    </row>
    <row r="309">
      <c r="A309" s="30">
        <f>IF(B309=0,"",RANK(B309,$B$2:$B$331,0))</f>
        <v/>
      </c>
      <c r="B309" s="31">
        <f>SUM(N309,Y309,AA309,AC309,AE309,AG309,AI309,AK309,AM309,AO309,AQ309,AS309,AU309,AW309,AY309,BA309,BC309,BE309,BG309,BI309,BK309,BM309,BO309,BQ309,BS309,BU309,BW309,BY309,CA309,CC309,CE309)</f>
        <v/>
      </c>
      <c r="C309" s="30" t="inlineStr">
        <is>
          <t>SFL</t>
        </is>
      </c>
      <c r="D309" s="30" t="inlineStr">
        <is>
          <t>Sheela Foam Limited</t>
        </is>
      </c>
      <c r="E309" s="30" t="inlineStr">
        <is>
          <t>consumer discretionary</t>
        </is>
      </c>
      <c r="F309" s="30" t="inlineStr">
        <is>
          <t>miscellaneous</t>
        </is>
      </c>
      <c r="G309" s="30" t="inlineStr">
        <is>
          <t>midcap</t>
        </is>
      </c>
      <c r="H309" s="31" t="n">
        <v>7502.27</v>
      </c>
      <c r="I309" s="31" t="n">
        <v>697.95</v>
      </c>
      <c r="J309" s="31" t="n">
        <v>1.59</v>
      </c>
      <c r="K309" s="31" t="n">
        <v>356525</v>
      </c>
      <c r="L309" s="30" t="n">
        <v>4</v>
      </c>
      <c r="M309" s="30" t="inlineStr">
        <is>
          <t>Outperforming</t>
        </is>
      </c>
      <c r="N309" s="31">
        <f>IF(M309="Underperforming",-5,IF(L309&gt;=95,15,IF(L309&gt;=90,10,IF(L309&gt;=80,5,0))))</f>
        <v/>
      </c>
      <c r="O309" s="31" t="n">
        <v>55</v>
      </c>
      <c r="P309" s="31" t="n">
        <v>35.32</v>
      </c>
      <c r="Q309" s="31" t="n">
        <v>613.85</v>
      </c>
      <c r="R309" s="30" t="inlineStr">
        <is>
          <t>Volume Spike / Accumulation</t>
        </is>
      </c>
      <c r="S309" s="30" t="inlineStr">
        <is>
          <t>Nifty 50</t>
        </is>
      </c>
      <c r="T309" s="31" t="n">
        <v>-6.52</v>
      </c>
      <c r="U309" s="31" t="n">
        <v>-5.2</v>
      </c>
      <c r="V309" s="31" t="n">
        <v>1.4</v>
      </c>
      <c r="W309" s="31" t="n">
        <v>0.55</v>
      </c>
      <c r="X309" s="30" t="inlineStr">
        <is>
          <t>Growing Industry</t>
        </is>
      </c>
      <c r="Y309" s="30">
        <f>IF(X309="Growing Industry",10,IF(X309="Cyclical in an Upturn",5,0))</f>
        <v/>
      </c>
      <c r="Z309" s="30" t="inlineStr">
        <is>
          <t>Too Many Players with High ROCE</t>
        </is>
      </c>
      <c r="AA309" s="30">
        <f>IF(Z309="Monopoly",10,IF(Z309="Oligopoly",5,IF(Z309="Duopoly that cooperate",10,IF(Z309="Duopoly that compete",5,IF(Z309="Too many players with High ROCE",5,0)))))</f>
        <v/>
      </c>
      <c r="AB309" s="30" t="inlineStr">
        <is>
          <t>No</t>
        </is>
      </c>
      <c r="AC309" s="30">
        <f>IF(AB309="No",5,0)</f>
        <v/>
      </c>
      <c r="AD309" s="30" t="inlineStr">
        <is>
          <t>Tailwind</t>
        </is>
      </c>
      <c r="AE309" s="30">
        <f>IF(AD309="Tailwind",10,0)</f>
        <v/>
      </c>
      <c r="AF309" s="30" t="inlineStr">
        <is>
          <t>Structural (10 Years Consistency)</t>
        </is>
      </c>
      <c r="AG309" s="30">
        <f>IF(AF309="Structural (10 Years Consistency)",10,IF(AF309="Shallow Cyclical (2 to 3 years growth)",5,0))</f>
        <v/>
      </c>
      <c r="AH309" s="30" t="inlineStr">
        <is>
          <t>No</t>
        </is>
      </c>
      <c r="AI309" s="30">
        <f>IF(AH309="Yes due to Product Mix change or Operating Leverage",10,IF(AH309="Yes, these are peak margins",-5,IF(AH309="No",5,0)))</f>
        <v/>
      </c>
      <c r="AJ309" s="30" t="inlineStr">
        <is>
          <t>Stable</t>
        </is>
      </c>
      <c r="AK309" s="30">
        <f>IF(AJ309="Stable",10,0)</f>
        <v/>
      </c>
      <c r="AL309" s="30" t="inlineStr">
        <is>
          <t>Yes</t>
        </is>
      </c>
      <c r="AM309" s="30">
        <f>IF(AL309="Yes",10,0)</f>
        <v/>
      </c>
      <c r="AN309" s="30" t="inlineStr">
        <is>
          <t>B2B</t>
        </is>
      </c>
      <c r="AO309" s="30">
        <f>IF(AN309="B2C",10,IF(AN309="B2B",5,0))</f>
        <v/>
      </c>
      <c r="AP309" s="30" t="inlineStr">
        <is>
          <t>Yes</t>
        </is>
      </c>
      <c r="AQ309" s="30">
        <f>IF(AP309="Yes",10,0)</f>
        <v/>
      </c>
      <c r="AR309" s="30" t="inlineStr">
        <is>
          <t>Higher One Time, Lower Annuity</t>
        </is>
      </c>
      <c r="AS309" s="30">
        <f>IF(AR309="Fully Annuity",10,IF(AR309="Higher Annuity, Lower One Time",5,IF(AR309="Higher One Time, Lower Annuity",3,0)))</f>
        <v/>
      </c>
      <c r="AT309" s="30" t="inlineStr">
        <is>
          <t>Good</t>
        </is>
      </c>
      <c r="AU309" s="30">
        <f>IF(AT309="Good",10,0)</f>
        <v/>
      </c>
      <c r="AV309" s="30" t="inlineStr">
        <is>
          <t>Yes for more than 2 years</t>
        </is>
      </c>
      <c r="AW309" s="30">
        <f>IF(AV309="Yes for more than 2 years",10,IF(AV309="Yes only for next 1 to 2 years",5,0))</f>
        <v/>
      </c>
      <c r="AX309" s="30" t="inlineStr">
        <is>
          <t>20 to 40</t>
        </is>
      </c>
      <c r="AY309" s="30">
        <f>IF(AX309="Above 40",20,IF(AX309="20 to 40",10,IF(AX309="0 to 20",-5,0)))</f>
        <v/>
      </c>
      <c r="AZ309" s="30" t="inlineStr">
        <is>
          <t>Between 50 to 75</t>
        </is>
      </c>
      <c r="BA309" s="30">
        <f>IF(AZ309="Between 50 to 75",10,IF(AZ309="Above 75",0,0))</f>
        <v/>
      </c>
      <c r="BB309" s="30" t="inlineStr">
        <is>
          <t>Stage 1</t>
        </is>
      </c>
      <c r="BC309" s="30">
        <f>IF(BB309="Stage 2",20,IF(BB309="Stage 1",0,IF(BB309="Stage 3",5,IF(BB309="Stage 4",-5,0))))</f>
        <v/>
      </c>
      <c r="BD309" s="30" t="inlineStr">
        <is>
          <t>Negative Trend</t>
        </is>
      </c>
      <c r="BE309" s="30">
        <f>IF(BD309="Positive Trend",20,IF(BD309="Negative Trend",-10,0))</f>
        <v/>
      </c>
      <c r="BF309" s="30" t="inlineStr">
        <is>
          <t>Uptrend</t>
        </is>
      </c>
      <c r="BG309" s="30">
        <f>IF(BF309="Uptrend",10,IF(BF309="Sideways",5,0))</f>
        <v/>
      </c>
      <c r="BH309" s="30" t="inlineStr">
        <is>
          <t>Uptrend</t>
        </is>
      </c>
      <c r="BI309" s="30">
        <f>IF(BH309="Uptrend",10,IF(BH309="Sideways",5,0))</f>
        <v/>
      </c>
      <c r="BJ309" s="30" t="inlineStr">
        <is>
          <t>Close to 52 week high or retracement</t>
        </is>
      </c>
      <c r="BK309" s="30">
        <f>IF(BJ309="Overhead supply in last 2 years in last 2 years",-5,IF(BJ309="Close to 52 week high or retracement",5,IF(BJ309="Blue sky scenario",10,IF(BJ309="Long term Downtrend",-10,0))))</f>
        <v/>
      </c>
      <c r="BL309" s="30" t="inlineStr">
        <is>
          <t>Yes</t>
        </is>
      </c>
      <c r="BM309" s="30">
        <f>IF(BL309="Yes",10,0)</f>
        <v/>
      </c>
      <c r="BN309" s="30" t="inlineStr">
        <is>
          <t>More than 20%</t>
        </is>
      </c>
      <c r="BO309" s="30">
        <f>IF(BN309="More than 20%",10,IF(BN309="Between 12 to 20%",5,IF(BN309="Less than 12%",0,0)))</f>
        <v/>
      </c>
      <c r="BP309" s="30" t="inlineStr">
        <is>
          <t>No</t>
        </is>
      </c>
      <c r="BQ309" s="30">
        <f>IF(BP309="No",10,0)</f>
        <v/>
      </c>
      <c r="BR309" s="30" t="inlineStr">
        <is>
          <t>No</t>
        </is>
      </c>
      <c r="BS309" s="30">
        <f>IF(BR309="NO",5,0)</f>
        <v/>
      </c>
      <c r="BT309" s="30" t="inlineStr">
        <is>
          <t>Above 2</t>
        </is>
      </c>
      <c r="BU309" s="30">
        <f>IF(BT309="Above 2",0,IF(BT309="Between 1.5 to 2",5,IF(BT309="Less than 1.5",10,0)))</f>
        <v/>
      </c>
      <c r="BV309" s="30" t="inlineStr">
        <is>
          <t>Above 70%</t>
        </is>
      </c>
      <c r="BW309" s="30">
        <f>IF(BV309="Above 70%",10,IF(BV309="Between 50% to 70%",5,IF(BV309="Less than 50%",0,IF(BV309="Negative",-10,IF(BV309="Less than 50% and Borrowings are increasing",-5,0)))))</f>
        <v/>
      </c>
      <c r="BX309" s="30" t="inlineStr">
        <is>
          <t>Less than 0.7</t>
        </is>
      </c>
      <c r="BY309" s="30">
        <f>IF(BX309="More than 1.2",-10,IF(BX309="Between 0.7 to 1.2",0,IF(BX309="Less than 0.7",10,0)))</f>
        <v/>
      </c>
      <c r="BZ309" s="30" t="inlineStr">
        <is>
          <t>No</t>
        </is>
      </c>
      <c r="CA309" s="30">
        <f>IF(BZ309="Yes",-10,0)</f>
        <v/>
      </c>
      <c r="CB309" s="30" t="inlineStr">
        <is>
          <t>Less than 15%</t>
        </is>
      </c>
      <c r="CC309" s="30">
        <f>IF(CB309="More than 15%",-10,IF(CB309="Less than 15%",10,0))</f>
        <v/>
      </c>
      <c r="CD309" s="30" t="inlineStr">
        <is>
          <t>No</t>
        </is>
      </c>
      <c r="CE309" s="30">
        <f>IF(CD309="Yes, more than 10%",-10,IF(CD309="No",10,0))</f>
        <v/>
      </c>
    </row>
    <row r="310">
      <c r="A310" s="30">
        <f>IF(B310=0,"",RANK(B310,$B$2:$B$331,0))</f>
        <v/>
      </c>
      <c r="B310" s="31">
        <f>SUM(N310,Y310,AA310,AC310,AE310,AG310,AI310,AK310,AM310,AO310,AQ310,AS310,AU310,AW310,AY310,BA310,BC310,BE310,BG310,BI310,BK310,BM310,BO310,BQ310,BS310,BU310,BW310,BY310,CA310,CC310,CE310)</f>
        <v/>
      </c>
      <c r="C310" s="30" t="inlineStr">
        <is>
          <t>RKFORGE</t>
        </is>
      </c>
      <c r="D310" s="30" t="inlineStr">
        <is>
          <t>Ramkrishna Forgings Limited</t>
        </is>
      </c>
      <c r="E310" s="30" t="inlineStr">
        <is>
          <t>industrials</t>
        </is>
      </c>
      <c r="F310" s="30" t="inlineStr">
        <is>
          <t>castings &amp; forgings</t>
        </is>
      </c>
      <c r="G310" s="30" t="inlineStr">
        <is>
          <t>midcap</t>
        </is>
      </c>
      <c r="H310" s="31" t="n">
        <v>13128.99</v>
      </c>
      <c r="I310" s="31" t="n">
        <v>727.05</v>
      </c>
      <c r="J310" s="31" t="n">
        <v>0.88</v>
      </c>
      <c r="K310" s="31" t="n">
        <v>717946</v>
      </c>
      <c r="L310" s="30" t="n">
        <v>32</v>
      </c>
      <c r="M310" s="30" t="inlineStr">
        <is>
          <t>Outperforming</t>
        </is>
      </c>
      <c r="N310" s="31">
        <f>IF(M310="Underperforming",-5,IF(L310&gt;=95,15,IF(L310&gt;=90,10,IF(L310&gt;=80,5,0))))</f>
        <v/>
      </c>
      <c r="O310" s="31" t="n">
        <v>65.91</v>
      </c>
      <c r="P310" s="31" t="n">
        <v>21</v>
      </c>
      <c r="Q310" s="31" t="n">
        <v>608.28</v>
      </c>
      <c r="R310" s="30" t="inlineStr">
        <is>
          <t>Near 52W High Breakout</t>
        </is>
      </c>
      <c r="S310" s="30" t="inlineStr">
        <is>
          <t>Nifty 50</t>
        </is>
      </c>
      <c r="T310" s="31" t="n">
        <v>-6.52</v>
      </c>
      <c r="U310" s="31" t="n">
        <v>26.35</v>
      </c>
      <c r="V310" s="31" t="n">
        <v>35.16</v>
      </c>
      <c r="W310" s="31" t="n">
        <v>9.9</v>
      </c>
      <c r="X310" s="30" t="inlineStr">
        <is>
          <t>Cyclical in an Upturn</t>
        </is>
      </c>
      <c r="Y310" s="30">
        <f>IF(X310="Growing Industry",10,IF(X310="Cyclical in an Upturn",5,0))</f>
        <v/>
      </c>
      <c r="Z310" s="30" t="inlineStr">
        <is>
          <t>Too Many Players with High ROCE</t>
        </is>
      </c>
      <c r="AA310" s="30">
        <f>IF(Z310="Monopoly",10,IF(Z310="Oligopoly",5,IF(Z310="Duopoly that cooperate",10,IF(Z310="Duopoly that compete",5,IF(Z310="Too many players with High ROCE",5,0)))))</f>
        <v/>
      </c>
      <c r="AB310" s="30" t="inlineStr">
        <is>
          <t>No</t>
        </is>
      </c>
      <c r="AC310" s="30">
        <f>IF(AB310="No",5,0)</f>
        <v/>
      </c>
      <c r="AD310" s="30" t="inlineStr">
        <is>
          <t>Tailwind</t>
        </is>
      </c>
      <c r="AE310" s="30">
        <f>IF(AD310="Tailwind",10,0)</f>
        <v/>
      </c>
      <c r="AF310" s="30" t="inlineStr">
        <is>
          <t>Structural (10 Years Consistency)</t>
        </is>
      </c>
      <c r="AG310" s="30">
        <f>IF(AF310="Structural (10 Years Consistency)",10,IF(AF310="Shallow Cyclical (2 to 3 years growth)",5,0))</f>
        <v/>
      </c>
      <c r="AH310" s="30" t="inlineStr">
        <is>
          <t>No</t>
        </is>
      </c>
      <c r="AI310" s="30">
        <f>IF(AH310="Yes due to Product Mix change or Operating Leverage",10,IF(AH310="Yes, these are peak margins",-5,IF(AH310="No",5,0)))</f>
        <v/>
      </c>
      <c r="AJ310" s="30" t="inlineStr">
        <is>
          <t>Stable</t>
        </is>
      </c>
      <c r="AK310" s="30">
        <f>IF(AJ310="Stable",10,0)</f>
        <v/>
      </c>
      <c r="AL310" s="30" t="inlineStr">
        <is>
          <t>Yes</t>
        </is>
      </c>
      <c r="AM310" s="30">
        <f>IF(AL310="Yes",10,0)</f>
        <v/>
      </c>
      <c r="AN310" s="30" t="inlineStr">
        <is>
          <t>B2B</t>
        </is>
      </c>
      <c r="AO310" s="30">
        <f>IF(AN310="B2C",10,IF(AN310="B2B",5,0))</f>
        <v/>
      </c>
      <c r="AP310" s="30" t="inlineStr">
        <is>
          <t>Yes</t>
        </is>
      </c>
      <c r="AQ310" s="30">
        <f>IF(AP310="Yes",10,0)</f>
        <v/>
      </c>
      <c r="AR310" s="30" t="inlineStr">
        <is>
          <t>Higher One Time, Lower Annuity</t>
        </is>
      </c>
      <c r="AS310" s="30">
        <f>IF(AR310="Fully Annuity",10,IF(AR310="Higher Annuity, Lower One Time",5,IF(AR310="Higher One Time, Lower Annuity",3,0)))</f>
        <v/>
      </c>
      <c r="AT310" s="30" t="inlineStr">
        <is>
          <t>Good</t>
        </is>
      </c>
      <c r="AU310" s="30">
        <f>IF(AT310="Good",10,0)</f>
        <v/>
      </c>
      <c r="AV310" s="30" t="inlineStr">
        <is>
          <t>Yes for more than 2 years</t>
        </is>
      </c>
      <c r="AW310" s="30">
        <f>IF(AV310="Yes for more than 2 years",10,IF(AV310="Yes only for next 1 to 2 years",5,0))</f>
        <v/>
      </c>
      <c r="AX310" s="30" t="inlineStr">
        <is>
          <t>20 to 40</t>
        </is>
      </c>
      <c r="AY310" s="30">
        <f>IF(AX310="Above 40",20,IF(AX310="20 to 40",10,IF(AX310="0 to 20",-5,0)))</f>
        <v/>
      </c>
      <c r="AZ310" s="30" t="inlineStr">
        <is>
          <t>Between 50 to 75</t>
        </is>
      </c>
      <c r="BA310" s="30">
        <f>IF(AZ310="Between 50 to 75",10,IF(AZ310="Above 75",0,0))</f>
        <v/>
      </c>
      <c r="BB310" s="30" t="inlineStr">
        <is>
          <t>Stage 2</t>
        </is>
      </c>
      <c r="BC310" s="30">
        <f>IF(BB310="Stage 2",20,IF(BB310="Stage 1",0,IF(BB310="Stage 3",5,IF(BB310="Stage 4",-5,0))))</f>
        <v/>
      </c>
      <c r="BD310" s="30" t="inlineStr">
        <is>
          <t>Negative Trend</t>
        </is>
      </c>
      <c r="BE310" s="30">
        <f>IF(BD310="Positive Trend",20,IF(BD310="Negative Trend",-10,0))</f>
        <v/>
      </c>
      <c r="BF310" s="30" t="inlineStr">
        <is>
          <t>Uptrend</t>
        </is>
      </c>
      <c r="BG310" s="30">
        <f>IF(BF310="Uptrend",10,IF(BF310="Sideways",5,0))</f>
        <v/>
      </c>
      <c r="BH310" s="30" t="inlineStr">
        <is>
          <t>Uptrend</t>
        </is>
      </c>
      <c r="BI310" s="30">
        <f>IF(BH310="Uptrend",10,IF(BH310="Sideways",5,0))</f>
        <v/>
      </c>
      <c r="BJ310" s="30" t="inlineStr">
        <is>
          <t>Close to 52 week high or retracement</t>
        </is>
      </c>
      <c r="BK310" s="30">
        <f>IF(BJ310="Overhead supply in last 2 years in last 2 years",-5,IF(BJ310="Close to 52 week high or retracement",5,IF(BJ310="Blue sky scenario",10,IF(BJ310="Long term Downtrend",-10,0))))</f>
        <v/>
      </c>
      <c r="BL310" s="30" t="inlineStr">
        <is>
          <t>Yes</t>
        </is>
      </c>
      <c r="BM310" s="30">
        <f>IF(BL310="Yes",10,0)</f>
        <v/>
      </c>
      <c r="BN310" s="30" t="inlineStr">
        <is>
          <t>More than 20%</t>
        </is>
      </c>
      <c r="BO310" s="30">
        <f>IF(BN310="More than 20%",10,IF(BN310="Between 12 to 20%",5,IF(BN310="Less than 12%",0,0)))</f>
        <v/>
      </c>
      <c r="BP310" s="30" t="inlineStr">
        <is>
          <t>No</t>
        </is>
      </c>
      <c r="BQ310" s="30">
        <f>IF(BP310="No",10,0)</f>
        <v/>
      </c>
      <c r="BR310" s="30" t="inlineStr">
        <is>
          <t>Yes</t>
        </is>
      </c>
      <c r="BS310" s="30">
        <f>IF(BR310="NO",5,0)</f>
        <v/>
      </c>
      <c r="BT310" s="30" t="inlineStr">
        <is>
          <t>Above 2</t>
        </is>
      </c>
      <c r="BU310" s="30">
        <f>IF(BT310="Above 2",0,IF(BT310="Between 1.5 to 2",5,IF(BT310="Less than 1.5",10,0)))</f>
        <v/>
      </c>
      <c r="BV310" s="30" t="inlineStr">
        <is>
          <t>Above 70%</t>
        </is>
      </c>
      <c r="BW310" s="30">
        <f>IF(BV310="Above 70%",10,IF(BV310="Between 50% to 70%",5,IF(BV310="Less than 50%",0,IF(BV310="Negative",-10,IF(BV310="Less than 50% and Borrowings are increasing",-5,0)))))</f>
        <v/>
      </c>
      <c r="BX310" s="30" t="inlineStr">
        <is>
          <t>Between 0.7 to 1.2</t>
        </is>
      </c>
      <c r="BY310" s="30">
        <f>IF(BX310="More than 1.2",-10,IF(BX310="Between 0.7 to 1.2",0,IF(BX310="Less than 0.7",10,0)))</f>
        <v/>
      </c>
      <c r="BZ310" s="30" t="inlineStr">
        <is>
          <t>No</t>
        </is>
      </c>
      <c r="CA310" s="30">
        <f>IF(BZ310="Yes",-10,0)</f>
        <v/>
      </c>
      <c r="CB310" s="30" t="inlineStr">
        <is>
          <t>Less than 15%</t>
        </is>
      </c>
      <c r="CC310" s="30">
        <f>IF(CB310="More than 15%",-10,IF(CB310="Less than 15%",10,0))</f>
        <v/>
      </c>
      <c r="CD310" s="30" t="inlineStr">
        <is>
          <t>No</t>
        </is>
      </c>
      <c r="CE310" s="30">
        <f>IF(CD310="Yes, more than 10%",-10,IF(CD310="No",10,0))</f>
        <v/>
      </c>
    </row>
    <row r="311">
      <c r="A311" s="30">
        <f>IF(B311=0,"",RANK(B311,$B$2:$B$331,0))</f>
        <v/>
      </c>
      <c r="B311" s="31">
        <f>SUM(N311,Y311,AA311,AC311,AE311,AG311,AI311,AK311,AM311,AO311,AQ311,AS311,AU311,AW311,AY311,BA311,BC311,BE311,BG311,BI311,BK311,BM311,BO311,BQ311,BS311,BU311,BW311,BY311,CA311,CC311,CE311)</f>
        <v/>
      </c>
      <c r="C311" s="32" t="inlineStr">
        <is>
          <t>INDIQUBE</t>
        </is>
      </c>
      <c r="D311" s="32" t="inlineStr">
        <is>
          <t>Indiqube Spaces Ltd</t>
        </is>
      </c>
      <c r="E311" s="30" t="inlineStr">
        <is>
          <t>co-working</t>
        </is>
      </c>
      <c r="F311" s="30" t="inlineStr">
        <is>
          <t>miscellaneous</t>
        </is>
      </c>
      <c r="G311" s="30" t="inlineStr">
        <is>
          <t>smallcap</t>
        </is>
      </c>
      <c r="H311" s="31" t="n">
        <v>4331.96</v>
      </c>
      <c r="I311" s="31" t="n">
        <v>205.56</v>
      </c>
      <c r="J311" s="31" t="n">
        <v>0.6</v>
      </c>
      <c r="K311" s="31" t="n">
        <v>29531</v>
      </c>
      <c r="L311" s="30" t="n">
        <v>23</v>
      </c>
      <c r="M311" s="30" t="inlineStr">
        <is>
          <t>Underperforming</t>
        </is>
      </c>
      <c r="N311" s="31">
        <f>IF(M311="Underperforming",-5,IF(L311&gt;=95,15,IF(L311&gt;=90,10,IF(L311&gt;=80,5,0))))</f>
        <v/>
      </c>
      <c r="O311" s="31" t="n">
        <v>63.04</v>
      </c>
      <c r="P311" s="31" t="n">
        <v>17.07</v>
      </c>
      <c r="Q311" s="31" t="n">
        <v>154.56</v>
      </c>
      <c r="R311" s="30" t="inlineStr">
        <is>
          <t>Earnings / Momentum Support</t>
        </is>
      </c>
      <c r="S311" s="30" t="inlineStr">
        <is>
          <t>Nifty 50</t>
        </is>
      </c>
      <c r="T311" s="31" t="n">
        <v>-6.52</v>
      </c>
      <c r="U311" s="31" t="n">
        <v>-8.859999999999999</v>
      </c>
      <c r="V311" s="31" t="n">
        <v>-2.51</v>
      </c>
      <c r="W311" s="31" t="n">
        <v>6.96</v>
      </c>
      <c r="X311" s="30" t="inlineStr">
        <is>
          <t>Growing Industry</t>
        </is>
      </c>
      <c r="Y311" s="30">
        <f>IF(X311="Growing Industry",10,IF(X311="Cyclical in an Upturn",5,0))</f>
        <v/>
      </c>
      <c r="Z311" s="30" t="inlineStr">
        <is>
          <t>Too Many Players with High ROCE</t>
        </is>
      </c>
      <c r="AA311" s="30">
        <f>IF(Z311="Monopoly",10,IF(Z311="Oligopoly",5,IF(Z311="Duopoly that cooperate",10,IF(Z311="Duopoly that compete",5,IF(Z311="Too many players with High ROCE",5,0)))))</f>
        <v/>
      </c>
      <c r="AB311" s="30" t="inlineStr">
        <is>
          <t>No</t>
        </is>
      </c>
      <c r="AC311" s="30">
        <f>IF(AB311="No",5,0)</f>
        <v/>
      </c>
      <c r="AD311" s="30" t="inlineStr">
        <is>
          <t>Tailwind</t>
        </is>
      </c>
      <c r="AE311" s="30">
        <f>IF(AD311="Tailwind",10,0)</f>
        <v/>
      </c>
      <c r="AF311" s="30" t="inlineStr">
        <is>
          <t>Structural (10 Years Consistency)</t>
        </is>
      </c>
      <c r="AG311" s="30">
        <f>IF(AF311="Structural (10 Years Consistency)",10,IF(AF311="Shallow Cyclical (2 to 3 years growth)",5,0))</f>
        <v/>
      </c>
      <c r="AH311" s="30" t="inlineStr">
        <is>
          <t>No</t>
        </is>
      </c>
      <c r="AI311" s="30">
        <f>IF(AH311="Yes due to Product Mix change or Operating Leverage",10,IF(AH311="Yes, these are peak margins",-5,IF(AH311="No",5,0)))</f>
        <v/>
      </c>
      <c r="AJ311" s="30" t="inlineStr">
        <is>
          <t>Stable</t>
        </is>
      </c>
      <c r="AK311" s="30">
        <f>IF(AJ311="Stable",10,0)</f>
        <v/>
      </c>
      <c r="AL311" s="30" t="inlineStr">
        <is>
          <t>Yes</t>
        </is>
      </c>
      <c r="AM311" s="30">
        <f>IF(AL311="Yes",10,0)</f>
        <v/>
      </c>
      <c r="AN311" s="30" t="inlineStr">
        <is>
          <t>B2B</t>
        </is>
      </c>
      <c r="AO311" s="30">
        <f>IF(AN311="B2C",10,IF(AN311="B2B",5,0))</f>
        <v/>
      </c>
      <c r="AP311" s="30" t="inlineStr">
        <is>
          <t>No</t>
        </is>
      </c>
      <c r="AQ311" s="30">
        <f>IF(AP311="Yes",10,0)</f>
        <v/>
      </c>
      <c r="AR311" s="30" t="inlineStr">
        <is>
          <t>Higher One Time, Lower Annuity</t>
        </is>
      </c>
      <c r="AS311" s="30">
        <f>IF(AR311="Fully Annuity",10,IF(AR311="Higher Annuity, Lower One Time",5,IF(AR311="Higher One Time, Lower Annuity",3,0)))</f>
        <v/>
      </c>
      <c r="AT311" s="30" t="inlineStr">
        <is>
          <t>Good</t>
        </is>
      </c>
      <c r="AU311" s="30">
        <f>IF(AT311="Good",10,0)</f>
        <v/>
      </c>
      <c r="AV311" s="30" t="inlineStr">
        <is>
          <t>Yes for more than 2 years</t>
        </is>
      </c>
      <c r="AW311" s="30">
        <f>IF(AV311="Yes for more than 2 years",10,IF(AV311="Yes only for next 1 to 2 years",5,0))</f>
        <v/>
      </c>
      <c r="AX311" s="30" t="inlineStr">
        <is>
          <t>0 to 20</t>
        </is>
      </c>
      <c r="AY311" s="30">
        <f>IF(AX311="Above 40",20,IF(AX311="20 to 40",10,IF(AX311="0 to 20",-5,0)))</f>
        <v/>
      </c>
      <c r="AZ311" s="30" t="inlineStr">
        <is>
          <t>Between 50 to 75</t>
        </is>
      </c>
      <c r="BA311" s="30">
        <f>IF(AZ311="Between 50 to 75",10,IF(AZ311="Above 75",0,0))</f>
        <v/>
      </c>
      <c r="BB311" s="30" t="inlineStr">
        <is>
          <t>Stage 2</t>
        </is>
      </c>
      <c r="BC311" s="30">
        <f>IF(BB311="Stage 2",20,IF(BB311="Stage 1",0,IF(BB311="Stage 3",5,IF(BB311="Stage 4",-5,0))))</f>
        <v/>
      </c>
      <c r="BD311" s="30" t="inlineStr">
        <is>
          <t>Positive Trend</t>
        </is>
      </c>
      <c r="BE311" s="30">
        <f>IF(BD311="Positive Trend",20,IF(BD311="Negative Trend",-10,0))</f>
        <v/>
      </c>
      <c r="BF311" s="30" t="inlineStr">
        <is>
          <t>Uptrend</t>
        </is>
      </c>
      <c r="BG311" s="30">
        <f>IF(BF311="Uptrend",10,IF(BF311="Sideways",5,0))</f>
        <v/>
      </c>
      <c r="BH311" s="30" t="inlineStr">
        <is>
          <t>Uptrend</t>
        </is>
      </c>
      <c r="BI311" s="30">
        <f>IF(BH311="Uptrend",10,IF(BH311="Sideways",5,0))</f>
        <v/>
      </c>
      <c r="BJ311" s="30" t="inlineStr">
        <is>
          <t>Close to 52 week high or retracement</t>
        </is>
      </c>
      <c r="BK311" s="30">
        <f>IF(BJ311="Overhead supply in last 2 years in last 2 years",-5,IF(BJ311="Close to 52 week high or retracement",5,IF(BJ311="Blue sky scenario",10,IF(BJ311="Long term Downtrend",-10,0))))</f>
        <v/>
      </c>
      <c r="BL311" s="30" t="inlineStr">
        <is>
          <t>Yes</t>
        </is>
      </c>
      <c r="BM311" s="30">
        <f>IF(BL311="Yes",10,0)</f>
        <v/>
      </c>
      <c r="BN311" s="30" t="inlineStr">
        <is>
          <t>More than 20%</t>
        </is>
      </c>
      <c r="BO311" s="30">
        <f>IF(BN311="More than 20%",10,IF(BN311="Between 12 to 20%",5,IF(BN311="Less than 12%",0,0)))</f>
        <v/>
      </c>
      <c r="BP311" s="30" t="inlineStr">
        <is>
          <t>No</t>
        </is>
      </c>
      <c r="BQ311" s="30">
        <f>IF(BP311="No",10,0)</f>
        <v/>
      </c>
      <c r="BR311" s="30" t="inlineStr">
        <is>
          <t>No</t>
        </is>
      </c>
      <c r="BS311" s="30">
        <f>IF(BR311="NO",5,0)</f>
        <v/>
      </c>
      <c r="BT311" s="30" t="inlineStr">
        <is>
          <t>Above 2</t>
        </is>
      </c>
      <c r="BU311" s="30">
        <f>IF(BT311="Above 2",0,IF(BT311="Between 1.5 to 2",5,IF(BT311="Less than 1.5",10,0)))</f>
        <v/>
      </c>
      <c r="BV311" s="30" t="inlineStr">
        <is>
          <t>Above 70%</t>
        </is>
      </c>
      <c r="BW311" s="30">
        <f>IF(BV311="Above 70%",10,IF(BV311="Between 50% to 70%",5,IF(BV311="Less than 50%",0,IF(BV311="Negative",-10,IF(BV311="Less than 50% and Borrowings are increasing",-5,0)))))</f>
        <v/>
      </c>
      <c r="BX311" s="30" t="inlineStr">
        <is>
          <t>More than 1.2</t>
        </is>
      </c>
      <c r="BY311" s="30">
        <f>IF(BX311="More than 1.2",-10,IF(BX311="Between 0.7 to 1.2",0,IF(BX311="Less than 0.7",10,0)))</f>
        <v/>
      </c>
      <c r="BZ311" s="30" t="inlineStr">
        <is>
          <t>No</t>
        </is>
      </c>
      <c r="CA311" s="30">
        <f>IF(BZ311="Yes",-10,0)</f>
        <v/>
      </c>
      <c r="CB311" s="30" t="inlineStr">
        <is>
          <t>Less than 15%</t>
        </is>
      </c>
      <c r="CC311" s="30">
        <f>IF(CB311="More than 15%",-10,IF(CB311="Less than 15%",10,0))</f>
        <v/>
      </c>
      <c r="CD311" s="30" t="inlineStr">
        <is>
          <t>No</t>
        </is>
      </c>
      <c r="CE311" s="30">
        <f>IF(CD311="Yes, more than 10%",-10,IF(CD311="No",10,0))</f>
        <v/>
      </c>
    </row>
    <row r="312">
      <c r="A312" s="30">
        <f>IF(B312=0,"",RANK(B312,$B$2:$B$331,0))</f>
        <v/>
      </c>
      <c r="B312" s="31">
        <f>SUM(N312,Y312,AA312,AC312,AE312,AG312,AI312,AK312,AM312,AO312,AQ312,AS312,AU312,AW312,AY312,BA312,BC312,BE312,BG312,BI312,BK312,BM312,BO312,BQ312,BS312,BU312,BW312,BY312,CA312,CC312,CE312)</f>
        <v/>
      </c>
      <c r="C312" s="30" t="inlineStr">
        <is>
          <t>IONEXCHANG</t>
        </is>
      </c>
      <c r="D312" s="30" t="inlineStr">
        <is>
          <t>Ion Exchange (India) Ltd</t>
        </is>
      </c>
      <c r="E312" s="30" t="inlineStr">
        <is>
          <t>realty</t>
        </is>
      </c>
      <c r="F312" s="30" t="inlineStr">
        <is>
          <t>engineering - turnkey services</t>
        </is>
      </c>
      <c r="G312" s="30" t="inlineStr">
        <is>
          <t>midcap</t>
        </is>
      </c>
      <c r="H312" s="31" t="n">
        <v>6415.93</v>
      </c>
      <c r="I312" s="31" t="n">
        <v>435.45</v>
      </c>
      <c r="J312" s="31" t="n">
        <v>-0.46</v>
      </c>
      <c r="K312" s="31" t="n">
        <v>480368</v>
      </c>
      <c r="L312" s="30" t="n">
        <v>5</v>
      </c>
      <c r="M312" s="30" t="inlineStr">
        <is>
          <t>Outperforming</t>
        </is>
      </c>
      <c r="N312" s="31">
        <f>IF(M312="Underperforming",-5,IF(L312&gt;=95,15,IF(L312&gt;=90,10,IF(L312&gt;=80,5,0))))</f>
        <v/>
      </c>
      <c r="O312" s="31" t="n">
        <v>58.75</v>
      </c>
      <c r="P312" s="31" t="n">
        <v>19.76</v>
      </c>
      <c r="Q312" s="31" t="n">
        <v>355.25</v>
      </c>
      <c r="R312" s="30" t="inlineStr">
        <is>
          <t>Volume Spike / Accumulation</t>
        </is>
      </c>
      <c r="S312" s="30" t="inlineStr">
        <is>
          <t>Nifty Realty</t>
        </is>
      </c>
      <c r="T312" s="31" t="n">
        <v>-8.26</v>
      </c>
      <c r="U312" s="31" t="n">
        <v>-5.97</v>
      </c>
      <c r="V312" s="31" t="n">
        <v>2.5</v>
      </c>
      <c r="W312" s="31" t="n">
        <v>1.41</v>
      </c>
      <c r="X312" s="30" t="inlineStr">
        <is>
          <t>Growing Industry</t>
        </is>
      </c>
      <c r="Y312" s="30">
        <f>IF(X312="Growing Industry",10,IF(X312="Cyclical in an Upturn",5,0))</f>
        <v/>
      </c>
      <c r="Z312" s="30" t="inlineStr">
        <is>
          <t>Too Many Players with High ROCE</t>
        </is>
      </c>
      <c r="AA312" s="30">
        <f>IF(Z312="Monopoly",10,IF(Z312="Oligopoly",5,IF(Z312="Duopoly that cooperate",10,IF(Z312="Duopoly that compete",5,IF(Z312="Too many players with High ROCE",5,0)))))</f>
        <v/>
      </c>
      <c r="AB312" s="30" t="inlineStr">
        <is>
          <t>No</t>
        </is>
      </c>
      <c r="AC312" s="30">
        <f>IF(AB312="No",5,0)</f>
        <v/>
      </c>
      <c r="AD312" s="30" t="inlineStr">
        <is>
          <t>Tailwind</t>
        </is>
      </c>
      <c r="AE312" s="30">
        <f>IF(AD312="Tailwind",10,0)</f>
        <v/>
      </c>
      <c r="AF312" s="30" t="inlineStr">
        <is>
          <t>Structural (10 Years Consistency)</t>
        </is>
      </c>
      <c r="AG312" s="30">
        <f>IF(AF312="Structural (10 Years Consistency)",10,IF(AF312="Shallow Cyclical (2 to 3 years growth)",5,0))</f>
        <v/>
      </c>
      <c r="AH312" s="30" t="inlineStr">
        <is>
          <t>No</t>
        </is>
      </c>
      <c r="AI312" s="30">
        <f>IF(AH312="Yes due to Product Mix change or Operating Leverage",10,IF(AH312="Yes, these are peak margins",-5,IF(AH312="No",5,0)))</f>
        <v/>
      </c>
      <c r="AJ312" s="30" t="inlineStr">
        <is>
          <t>Stable</t>
        </is>
      </c>
      <c r="AK312" s="30">
        <f>IF(AJ312="Stable",10,0)</f>
        <v/>
      </c>
      <c r="AL312" s="30" t="inlineStr">
        <is>
          <t>Yes</t>
        </is>
      </c>
      <c r="AM312" s="30">
        <f>IF(AL312="Yes",10,0)</f>
        <v/>
      </c>
      <c r="AN312" s="30" t="inlineStr">
        <is>
          <t>B2B</t>
        </is>
      </c>
      <c r="AO312" s="30">
        <f>IF(AN312="B2C",10,IF(AN312="B2B",5,0))</f>
        <v/>
      </c>
      <c r="AP312" s="30" t="inlineStr">
        <is>
          <t>Yes</t>
        </is>
      </c>
      <c r="AQ312" s="30">
        <f>IF(AP312="Yes",10,0)</f>
        <v/>
      </c>
      <c r="AR312" s="30" t="inlineStr">
        <is>
          <t>Higher One Time, Lower Annuity</t>
        </is>
      </c>
      <c r="AS312" s="30">
        <f>IF(AR312="Fully Annuity",10,IF(AR312="Higher Annuity, Lower One Time",5,IF(AR312="Higher One Time, Lower Annuity",3,0)))</f>
        <v/>
      </c>
      <c r="AT312" s="30" t="inlineStr">
        <is>
          <t>Good</t>
        </is>
      </c>
      <c r="AU312" s="30">
        <f>IF(AT312="Good",10,0)</f>
        <v/>
      </c>
      <c r="AV312" s="30" t="inlineStr">
        <is>
          <t>Yes for more than 2 years</t>
        </is>
      </c>
      <c r="AW312" s="30">
        <f>IF(AV312="Yes for more than 2 years",10,IF(AV312="Yes only for next 1 to 2 years",5,0))</f>
        <v/>
      </c>
      <c r="AX312" s="30" t="inlineStr">
        <is>
          <t>0 to 20</t>
        </is>
      </c>
      <c r="AY312" s="30">
        <f>IF(AX312="Above 40",20,IF(AX312="20 to 40",10,IF(AX312="0 to 20",-5,0)))</f>
        <v/>
      </c>
      <c r="AZ312" s="30" t="inlineStr">
        <is>
          <t>Between 50 to 75</t>
        </is>
      </c>
      <c r="BA312" s="30">
        <f>IF(AZ312="Between 50 to 75",10,IF(AZ312="Above 75",0,0))</f>
        <v/>
      </c>
      <c r="BB312" s="30" t="inlineStr">
        <is>
          <t>Stage 1</t>
        </is>
      </c>
      <c r="BC312" s="30">
        <f>IF(BB312="Stage 2",20,IF(BB312="Stage 1",0,IF(BB312="Stage 3",5,IF(BB312="Stage 4",-5,0))))</f>
        <v/>
      </c>
      <c r="BD312" s="30" t="inlineStr">
        <is>
          <t>Positive Trend</t>
        </is>
      </c>
      <c r="BE312" s="30">
        <f>IF(BD312="Positive Trend",20,IF(BD312="Negative Trend",-10,0))</f>
        <v/>
      </c>
      <c r="BF312" s="30" t="inlineStr">
        <is>
          <t>Uptrend</t>
        </is>
      </c>
      <c r="BG312" s="30">
        <f>IF(BF312="Uptrend",10,IF(BF312="Sideways",5,0))</f>
        <v/>
      </c>
      <c r="BH312" s="30" t="inlineStr">
        <is>
          <t>Uptrend</t>
        </is>
      </c>
      <c r="BI312" s="30">
        <f>IF(BH312="Uptrend",10,IF(BH312="Sideways",5,0))</f>
        <v/>
      </c>
      <c r="BJ312" s="30" t="inlineStr">
        <is>
          <t>Close to 52 week high or retracement</t>
        </is>
      </c>
      <c r="BK312" s="30">
        <f>IF(BJ312="Overhead supply in last 2 years in last 2 years",-5,IF(BJ312="Close to 52 week high or retracement",5,IF(BJ312="Blue sky scenario",10,IF(BJ312="Long term Downtrend",-10,0))))</f>
        <v/>
      </c>
      <c r="BL312" s="30" t="inlineStr">
        <is>
          <t>Yes</t>
        </is>
      </c>
      <c r="BM312" s="30">
        <f>IF(BL312="Yes",10,0)</f>
        <v/>
      </c>
      <c r="BN312" s="30" t="inlineStr">
        <is>
          <t>Less than 12%</t>
        </is>
      </c>
      <c r="BO312" s="30">
        <f>IF(BN312="More than 20%",10,IF(BN312="Between 12 to 20%",5,IF(BN312="Less than 12%",0,0)))</f>
        <v/>
      </c>
      <c r="BP312" s="30" t="inlineStr">
        <is>
          <t>No</t>
        </is>
      </c>
      <c r="BQ312" s="30">
        <f>IF(BP312="No",10,0)</f>
        <v/>
      </c>
      <c r="BR312" s="30" t="inlineStr">
        <is>
          <t>Yes</t>
        </is>
      </c>
      <c r="BS312" s="30">
        <f>IF(BR312="NO",5,0)</f>
        <v/>
      </c>
      <c r="BT312" s="30" t="inlineStr">
        <is>
          <t>Above 2</t>
        </is>
      </c>
      <c r="BU312" s="30">
        <f>IF(BT312="Above 2",0,IF(BT312="Between 1.5 to 2",5,IF(BT312="Less than 1.5",10,0)))</f>
        <v/>
      </c>
      <c r="BV312" s="30" t="inlineStr">
        <is>
          <t>Above 70%</t>
        </is>
      </c>
      <c r="BW312" s="30">
        <f>IF(BV312="Above 70%",10,IF(BV312="Between 50% to 70%",5,IF(BV312="Less than 50%",0,IF(BV312="Negative",-10,IF(BV312="Less than 50% and Borrowings are increasing",-5,0)))))</f>
        <v/>
      </c>
      <c r="BX312" s="30" t="inlineStr">
        <is>
          <t>Less than 0.7</t>
        </is>
      </c>
      <c r="BY312" s="30">
        <f>IF(BX312="More than 1.2",-10,IF(BX312="Between 0.7 to 1.2",0,IF(BX312="Less than 0.7",10,0)))</f>
        <v/>
      </c>
      <c r="BZ312" s="30" t="inlineStr">
        <is>
          <t>No</t>
        </is>
      </c>
      <c r="CA312" s="30">
        <f>IF(BZ312="Yes",-10,0)</f>
        <v/>
      </c>
      <c r="CB312" s="30" t="inlineStr">
        <is>
          <t>Less than 15%</t>
        </is>
      </c>
      <c r="CC312" s="30">
        <f>IF(CB312="More than 15%",-10,IF(CB312="Less than 15%",10,0))</f>
        <v/>
      </c>
      <c r="CD312" s="30" t="inlineStr">
        <is>
          <t>No</t>
        </is>
      </c>
      <c r="CE312" s="30">
        <f>IF(CD312="Yes, more than 10%",-10,IF(CD312="No",10,0))</f>
        <v/>
      </c>
    </row>
    <row r="313">
      <c r="A313" s="30">
        <f>IF(B313=0,"",RANK(B313,$B$2:$B$331,0))</f>
        <v/>
      </c>
      <c r="B313" s="31">
        <f>SUM(N313,Y313,AA313,AC313,AE313,AG313,AI313,AK313,AM313,AO313,AQ313,AS313,AU313,AW313,AY313,BA313,BC313,BE313,BG313,BI313,BK313,BM313,BO313,BQ313,BS313,BU313,BW313,BY313,CA313,CC313,CE313)</f>
        <v/>
      </c>
      <c r="C313" s="30" t="inlineStr">
        <is>
          <t>PFOCUS</t>
        </is>
      </c>
      <c r="D313" s="30" t="inlineStr">
        <is>
          <t>Prime Focus Limited</t>
        </is>
      </c>
      <c r="E313" s="30" t="inlineStr">
        <is>
          <t>realty</t>
        </is>
      </c>
      <c r="F313" s="30" t="inlineStr">
        <is>
          <t>miscellaneous</t>
        </is>
      </c>
      <c r="G313" s="30" t="inlineStr">
        <is>
          <t>largecap</t>
        </is>
      </c>
      <c r="H313" s="31" t="n">
        <v>24560.4</v>
      </c>
      <c r="I313" s="31" t="n">
        <v>313.55</v>
      </c>
      <c r="J313" s="31" t="n">
        <v>-0.87</v>
      </c>
      <c r="K313" s="31" t="n">
        <v>374526</v>
      </c>
      <c r="L313" s="30" t="n">
        <v>56</v>
      </c>
      <c r="M313" s="30" t="inlineStr">
        <is>
          <t>Outperforming</t>
        </is>
      </c>
      <c r="N313" s="31">
        <f>IF(M313="Underperforming",-5,IF(L313&gt;=95,15,IF(L313&gt;=90,10,IF(L313&gt;=80,5,0))))</f>
        <v/>
      </c>
      <c r="O313" s="31" t="n">
        <v>62.39</v>
      </c>
      <c r="P313" s="31" t="n">
        <v>14.32</v>
      </c>
      <c r="Q313" s="31" t="n">
        <v>223.33</v>
      </c>
      <c r="R313" s="30" t="inlineStr">
        <is>
          <t>Earnings / Momentum Support</t>
        </is>
      </c>
      <c r="S313" s="30" t="inlineStr">
        <is>
          <t>Nifty Realty</t>
        </is>
      </c>
      <c r="T313" s="31" t="n">
        <v>-8.26</v>
      </c>
      <c r="U313" s="31" t="n">
        <v>112.32</v>
      </c>
      <c r="V313" s="31" t="n">
        <v>131.44</v>
      </c>
      <c r="W313" s="31" t="n">
        <v>17.63</v>
      </c>
      <c r="X313" s="30" t="inlineStr">
        <is>
          <t>Growing Industry</t>
        </is>
      </c>
      <c r="Y313" s="30">
        <f>IF(X313="Growing Industry",10,IF(X313="Cyclical in an Upturn",5,0))</f>
        <v/>
      </c>
      <c r="Z313" s="30" t="inlineStr">
        <is>
          <t>Too Many Players with High ROCE</t>
        </is>
      </c>
      <c r="AA313" s="30">
        <f>IF(Z313="Monopoly",10,IF(Z313="Oligopoly",5,IF(Z313="Duopoly that cooperate",10,IF(Z313="Duopoly that compete",5,IF(Z313="Too many players with High ROCE",5,0)))))</f>
        <v/>
      </c>
      <c r="AB313" s="30" t="inlineStr">
        <is>
          <t>No</t>
        </is>
      </c>
      <c r="AC313" s="30">
        <f>IF(AB313="No",5,0)</f>
        <v/>
      </c>
      <c r="AD313" s="30" t="inlineStr">
        <is>
          <t>Tailwind</t>
        </is>
      </c>
      <c r="AE313" s="30">
        <f>IF(AD313="Tailwind",10,0)</f>
        <v/>
      </c>
      <c r="AF313" s="30" t="inlineStr">
        <is>
          <t>Structural (10 Years Consistency)</t>
        </is>
      </c>
      <c r="AG313" s="30">
        <f>IF(AF313="Structural (10 Years Consistency)",10,IF(AF313="Shallow Cyclical (2 to 3 years growth)",5,0))</f>
        <v/>
      </c>
      <c r="AH313" s="30" t="inlineStr">
        <is>
          <t>No</t>
        </is>
      </c>
      <c r="AI313" s="30">
        <f>IF(AH313="Yes due to Product Mix change or Operating Leverage",10,IF(AH313="Yes, these are peak margins",-5,IF(AH313="No",5,0)))</f>
        <v/>
      </c>
      <c r="AJ313" s="30" t="inlineStr">
        <is>
          <t>Stable</t>
        </is>
      </c>
      <c r="AK313" s="30">
        <f>IF(AJ313="Stable",10,0)</f>
        <v/>
      </c>
      <c r="AL313" s="30" t="inlineStr">
        <is>
          <t>Yes</t>
        </is>
      </c>
      <c r="AM313" s="30">
        <f>IF(AL313="Yes",10,0)</f>
        <v/>
      </c>
      <c r="AN313" s="30" t="inlineStr">
        <is>
          <t>B2B</t>
        </is>
      </c>
      <c r="AO313" s="30">
        <f>IF(AN313="B2C",10,IF(AN313="B2B",5,0))</f>
        <v/>
      </c>
      <c r="AP313" s="30" t="inlineStr">
        <is>
          <t>No</t>
        </is>
      </c>
      <c r="AQ313" s="30">
        <f>IF(AP313="Yes",10,0)</f>
        <v/>
      </c>
      <c r="AR313" s="30" t="inlineStr">
        <is>
          <t>Higher One Time, Lower Annuity</t>
        </is>
      </c>
      <c r="AS313" s="30">
        <f>IF(AR313="Fully Annuity",10,IF(AR313="Higher Annuity, Lower One Time",5,IF(AR313="Higher One Time, Lower Annuity",3,0)))</f>
        <v/>
      </c>
      <c r="AT313" s="30" t="inlineStr">
        <is>
          <t>Good</t>
        </is>
      </c>
      <c r="AU313" s="30">
        <f>IF(AT313="Good",10,0)</f>
        <v/>
      </c>
      <c r="AV313" s="30" t="inlineStr">
        <is>
          <t>Yes for more than 2 years</t>
        </is>
      </c>
      <c r="AW313" s="30">
        <f>IF(AV313="Yes for more than 2 years",10,IF(AV313="Yes only for next 1 to 2 years",5,0))</f>
        <v/>
      </c>
      <c r="AX313" s="30" t="inlineStr">
        <is>
          <t>0 to 20</t>
        </is>
      </c>
      <c r="AY313" s="30">
        <f>IF(AX313="Above 40",20,IF(AX313="20 to 40",10,IF(AX313="0 to 20",-5,0)))</f>
        <v/>
      </c>
      <c r="AZ313" s="30" t="inlineStr">
        <is>
          <t>Between 50 to 75</t>
        </is>
      </c>
      <c r="BA313" s="30">
        <f>IF(AZ313="Between 50 to 75",10,IF(AZ313="Above 75",0,0))</f>
        <v/>
      </c>
      <c r="BB313" s="30" t="inlineStr">
        <is>
          <t>Stage 2</t>
        </is>
      </c>
      <c r="BC313" s="30">
        <f>IF(BB313="Stage 2",20,IF(BB313="Stage 1",0,IF(BB313="Stage 3",5,IF(BB313="Stage 4",-5,0))))</f>
        <v/>
      </c>
      <c r="BD313" s="30" t="inlineStr">
        <is>
          <t>Positive Trend</t>
        </is>
      </c>
      <c r="BE313" s="30">
        <f>IF(BD313="Positive Trend",20,IF(BD313="Negative Trend",-10,0))</f>
        <v/>
      </c>
      <c r="BF313" s="30" t="inlineStr">
        <is>
          <t>Uptrend</t>
        </is>
      </c>
      <c r="BG313" s="30">
        <f>IF(BF313="Uptrend",10,IF(BF313="Sideways",5,0))</f>
        <v/>
      </c>
      <c r="BH313" s="30" t="inlineStr">
        <is>
          <t>Uptrend</t>
        </is>
      </c>
      <c r="BI313" s="30">
        <f>IF(BH313="Uptrend",10,IF(BH313="Sideways",5,0))</f>
        <v/>
      </c>
      <c r="BJ313" s="30" t="inlineStr">
        <is>
          <t>Close to 52 week high or retracement</t>
        </is>
      </c>
      <c r="BK313" s="30">
        <f>IF(BJ313="Overhead supply in last 2 years in last 2 years",-5,IF(BJ313="Close to 52 week high or retracement",5,IF(BJ313="Blue sky scenario",10,IF(BJ313="Long term Downtrend",-10,0))))</f>
        <v/>
      </c>
      <c r="BL313" s="30" t="inlineStr">
        <is>
          <t>Yes</t>
        </is>
      </c>
      <c r="BM313" s="30">
        <f>IF(BL313="Yes",10,0)</f>
        <v/>
      </c>
      <c r="BN313" s="30" t="inlineStr">
        <is>
          <t>More than 20%</t>
        </is>
      </c>
      <c r="BO313" s="30">
        <f>IF(BN313="More than 20%",10,IF(BN313="Between 12 to 20%",5,IF(BN313="Less than 12%",0,0)))</f>
        <v/>
      </c>
      <c r="BP313" s="30" t="inlineStr">
        <is>
          <t>No</t>
        </is>
      </c>
      <c r="BQ313" s="30">
        <f>IF(BP313="No",10,0)</f>
        <v/>
      </c>
      <c r="BR313" s="30" t="inlineStr">
        <is>
          <t>Yes</t>
        </is>
      </c>
      <c r="BS313" s="30">
        <f>IF(BR313="NO",5,0)</f>
        <v/>
      </c>
      <c r="BT313" s="30" t="inlineStr">
        <is>
          <t>Above 2</t>
        </is>
      </c>
      <c r="BU313" s="30">
        <f>IF(BT313="Above 2",0,IF(BT313="Between 1.5 to 2",5,IF(BT313="Less than 1.5",10,0)))</f>
        <v/>
      </c>
      <c r="BV313" s="30" t="inlineStr">
        <is>
          <t>Above 70%</t>
        </is>
      </c>
      <c r="BW313" s="30">
        <f>IF(BV313="Above 70%",10,IF(BV313="Between 50% to 70%",5,IF(BV313="Less than 50%",0,IF(BV313="Negative",-10,IF(BV313="Less than 50% and Borrowings are increasing",-5,0)))))</f>
        <v/>
      </c>
      <c r="BX313" s="30" t="inlineStr">
        <is>
          <t>More than 1.2</t>
        </is>
      </c>
      <c r="BY313" s="30">
        <f>IF(BX313="More than 1.2",-10,IF(BX313="Between 0.7 to 1.2",0,IF(BX313="Less than 0.7",10,0)))</f>
        <v/>
      </c>
      <c r="BZ313" s="30" t="inlineStr">
        <is>
          <t>No</t>
        </is>
      </c>
      <c r="CA313" s="30">
        <f>IF(BZ313="Yes",-10,0)</f>
        <v/>
      </c>
      <c r="CB313" s="30" t="inlineStr">
        <is>
          <t>Less than 15%</t>
        </is>
      </c>
      <c r="CC313" s="30">
        <f>IF(CB313="More than 15%",-10,IF(CB313="Less than 15%",10,0))</f>
        <v/>
      </c>
      <c r="CD313" s="30" t="inlineStr">
        <is>
          <t>No</t>
        </is>
      </c>
      <c r="CE313" s="30">
        <f>IF(CD313="Yes, more than 10%",-10,IF(CD313="No",10,0))</f>
        <v/>
      </c>
    </row>
    <row r="314">
      <c r="A314" s="30">
        <f>IF(B314=0,"",RANK(B314,$B$2:$B$331,0))</f>
        <v/>
      </c>
      <c r="B314" s="31">
        <f>SUM(N314,Y314,AA314,AC314,AE314,AG314,AI314,AK314,AM314,AO314,AQ314,AS314,AU314,AW314,AY314,BA314,BC314,BE314,BG314,BI314,BK314,BM314,BO314,BQ314,BS314,BU314,BW314,BY314,CA314,CC314,CE314)</f>
        <v/>
      </c>
      <c r="C314" s="32" t="inlineStr">
        <is>
          <t>SRHHYPOLTD</t>
        </is>
      </c>
      <c r="D314" s="32" t="inlineStr">
        <is>
          <t>Sree Rayalaseema Hi-strength Hypo Limited</t>
        </is>
      </c>
      <c r="E314" s="30" t="inlineStr">
        <is>
          <t>chemicals</t>
        </is>
      </c>
      <c r="F314" s="30" t="inlineStr">
        <is>
          <t>chemicals</t>
        </is>
      </c>
      <c r="G314" s="30" t="inlineStr">
        <is>
          <t>smallcap</t>
        </is>
      </c>
      <c r="H314" s="31" t="n">
        <v>913</v>
      </c>
      <c r="I314" s="31" t="n">
        <v>517.1</v>
      </c>
      <c r="J314" s="31" t="n">
        <v>-2.78</v>
      </c>
      <c r="K314" s="31" t="n">
        <v>18403</v>
      </c>
      <c r="L314" s="30" t="n">
        <v>1</v>
      </c>
      <c r="M314" s="30" t="inlineStr">
        <is>
          <t>Underperforming</t>
        </is>
      </c>
      <c r="N314" s="31">
        <f>IF(M314="Underperforming",-5,IF(L314&gt;=95,15,IF(L314&gt;=90,10,IF(L314&gt;=80,5,0))))</f>
        <v/>
      </c>
      <c r="O314" s="31" t="n">
        <v>53.95</v>
      </c>
      <c r="P314" s="31" t="n">
        <v>8.779999999999999</v>
      </c>
      <c r="Q314" s="31" t="n">
        <v>422.88</v>
      </c>
      <c r="R314" s="30" t="inlineStr">
        <is>
          <t>Earnings / Momentum Support</t>
        </is>
      </c>
      <c r="S314" s="30" t="inlineStr">
        <is>
          <t>Nifty 50</t>
        </is>
      </c>
      <c r="T314" s="31" t="n">
        <v>-6.52</v>
      </c>
      <c r="U314" s="31" t="n">
        <v>-13.85</v>
      </c>
      <c r="V314" s="31" t="n">
        <v>-7.84</v>
      </c>
      <c r="W314" s="31" t="n">
        <v>-1.52</v>
      </c>
      <c r="X314" s="30" t="inlineStr">
        <is>
          <t>Growing Industry</t>
        </is>
      </c>
      <c r="Y314" s="30">
        <f>IF(X314="Growing Industry",10,IF(X314="Cyclical in an Upturn",5,0))</f>
        <v/>
      </c>
      <c r="Z314" s="30" t="inlineStr">
        <is>
          <t>Too Many Players with High ROCE</t>
        </is>
      </c>
      <c r="AA314" s="30">
        <f>IF(Z314="Monopoly",10,IF(Z314="Oligopoly",5,IF(Z314="Duopoly that cooperate",10,IF(Z314="Duopoly that compete",5,IF(Z314="Too many players with High ROCE",5,0)))))</f>
        <v/>
      </c>
      <c r="AB314" s="30" t="inlineStr">
        <is>
          <t>No</t>
        </is>
      </c>
      <c r="AC314" s="30">
        <f>IF(AB314="No",5,0)</f>
        <v/>
      </c>
      <c r="AD314" s="30" t="inlineStr">
        <is>
          <t>Tailwind</t>
        </is>
      </c>
      <c r="AE314" s="30">
        <f>IF(AD314="Tailwind",10,0)</f>
        <v/>
      </c>
      <c r="AF314" s="30" t="inlineStr">
        <is>
          <t>Structural (10 Years Consistency)</t>
        </is>
      </c>
      <c r="AG314" s="30">
        <f>IF(AF314="Structural (10 Years Consistency)",10,IF(AF314="Shallow Cyclical (2 to 3 years growth)",5,0))</f>
        <v/>
      </c>
      <c r="AH314" s="30" t="inlineStr">
        <is>
          <t>No</t>
        </is>
      </c>
      <c r="AI314" s="30">
        <f>IF(AH314="Yes due to Product Mix change or Operating Leverage",10,IF(AH314="Yes, these are peak margins",-5,IF(AH314="No",5,0)))</f>
        <v/>
      </c>
      <c r="AJ314" s="30" t="inlineStr">
        <is>
          <t>Stable</t>
        </is>
      </c>
      <c r="AK314" s="30">
        <f>IF(AJ314="Stable",10,0)</f>
        <v/>
      </c>
      <c r="AL314" s="30" t="inlineStr">
        <is>
          <t>Yes</t>
        </is>
      </c>
      <c r="AM314" s="30">
        <f>IF(AL314="Yes",10,0)</f>
        <v/>
      </c>
      <c r="AN314" s="30" t="inlineStr">
        <is>
          <t>B2B</t>
        </is>
      </c>
      <c r="AO314" s="30">
        <f>IF(AN314="B2C",10,IF(AN314="B2B",5,0))</f>
        <v/>
      </c>
      <c r="AP314" s="30" t="inlineStr">
        <is>
          <t>No</t>
        </is>
      </c>
      <c r="AQ314" s="30">
        <f>IF(AP314="Yes",10,0)</f>
        <v/>
      </c>
      <c r="AR314" s="30" t="inlineStr">
        <is>
          <t>Higher One Time, Lower Annuity</t>
        </is>
      </c>
      <c r="AS314" s="30">
        <f>IF(AR314="Fully Annuity",10,IF(AR314="Higher Annuity, Lower One Time",5,IF(AR314="Higher One Time, Lower Annuity",3,0)))</f>
        <v/>
      </c>
      <c r="AT314" s="30" t="inlineStr">
        <is>
          <t>Good</t>
        </is>
      </c>
      <c r="AU314" s="30">
        <f>IF(AT314="Good",10,0)</f>
        <v/>
      </c>
      <c r="AV314" s="30" t="inlineStr">
        <is>
          <t>Yes for more than 2 years</t>
        </is>
      </c>
      <c r="AW314" s="30">
        <f>IF(AV314="Yes for more than 2 years",10,IF(AV314="Yes only for next 1 to 2 years",5,0))</f>
        <v/>
      </c>
      <c r="AX314" s="30" t="inlineStr">
        <is>
          <t>0 to 20</t>
        </is>
      </c>
      <c r="AY314" s="30">
        <f>IF(AX314="Above 40",20,IF(AX314="20 to 40",10,IF(AX314="0 to 20",-5,0)))</f>
        <v/>
      </c>
      <c r="AZ314" s="30" t="inlineStr">
        <is>
          <t>Between 50 to 75</t>
        </is>
      </c>
      <c r="BA314" s="30">
        <f>IF(AZ314="Between 50 to 75",10,IF(AZ314="Above 75",0,0))</f>
        <v/>
      </c>
      <c r="BB314" s="30" t="inlineStr">
        <is>
          <t>Stage 1</t>
        </is>
      </c>
      <c r="BC314" s="30">
        <f>IF(BB314="Stage 2",20,IF(BB314="Stage 1",0,IF(BB314="Stage 3",5,IF(BB314="Stage 4",-5,0))))</f>
        <v/>
      </c>
      <c r="BD314" s="30" t="inlineStr">
        <is>
          <t>Positive Trend</t>
        </is>
      </c>
      <c r="BE314" s="30">
        <f>IF(BD314="Positive Trend",20,IF(BD314="Negative Trend",-10,0))</f>
        <v/>
      </c>
      <c r="BF314" s="30" t="inlineStr">
        <is>
          <t>Uptrend</t>
        </is>
      </c>
      <c r="BG314" s="30">
        <f>IF(BF314="Uptrend",10,IF(BF314="Sideways",5,0))</f>
        <v/>
      </c>
      <c r="BH314" s="30" t="inlineStr">
        <is>
          <t>Uptrend</t>
        </is>
      </c>
      <c r="BI314" s="30">
        <f>IF(BH314="Uptrend",10,IF(BH314="Sideways",5,0))</f>
        <v/>
      </c>
      <c r="BJ314" s="30" t="inlineStr">
        <is>
          <t>Close to 52 week high or retracement</t>
        </is>
      </c>
      <c r="BK314" s="30">
        <f>IF(BJ314="Overhead supply in last 2 years in last 2 years",-5,IF(BJ314="Close to 52 week high or retracement",5,IF(BJ314="Blue sky scenario",10,IF(BJ314="Long term Downtrend",-10,0))))</f>
        <v/>
      </c>
      <c r="BL314" s="30" t="inlineStr">
        <is>
          <t>Yes</t>
        </is>
      </c>
      <c r="BM314" s="30">
        <f>IF(BL314="Yes",10,0)</f>
        <v/>
      </c>
      <c r="BN314" s="30" t="inlineStr">
        <is>
          <t>Less than 12%</t>
        </is>
      </c>
      <c r="BO314" s="30">
        <f>IF(BN314="More than 20%",10,IF(BN314="Between 12 to 20%",5,IF(BN314="Less than 12%",0,0)))</f>
        <v/>
      </c>
      <c r="BP314" s="30" t="inlineStr">
        <is>
          <t>No</t>
        </is>
      </c>
      <c r="BQ314" s="30">
        <f>IF(BP314="No",10,0)</f>
        <v/>
      </c>
      <c r="BR314" s="30" t="inlineStr">
        <is>
          <t>No</t>
        </is>
      </c>
      <c r="BS314" s="30">
        <f>IF(BR314="NO",5,0)</f>
        <v/>
      </c>
      <c r="BT314" s="30" t="inlineStr">
        <is>
          <t>Less than 1.5</t>
        </is>
      </c>
      <c r="BU314" s="30">
        <f>IF(BT314="Above 2",0,IF(BT314="Between 1.5 to 2",5,IF(BT314="Less than 1.5",10,0)))</f>
        <v/>
      </c>
      <c r="BV314" s="30" t="inlineStr">
        <is>
          <t>Above 70%</t>
        </is>
      </c>
      <c r="BW314" s="30">
        <f>IF(BV314="Above 70%",10,IF(BV314="Between 50% to 70%",5,IF(BV314="Less than 50%",0,IF(BV314="Negative",-10,IF(BV314="Less than 50% and Borrowings are increasing",-5,0)))))</f>
        <v/>
      </c>
      <c r="BX314" s="30" t="inlineStr">
        <is>
          <t>Less than 0.7</t>
        </is>
      </c>
      <c r="BY314" s="30">
        <f>IF(BX314="More than 1.2",-10,IF(BX314="Between 0.7 to 1.2",0,IF(BX314="Less than 0.7",10,0)))</f>
        <v/>
      </c>
      <c r="BZ314" s="30" t="inlineStr">
        <is>
          <t>No</t>
        </is>
      </c>
      <c r="CA314" s="30">
        <f>IF(BZ314="Yes",-10,0)</f>
        <v/>
      </c>
      <c r="CB314" s="30" t="inlineStr">
        <is>
          <t>Less than 15%</t>
        </is>
      </c>
      <c r="CC314" s="30">
        <f>IF(CB314="More than 15%",-10,IF(CB314="Less than 15%",10,0))</f>
        <v/>
      </c>
      <c r="CD314" s="30" t="inlineStr">
        <is>
          <t>No</t>
        </is>
      </c>
      <c r="CE314" s="30">
        <f>IF(CD314="Yes, more than 10%",-10,IF(CD314="No",10,0))</f>
        <v/>
      </c>
    </row>
    <row r="315">
      <c r="A315" s="30">
        <f>IF(B315=0,"",RANK(B315,$B$2:$B$331,0))</f>
        <v/>
      </c>
      <c r="B315" s="31">
        <f>SUM(N315,Y315,AA315,AC315,AE315,AG315,AI315,AK315,AM315,AO315,AQ315,AS315,AU315,AW315,AY315,BA315,BC315,BE315,BG315,BI315,BK315,BM315,BO315,BQ315,BS315,BU315,BW315,BY315,CA315,CC315,CE315)</f>
        <v/>
      </c>
      <c r="C315" s="30" t="inlineStr">
        <is>
          <t>SALSTEEL</t>
        </is>
      </c>
      <c r="D315" s="30" t="inlineStr">
        <is>
          <t>SAL Steel</t>
        </is>
      </c>
      <c r="E315" s="30" t="inlineStr">
        <is>
          <t>metals &amp; mining</t>
        </is>
      </c>
      <c r="F315" s="30" t="inlineStr">
        <is>
          <t>steel - sponge iron</t>
        </is>
      </c>
      <c r="G315" s="30" t="inlineStr">
        <is>
          <t>smallcap</t>
        </is>
      </c>
      <c r="H315" s="31" t="n">
        <v>1146.41</v>
      </c>
      <c r="I315" s="31" t="n">
        <v>76.63</v>
      </c>
      <c r="J315" s="31" t="n">
        <v>-3.23</v>
      </c>
      <c r="K315" s="31" t="n">
        <v>288268</v>
      </c>
      <c r="L315" s="30" t="n">
        <v>94</v>
      </c>
      <c r="M315" s="30" t="inlineStr">
        <is>
          <t>Outperforming</t>
        </is>
      </c>
      <c r="N315" s="31">
        <f>IF(M315="Underperforming",-5,IF(L315&gt;=95,15,IF(L315&gt;=90,10,IF(L315&gt;=80,5,0))))</f>
        <v/>
      </c>
      <c r="O315" s="31" t="n">
        <v>67.93000000000001</v>
      </c>
      <c r="P315" s="31" t="n">
        <v>30.04</v>
      </c>
      <c r="Q315" s="31" t="n">
        <v>56.71</v>
      </c>
      <c r="R315" s="30" t="inlineStr">
        <is>
          <t>Earnings / Momentum Support</t>
        </is>
      </c>
      <c r="S315" s="30" t="inlineStr">
        <is>
          <t>Nifty Metal</t>
        </is>
      </c>
      <c r="T315" s="31" t="n">
        <v>41.17</v>
      </c>
      <c r="U315" s="31" t="n">
        <v>381.04</v>
      </c>
      <c r="V315" s="31" t="n">
        <v>240.77</v>
      </c>
      <c r="W315" s="31" t="n">
        <v>49.87</v>
      </c>
      <c r="X315" s="30" t="inlineStr">
        <is>
          <t>Cyclical in an Upturn</t>
        </is>
      </c>
      <c r="Y315" s="30">
        <f>IF(X315="Growing Industry",10,IF(X315="Cyclical in an Upturn",5,0))</f>
        <v/>
      </c>
      <c r="Z315" s="30" t="inlineStr">
        <is>
          <t>Too Many Players with High ROCE</t>
        </is>
      </c>
      <c r="AA315" s="30">
        <f>IF(Z315="Monopoly",10,IF(Z315="Oligopoly",5,IF(Z315="Duopoly that cooperate",10,IF(Z315="Duopoly that compete",5,IF(Z315="Too many players with High ROCE",5,0)))))</f>
        <v/>
      </c>
      <c r="AB315" s="30" t="inlineStr">
        <is>
          <t>No</t>
        </is>
      </c>
      <c r="AC315" s="30">
        <f>IF(AB315="No",5,0)</f>
        <v/>
      </c>
      <c r="AD315" s="30" t="inlineStr">
        <is>
          <t>Tailwind</t>
        </is>
      </c>
      <c r="AE315" s="30">
        <f>IF(AD315="Tailwind",10,0)</f>
        <v/>
      </c>
      <c r="AF315" s="30" t="inlineStr">
        <is>
          <t>Cyclical</t>
        </is>
      </c>
      <c r="AG315" s="30">
        <f>IF(AF315="Structural (10 Years Consistency)",10,IF(AF315="Shallow Cyclical (2 to 3 years growth)",5,0))</f>
        <v/>
      </c>
      <c r="AH315" s="30" t="inlineStr">
        <is>
          <t>No</t>
        </is>
      </c>
      <c r="AI315" s="30">
        <f>IF(AH315="Yes due to Product Mix change or Operating Leverage",10,IF(AH315="Yes, these are peak margins",-5,IF(AH315="No",5,0)))</f>
        <v/>
      </c>
      <c r="AJ315" s="30" t="inlineStr">
        <is>
          <t>Volatile</t>
        </is>
      </c>
      <c r="AK315" s="30">
        <f>IF(AJ315="Stable",10,0)</f>
        <v/>
      </c>
      <c r="AL315" s="30" t="inlineStr">
        <is>
          <t>Yes</t>
        </is>
      </c>
      <c r="AM315" s="30">
        <f>IF(AL315="Yes",10,0)</f>
        <v/>
      </c>
      <c r="AN315" s="30" t="inlineStr">
        <is>
          <t>B2B</t>
        </is>
      </c>
      <c r="AO315" s="30">
        <f>IF(AN315="B2C",10,IF(AN315="B2B",5,0))</f>
        <v/>
      </c>
      <c r="AP315" s="30" t="inlineStr">
        <is>
          <t>No</t>
        </is>
      </c>
      <c r="AQ315" s="30">
        <f>IF(AP315="Yes",10,0)</f>
        <v/>
      </c>
      <c r="AR315" s="30" t="inlineStr">
        <is>
          <t>Higher One Time, Lower Annuity</t>
        </is>
      </c>
      <c r="AS315" s="30">
        <f>IF(AR315="Fully Annuity",10,IF(AR315="Higher Annuity, Lower One Time",5,IF(AR315="Higher One Time, Lower Annuity",3,0)))</f>
        <v/>
      </c>
      <c r="AT315" s="30" t="inlineStr">
        <is>
          <t>Good</t>
        </is>
      </c>
      <c r="AU315" s="30">
        <f>IF(AT315="Good",10,0)</f>
        <v/>
      </c>
      <c r="AV315" s="30" t="inlineStr">
        <is>
          <t>Yes for more than 2 years</t>
        </is>
      </c>
      <c r="AW315" s="30">
        <f>IF(AV315="Yes for more than 2 years",10,IF(AV315="Yes only for next 1 to 2 years",5,0))</f>
        <v/>
      </c>
      <c r="AX315" s="30" t="inlineStr">
        <is>
          <t>20 to 40</t>
        </is>
      </c>
      <c r="AY315" s="30">
        <f>IF(AX315="Above 40",20,IF(AX315="20 to 40",10,IF(AX315="0 to 20",-5,0)))</f>
        <v/>
      </c>
      <c r="AZ315" s="30" t="inlineStr">
        <is>
          <t>Between 50 to 75</t>
        </is>
      </c>
      <c r="BA315" s="30">
        <f>IF(AZ315="Between 50 to 75",10,IF(AZ315="Above 75",0,0))</f>
        <v/>
      </c>
      <c r="BB315" s="30" t="inlineStr">
        <is>
          <t>Stage 2</t>
        </is>
      </c>
      <c r="BC315" s="30">
        <f>IF(BB315="Stage 2",20,IF(BB315="Stage 1",0,IF(BB315="Stage 3",5,IF(BB315="Stage 4",-5,0))))</f>
        <v/>
      </c>
      <c r="BD315" s="30" t="inlineStr">
        <is>
          <t>Positive Trend</t>
        </is>
      </c>
      <c r="BE315" s="30">
        <f>IF(BD315="Positive Trend",20,IF(BD315="Negative Trend",-10,0))</f>
        <v/>
      </c>
      <c r="BF315" s="30" t="inlineStr">
        <is>
          <t>Uptrend</t>
        </is>
      </c>
      <c r="BG315" s="30">
        <f>IF(BF315="Uptrend",10,IF(BF315="Sideways",5,0))</f>
        <v/>
      </c>
      <c r="BH315" s="30" t="inlineStr">
        <is>
          <t>Uptrend</t>
        </is>
      </c>
      <c r="BI315" s="30">
        <f>IF(BH315="Uptrend",10,IF(BH315="Sideways",5,0))</f>
        <v/>
      </c>
      <c r="BJ315" s="30" t="inlineStr">
        <is>
          <t>Close to 52 week high or retracement</t>
        </is>
      </c>
      <c r="BK315" s="30">
        <f>IF(BJ315="Overhead supply in last 2 years in last 2 years",-5,IF(BJ315="Close to 52 week high or retracement",5,IF(BJ315="Blue sky scenario",10,IF(BJ315="Long term Downtrend",-10,0))))</f>
        <v/>
      </c>
      <c r="BL315" s="30" t="inlineStr">
        <is>
          <t>Yes</t>
        </is>
      </c>
      <c r="BM315" s="30">
        <f>IF(BL315="Yes",10,0)</f>
        <v/>
      </c>
      <c r="BN315" s="30" t="inlineStr">
        <is>
          <t>More than 20%</t>
        </is>
      </c>
      <c r="BO315" s="30">
        <f>IF(BN315="More than 20%",10,IF(BN315="Between 12 to 20%",5,IF(BN315="Less than 12%",0,0)))</f>
        <v/>
      </c>
      <c r="BP315" s="30" t="inlineStr">
        <is>
          <t>No</t>
        </is>
      </c>
      <c r="BQ315" s="30">
        <f>IF(BP315="No",10,0)</f>
        <v/>
      </c>
      <c r="BR315" s="30" t="inlineStr">
        <is>
          <t>Yes</t>
        </is>
      </c>
      <c r="BS315" s="30">
        <f>IF(BR315="NO",5,0)</f>
        <v/>
      </c>
      <c r="BT315" s="30" t="inlineStr">
        <is>
          <t>Above 2</t>
        </is>
      </c>
      <c r="BU315" s="30">
        <f>IF(BT315="Above 2",0,IF(BT315="Between 1.5 to 2",5,IF(BT315="Less than 1.5",10,0)))</f>
        <v/>
      </c>
      <c r="BV315" s="30" t="inlineStr">
        <is>
          <t>Above 70%</t>
        </is>
      </c>
      <c r="BW315" s="30">
        <f>IF(BV315="Above 70%",10,IF(BV315="Between 50% to 70%",5,IF(BV315="Less than 50%",0,IF(BV315="Negative",-10,IF(BV315="Less than 50% and Borrowings are increasing",-5,0)))))</f>
        <v/>
      </c>
      <c r="BX315" s="30" t="inlineStr">
        <is>
          <t>More than 1.2</t>
        </is>
      </c>
      <c r="BY315" s="30">
        <f>IF(BX315="More than 1.2",-10,IF(BX315="Between 0.7 to 1.2",0,IF(BX315="Less than 0.7",10,0)))</f>
        <v/>
      </c>
      <c r="BZ315" s="30" t="inlineStr">
        <is>
          <t>No</t>
        </is>
      </c>
      <c r="CA315" s="30">
        <f>IF(BZ315="Yes",-10,0)</f>
        <v/>
      </c>
      <c r="CB315" s="30" t="inlineStr">
        <is>
          <t>Less than 15%</t>
        </is>
      </c>
      <c r="CC315" s="30">
        <f>IF(CB315="More than 15%",-10,IF(CB315="Less than 15%",10,0))</f>
        <v/>
      </c>
      <c r="CD315" s="30" t="inlineStr">
        <is>
          <t>No</t>
        </is>
      </c>
      <c r="CE315" s="30">
        <f>IF(CD315="Yes, more than 10%",-10,IF(CD315="No",10,0))</f>
        <v/>
      </c>
    </row>
    <row r="316">
      <c r="A316" s="30">
        <f>IF(B316=0,"",RANK(B316,$B$2:$B$331,0))</f>
        <v/>
      </c>
      <c r="B316" s="31">
        <f>SUM(N316,Y316,AA316,AC316,AE316,AG316,AI316,AK316,AM316,AO316,AQ316,AS316,AU316,AW316,AY316,BA316,BC316,BE316,BG316,BI316,BK316,BM316,BO316,BQ316,BS316,BU316,BW316,BY316,CA316,CC316,CE316)</f>
        <v/>
      </c>
      <c r="C316" s="32" t="inlineStr">
        <is>
          <t>JUBLPHARMA</t>
        </is>
      </c>
      <c r="D316" s="32" t="inlineStr">
        <is>
          <t>Jubilant Pharmova Ltd</t>
        </is>
      </c>
      <c r="E316" s="30" t="inlineStr">
        <is>
          <t>healthcare</t>
        </is>
      </c>
      <c r="F316" s="30" t="inlineStr">
        <is>
          <t>pharmaceuticals - indian - bulk drugs</t>
        </is>
      </c>
      <c r="G316" s="30" t="inlineStr">
        <is>
          <t>midcap</t>
        </is>
      </c>
      <c r="H316" s="31" t="n">
        <v>16230.75</v>
      </c>
      <c r="I316" s="31" t="n">
        <v>1025.65</v>
      </c>
      <c r="J316" s="31" t="n">
        <v>0.65</v>
      </c>
      <c r="K316" s="31" t="n">
        <v>173412</v>
      </c>
      <c r="L316" s="30" t="n">
        <v>3</v>
      </c>
      <c r="M316" s="30" t="inlineStr">
        <is>
          <t>Underperforming</t>
        </is>
      </c>
      <c r="N316" s="31">
        <f>IF(M316="Underperforming",-5,IF(L316&gt;=95,15,IF(L316&gt;=90,10,IF(L316&gt;=80,5,0))))</f>
        <v/>
      </c>
      <c r="O316" s="31" t="n">
        <v>59.56</v>
      </c>
      <c r="P316" s="31" t="n">
        <v>9.19</v>
      </c>
      <c r="Q316" s="31" t="n">
        <v>828.23</v>
      </c>
      <c r="R316" s="30" t="inlineStr">
        <is>
          <t>Volume Spike / Accumulation</t>
        </is>
      </c>
      <c r="S316" s="30" t="inlineStr">
        <is>
          <t>Nifty Pharma</t>
        </is>
      </c>
      <c r="T316" s="31" t="n">
        <v>18.86</v>
      </c>
      <c r="U316" s="31" t="n">
        <v>-8.140000000000001</v>
      </c>
      <c r="V316" s="31" t="n">
        <v>-22.72</v>
      </c>
      <c r="W316" s="31" t="n">
        <v>0.26</v>
      </c>
      <c r="X316" s="30" t="inlineStr">
        <is>
          <t>Growing Industry</t>
        </is>
      </c>
      <c r="Y316" s="30">
        <f>IF(X316="Growing Industry",10,IF(X316="Cyclical in an Upturn",5,0))</f>
        <v/>
      </c>
      <c r="Z316" s="30" t="inlineStr">
        <is>
          <t>Too Many Players with High ROCE</t>
        </is>
      </c>
      <c r="AA316" s="30">
        <f>IF(Z316="Monopoly",10,IF(Z316="Oligopoly",5,IF(Z316="Duopoly that cooperate",10,IF(Z316="Duopoly that compete",5,IF(Z316="Too many players with High ROCE",5,0)))))</f>
        <v/>
      </c>
      <c r="AB316" s="30" t="inlineStr">
        <is>
          <t>Yes</t>
        </is>
      </c>
      <c r="AC316" s="30">
        <f>IF(AB316="No",5,0)</f>
        <v/>
      </c>
      <c r="AD316" s="30" t="inlineStr">
        <is>
          <t>Tailwind</t>
        </is>
      </c>
      <c r="AE316" s="30">
        <f>IF(AD316="Tailwind",10,0)</f>
        <v/>
      </c>
      <c r="AF316" s="30" t="inlineStr">
        <is>
          <t>Structural (10 Years Consistency)</t>
        </is>
      </c>
      <c r="AG316" s="30">
        <f>IF(AF316="Structural (10 Years Consistency)",10,IF(AF316="Shallow Cyclical (2 to 3 years growth)",5,0))</f>
        <v/>
      </c>
      <c r="AH316" s="30" t="inlineStr">
        <is>
          <t>No</t>
        </is>
      </c>
      <c r="AI316" s="30">
        <f>IF(AH316="Yes due to Product Mix change or Operating Leverage",10,IF(AH316="Yes, these are peak margins",-5,IF(AH316="No",5,0)))</f>
        <v/>
      </c>
      <c r="AJ316" s="30" t="inlineStr">
        <is>
          <t>Stable</t>
        </is>
      </c>
      <c r="AK316" s="30">
        <f>IF(AJ316="Stable",10,0)</f>
        <v/>
      </c>
      <c r="AL316" s="30" t="inlineStr">
        <is>
          <t>Yes</t>
        </is>
      </c>
      <c r="AM316" s="30">
        <f>IF(AL316="Yes",10,0)</f>
        <v/>
      </c>
      <c r="AN316" s="30" t="inlineStr">
        <is>
          <t>B2B</t>
        </is>
      </c>
      <c r="AO316" s="30">
        <f>IF(AN316="B2C",10,IF(AN316="B2B",5,0))</f>
        <v/>
      </c>
      <c r="AP316" s="30" t="inlineStr">
        <is>
          <t>Yes</t>
        </is>
      </c>
      <c r="AQ316" s="30">
        <f>IF(AP316="Yes",10,0)</f>
        <v/>
      </c>
      <c r="AR316" s="30" t="inlineStr">
        <is>
          <t>Higher Annuity, Lower One Time</t>
        </is>
      </c>
      <c r="AS316" s="30">
        <f>IF(AR316="Fully Annuity",10,IF(AR316="Higher Annuity, Lower One Time",5,IF(AR316="Higher One Time, Lower Annuity",3,0)))</f>
        <v/>
      </c>
      <c r="AT316" s="30" t="inlineStr">
        <is>
          <t>Good</t>
        </is>
      </c>
      <c r="AU316" s="30">
        <f>IF(AT316="Good",10,0)</f>
        <v/>
      </c>
      <c r="AV316" s="30" t="inlineStr">
        <is>
          <t>Yes for more than 2 years</t>
        </is>
      </c>
      <c r="AW316" s="30">
        <f>IF(AV316="Yes for more than 2 years",10,IF(AV316="Yes only for next 1 to 2 years",5,0))</f>
        <v/>
      </c>
      <c r="AX316" s="30" t="inlineStr">
        <is>
          <t>0 to 20</t>
        </is>
      </c>
      <c r="AY316" s="30">
        <f>IF(AX316="Above 40",20,IF(AX316="20 to 40",10,IF(AX316="0 to 20",-5,0)))</f>
        <v/>
      </c>
      <c r="AZ316" s="30" t="inlineStr">
        <is>
          <t>Between 50 to 75</t>
        </is>
      </c>
      <c r="BA316" s="30">
        <f>IF(AZ316="Between 50 to 75",10,IF(AZ316="Above 75",0,0))</f>
        <v/>
      </c>
      <c r="BB316" s="30" t="inlineStr">
        <is>
          <t>Stage 1</t>
        </is>
      </c>
      <c r="BC316" s="30">
        <f>IF(BB316="Stage 2",20,IF(BB316="Stage 1",0,IF(BB316="Stage 3",5,IF(BB316="Stage 4",-5,0))))</f>
        <v/>
      </c>
      <c r="BD316" s="30" t="inlineStr">
        <is>
          <t>Positive Trend</t>
        </is>
      </c>
      <c r="BE316" s="30">
        <f>IF(BD316="Positive Trend",20,IF(BD316="Negative Trend",-10,0))</f>
        <v/>
      </c>
      <c r="BF316" s="30" t="inlineStr">
        <is>
          <t>Uptrend</t>
        </is>
      </c>
      <c r="BG316" s="30">
        <f>IF(BF316="Uptrend",10,IF(BF316="Sideways",5,0))</f>
        <v/>
      </c>
      <c r="BH316" s="30" t="inlineStr">
        <is>
          <t>Uptrend</t>
        </is>
      </c>
      <c r="BI316" s="30">
        <f>IF(BH316="Uptrend",10,IF(BH316="Sideways",5,0))</f>
        <v/>
      </c>
      <c r="BJ316" s="30" t="inlineStr">
        <is>
          <t>Close to 52 week high or retracement</t>
        </is>
      </c>
      <c r="BK316" s="30">
        <f>IF(BJ316="Overhead supply in last 2 years in last 2 years",-5,IF(BJ316="Close to 52 week high or retracement",5,IF(BJ316="Blue sky scenario",10,IF(BJ316="Long term Downtrend",-10,0))))</f>
        <v/>
      </c>
      <c r="BL316" s="30" t="inlineStr">
        <is>
          <t>Yes</t>
        </is>
      </c>
      <c r="BM316" s="30">
        <f>IF(BL316="Yes",10,0)</f>
        <v/>
      </c>
      <c r="BN316" s="30" t="inlineStr">
        <is>
          <t>Less than 12%</t>
        </is>
      </c>
      <c r="BO316" s="30">
        <f>IF(BN316="More than 20%",10,IF(BN316="Between 12 to 20%",5,IF(BN316="Less than 12%",0,0)))</f>
        <v/>
      </c>
      <c r="BP316" s="30" t="inlineStr">
        <is>
          <t>No</t>
        </is>
      </c>
      <c r="BQ316" s="30">
        <f>IF(BP316="No",10,0)</f>
        <v/>
      </c>
      <c r="BR316" s="30" t="inlineStr">
        <is>
          <t>Yes</t>
        </is>
      </c>
      <c r="BS316" s="30">
        <f>IF(BR316="NO",5,0)</f>
        <v/>
      </c>
      <c r="BT316" s="30" t="inlineStr">
        <is>
          <t>Above 2</t>
        </is>
      </c>
      <c r="BU316" s="30">
        <f>IF(BT316="Above 2",0,IF(BT316="Between 1.5 to 2",5,IF(BT316="Less than 1.5",10,0)))</f>
        <v/>
      </c>
      <c r="BV316" s="30" t="inlineStr">
        <is>
          <t>Above 70%</t>
        </is>
      </c>
      <c r="BW316" s="30">
        <f>IF(BV316="Above 70%",10,IF(BV316="Between 50% to 70%",5,IF(BV316="Less than 50%",0,IF(BV316="Negative",-10,IF(BV316="Less than 50% and Borrowings are increasing",-5,0)))))</f>
        <v/>
      </c>
      <c r="BX316" s="30" t="inlineStr">
        <is>
          <t>Less than 0.7</t>
        </is>
      </c>
      <c r="BY316" s="30">
        <f>IF(BX316="More than 1.2",-10,IF(BX316="Between 0.7 to 1.2",0,IF(BX316="Less than 0.7",10,0)))</f>
        <v/>
      </c>
      <c r="BZ316" s="30" t="inlineStr">
        <is>
          <t>No</t>
        </is>
      </c>
      <c r="CA316" s="30">
        <f>IF(BZ316="Yes",-10,0)</f>
        <v/>
      </c>
      <c r="CB316" s="30" t="inlineStr">
        <is>
          <t>Less than 15%</t>
        </is>
      </c>
      <c r="CC316" s="30">
        <f>IF(CB316="More than 15%",-10,IF(CB316="Less than 15%",10,0))</f>
        <v/>
      </c>
      <c r="CD316" s="30" t="inlineStr">
        <is>
          <t>No</t>
        </is>
      </c>
      <c r="CE316" s="30">
        <f>IF(CD316="Yes, more than 10%",-10,IF(CD316="No",10,0))</f>
        <v/>
      </c>
    </row>
    <row r="317">
      <c r="A317" s="30">
        <f>IF(B317=0,"",RANK(B317,$B$2:$B$331,0))</f>
        <v/>
      </c>
      <c r="B317" s="31">
        <f>SUM(N317,Y317,AA317,AC317,AE317,AG317,AI317,AK317,AM317,AO317,AQ317,AS317,AU317,AW317,AY317,BA317,BC317,BE317,BG317,BI317,BK317,BM317,BO317,BQ317,BS317,BU317,BW317,BY317,CA317,CC317,CE317)</f>
        <v/>
      </c>
      <c r="C317" s="32" t="inlineStr">
        <is>
          <t>TEGA</t>
        </is>
      </c>
      <c r="D317" s="32" t="inlineStr">
        <is>
          <t>Tega Industries Ltd</t>
        </is>
      </c>
      <c r="E317" s="30" t="inlineStr">
        <is>
          <t>industrials</t>
        </is>
      </c>
      <c r="F317" s="30" t="inlineStr">
        <is>
          <t>engineering</t>
        </is>
      </c>
      <c r="G317" s="30" t="inlineStr">
        <is>
          <t>midcap</t>
        </is>
      </c>
      <c r="H317" s="31" t="n">
        <v>12608.68</v>
      </c>
      <c r="I317" s="31" t="n">
        <v>1721.6</v>
      </c>
      <c r="J317" s="31" t="n">
        <v>2.58</v>
      </c>
      <c r="K317" s="31" t="n">
        <v>1131990</v>
      </c>
      <c r="L317" s="30" t="n">
        <v>1</v>
      </c>
      <c r="M317" s="30" t="inlineStr">
        <is>
          <t>Underperforming</t>
        </is>
      </c>
      <c r="N317" s="31">
        <f>IF(M317="Underperforming",-5,IF(L317&gt;=95,15,IF(L317&gt;=90,10,IF(L317&gt;=80,5,0))))</f>
        <v/>
      </c>
      <c r="O317" s="31" t="n">
        <v>51.75</v>
      </c>
      <c r="P317" s="31" t="n">
        <v>10.03</v>
      </c>
      <c r="Q317" s="31" t="n">
        <v>1368.34</v>
      </c>
      <c r="R317" s="30" t="inlineStr">
        <is>
          <t>Volume Spike / Accumulation</t>
        </is>
      </c>
      <c r="S317" s="30" t="inlineStr">
        <is>
          <t>Nifty 50</t>
        </is>
      </c>
      <c r="T317" s="31" t="n">
        <v>-6.52</v>
      </c>
      <c r="U317" s="31" t="n">
        <v>-14.61</v>
      </c>
      <c r="V317" s="31" t="n">
        <v>-8.66</v>
      </c>
      <c r="W317" s="31" t="n">
        <v>-3.46</v>
      </c>
      <c r="X317" s="30" t="inlineStr">
        <is>
          <t>Cyclical in an Upturn</t>
        </is>
      </c>
      <c r="Y317" s="30">
        <f>IF(X317="Growing Industry",10,IF(X317="Cyclical in an Upturn",5,0))</f>
        <v/>
      </c>
      <c r="Z317" s="30" t="inlineStr">
        <is>
          <t>Too Many Players with High ROCE</t>
        </is>
      </c>
      <c r="AA317" s="30">
        <f>IF(Z317="Monopoly",10,IF(Z317="Oligopoly",5,IF(Z317="Duopoly that cooperate",10,IF(Z317="Duopoly that compete",5,IF(Z317="Too many players with High ROCE",5,0)))))</f>
        <v/>
      </c>
      <c r="AB317" s="30" t="inlineStr">
        <is>
          <t>No</t>
        </is>
      </c>
      <c r="AC317" s="30">
        <f>IF(AB317="No",5,0)</f>
        <v/>
      </c>
      <c r="AD317" s="30" t="inlineStr">
        <is>
          <t>Headwind</t>
        </is>
      </c>
      <c r="AE317" s="30">
        <f>IF(AD317="Tailwind",10,0)</f>
        <v/>
      </c>
      <c r="AF317" s="30" t="inlineStr">
        <is>
          <t>Structural (10 Years Consistency)</t>
        </is>
      </c>
      <c r="AG317" s="30">
        <f>IF(AF317="Structural (10 Years Consistency)",10,IF(AF317="Shallow Cyclical (2 to 3 years growth)",5,0))</f>
        <v/>
      </c>
      <c r="AH317" s="30" t="inlineStr">
        <is>
          <t>No</t>
        </is>
      </c>
      <c r="AI317" s="30">
        <f>IF(AH317="Yes due to Product Mix change or Operating Leverage",10,IF(AH317="Yes, these are peak margins",-5,IF(AH317="No",5,0)))</f>
        <v/>
      </c>
      <c r="AJ317" s="30" t="inlineStr">
        <is>
          <t>Stable</t>
        </is>
      </c>
      <c r="AK317" s="30">
        <f>IF(AJ317="Stable",10,0)</f>
        <v/>
      </c>
      <c r="AL317" s="30" t="inlineStr">
        <is>
          <t>Yes</t>
        </is>
      </c>
      <c r="AM317" s="30">
        <f>IF(AL317="Yes",10,0)</f>
        <v/>
      </c>
      <c r="AN317" s="30" t="inlineStr">
        <is>
          <t>B2B</t>
        </is>
      </c>
      <c r="AO317" s="30">
        <f>IF(AN317="B2C",10,IF(AN317="B2B",5,0))</f>
        <v/>
      </c>
      <c r="AP317" s="30" t="inlineStr">
        <is>
          <t>Yes</t>
        </is>
      </c>
      <c r="AQ317" s="30">
        <f>IF(AP317="Yes",10,0)</f>
        <v/>
      </c>
      <c r="AR317" s="30" t="inlineStr">
        <is>
          <t>Higher One Time, Lower Annuity</t>
        </is>
      </c>
      <c r="AS317" s="30">
        <f>IF(AR317="Fully Annuity",10,IF(AR317="Higher Annuity, Lower One Time",5,IF(AR317="Higher One Time, Lower Annuity",3,0)))</f>
        <v/>
      </c>
      <c r="AT317" s="30" t="inlineStr">
        <is>
          <t>Good</t>
        </is>
      </c>
      <c r="AU317" s="30">
        <f>IF(AT317="Good",10,0)</f>
        <v/>
      </c>
      <c r="AV317" s="30" t="inlineStr">
        <is>
          <t>Yes for more than 2 years</t>
        </is>
      </c>
      <c r="AW317" s="30">
        <f>IF(AV317="Yes for more than 2 years",10,IF(AV317="Yes only for next 1 to 2 years",5,0))</f>
        <v/>
      </c>
      <c r="AX317" s="30" t="inlineStr">
        <is>
          <t>0 to 20</t>
        </is>
      </c>
      <c r="AY317" s="30">
        <f>IF(AX317="Above 40",20,IF(AX317="20 to 40",10,IF(AX317="0 to 20",-5,0)))</f>
        <v/>
      </c>
      <c r="AZ317" s="30" t="inlineStr">
        <is>
          <t>Between 50 to 75</t>
        </is>
      </c>
      <c r="BA317" s="30">
        <f>IF(AZ317="Between 50 to 75",10,IF(AZ317="Above 75",0,0))</f>
        <v/>
      </c>
      <c r="BB317" s="30" t="inlineStr">
        <is>
          <t>Stage 1</t>
        </is>
      </c>
      <c r="BC317" s="30">
        <f>IF(BB317="Stage 2",20,IF(BB317="Stage 1",0,IF(BB317="Stage 3",5,IF(BB317="Stage 4",-5,0))))</f>
        <v/>
      </c>
      <c r="BD317" s="30" t="inlineStr">
        <is>
          <t>Positive Trend</t>
        </is>
      </c>
      <c r="BE317" s="30">
        <f>IF(BD317="Positive Trend",20,IF(BD317="Negative Trend",-10,0))</f>
        <v/>
      </c>
      <c r="BF317" s="30" t="inlineStr">
        <is>
          <t>Uptrend</t>
        </is>
      </c>
      <c r="BG317" s="30">
        <f>IF(BF317="Uptrend",10,IF(BF317="Sideways",5,0))</f>
        <v/>
      </c>
      <c r="BH317" s="30" t="inlineStr">
        <is>
          <t>Uptrend</t>
        </is>
      </c>
      <c r="BI317" s="30">
        <f>IF(BH317="Uptrend",10,IF(BH317="Sideways",5,0))</f>
        <v/>
      </c>
      <c r="BJ317" s="30" t="inlineStr">
        <is>
          <t>Close to 52 week high or retracement</t>
        </is>
      </c>
      <c r="BK317" s="30">
        <f>IF(BJ317="Overhead supply in last 2 years in last 2 years",-5,IF(BJ317="Close to 52 week high or retracement",5,IF(BJ317="Blue sky scenario",10,IF(BJ317="Long term Downtrend",-10,0))))</f>
        <v/>
      </c>
      <c r="BL317" s="30" t="inlineStr">
        <is>
          <t>Yes</t>
        </is>
      </c>
      <c r="BM317" s="30">
        <f>IF(BL317="Yes",10,0)</f>
        <v/>
      </c>
      <c r="BN317" s="30" t="inlineStr">
        <is>
          <t>More than 20%</t>
        </is>
      </c>
      <c r="BO317" s="30">
        <f>IF(BN317="More than 20%",10,IF(BN317="Between 12 to 20%",5,IF(BN317="Less than 12%",0,0)))</f>
        <v/>
      </c>
      <c r="BP317" s="30" t="inlineStr">
        <is>
          <t>No</t>
        </is>
      </c>
      <c r="BQ317" s="30">
        <f>IF(BP317="No",10,0)</f>
        <v/>
      </c>
      <c r="BR317" s="30" t="inlineStr">
        <is>
          <t>Yes</t>
        </is>
      </c>
      <c r="BS317" s="30">
        <f>IF(BR317="NO",5,0)</f>
        <v/>
      </c>
      <c r="BT317" s="30" t="inlineStr">
        <is>
          <t>Above 2</t>
        </is>
      </c>
      <c r="BU317" s="30">
        <f>IF(BT317="Above 2",0,IF(BT317="Between 1.5 to 2",5,IF(BT317="Less than 1.5",10,0)))</f>
        <v/>
      </c>
      <c r="BV317" s="30" t="inlineStr">
        <is>
          <t>Above 70%</t>
        </is>
      </c>
      <c r="BW317" s="30">
        <f>IF(BV317="Above 70%",10,IF(BV317="Between 50% to 70%",5,IF(BV317="Less than 50%",0,IF(BV317="Negative",-10,IF(BV317="Less than 50% and Borrowings are increasing",-5,0)))))</f>
        <v/>
      </c>
      <c r="BX317" s="30" t="inlineStr">
        <is>
          <t>Less than 0.7</t>
        </is>
      </c>
      <c r="BY317" s="30">
        <f>IF(BX317="More than 1.2",-10,IF(BX317="Between 0.7 to 1.2",0,IF(BX317="Less than 0.7",10,0)))</f>
        <v/>
      </c>
      <c r="BZ317" s="30" t="inlineStr">
        <is>
          <t>No</t>
        </is>
      </c>
      <c r="CA317" s="30">
        <f>IF(BZ317="Yes",-10,0)</f>
        <v/>
      </c>
      <c r="CB317" s="30" t="inlineStr">
        <is>
          <t>Less than 15%</t>
        </is>
      </c>
      <c r="CC317" s="30">
        <f>IF(CB317="More than 15%",-10,IF(CB317="Less than 15%",10,0))</f>
        <v/>
      </c>
      <c r="CD317" s="30" t="inlineStr">
        <is>
          <t>No</t>
        </is>
      </c>
      <c r="CE317" s="30">
        <f>IF(CD317="Yes, more than 10%",-10,IF(CD317="No",10,0))</f>
        <v/>
      </c>
    </row>
    <row r="318">
      <c r="A318" s="30">
        <f>IF(B318=0,"",RANK(B318,$B$2:$B$331,0))</f>
        <v/>
      </c>
      <c r="B318" s="31">
        <f>SUM(N318,Y318,AA318,AC318,AE318,AG318,AI318,AK318,AM318,AO318,AQ318,AS318,AU318,AW318,AY318,BA318,BC318,BE318,BG318,BI318,BK318,BM318,BO318,BQ318,BS318,BU318,BW318,BY318,CA318,CC318,CE318)</f>
        <v/>
      </c>
      <c r="C318" s="32" t="inlineStr">
        <is>
          <t>SESHAPAPER</t>
        </is>
      </c>
      <c r="D318" s="32" t="inlineStr">
        <is>
          <t>Seshasayee Paper And Boards Limited</t>
        </is>
      </c>
      <c r="E318" s="30" t="inlineStr">
        <is>
          <t>building materials</t>
        </is>
      </c>
      <c r="F318" s="30" t="inlineStr">
        <is>
          <t>paper</t>
        </is>
      </c>
      <c r="G318" s="30" t="inlineStr">
        <is>
          <t>smallcap</t>
        </is>
      </c>
      <c r="H318" s="31" t="n">
        <v>1536.84</v>
      </c>
      <c r="I318" s="31" t="n">
        <v>246.96</v>
      </c>
      <c r="J318" s="31" t="n">
        <v>1.35</v>
      </c>
      <c r="K318" s="31" t="n">
        <v>102354</v>
      </c>
      <c r="L318" s="30" t="n">
        <v>1</v>
      </c>
      <c r="M318" s="30" t="inlineStr">
        <is>
          <t>Underperforming</t>
        </is>
      </c>
      <c r="N318" s="31">
        <f>IF(M318="Underperforming",-5,IF(L318&gt;=95,15,IF(L318&gt;=90,10,IF(L318&gt;=80,5,0))))</f>
        <v/>
      </c>
      <c r="O318" s="31" t="n">
        <v>55.03</v>
      </c>
      <c r="P318" s="31" t="n">
        <v>19.83</v>
      </c>
      <c r="Q318" s="31" t="n">
        <v>196.05</v>
      </c>
      <c r="R318" s="30" t="inlineStr">
        <is>
          <t>Earnings / Momentum Support</t>
        </is>
      </c>
      <c r="S318" s="30" t="inlineStr">
        <is>
          <t>Nifty Infra</t>
        </is>
      </c>
      <c r="T318" s="31" t="n">
        <v>0.74</v>
      </c>
      <c r="U318" s="31" t="n">
        <v>-12.62</v>
      </c>
      <c r="V318" s="31" t="n">
        <v>-13.26</v>
      </c>
      <c r="W318" s="31" t="n">
        <v>-3.32</v>
      </c>
      <c r="X318" s="30" t="inlineStr">
        <is>
          <t>Growing Industry</t>
        </is>
      </c>
      <c r="Y318" s="30">
        <f>IF(X318="Growing Industry",10,IF(X318="Cyclical in an Upturn",5,0))</f>
        <v/>
      </c>
      <c r="Z318" s="30" t="inlineStr">
        <is>
          <t>Too Many Players with High ROCE</t>
        </is>
      </c>
      <c r="AA318" s="30">
        <f>IF(Z318="Monopoly",10,IF(Z318="Oligopoly",5,IF(Z318="Duopoly that cooperate",10,IF(Z318="Duopoly that compete",5,IF(Z318="Too many players with High ROCE",5,0)))))</f>
        <v/>
      </c>
      <c r="AB318" s="30" t="inlineStr">
        <is>
          <t>No</t>
        </is>
      </c>
      <c r="AC318" s="30">
        <f>IF(AB318="No",5,0)</f>
        <v/>
      </c>
      <c r="AD318" s="30" t="inlineStr">
        <is>
          <t>Headwind</t>
        </is>
      </c>
      <c r="AE318" s="30">
        <f>IF(AD318="Tailwind",10,0)</f>
        <v/>
      </c>
      <c r="AF318" s="30" t="inlineStr">
        <is>
          <t>Structural (10 Years Consistency)</t>
        </is>
      </c>
      <c r="AG318" s="30">
        <f>IF(AF318="Structural (10 Years Consistency)",10,IF(AF318="Shallow Cyclical (2 to 3 years growth)",5,0))</f>
        <v/>
      </c>
      <c r="AH318" s="30" t="inlineStr">
        <is>
          <t>No</t>
        </is>
      </c>
      <c r="AI318" s="30">
        <f>IF(AH318="Yes due to Product Mix change or Operating Leverage",10,IF(AH318="Yes, these are peak margins",-5,IF(AH318="No",5,0)))</f>
        <v/>
      </c>
      <c r="AJ318" s="30" t="inlineStr">
        <is>
          <t>Stable</t>
        </is>
      </c>
      <c r="AK318" s="30">
        <f>IF(AJ318="Stable",10,0)</f>
        <v/>
      </c>
      <c r="AL318" s="30" t="inlineStr">
        <is>
          <t>Yes</t>
        </is>
      </c>
      <c r="AM318" s="30">
        <f>IF(AL318="Yes",10,0)</f>
        <v/>
      </c>
      <c r="AN318" s="30" t="inlineStr">
        <is>
          <t>B2B</t>
        </is>
      </c>
      <c r="AO318" s="30">
        <f>IF(AN318="B2C",10,IF(AN318="B2B",5,0))</f>
        <v/>
      </c>
      <c r="AP318" s="30" t="inlineStr">
        <is>
          <t>No</t>
        </is>
      </c>
      <c r="AQ318" s="30">
        <f>IF(AP318="Yes",10,0)</f>
        <v/>
      </c>
      <c r="AR318" s="30" t="inlineStr">
        <is>
          <t>Higher One Time, Lower Annuity</t>
        </is>
      </c>
      <c r="AS318" s="30">
        <f>IF(AR318="Fully Annuity",10,IF(AR318="Higher Annuity, Lower One Time",5,IF(AR318="Higher One Time, Lower Annuity",3,0)))</f>
        <v/>
      </c>
      <c r="AT318" s="30" t="inlineStr">
        <is>
          <t>Good</t>
        </is>
      </c>
      <c r="AU318" s="30">
        <f>IF(AT318="Good",10,0)</f>
        <v/>
      </c>
      <c r="AV318" s="30" t="inlineStr">
        <is>
          <t>Yes for more than 2 years</t>
        </is>
      </c>
      <c r="AW318" s="30">
        <f>IF(AV318="Yes for more than 2 years",10,IF(AV318="Yes only for next 1 to 2 years",5,0))</f>
        <v/>
      </c>
      <c r="AX318" s="30" t="inlineStr">
        <is>
          <t>0 to 20</t>
        </is>
      </c>
      <c r="AY318" s="30">
        <f>IF(AX318="Above 40",20,IF(AX318="20 to 40",10,IF(AX318="0 to 20",-5,0)))</f>
        <v/>
      </c>
      <c r="AZ318" s="30" t="inlineStr">
        <is>
          <t>Between 50 to 75</t>
        </is>
      </c>
      <c r="BA318" s="30">
        <f>IF(AZ318="Between 50 to 75",10,IF(AZ318="Above 75",0,0))</f>
        <v/>
      </c>
      <c r="BB318" s="30" t="inlineStr">
        <is>
          <t>Stage 1</t>
        </is>
      </c>
      <c r="BC318" s="30">
        <f>IF(BB318="Stage 2",20,IF(BB318="Stage 1",0,IF(BB318="Stage 3",5,IF(BB318="Stage 4",-5,0))))</f>
        <v/>
      </c>
      <c r="BD318" s="30" t="inlineStr">
        <is>
          <t>Positive Trend</t>
        </is>
      </c>
      <c r="BE318" s="30">
        <f>IF(BD318="Positive Trend",20,IF(BD318="Negative Trend",-10,0))</f>
        <v/>
      </c>
      <c r="BF318" s="30" t="inlineStr">
        <is>
          <t>Uptrend</t>
        </is>
      </c>
      <c r="BG318" s="30">
        <f>IF(BF318="Uptrend",10,IF(BF318="Sideways",5,0))</f>
        <v/>
      </c>
      <c r="BH318" s="30" t="inlineStr">
        <is>
          <t>Uptrend</t>
        </is>
      </c>
      <c r="BI318" s="30">
        <f>IF(BH318="Uptrend",10,IF(BH318="Sideways",5,0))</f>
        <v/>
      </c>
      <c r="BJ318" s="30" t="inlineStr">
        <is>
          <t>Close to 52 week high or retracement</t>
        </is>
      </c>
      <c r="BK318" s="30">
        <f>IF(BJ318="Overhead supply in last 2 years in last 2 years",-5,IF(BJ318="Close to 52 week high or retracement",5,IF(BJ318="Blue sky scenario",10,IF(BJ318="Long term Downtrend",-10,0))))</f>
        <v/>
      </c>
      <c r="BL318" s="30" t="inlineStr">
        <is>
          <t>Yes</t>
        </is>
      </c>
      <c r="BM318" s="30">
        <f>IF(BL318="Yes",10,0)</f>
        <v/>
      </c>
      <c r="BN318" s="30" t="inlineStr">
        <is>
          <t>More than 20%</t>
        </is>
      </c>
      <c r="BO318" s="30">
        <f>IF(BN318="More than 20%",10,IF(BN318="Between 12 to 20%",5,IF(BN318="Less than 12%",0,0)))</f>
        <v/>
      </c>
      <c r="BP318" s="30" t="inlineStr">
        <is>
          <t>No</t>
        </is>
      </c>
      <c r="BQ318" s="30">
        <f>IF(BP318="No",10,0)</f>
        <v/>
      </c>
      <c r="BR318" s="30" t="inlineStr">
        <is>
          <t>No</t>
        </is>
      </c>
      <c r="BS318" s="30">
        <f>IF(BR318="NO",5,0)</f>
        <v/>
      </c>
      <c r="BT318" s="30" t="inlineStr">
        <is>
          <t>Above 2</t>
        </is>
      </c>
      <c r="BU318" s="30">
        <f>IF(BT318="Above 2",0,IF(BT318="Between 1.5 to 2",5,IF(BT318="Less than 1.5",10,0)))</f>
        <v/>
      </c>
      <c r="BV318" s="30" t="inlineStr">
        <is>
          <t>Above 70%</t>
        </is>
      </c>
      <c r="BW318" s="30">
        <f>IF(BV318="Above 70%",10,IF(BV318="Between 50% to 70%",5,IF(BV318="Less than 50%",0,IF(BV318="Negative",-10,IF(BV318="Less than 50% and Borrowings are increasing",-5,0)))))</f>
        <v/>
      </c>
      <c r="BX318" s="30" t="inlineStr">
        <is>
          <t>Less than 0.7</t>
        </is>
      </c>
      <c r="BY318" s="30">
        <f>IF(BX318="More than 1.2",-10,IF(BX318="Between 0.7 to 1.2",0,IF(BX318="Less than 0.7",10,0)))</f>
        <v/>
      </c>
      <c r="BZ318" s="30" t="inlineStr">
        <is>
          <t>No</t>
        </is>
      </c>
      <c r="CA318" s="30">
        <f>IF(BZ318="Yes",-10,0)</f>
        <v/>
      </c>
      <c r="CB318" s="30" t="inlineStr">
        <is>
          <t>Less than 15%</t>
        </is>
      </c>
      <c r="CC318" s="30">
        <f>IF(CB318="More than 15%",-10,IF(CB318="Less than 15%",10,0))</f>
        <v/>
      </c>
      <c r="CD318" s="30" t="inlineStr">
        <is>
          <t>No</t>
        </is>
      </c>
      <c r="CE318" s="30">
        <f>IF(CD318="Yes, more than 10%",-10,IF(CD318="No",10,0))</f>
        <v/>
      </c>
    </row>
    <row r="319">
      <c r="A319" s="30">
        <f>IF(B319=0,"",RANK(B319,$B$2:$B$331,0))</f>
        <v/>
      </c>
      <c r="B319" s="31">
        <f>SUM(N319,Y319,AA319,AC319,AE319,AG319,AI319,AK319,AM319,AO319,AQ319,AS319,AU319,AW319,AY319,BA319,BC319,BE319,BG319,BI319,BK319,BM319,BO319,BQ319,BS319,BU319,BW319,BY319,CA319,CC319,CE319)</f>
        <v/>
      </c>
      <c r="C319" s="30" t="inlineStr">
        <is>
          <t>MRPL</t>
        </is>
      </c>
      <c r="D319" s="30" t="inlineStr">
        <is>
          <t>Mangalore Refinery And Petrochemicals Limited</t>
        </is>
      </c>
      <c r="E319" s="30" t="inlineStr">
        <is>
          <t>energy</t>
        </is>
      </c>
      <c r="F319" s="30" t="inlineStr">
        <is>
          <t>refineries</t>
        </is>
      </c>
      <c r="G319" s="30" t="inlineStr">
        <is>
          <t>largecap</t>
        </is>
      </c>
      <c r="H319" s="31" t="n">
        <v>32328.44</v>
      </c>
      <c r="I319" s="31" t="n">
        <v>181.32</v>
      </c>
      <c r="J319" s="31" t="n">
        <v>-1.7</v>
      </c>
      <c r="K319" s="31" t="n">
        <v>31180630</v>
      </c>
      <c r="L319" s="30" t="n">
        <v>16</v>
      </c>
      <c r="M319" s="30" t="inlineStr">
        <is>
          <t>Outperforming</t>
        </is>
      </c>
      <c r="N319" s="31">
        <f>IF(M319="Underperforming",-5,IF(L319&gt;=95,15,IF(L319&gt;=90,10,IF(L319&gt;=80,5,0))))</f>
        <v/>
      </c>
      <c r="O319" s="31" t="n">
        <v>58.27</v>
      </c>
      <c r="P319" s="31" t="n">
        <v>23.41</v>
      </c>
      <c r="Q319" s="31" t="n">
        <v>132.62</v>
      </c>
      <c r="R319" s="30" t="inlineStr">
        <is>
          <t>Earnings / Momentum Support</t>
        </is>
      </c>
      <c r="S319" s="30" t="inlineStr">
        <is>
          <t>Nifty Energy</t>
        </is>
      </c>
      <c r="T319" s="31" t="n">
        <v>8.43</v>
      </c>
      <c r="U319" s="31" t="n">
        <v>31.48</v>
      </c>
      <c r="V319" s="31" t="n">
        <v>21.25</v>
      </c>
      <c r="W319" s="31" t="n">
        <v>5.43</v>
      </c>
      <c r="X319" s="30" t="inlineStr">
        <is>
          <t>Cyclical in an Upturn</t>
        </is>
      </c>
      <c r="Y319" s="30">
        <f>IF(X319="Growing Industry",10,IF(X319="Cyclical in an Upturn",5,0))</f>
        <v/>
      </c>
      <c r="Z319" s="30" t="inlineStr">
        <is>
          <t>Oligopoly</t>
        </is>
      </c>
      <c r="AA319" s="30">
        <f>IF(Z319="Monopoly",10,IF(Z319="Oligopoly",5,IF(Z319="Duopoly that cooperate",10,IF(Z319="Duopoly that compete",5,IF(Z319="Too many players with High ROCE",5,0)))))</f>
        <v/>
      </c>
      <c r="AB319" s="30" t="inlineStr">
        <is>
          <t>Yes</t>
        </is>
      </c>
      <c r="AC319" s="30">
        <f>IF(AB319="No",5,0)</f>
        <v/>
      </c>
      <c r="AD319" s="30" t="inlineStr">
        <is>
          <t>Headwind</t>
        </is>
      </c>
      <c r="AE319" s="30">
        <f>IF(AD319="Tailwind",10,0)</f>
        <v/>
      </c>
      <c r="AF319" s="30" t="inlineStr">
        <is>
          <t>Cyclical</t>
        </is>
      </c>
      <c r="AG319" s="30">
        <f>IF(AF319="Structural (10 Years Consistency)",10,IF(AF319="Shallow Cyclical (2 to 3 years growth)",5,0))</f>
        <v/>
      </c>
      <c r="AH319" s="30" t="inlineStr">
        <is>
          <t>No</t>
        </is>
      </c>
      <c r="AI319" s="30">
        <f>IF(AH319="Yes due to Product Mix change or Operating Leverage",10,IF(AH319="Yes, these are peak margins",-5,IF(AH319="No",5,0)))</f>
        <v/>
      </c>
      <c r="AJ319" s="30" t="inlineStr">
        <is>
          <t>Volatile</t>
        </is>
      </c>
      <c r="AK319" s="30">
        <f>IF(AJ319="Stable",10,0)</f>
        <v/>
      </c>
      <c r="AL319" s="30" t="inlineStr">
        <is>
          <t>Yes</t>
        </is>
      </c>
      <c r="AM319" s="30">
        <f>IF(AL319="Yes",10,0)</f>
        <v/>
      </c>
      <c r="AN319" s="30" t="inlineStr">
        <is>
          <t>B2B</t>
        </is>
      </c>
      <c r="AO319" s="30">
        <f>IF(AN319="B2C",10,IF(AN319="B2B",5,0))</f>
        <v/>
      </c>
      <c r="AP319" s="30" t="inlineStr">
        <is>
          <t>No</t>
        </is>
      </c>
      <c r="AQ319" s="30">
        <f>IF(AP319="Yes",10,0)</f>
        <v/>
      </c>
      <c r="AR319" s="30" t="inlineStr">
        <is>
          <t>Higher One Time, Lower Annuity</t>
        </is>
      </c>
      <c r="AS319" s="30">
        <f>IF(AR319="Fully Annuity",10,IF(AR319="Higher Annuity, Lower One Time",5,IF(AR319="Higher One Time, Lower Annuity",3,0)))</f>
        <v/>
      </c>
      <c r="AT319" s="30" t="inlineStr">
        <is>
          <t>Good</t>
        </is>
      </c>
      <c r="AU319" s="30">
        <f>IF(AT319="Good",10,0)</f>
        <v/>
      </c>
      <c r="AV319" s="30" t="inlineStr">
        <is>
          <t>Yes for more than 2 years</t>
        </is>
      </c>
      <c r="AW319" s="30">
        <f>IF(AV319="Yes for more than 2 years",10,IF(AV319="Yes only for next 1 to 2 years",5,0))</f>
        <v/>
      </c>
      <c r="AX319" s="30" t="inlineStr">
        <is>
          <t>20 to 40</t>
        </is>
      </c>
      <c r="AY319" s="30">
        <f>IF(AX319="Above 40",20,IF(AX319="20 to 40",10,IF(AX319="0 to 20",-5,0)))</f>
        <v/>
      </c>
      <c r="AZ319" s="30" t="inlineStr">
        <is>
          <t>Between 50 to 75</t>
        </is>
      </c>
      <c r="BA319" s="30">
        <f>IF(AZ319="Between 50 to 75",10,IF(AZ319="Above 75",0,0))</f>
        <v/>
      </c>
      <c r="BB319" s="30" t="inlineStr">
        <is>
          <t>Stage 2</t>
        </is>
      </c>
      <c r="BC319" s="30">
        <f>IF(BB319="Stage 2",20,IF(BB319="Stage 1",0,IF(BB319="Stage 3",5,IF(BB319="Stage 4",-5,0))))</f>
        <v/>
      </c>
      <c r="BD319" s="30" t="inlineStr">
        <is>
          <t>Positive Trend</t>
        </is>
      </c>
      <c r="BE319" s="30">
        <f>IF(BD319="Positive Trend",20,IF(BD319="Negative Trend",-10,0))</f>
        <v/>
      </c>
      <c r="BF319" s="30" t="inlineStr">
        <is>
          <t>Uptrend</t>
        </is>
      </c>
      <c r="BG319" s="30">
        <f>IF(BF319="Uptrend",10,IF(BF319="Sideways",5,0))</f>
        <v/>
      </c>
      <c r="BH319" s="30" t="inlineStr">
        <is>
          <t>Uptrend</t>
        </is>
      </c>
      <c r="BI319" s="30">
        <f>IF(BH319="Uptrend",10,IF(BH319="Sideways",5,0))</f>
        <v/>
      </c>
      <c r="BJ319" s="30" t="inlineStr">
        <is>
          <t>Close to 52 week high or retracement</t>
        </is>
      </c>
      <c r="BK319" s="30">
        <f>IF(BJ319="Overhead supply in last 2 years in last 2 years",-5,IF(BJ319="Close to 52 week high or retracement",5,IF(BJ319="Blue sky scenario",10,IF(BJ319="Long term Downtrend",-10,0))))</f>
        <v/>
      </c>
      <c r="BL319" s="30" t="inlineStr">
        <is>
          <t>Yes</t>
        </is>
      </c>
      <c r="BM319" s="30">
        <f>IF(BL319="Yes",10,0)</f>
        <v/>
      </c>
      <c r="BN319" s="30" t="inlineStr">
        <is>
          <t>More than 20%</t>
        </is>
      </c>
      <c r="BO319" s="30">
        <f>IF(BN319="More than 20%",10,IF(BN319="Between 12 to 20%",5,IF(BN319="Less than 12%",0,0)))</f>
        <v/>
      </c>
      <c r="BP319" s="30" t="inlineStr">
        <is>
          <t>No</t>
        </is>
      </c>
      <c r="BQ319" s="30">
        <f>IF(BP319="No",10,0)</f>
        <v/>
      </c>
      <c r="BR319" s="30" t="inlineStr">
        <is>
          <t>No</t>
        </is>
      </c>
      <c r="BS319" s="30">
        <f>IF(BR319="NO",5,0)</f>
        <v/>
      </c>
      <c r="BT319" s="30" t="inlineStr">
        <is>
          <t>Above 2</t>
        </is>
      </c>
      <c r="BU319" s="30">
        <f>IF(BT319="Above 2",0,IF(BT319="Between 1.5 to 2",5,IF(BT319="Less than 1.5",10,0)))</f>
        <v/>
      </c>
      <c r="BV319" s="30" t="inlineStr">
        <is>
          <t>Above 70%</t>
        </is>
      </c>
      <c r="BW319" s="30">
        <f>IF(BV319="Above 70%",10,IF(BV319="Between 50% to 70%",5,IF(BV319="Less than 50%",0,IF(BV319="Negative",-10,IF(BV319="Less than 50% and Borrowings are increasing",-5,0)))))</f>
        <v/>
      </c>
      <c r="BX319" s="30" t="inlineStr">
        <is>
          <t>Between 0.7 to 1.2</t>
        </is>
      </c>
      <c r="BY319" s="30">
        <f>IF(BX319="More than 1.2",-10,IF(BX319="Between 0.7 to 1.2",0,IF(BX319="Less than 0.7",10,0)))</f>
        <v/>
      </c>
      <c r="BZ319" s="30" t="inlineStr">
        <is>
          <t>No</t>
        </is>
      </c>
      <c r="CA319" s="30">
        <f>IF(BZ319="Yes",-10,0)</f>
        <v/>
      </c>
      <c r="CB319" s="30" t="inlineStr">
        <is>
          <t>Less than 15%</t>
        </is>
      </c>
      <c r="CC319" s="30">
        <f>IF(CB319="More than 15%",-10,IF(CB319="Less than 15%",10,0))</f>
        <v/>
      </c>
      <c r="CD319" s="30" t="inlineStr">
        <is>
          <t>No</t>
        </is>
      </c>
      <c r="CE319" s="30">
        <f>IF(CD319="Yes, more than 10%",-10,IF(CD319="No",10,0))</f>
        <v/>
      </c>
    </row>
    <row r="320">
      <c r="A320" s="30">
        <f>IF(B320=0,"",RANK(B320,$B$2:$B$331,0))</f>
        <v/>
      </c>
      <c r="B320" s="31">
        <f>SUM(N320,Y320,AA320,AC320,AE320,AG320,AI320,AK320,AM320,AO320,AQ320,AS320,AU320,AW320,AY320,BA320,BC320,BE320,BG320,BI320,BK320,BM320,BO320,BQ320,BS320,BU320,BW320,BY320,CA320,CC320,CE320)</f>
        <v/>
      </c>
      <c r="C320" s="32" t="inlineStr">
        <is>
          <t>KIRLFER</t>
        </is>
      </c>
      <c r="D320" s="32" t="inlineStr">
        <is>
          <t>Kirloskar Ferrous Industries Ltd</t>
        </is>
      </c>
      <c r="E320" s="30" t="inlineStr">
        <is>
          <t>metals &amp; mining</t>
        </is>
      </c>
      <c r="F320" s="30" t="inlineStr">
        <is>
          <t>steel - large</t>
        </is>
      </c>
      <c r="G320" s="30" t="inlineStr">
        <is>
          <t>midcap</t>
        </is>
      </c>
      <c r="H320" s="31" t="n">
        <v>7709.27</v>
      </c>
      <c r="I320" s="31" t="n">
        <v>466.1</v>
      </c>
      <c r="J320" s="31" t="n">
        <v>-0.25</v>
      </c>
      <c r="K320" s="31" t="n">
        <v>75301</v>
      </c>
      <c r="L320" s="30" t="n">
        <v>1</v>
      </c>
      <c r="M320" s="30" t="inlineStr">
        <is>
          <t>Underperforming</t>
        </is>
      </c>
      <c r="N320" s="31">
        <f>IF(M320="Underperforming",-5,IF(L320&gt;=95,15,IF(L320&gt;=90,10,IF(L320&gt;=80,5,0))))</f>
        <v/>
      </c>
      <c r="O320" s="31" t="n">
        <v>55.21</v>
      </c>
      <c r="P320" s="31" t="n">
        <v>12.98</v>
      </c>
      <c r="Q320" s="31" t="n">
        <v>389.9</v>
      </c>
      <c r="R320" s="30" t="inlineStr">
        <is>
          <t>Earnings / Momentum Support</t>
        </is>
      </c>
      <c r="S320" s="30" t="inlineStr">
        <is>
          <t>Nifty Metal</t>
        </is>
      </c>
      <c r="T320" s="31" t="n">
        <v>41.17</v>
      </c>
      <c r="U320" s="31" t="n">
        <v>-16.99</v>
      </c>
      <c r="V320" s="31" t="n">
        <v>-41.2</v>
      </c>
      <c r="W320" s="31" t="n">
        <v>-1.49</v>
      </c>
      <c r="X320" s="30" t="inlineStr">
        <is>
          <t>Cyclical in an Upturn</t>
        </is>
      </c>
      <c r="Y320" s="30">
        <f>IF(X320="Growing Industry",10,IF(X320="Cyclical in an Upturn",5,0))</f>
        <v/>
      </c>
      <c r="Z320" s="30" t="inlineStr">
        <is>
          <t>Too Many Players with High ROCE</t>
        </is>
      </c>
      <c r="AA320" s="30">
        <f>IF(Z320="Monopoly",10,IF(Z320="Oligopoly",5,IF(Z320="Duopoly that cooperate",10,IF(Z320="Duopoly that compete",5,IF(Z320="Too many players with High ROCE",5,0)))))</f>
        <v/>
      </c>
      <c r="AB320" s="30" t="inlineStr">
        <is>
          <t>No</t>
        </is>
      </c>
      <c r="AC320" s="30">
        <f>IF(AB320="No",5,0)</f>
        <v/>
      </c>
      <c r="AD320" s="30" t="inlineStr">
        <is>
          <t>Tailwind</t>
        </is>
      </c>
      <c r="AE320" s="30">
        <f>IF(AD320="Tailwind",10,0)</f>
        <v/>
      </c>
      <c r="AF320" s="30" t="inlineStr">
        <is>
          <t>Cyclical</t>
        </is>
      </c>
      <c r="AG320" s="30">
        <f>IF(AF320="Structural (10 Years Consistency)",10,IF(AF320="Shallow Cyclical (2 to 3 years growth)",5,0))</f>
        <v/>
      </c>
      <c r="AH320" s="30" t="inlineStr">
        <is>
          <t>No</t>
        </is>
      </c>
      <c r="AI320" s="30">
        <f>IF(AH320="Yes due to Product Mix change or Operating Leverage",10,IF(AH320="Yes, these are peak margins",-5,IF(AH320="No",5,0)))</f>
        <v/>
      </c>
      <c r="AJ320" s="30" t="inlineStr">
        <is>
          <t>Volatile</t>
        </is>
      </c>
      <c r="AK320" s="30">
        <f>IF(AJ320="Stable",10,0)</f>
        <v/>
      </c>
      <c r="AL320" s="30" t="inlineStr">
        <is>
          <t>Yes</t>
        </is>
      </c>
      <c r="AM320" s="30">
        <f>IF(AL320="Yes",10,0)</f>
        <v/>
      </c>
      <c r="AN320" s="30" t="inlineStr">
        <is>
          <t>B2B</t>
        </is>
      </c>
      <c r="AO320" s="30">
        <f>IF(AN320="B2C",10,IF(AN320="B2B",5,0))</f>
        <v/>
      </c>
      <c r="AP320" s="30" t="inlineStr">
        <is>
          <t>No</t>
        </is>
      </c>
      <c r="AQ320" s="30">
        <f>IF(AP320="Yes",10,0)</f>
        <v/>
      </c>
      <c r="AR320" s="30" t="inlineStr">
        <is>
          <t>Higher One Time, Lower Annuity</t>
        </is>
      </c>
      <c r="AS320" s="30">
        <f>IF(AR320="Fully Annuity",10,IF(AR320="Higher Annuity, Lower One Time",5,IF(AR320="Higher One Time, Lower Annuity",3,0)))</f>
        <v/>
      </c>
      <c r="AT320" s="30" t="inlineStr">
        <is>
          <t>Good</t>
        </is>
      </c>
      <c r="AU320" s="30">
        <f>IF(AT320="Good",10,0)</f>
        <v/>
      </c>
      <c r="AV320" s="30" t="inlineStr">
        <is>
          <t>Yes for more than 2 years</t>
        </is>
      </c>
      <c r="AW320" s="30">
        <f>IF(AV320="Yes for more than 2 years",10,IF(AV320="Yes only for next 1 to 2 years",5,0))</f>
        <v/>
      </c>
      <c r="AX320" s="30" t="inlineStr">
        <is>
          <t>0 to 20</t>
        </is>
      </c>
      <c r="AY320" s="30">
        <f>IF(AX320="Above 40",20,IF(AX320="20 to 40",10,IF(AX320="0 to 20",-5,0)))</f>
        <v/>
      </c>
      <c r="AZ320" s="30" t="inlineStr">
        <is>
          <t>Between 50 to 75</t>
        </is>
      </c>
      <c r="BA320" s="30">
        <f>IF(AZ320="Between 50 to 75",10,IF(AZ320="Above 75",0,0))</f>
        <v/>
      </c>
      <c r="BB320" s="30" t="inlineStr">
        <is>
          <t>Stage 1</t>
        </is>
      </c>
      <c r="BC320" s="30">
        <f>IF(BB320="Stage 2",20,IF(BB320="Stage 1",0,IF(BB320="Stage 3",5,IF(BB320="Stage 4",-5,0))))</f>
        <v/>
      </c>
      <c r="BD320" s="30" t="inlineStr">
        <is>
          <t>Positive Trend</t>
        </is>
      </c>
      <c r="BE320" s="30">
        <f>IF(BD320="Positive Trend",20,IF(BD320="Negative Trend",-10,0))</f>
        <v/>
      </c>
      <c r="BF320" s="30" t="inlineStr">
        <is>
          <t>Uptrend</t>
        </is>
      </c>
      <c r="BG320" s="30">
        <f>IF(BF320="Uptrend",10,IF(BF320="Sideways",5,0))</f>
        <v/>
      </c>
      <c r="BH320" s="30" t="inlineStr">
        <is>
          <t>Uptrend</t>
        </is>
      </c>
      <c r="BI320" s="30">
        <f>IF(BH320="Uptrend",10,IF(BH320="Sideways",5,0))</f>
        <v/>
      </c>
      <c r="BJ320" s="30" t="inlineStr">
        <is>
          <t>Close to 52 week high or retracement</t>
        </is>
      </c>
      <c r="BK320" s="30">
        <f>IF(BJ320="Overhead supply in last 2 years in last 2 years",-5,IF(BJ320="Close to 52 week high or retracement",5,IF(BJ320="Blue sky scenario",10,IF(BJ320="Long term Downtrend",-10,0))))</f>
        <v/>
      </c>
      <c r="BL320" s="30" t="inlineStr">
        <is>
          <t>Yes</t>
        </is>
      </c>
      <c r="BM320" s="30">
        <f>IF(BL320="Yes",10,0)</f>
        <v/>
      </c>
      <c r="BN320" s="30" t="inlineStr">
        <is>
          <t>More than 20%</t>
        </is>
      </c>
      <c r="BO320" s="30">
        <f>IF(BN320="More than 20%",10,IF(BN320="Between 12 to 20%",5,IF(BN320="Less than 12%",0,0)))</f>
        <v/>
      </c>
      <c r="BP320" s="30" t="inlineStr">
        <is>
          <t>No</t>
        </is>
      </c>
      <c r="BQ320" s="30">
        <f>IF(BP320="No",10,0)</f>
        <v/>
      </c>
      <c r="BR320" s="30" t="inlineStr">
        <is>
          <t>No</t>
        </is>
      </c>
      <c r="BS320" s="30">
        <f>IF(BR320="NO",5,0)</f>
        <v/>
      </c>
      <c r="BT320" s="30" t="inlineStr">
        <is>
          <t>Less than 1.5</t>
        </is>
      </c>
      <c r="BU320" s="30">
        <f>IF(BT320="Above 2",0,IF(BT320="Between 1.5 to 2",5,IF(BT320="Less than 1.5",10,0)))</f>
        <v/>
      </c>
      <c r="BV320" s="30" t="inlineStr">
        <is>
          <t>Above 70%</t>
        </is>
      </c>
      <c r="BW320" s="30">
        <f>IF(BV320="Above 70%",10,IF(BV320="Between 50% to 70%",5,IF(BV320="Less than 50%",0,IF(BV320="Negative",-10,IF(BV320="Less than 50% and Borrowings are increasing",-5,0)))))</f>
        <v/>
      </c>
      <c r="BX320" s="30" t="inlineStr">
        <is>
          <t>Less than 0.7</t>
        </is>
      </c>
      <c r="BY320" s="30">
        <f>IF(BX320="More than 1.2",-10,IF(BX320="Between 0.7 to 1.2",0,IF(BX320="Less than 0.7",10,0)))</f>
        <v/>
      </c>
      <c r="BZ320" s="30" t="inlineStr">
        <is>
          <t>No</t>
        </is>
      </c>
      <c r="CA320" s="30">
        <f>IF(BZ320="Yes",-10,0)</f>
        <v/>
      </c>
      <c r="CB320" s="30" t="inlineStr">
        <is>
          <t>Less than 15%</t>
        </is>
      </c>
      <c r="CC320" s="30">
        <f>IF(CB320="More than 15%",-10,IF(CB320="Less than 15%",10,0))</f>
        <v/>
      </c>
      <c r="CD320" s="30" t="inlineStr">
        <is>
          <t>No</t>
        </is>
      </c>
      <c r="CE320" s="30">
        <f>IF(CD320="Yes, more than 10%",-10,IF(CD320="No",10,0))</f>
        <v/>
      </c>
    </row>
    <row r="321">
      <c r="A321" s="30">
        <f>IF(B321=0,"",RANK(B321,$B$2:$B$331,0))</f>
        <v/>
      </c>
      <c r="B321" s="31">
        <f>SUM(N321,Y321,AA321,AC321,AE321,AG321,AI321,AK321,AM321,AO321,AQ321,AS321,AU321,AW321,AY321,BA321,BC321,BE321,BG321,BI321,BK321,BM321,BO321,BQ321,BS321,BU321,BW321,BY321,CA321,CC321,CE321)</f>
        <v/>
      </c>
      <c r="C321" s="30" t="inlineStr">
        <is>
          <t>TIMKEN</t>
        </is>
      </c>
      <c r="D321" s="30" t="inlineStr">
        <is>
          <t>Timken India Limited</t>
        </is>
      </c>
      <c r="E321" s="30" t="inlineStr">
        <is>
          <t>industrials</t>
        </is>
      </c>
      <c r="F321" s="30" t="inlineStr">
        <is>
          <t>bearings</t>
        </is>
      </c>
      <c r="G321" s="30" t="inlineStr">
        <is>
          <t>largecap</t>
        </is>
      </c>
      <c r="H321" s="31" t="n">
        <v>23869.91</v>
      </c>
      <c r="I321" s="31" t="n">
        <v>3297.2</v>
      </c>
      <c r="J321" s="31" t="n">
        <v>3.9</v>
      </c>
      <c r="K321" s="31" t="n">
        <v>72555</v>
      </c>
      <c r="L321" s="30" t="n">
        <v>4</v>
      </c>
      <c r="M321" s="30" t="inlineStr">
        <is>
          <t>Outperforming</t>
        </is>
      </c>
      <c r="N321" s="31">
        <f>IF(M321="Underperforming",-5,IF(L321&gt;=95,15,IF(L321&gt;=90,10,IF(L321&gt;=80,5,0))))</f>
        <v/>
      </c>
      <c r="O321" s="31" t="n">
        <v>49.92</v>
      </c>
      <c r="P321" s="31" t="n">
        <v>12.89</v>
      </c>
      <c r="Q321" s="31" t="n">
        <v>3056.07</v>
      </c>
      <c r="R321" s="30" t="inlineStr">
        <is>
          <t>Earnings / Momentum Support</t>
        </is>
      </c>
      <c r="S321" s="30" t="inlineStr">
        <is>
          <t>Nifty 50</t>
        </is>
      </c>
      <c r="T321" s="31" t="n">
        <v>-6.52</v>
      </c>
      <c r="U321" s="31" t="n">
        <v>9.050000000000001</v>
      </c>
      <c r="V321" s="31" t="n">
        <v>16.65</v>
      </c>
      <c r="W321" s="31" t="n">
        <v>0.63</v>
      </c>
      <c r="X321" s="30" t="inlineStr">
        <is>
          <t>Cyclical in an Upturn</t>
        </is>
      </c>
      <c r="Y321" s="30">
        <f>IF(X321="Growing Industry",10,IF(X321="Cyclical in an Upturn",5,0))</f>
        <v/>
      </c>
      <c r="Z321" s="30" t="inlineStr">
        <is>
          <t>Too Many Players with High ROCE</t>
        </is>
      </c>
      <c r="AA321" s="30">
        <f>IF(Z321="Monopoly",10,IF(Z321="Oligopoly",5,IF(Z321="Duopoly that cooperate",10,IF(Z321="Duopoly that compete",5,IF(Z321="Too many players with High ROCE",5,0)))))</f>
        <v/>
      </c>
      <c r="AB321" s="30" t="inlineStr">
        <is>
          <t>No</t>
        </is>
      </c>
      <c r="AC321" s="30">
        <f>IF(AB321="No",5,0)</f>
        <v/>
      </c>
      <c r="AD321" s="30" t="inlineStr">
        <is>
          <t>Tailwind</t>
        </is>
      </c>
      <c r="AE321" s="30">
        <f>IF(AD321="Tailwind",10,0)</f>
        <v/>
      </c>
      <c r="AF321" s="30" t="inlineStr">
        <is>
          <t>Structural (10 Years Consistency)</t>
        </is>
      </c>
      <c r="AG321" s="30">
        <f>IF(AF321="Structural (10 Years Consistency)",10,IF(AF321="Shallow Cyclical (2 to 3 years growth)",5,0))</f>
        <v/>
      </c>
      <c r="AH321" s="30" t="inlineStr">
        <is>
          <t>No</t>
        </is>
      </c>
      <c r="AI321" s="30">
        <f>IF(AH321="Yes due to Product Mix change or Operating Leverage",10,IF(AH321="Yes, these are peak margins",-5,IF(AH321="No",5,0)))</f>
        <v/>
      </c>
      <c r="AJ321" s="30" t="inlineStr">
        <is>
          <t>Stable</t>
        </is>
      </c>
      <c r="AK321" s="30">
        <f>IF(AJ321="Stable",10,0)</f>
        <v/>
      </c>
      <c r="AL321" s="30" t="inlineStr">
        <is>
          <t>Yes</t>
        </is>
      </c>
      <c r="AM321" s="30">
        <f>IF(AL321="Yes",10,0)</f>
        <v/>
      </c>
      <c r="AN321" s="30" t="inlineStr">
        <is>
          <t>B2B</t>
        </is>
      </c>
      <c r="AO321" s="30">
        <f>IF(AN321="B2C",10,IF(AN321="B2B",5,0))</f>
        <v/>
      </c>
      <c r="AP321" s="30" t="inlineStr">
        <is>
          <t>No</t>
        </is>
      </c>
      <c r="AQ321" s="30">
        <f>IF(AP321="Yes",10,0)</f>
        <v/>
      </c>
      <c r="AR321" s="30" t="inlineStr">
        <is>
          <t>Higher One Time, Lower Annuity</t>
        </is>
      </c>
      <c r="AS321" s="30">
        <f>IF(AR321="Fully Annuity",10,IF(AR321="Higher Annuity, Lower One Time",5,IF(AR321="Higher One Time, Lower Annuity",3,0)))</f>
        <v/>
      </c>
      <c r="AT321" s="30" t="inlineStr">
        <is>
          <t>Good</t>
        </is>
      </c>
      <c r="AU321" s="30">
        <f>IF(AT321="Good",10,0)</f>
        <v/>
      </c>
      <c r="AV321" s="30" t="inlineStr">
        <is>
          <t>Yes for more than 2 years</t>
        </is>
      </c>
      <c r="AW321" s="30">
        <f>IF(AV321="Yes for more than 2 years",10,IF(AV321="Yes only for next 1 to 2 years",5,0))</f>
        <v/>
      </c>
      <c r="AX321" s="30" t="inlineStr">
        <is>
          <t>0 to 20</t>
        </is>
      </c>
      <c r="AY321" s="30">
        <f>IF(AX321="Above 40",20,IF(AX321="20 to 40",10,IF(AX321="0 to 20",-5,0)))</f>
        <v/>
      </c>
      <c r="AZ321" s="30" t="inlineStr">
        <is>
          <t>Below 45</t>
        </is>
      </c>
      <c r="BA321" s="30">
        <f>IF(AZ321="Between 50 to 75",10,IF(AZ321="Above 75",0,0))</f>
        <v/>
      </c>
      <c r="BB321" s="30" t="inlineStr">
        <is>
          <t>Stage 4</t>
        </is>
      </c>
      <c r="BC321" s="30">
        <f>IF(BB321="Stage 2",20,IF(BB321="Stage 1",0,IF(BB321="Stage 3",5,IF(BB321="Stage 4",-5,0))))</f>
        <v/>
      </c>
      <c r="BD321" s="30" t="inlineStr">
        <is>
          <t>Positive Trend</t>
        </is>
      </c>
      <c r="BE321" s="30">
        <f>IF(BD321="Positive Trend",20,IF(BD321="Negative Trend",-10,0))</f>
        <v/>
      </c>
      <c r="BF321" s="30" t="inlineStr">
        <is>
          <t>Uptrend</t>
        </is>
      </c>
      <c r="BG321" s="30">
        <f>IF(BF321="Uptrend",10,IF(BF321="Sideways",5,0))</f>
        <v/>
      </c>
      <c r="BH321" s="30" t="inlineStr">
        <is>
          <t>Uptrend</t>
        </is>
      </c>
      <c r="BI321" s="30">
        <f>IF(BH321="Uptrend",10,IF(BH321="Sideways",5,0))</f>
        <v/>
      </c>
      <c r="BJ321" s="30" t="inlineStr">
        <is>
          <t>Close to 52 week high or retracement</t>
        </is>
      </c>
      <c r="BK321" s="30">
        <f>IF(BJ321="Overhead supply in last 2 years in last 2 years",-5,IF(BJ321="Close to 52 week high or retracement",5,IF(BJ321="Blue sky scenario",10,IF(BJ321="Long term Downtrend",-10,0))))</f>
        <v/>
      </c>
      <c r="BL321" s="30" t="inlineStr">
        <is>
          <t>Yes</t>
        </is>
      </c>
      <c r="BM321" s="30">
        <f>IF(BL321="Yes",10,0)</f>
        <v/>
      </c>
      <c r="BN321" s="30" t="inlineStr">
        <is>
          <t>Between 12 to 20%</t>
        </is>
      </c>
      <c r="BO321" s="30">
        <f>IF(BN321="More than 20%",10,IF(BN321="Between 12 to 20%",5,IF(BN321="Less than 12%",0,0)))</f>
        <v/>
      </c>
      <c r="BP321" s="30" t="inlineStr">
        <is>
          <t>No</t>
        </is>
      </c>
      <c r="BQ321" s="30">
        <f>IF(BP321="No",10,0)</f>
        <v/>
      </c>
      <c r="BR321" s="30" t="inlineStr">
        <is>
          <t>Yes</t>
        </is>
      </c>
      <c r="BS321" s="30">
        <f>IF(BR321="NO",5,0)</f>
        <v/>
      </c>
      <c r="BT321" s="30" t="inlineStr">
        <is>
          <t>Above 2</t>
        </is>
      </c>
      <c r="BU321" s="30">
        <f>IF(BT321="Above 2",0,IF(BT321="Between 1.5 to 2",5,IF(BT321="Less than 1.5",10,0)))</f>
        <v/>
      </c>
      <c r="BV321" s="30" t="inlineStr">
        <is>
          <t>Above 70%</t>
        </is>
      </c>
      <c r="BW321" s="30">
        <f>IF(BV321="Above 70%",10,IF(BV321="Between 50% to 70%",5,IF(BV321="Less than 50%",0,IF(BV321="Negative",-10,IF(BV321="Less than 50% and Borrowings are increasing",-5,0)))))</f>
        <v/>
      </c>
      <c r="BX321" s="30" t="inlineStr">
        <is>
          <t>Less than 0.7</t>
        </is>
      </c>
      <c r="BY321" s="30">
        <f>IF(BX321="More than 1.2",-10,IF(BX321="Between 0.7 to 1.2",0,IF(BX321="Less than 0.7",10,0)))</f>
        <v/>
      </c>
      <c r="BZ321" s="30" t="inlineStr">
        <is>
          <t>No</t>
        </is>
      </c>
      <c r="CA321" s="30">
        <f>IF(BZ321="Yes",-10,0)</f>
        <v/>
      </c>
      <c r="CB321" s="30" t="inlineStr">
        <is>
          <t>Less than 15%</t>
        </is>
      </c>
      <c r="CC321" s="30">
        <f>IF(CB321="More than 15%",-10,IF(CB321="Less than 15%",10,0))</f>
        <v/>
      </c>
      <c r="CD321" s="30" t="inlineStr">
        <is>
          <t>No</t>
        </is>
      </c>
      <c r="CE321" s="30">
        <f>IF(CD321="Yes, more than 10%",-10,IF(CD321="No",10,0))</f>
        <v/>
      </c>
    </row>
    <row r="322">
      <c r="A322" s="30">
        <f>IF(B322=0,"",RANK(B322,$B$2:$B$331,0))</f>
        <v/>
      </c>
      <c r="B322" s="31">
        <f>SUM(N322,Y322,AA322,AC322,AE322,AG322,AI322,AK322,AM322,AO322,AQ322,AS322,AU322,AW322,AY322,BA322,BC322,BE322,BG322,BI322,BK322,BM322,BO322,BQ322,BS322,BU322,BW322,BY322,CA322,CC322,CE322)</f>
        <v/>
      </c>
      <c r="C322" s="30" t="inlineStr">
        <is>
          <t>INDOAMIN</t>
        </is>
      </c>
      <c r="D322" s="30" t="inlineStr">
        <is>
          <t>Indo Amines Ltd</t>
        </is>
      </c>
      <c r="E322" s="30" t="inlineStr">
        <is>
          <t>chemicals</t>
        </is>
      </c>
      <c r="F322" s="30" t="inlineStr">
        <is>
          <t>chemicals</t>
        </is>
      </c>
      <c r="G322" s="30" t="inlineStr">
        <is>
          <t>smallcap</t>
        </is>
      </c>
      <c r="H322" s="31" t="n">
        <v>923.6799999999999</v>
      </c>
      <c r="I322" s="31" t="n">
        <v>127.87</v>
      </c>
      <c r="J322" s="31" t="n">
        <v>0.49</v>
      </c>
      <c r="K322" s="31" t="n">
        <v>26964</v>
      </c>
      <c r="L322" s="30" t="n">
        <v>2</v>
      </c>
      <c r="M322" s="30" t="inlineStr">
        <is>
          <t>Outperforming</t>
        </is>
      </c>
      <c r="N322" s="31">
        <f>IF(M322="Underperforming",-5,IF(L322&gt;=95,15,IF(L322&gt;=90,10,IF(L322&gt;=80,5,0))))</f>
        <v/>
      </c>
      <c r="O322" s="31" t="n">
        <v>52.4</v>
      </c>
      <c r="P322" s="31" t="n">
        <v>26.96</v>
      </c>
      <c r="Q322" s="31" t="n">
        <v>111.14</v>
      </c>
      <c r="R322" s="30" t="inlineStr">
        <is>
          <t>Earnings / Momentum Support</t>
        </is>
      </c>
      <c r="S322" s="30" t="inlineStr">
        <is>
          <t>Nifty IT</t>
        </is>
      </c>
      <c r="T322" s="31" t="n">
        <v>-19.99</v>
      </c>
      <c r="U322" s="31" t="n">
        <v>-10.05</v>
      </c>
      <c r="V322" s="31" t="n">
        <v>12.42</v>
      </c>
      <c r="W322" s="31" t="n">
        <v>-0.75</v>
      </c>
      <c r="X322" s="30" t="inlineStr">
        <is>
          <t>Growing Industry</t>
        </is>
      </c>
      <c r="Y322" s="30">
        <f>IF(X322="Growing Industry",10,IF(X322="Cyclical in an Upturn",5,0))</f>
        <v/>
      </c>
      <c r="Z322" s="30" t="inlineStr">
        <is>
          <t>Too Many Players with High ROCE</t>
        </is>
      </c>
      <c r="AA322" s="30">
        <f>IF(Z322="Monopoly",10,IF(Z322="Oligopoly",5,IF(Z322="Duopoly that cooperate",10,IF(Z322="Duopoly that compete",5,IF(Z322="Too many players with High ROCE",5,0)))))</f>
        <v/>
      </c>
      <c r="AB322" s="30" t="inlineStr">
        <is>
          <t>No</t>
        </is>
      </c>
      <c r="AC322" s="30">
        <f>IF(AB322="No",5,0)</f>
        <v/>
      </c>
      <c r="AD322" s="30" t="inlineStr">
        <is>
          <t>Tailwind</t>
        </is>
      </c>
      <c r="AE322" s="30">
        <f>IF(AD322="Tailwind",10,0)</f>
        <v/>
      </c>
      <c r="AF322" s="30" t="inlineStr">
        <is>
          <t>Structural (10 Years Consistency)</t>
        </is>
      </c>
      <c r="AG322" s="30">
        <f>IF(AF322="Structural (10 Years Consistency)",10,IF(AF322="Shallow Cyclical (2 to 3 years growth)",5,0))</f>
        <v/>
      </c>
      <c r="AH322" s="30" t="inlineStr">
        <is>
          <t>No</t>
        </is>
      </c>
      <c r="AI322" s="30">
        <f>IF(AH322="Yes due to Product Mix change or Operating Leverage",10,IF(AH322="Yes, these are peak margins",-5,IF(AH322="No",5,0)))</f>
        <v/>
      </c>
      <c r="AJ322" s="30" t="inlineStr">
        <is>
          <t>Stable</t>
        </is>
      </c>
      <c r="AK322" s="30">
        <f>IF(AJ322="Stable",10,0)</f>
        <v/>
      </c>
      <c r="AL322" s="30" t="inlineStr">
        <is>
          <t>Yes</t>
        </is>
      </c>
      <c r="AM322" s="30">
        <f>IF(AL322="Yes",10,0)</f>
        <v/>
      </c>
      <c r="AN322" s="30" t="inlineStr">
        <is>
          <t>B2B</t>
        </is>
      </c>
      <c r="AO322" s="30">
        <f>IF(AN322="B2C",10,IF(AN322="B2B",5,0))</f>
        <v/>
      </c>
      <c r="AP322" s="30" t="inlineStr">
        <is>
          <t>No</t>
        </is>
      </c>
      <c r="AQ322" s="30">
        <f>IF(AP322="Yes",10,0)</f>
        <v/>
      </c>
      <c r="AR322" s="30" t="inlineStr">
        <is>
          <t>Higher One Time, Lower Annuity</t>
        </is>
      </c>
      <c r="AS322" s="30">
        <f>IF(AR322="Fully Annuity",10,IF(AR322="Higher Annuity, Lower One Time",5,IF(AR322="Higher One Time, Lower Annuity",3,0)))</f>
        <v/>
      </c>
      <c r="AT322" s="30" t="inlineStr">
        <is>
          <t>Good</t>
        </is>
      </c>
      <c r="AU322" s="30">
        <f>IF(AT322="Good",10,0)</f>
        <v/>
      </c>
      <c r="AV322" s="30" t="inlineStr">
        <is>
          <t>Yes for more than 2 years</t>
        </is>
      </c>
      <c r="AW322" s="30">
        <f>IF(AV322="Yes for more than 2 years",10,IF(AV322="Yes only for next 1 to 2 years",5,0))</f>
        <v/>
      </c>
      <c r="AX322" s="30" t="inlineStr">
        <is>
          <t>20 to 40</t>
        </is>
      </c>
      <c r="AY322" s="30">
        <f>IF(AX322="Above 40",20,IF(AX322="20 to 40",10,IF(AX322="0 to 20",-5,0)))</f>
        <v/>
      </c>
      <c r="AZ322" s="30" t="inlineStr">
        <is>
          <t>Between 50 to 75</t>
        </is>
      </c>
      <c r="BA322" s="30">
        <f>IF(AZ322="Between 50 to 75",10,IF(AZ322="Above 75",0,0))</f>
        <v/>
      </c>
      <c r="BB322" s="30" t="inlineStr">
        <is>
          <t>Stage 1</t>
        </is>
      </c>
      <c r="BC322" s="30">
        <f>IF(BB322="Stage 2",20,IF(BB322="Stage 1",0,IF(BB322="Stage 3",5,IF(BB322="Stage 4",-5,0))))</f>
        <v/>
      </c>
      <c r="BD322" s="30" t="inlineStr">
        <is>
          <t>Negative Trend</t>
        </is>
      </c>
      <c r="BE322" s="30">
        <f>IF(BD322="Positive Trend",20,IF(BD322="Negative Trend",-10,0))</f>
        <v/>
      </c>
      <c r="BF322" s="30" t="inlineStr">
        <is>
          <t>Uptrend</t>
        </is>
      </c>
      <c r="BG322" s="30">
        <f>IF(BF322="Uptrend",10,IF(BF322="Sideways",5,0))</f>
        <v/>
      </c>
      <c r="BH322" s="30" t="inlineStr">
        <is>
          <t>Uptrend</t>
        </is>
      </c>
      <c r="BI322" s="30">
        <f>IF(BH322="Uptrend",10,IF(BH322="Sideways",5,0))</f>
        <v/>
      </c>
      <c r="BJ322" s="30" t="inlineStr">
        <is>
          <t>Close to 52 week high or retracement</t>
        </is>
      </c>
      <c r="BK322" s="30">
        <f>IF(BJ322="Overhead supply in last 2 years in last 2 years",-5,IF(BJ322="Close to 52 week high or retracement",5,IF(BJ322="Blue sky scenario",10,IF(BJ322="Long term Downtrend",-10,0))))</f>
        <v/>
      </c>
      <c r="BL322" s="30" t="inlineStr">
        <is>
          <t>Yes</t>
        </is>
      </c>
      <c r="BM322" s="30">
        <f>IF(BL322="Yes",10,0)</f>
        <v/>
      </c>
      <c r="BN322" s="30" t="inlineStr">
        <is>
          <t>Less than 12%</t>
        </is>
      </c>
      <c r="BO322" s="30">
        <f>IF(BN322="More than 20%",10,IF(BN322="Between 12 to 20%",5,IF(BN322="Less than 12%",0,0)))</f>
        <v/>
      </c>
      <c r="BP322" s="30" t="inlineStr">
        <is>
          <t>No</t>
        </is>
      </c>
      <c r="BQ322" s="30">
        <f>IF(BP322="No",10,0)</f>
        <v/>
      </c>
      <c r="BR322" s="30" t="inlineStr">
        <is>
          <t>No</t>
        </is>
      </c>
      <c r="BS322" s="30">
        <f>IF(BR322="NO",5,0)</f>
        <v/>
      </c>
      <c r="BT322" s="30" t="inlineStr">
        <is>
          <t>Between 1.5 to 2</t>
        </is>
      </c>
      <c r="BU322" s="30">
        <f>IF(BT322="Above 2",0,IF(BT322="Between 1.5 to 2",5,IF(BT322="Less than 1.5",10,0)))</f>
        <v/>
      </c>
      <c r="BV322" s="30" t="inlineStr">
        <is>
          <t>Above 70%</t>
        </is>
      </c>
      <c r="BW322" s="30">
        <f>IF(BV322="Above 70%",10,IF(BV322="Between 50% to 70%",5,IF(BV322="Less than 50%",0,IF(BV322="Negative",-10,IF(BV322="Less than 50% and Borrowings are increasing",-5,0)))))</f>
        <v/>
      </c>
      <c r="BX322" s="30" t="inlineStr">
        <is>
          <t>Between 0.7 to 1.2</t>
        </is>
      </c>
      <c r="BY322" s="30">
        <f>IF(BX322="More than 1.2",-10,IF(BX322="Between 0.7 to 1.2",0,IF(BX322="Less than 0.7",10,0)))</f>
        <v/>
      </c>
      <c r="BZ322" s="30" t="inlineStr">
        <is>
          <t>No</t>
        </is>
      </c>
      <c r="CA322" s="30">
        <f>IF(BZ322="Yes",-10,0)</f>
        <v/>
      </c>
      <c r="CB322" s="30" t="inlineStr">
        <is>
          <t>Less than 15%</t>
        </is>
      </c>
      <c r="CC322" s="30">
        <f>IF(CB322="More than 15%",-10,IF(CB322="Less than 15%",10,0))</f>
        <v/>
      </c>
      <c r="CD322" s="30" t="inlineStr">
        <is>
          <t>No</t>
        </is>
      </c>
      <c r="CE322" s="30">
        <f>IF(CD322="Yes, more than 10%",-10,IF(CD322="No",10,0))</f>
        <v/>
      </c>
    </row>
    <row r="323">
      <c r="A323" s="30">
        <f>IF(B323=0,"",RANK(B323,$B$2:$B$331,0))</f>
        <v/>
      </c>
      <c r="B323" s="31">
        <f>SUM(N323,Y323,AA323,AC323,AE323,AG323,AI323,AK323,AM323,AO323,AQ323,AS323,AU323,AW323,AY323,BA323,BC323,BE323,BG323,BI323,BK323,BM323,BO323,BQ323,BS323,BU323,BW323,BY323,CA323,CC323,CE323)</f>
        <v/>
      </c>
      <c r="C323" s="32" t="inlineStr">
        <is>
          <t>SARDAEN</t>
        </is>
      </c>
      <c r="D323" s="32" t="inlineStr">
        <is>
          <t>Sarda Energy &amp; Minerals Limited</t>
        </is>
      </c>
      <c r="E323" s="30" t="inlineStr">
        <is>
          <t>metals &amp; mining</t>
        </is>
      </c>
      <c r="F323" s="30" t="inlineStr">
        <is>
          <t>steel - medium / small</t>
        </is>
      </c>
      <c r="G323" s="30" t="inlineStr">
        <is>
          <t>midcap</t>
        </is>
      </c>
      <c r="H323" s="31" t="n">
        <v>19234.73</v>
      </c>
      <c r="I323" s="31" t="n">
        <v>537.25</v>
      </c>
      <c r="J323" s="31" t="n">
        <v>-1.58</v>
      </c>
      <c r="K323" s="31" t="n">
        <v>752808</v>
      </c>
      <c r="L323" s="30" t="n">
        <v>12</v>
      </c>
      <c r="M323" s="30" t="inlineStr">
        <is>
          <t>Underperforming</t>
        </is>
      </c>
      <c r="N323" s="31">
        <f>IF(M323="Underperforming",-5,IF(L323&gt;=95,15,IF(L323&gt;=90,10,IF(L323&gt;=80,5,0))))</f>
        <v/>
      </c>
      <c r="O323" s="31" t="n">
        <v>53.77</v>
      </c>
      <c r="P323" s="31" t="n">
        <v>7.68</v>
      </c>
      <c r="Q323" s="31" t="n">
        <v>430.74</v>
      </c>
      <c r="R323" s="30" t="inlineStr">
        <is>
          <t>Volume Spike / Accumulation</t>
        </is>
      </c>
      <c r="S323" s="30" t="inlineStr">
        <is>
          <t>Nifty Metal</t>
        </is>
      </c>
      <c r="T323" s="31" t="n">
        <v>41.17</v>
      </c>
      <c r="U323" s="31" t="n">
        <v>23.99</v>
      </c>
      <c r="V323" s="31" t="n">
        <v>-12.17</v>
      </c>
      <c r="W323" s="31" t="n">
        <v>4.16</v>
      </c>
      <c r="X323" s="30" t="inlineStr">
        <is>
          <t>Cyclical in an Upturn</t>
        </is>
      </c>
      <c r="Y323" s="30">
        <f>IF(X323="Growing Industry",10,IF(X323="Cyclical in an Upturn",5,0))</f>
        <v/>
      </c>
      <c r="Z323" s="30" t="inlineStr">
        <is>
          <t>Too Many Players with High ROCE</t>
        </is>
      </c>
      <c r="AA323" s="30">
        <f>IF(Z323="Monopoly",10,IF(Z323="Oligopoly",5,IF(Z323="Duopoly that cooperate",10,IF(Z323="Duopoly that compete",5,IF(Z323="Too many players with High ROCE",5,0)))))</f>
        <v/>
      </c>
      <c r="AB323" s="30" t="inlineStr">
        <is>
          <t>No</t>
        </is>
      </c>
      <c r="AC323" s="30">
        <f>IF(AB323="No",5,0)</f>
        <v/>
      </c>
      <c r="AD323" s="30" t="inlineStr">
        <is>
          <t>Tailwind</t>
        </is>
      </c>
      <c r="AE323" s="30">
        <f>IF(AD323="Tailwind",10,0)</f>
        <v/>
      </c>
      <c r="AF323" s="30" t="inlineStr">
        <is>
          <t>Cyclical</t>
        </is>
      </c>
      <c r="AG323" s="30">
        <f>IF(AF323="Structural (10 Years Consistency)",10,IF(AF323="Shallow Cyclical (2 to 3 years growth)",5,0))</f>
        <v/>
      </c>
      <c r="AH323" s="30" t="inlineStr">
        <is>
          <t>No</t>
        </is>
      </c>
      <c r="AI323" s="30">
        <f>IF(AH323="Yes due to Product Mix change or Operating Leverage",10,IF(AH323="Yes, these are peak margins",-5,IF(AH323="No",5,0)))</f>
        <v/>
      </c>
      <c r="AJ323" s="30" t="inlineStr">
        <is>
          <t>Volatile</t>
        </is>
      </c>
      <c r="AK323" s="30">
        <f>IF(AJ323="Stable",10,0)</f>
        <v/>
      </c>
      <c r="AL323" s="30" t="inlineStr">
        <is>
          <t>Yes</t>
        </is>
      </c>
      <c r="AM323" s="30">
        <f>IF(AL323="Yes",10,0)</f>
        <v/>
      </c>
      <c r="AN323" s="30" t="inlineStr">
        <is>
          <t>B2B</t>
        </is>
      </c>
      <c r="AO323" s="30">
        <f>IF(AN323="B2C",10,IF(AN323="B2B",5,0))</f>
        <v/>
      </c>
      <c r="AP323" s="30" t="inlineStr">
        <is>
          <t>Yes</t>
        </is>
      </c>
      <c r="AQ323" s="30">
        <f>IF(AP323="Yes",10,0)</f>
        <v/>
      </c>
      <c r="AR323" s="30" t="inlineStr">
        <is>
          <t>Higher One Time, Lower Annuity</t>
        </is>
      </c>
      <c r="AS323" s="30">
        <f>IF(AR323="Fully Annuity",10,IF(AR323="Higher Annuity, Lower One Time",5,IF(AR323="Higher One Time, Lower Annuity",3,0)))</f>
        <v/>
      </c>
      <c r="AT323" s="30" t="inlineStr">
        <is>
          <t>Good</t>
        </is>
      </c>
      <c r="AU323" s="30">
        <f>IF(AT323="Good",10,0)</f>
        <v/>
      </c>
      <c r="AV323" s="30" t="inlineStr">
        <is>
          <t>Yes for more than 2 years</t>
        </is>
      </c>
      <c r="AW323" s="30">
        <f>IF(AV323="Yes for more than 2 years",10,IF(AV323="Yes only for next 1 to 2 years",5,0))</f>
        <v/>
      </c>
      <c r="AX323" s="30" t="inlineStr">
        <is>
          <t>0 to 20</t>
        </is>
      </c>
      <c r="AY323" s="30">
        <f>IF(AX323="Above 40",20,IF(AX323="20 to 40",10,IF(AX323="0 to 20",-5,0)))</f>
        <v/>
      </c>
      <c r="AZ323" s="30" t="inlineStr">
        <is>
          <t>Between 50 to 75</t>
        </is>
      </c>
      <c r="BA323" s="30">
        <f>IF(AZ323="Between 50 to 75",10,IF(AZ323="Above 75",0,0))</f>
        <v/>
      </c>
      <c r="BB323" s="30" t="inlineStr">
        <is>
          <t>Stage 1</t>
        </is>
      </c>
      <c r="BC323" s="30">
        <f>IF(BB323="Stage 2",20,IF(BB323="Stage 1",0,IF(BB323="Stage 3",5,IF(BB323="Stage 4",-5,0))))</f>
        <v/>
      </c>
      <c r="BD323" s="30" t="inlineStr">
        <is>
          <t>Positive Trend</t>
        </is>
      </c>
      <c r="BE323" s="30">
        <f>IF(BD323="Positive Trend",20,IF(BD323="Negative Trend",-10,0))</f>
        <v/>
      </c>
      <c r="BF323" s="30" t="inlineStr">
        <is>
          <t>Uptrend</t>
        </is>
      </c>
      <c r="BG323" s="30">
        <f>IF(BF323="Uptrend",10,IF(BF323="Sideways",5,0))</f>
        <v/>
      </c>
      <c r="BH323" s="30" t="inlineStr">
        <is>
          <t>Uptrend</t>
        </is>
      </c>
      <c r="BI323" s="30">
        <f>IF(BH323="Uptrend",10,IF(BH323="Sideways",5,0))</f>
        <v/>
      </c>
      <c r="BJ323" s="30" t="inlineStr">
        <is>
          <t>Close to 52 week high or retracement</t>
        </is>
      </c>
      <c r="BK323" s="30">
        <f>IF(BJ323="Overhead supply in last 2 years in last 2 years",-5,IF(BJ323="Close to 52 week high or retracement",5,IF(BJ323="Blue sky scenario",10,IF(BJ323="Long term Downtrend",-10,0))))</f>
        <v/>
      </c>
      <c r="BL323" s="30" t="inlineStr">
        <is>
          <t>Yes</t>
        </is>
      </c>
      <c r="BM323" s="30">
        <f>IF(BL323="Yes",10,0)</f>
        <v/>
      </c>
      <c r="BN323" s="30" t="inlineStr">
        <is>
          <t>Less than 12%</t>
        </is>
      </c>
      <c r="BO323" s="30">
        <f>IF(BN323="More than 20%",10,IF(BN323="Between 12 to 20%",5,IF(BN323="Less than 12%",0,0)))</f>
        <v/>
      </c>
      <c r="BP323" s="30" t="inlineStr">
        <is>
          <t>No</t>
        </is>
      </c>
      <c r="BQ323" s="30">
        <f>IF(BP323="No",10,0)</f>
        <v/>
      </c>
      <c r="BR323" s="30" t="inlineStr">
        <is>
          <t>No</t>
        </is>
      </c>
      <c r="BS323" s="30">
        <f>IF(BR323="NO",5,0)</f>
        <v/>
      </c>
      <c r="BT323" s="30" t="inlineStr">
        <is>
          <t>Above 2</t>
        </is>
      </c>
      <c r="BU323" s="30">
        <f>IF(BT323="Above 2",0,IF(BT323="Between 1.5 to 2",5,IF(BT323="Less than 1.5",10,0)))</f>
        <v/>
      </c>
      <c r="BV323" s="30" t="inlineStr">
        <is>
          <t>Above 70%</t>
        </is>
      </c>
      <c r="BW323" s="30">
        <f>IF(BV323="Above 70%",10,IF(BV323="Between 50% to 70%",5,IF(BV323="Less than 50%",0,IF(BV323="Negative",-10,IF(BV323="Less than 50% and Borrowings are increasing",-5,0)))))</f>
        <v/>
      </c>
      <c r="BX323" s="30" t="inlineStr">
        <is>
          <t>Less than 0.7</t>
        </is>
      </c>
      <c r="BY323" s="30">
        <f>IF(BX323="More than 1.2",-10,IF(BX323="Between 0.7 to 1.2",0,IF(BX323="Less than 0.7",10,0)))</f>
        <v/>
      </c>
      <c r="BZ323" s="30" t="inlineStr">
        <is>
          <t>No</t>
        </is>
      </c>
      <c r="CA323" s="30">
        <f>IF(BZ323="Yes",-10,0)</f>
        <v/>
      </c>
      <c r="CB323" s="30" t="inlineStr">
        <is>
          <t>Less than 15%</t>
        </is>
      </c>
      <c r="CC323" s="30">
        <f>IF(CB323="More than 15%",-10,IF(CB323="Less than 15%",10,0))</f>
        <v/>
      </c>
      <c r="CD323" s="30" t="inlineStr">
        <is>
          <t>No</t>
        </is>
      </c>
      <c r="CE323" s="30">
        <f>IF(CD323="Yes, more than 10%",-10,IF(CD323="No",10,0))</f>
        <v/>
      </c>
    </row>
    <row r="324">
      <c r="A324" s="30">
        <f>IF(B324=0,"",RANK(B324,$B$2:$B$331,0))</f>
        <v/>
      </c>
      <c r="B324" s="31">
        <f>SUM(N324,Y324,AA324,AC324,AE324,AG324,AI324,AK324,AM324,AO324,AQ324,AS324,AU324,AW324,AY324,BA324,BC324,BE324,BG324,BI324,BK324,BM324,BO324,BQ324,BS324,BU324,BW324,BY324,CA324,CC324,CE324)</f>
        <v/>
      </c>
      <c r="C324" s="32" t="inlineStr">
        <is>
          <t>JSL</t>
        </is>
      </c>
      <c r="D324" s="32" t="inlineStr">
        <is>
          <t>Jindal Stainless Limited</t>
        </is>
      </c>
      <c r="E324" s="30" t="inlineStr">
        <is>
          <t>metals &amp; mining</t>
        </is>
      </c>
      <c r="F324" s="30" t="inlineStr">
        <is>
          <t>steel - large</t>
        </is>
      </c>
      <c r="G324" s="30" t="inlineStr">
        <is>
          <t>largecap</t>
        </is>
      </c>
      <c r="H324" s="31" t="n">
        <v>64576.79</v>
      </c>
      <c r="I324" s="31" t="n">
        <v>762.15</v>
      </c>
      <c r="J324" s="31" t="n">
        <v>-2.7</v>
      </c>
      <c r="K324" s="31" t="n">
        <v>960367</v>
      </c>
      <c r="L324" s="30" t="n">
        <v>10</v>
      </c>
      <c r="M324" s="30" t="inlineStr">
        <is>
          <t>Underperforming</t>
        </is>
      </c>
      <c r="N324" s="31">
        <f>IF(M324="Underperforming",-5,IF(L324&gt;=95,15,IF(L324&gt;=90,10,IF(L324&gt;=80,5,0))))</f>
        <v/>
      </c>
      <c r="O324" s="31" t="n">
        <v>57.31</v>
      </c>
      <c r="P324" s="31" t="n">
        <v>11.8</v>
      </c>
      <c r="Q324" s="31" t="n">
        <v>630.65</v>
      </c>
      <c r="R324" s="30" t="inlineStr">
        <is>
          <t>Volume Spike / Accumulation</t>
        </is>
      </c>
      <c r="S324" s="30" t="inlineStr">
        <is>
          <t>Nifty Metal</t>
        </is>
      </c>
      <c r="T324" s="31" t="n">
        <v>41.17</v>
      </c>
      <c r="U324" s="31" t="n">
        <v>17.11</v>
      </c>
      <c r="V324" s="31" t="n">
        <v>-17.04</v>
      </c>
      <c r="W324" s="31" t="n">
        <v>3.64</v>
      </c>
      <c r="X324" s="30" t="inlineStr">
        <is>
          <t>Cyclical in an Upturn</t>
        </is>
      </c>
      <c r="Y324" s="30">
        <f>IF(X324="Growing Industry",10,IF(X324="Cyclical in an Upturn",5,0))</f>
        <v/>
      </c>
      <c r="Z324" s="30" t="inlineStr">
        <is>
          <t>Too Many Players with High ROCE</t>
        </is>
      </c>
      <c r="AA324" s="30">
        <f>IF(Z324="Monopoly",10,IF(Z324="Oligopoly",5,IF(Z324="Duopoly that cooperate",10,IF(Z324="Duopoly that compete",5,IF(Z324="Too many players with High ROCE",5,0)))))</f>
        <v/>
      </c>
      <c r="AB324" s="30" t="inlineStr">
        <is>
          <t>No</t>
        </is>
      </c>
      <c r="AC324" s="30">
        <f>IF(AB324="No",5,0)</f>
        <v/>
      </c>
      <c r="AD324" s="30" t="inlineStr">
        <is>
          <t>Tailwind</t>
        </is>
      </c>
      <c r="AE324" s="30">
        <f>IF(AD324="Tailwind",10,0)</f>
        <v/>
      </c>
      <c r="AF324" s="30" t="inlineStr">
        <is>
          <t>Cyclical</t>
        </is>
      </c>
      <c r="AG324" s="30">
        <f>IF(AF324="Structural (10 Years Consistency)",10,IF(AF324="Shallow Cyclical (2 to 3 years growth)",5,0))</f>
        <v/>
      </c>
      <c r="AH324" s="30" t="inlineStr">
        <is>
          <t>No</t>
        </is>
      </c>
      <c r="AI324" s="30">
        <f>IF(AH324="Yes due to Product Mix change or Operating Leverage",10,IF(AH324="Yes, these are peak margins",-5,IF(AH324="No",5,0)))</f>
        <v/>
      </c>
      <c r="AJ324" s="30" t="inlineStr">
        <is>
          <t>Volatile</t>
        </is>
      </c>
      <c r="AK324" s="30">
        <f>IF(AJ324="Stable",10,0)</f>
        <v/>
      </c>
      <c r="AL324" s="30" t="inlineStr">
        <is>
          <t>Yes</t>
        </is>
      </c>
      <c r="AM324" s="30">
        <f>IF(AL324="Yes",10,0)</f>
        <v/>
      </c>
      <c r="AN324" s="30" t="inlineStr">
        <is>
          <t>B2B</t>
        </is>
      </c>
      <c r="AO324" s="30">
        <f>IF(AN324="B2C",10,IF(AN324="B2B",5,0))</f>
        <v/>
      </c>
      <c r="AP324" s="30" t="inlineStr">
        <is>
          <t>Yes</t>
        </is>
      </c>
      <c r="AQ324" s="30">
        <f>IF(AP324="Yes",10,0)</f>
        <v/>
      </c>
      <c r="AR324" s="30" t="inlineStr">
        <is>
          <t>Higher One Time, Lower Annuity</t>
        </is>
      </c>
      <c r="AS324" s="30">
        <f>IF(AR324="Fully Annuity",10,IF(AR324="Higher Annuity, Lower One Time",5,IF(AR324="Higher One Time, Lower Annuity",3,0)))</f>
        <v/>
      </c>
      <c r="AT324" s="30" t="inlineStr">
        <is>
          <t>Good</t>
        </is>
      </c>
      <c r="AU324" s="30">
        <f>IF(AT324="Good",10,0)</f>
        <v/>
      </c>
      <c r="AV324" s="30" t="inlineStr">
        <is>
          <t>Yes for more than 2 years</t>
        </is>
      </c>
      <c r="AW324" s="30">
        <f>IF(AV324="Yes for more than 2 years",10,IF(AV324="Yes only for next 1 to 2 years",5,0))</f>
        <v/>
      </c>
      <c r="AX324" s="30" t="inlineStr">
        <is>
          <t>0 to 20</t>
        </is>
      </c>
      <c r="AY324" s="30">
        <f>IF(AX324="Above 40",20,IF(AX324="20 to 40",10,IF(AX324="0 to 20",-5,0)))</f>
        <v/>
      </c>
      <c r="AZ324" s="30" t="inlineStr">
        <is>
          <t>Between 50 to 75</t>
        </is>
      </c>
      <c r="BA324" s="30">
        <f>IF(AZ324="Between 50 to 75",10,IF(AZ324="Above 75",0,0))</f>
        <v/>
      </c>
      <c r="BB324" s="30" t="inlineStr">
        <is>
          <t>Stage 1</t>
        </is>
      </c>
      <c r="BC324" s="30">
        <f>IF(BB324="Stage 2",20,IF(BB324="Stage 1",0,IF(BB324="Stage 3",5,IF(BB324="Stage 4",-5,0))))</f>
        <v/>
      </c>
      <c r="BD324" s="30" t="inlineStr">
        <is>
          <t>Positive Trend</t>
        </is>
      </c>
      <c r="BE324" s="30">
        <f>IF(BD324="Positive Trend",20,IF(BD324="Negative Trend",-10,0))</f>
        <v/>
      </c>
      <c r="BF324" s="30" t="inlineStr">
        <is>
          <t>Uptrend</t>
        </is>
      </c>
      <c r="BG324" s="30">
        <f>IF(BF324="Uptrend",10,IF(BF324="Sideways",5,0))</f>
        <v/>
      </c>
      <c r="BH324" s="30" t="inlineStr">
        <is>
          <t>Uptrend</t>
        </is>
      </c>
      <c r="BI324" s="30">
        <f>IF(BH324="Uptrend",10,IF(BH324="Sideways",5,0))</f>
        <v/>
      </c>
      <c r="BJ324" s="30" t="inlineStr">
        <is>
          <t>Close to 52 week high or retracement</t>
        </is>
      </c>
      <c r="BK324" s="30">
        <f>IF(BJ324="Overhead supply in last 2 years in last 2 years",-5,IF(BJ324="Close to 52 week high or retracement",5,IF(BJ324="Blue sky scenario",10,IF(BJ324="Long term Downtrend",-10,0))))</f>
        <v/>
      </c>
      <c r="BL324" s="30" t="inlineStr">
        <is>
          <t>Yes</t>
        </is>
      </c>
      <c r="BM324" s="30">
        <f>IF(BL324="Yes",10,0)</f>
        <v/>
      </c>
      <c r="BN324" s="30" t="inlineStr">
        <is>
          <t>Less than 12%</t>
        </is>
      </c>
      <c r="BO324" s="30">
        <f>IF(BN324="More than 20%",10,IF(BN324="Between 12 to 20%",5,IF(BN324="Less than 12%",0,0)))</f>
        <v/>
      </c>
      <c r="BP324" s="30" t="inlineStr">
        <is>
          <t>No</t>
        </is>
      </c>
      <c r="BQ324" s="30">
        <f>IF(BP324="No",10,0)</f>
        <v/>
      </c>
      <c r="BR324" s="30" t="inlineStr">
        <is>
          <t>No</t>
        </is>
      </c>
      <c r="BS324" s="30">
        <f>IF(BR324="NO",5,0)</f>
        <v/>
      </c>
      <c r="BT324" s="30" t="inlineStr">
        <is>
          <t>Above 2</t>
        </is>
      </c>
      <c r="BU324" s="30">
        <f>IF(BT324="Above 2",0,IF(BT324="Between 1.5 to 2",5,IF(BT324="Less than 1.5",10,0)))</f>
        <v/>
      </c>
      <c r="BV324" s="30" t="inlineStr">
        <is>
          <t>Above 70%</t>
        </is>
      </c>
      <c r="BW324" s="30">
        <f>IF(BV324="Above 70%",10,IF(BV324="Between 50% to 70%",5,IF(BV324="Less than 50%",0,IF(BV324="Negative",-10,IF(BV324="Less than 50% and Borrowings are increasing",-5,0)))))</f>
        <v/>
      </c>
      <c r="BX324" s="30" t="inlineStr">
        <is>
          <t>Less than 0.7</t>
        </is>
      </c>
      <c r="BY324" s="30">
        <f>IF(BX324="More than 1.2",-10,IF(BX324="Between 0.7 to 1.2",0,IF(BX324="Less than 0.7",10,0)))</f>
        <v/>
      </c>
      <c r="BZ324" s="30" t="inlineStr">
        <is>
          <t>No</t>
        </is>
      </c>
      <c r="CA324" s="30">
        <f>IF(BZ324="Yes",-10,0)</f>
        <v/>
      </c>
      <c r="CB324" s="30" t="inlineStr">
        <is>
          <t>Less than 15%</t>
        </is>
      </c>
      <c r="CC324" s="30">
        <f>IF(CB324="More than 15%",-10,IF(CB324="Less than 15%",10,0))</f>
        <v/>
      </c>
      <c r="CD324" s="30" t="inlineStr">
        <is>
          <t>No</t>
        </is>
      </c>
      <c r="CE324" s="30">
        <f>IF(CD324="Yes, more than 10%",-10,IF(CD324="No",10,0))</f>
        <v/>
      </c>
    </row>
    <row r="325">
      <c r="A325" s="30">
        <f>IF(B325=0,"",RANK(B325,$B$2:$B$331,0))</f>
        <v/>
      </c>
      <c r="B325" s="31">
        <f>SUM(N325,Y325,AA325,AC325,AE325,AG325,AI325,AK325,AM325,AO325,AQ325,AS325,AU325,AW325,AY325,BA325,BC325,BE325,BG325,BI325,BK325,BM325,BO325,BQ325,BS325,BU325,BW325,BY325,CA325,CC325,CE325)</f>
        <v/>
      </c>
      <c r="C325" s="32" t="inlineStr">
        <is>
          <t>KOTHARIPET</t>
        </is>
      </c>
      <c r="D325" s="32" t="inlineStr">
        <is>
          <t>Kothari Petrochemicals Limited</t>
        </is>
      </c>
      <c r="E325" s="30" t="inlineStr">
        <is>
          <t>energy</t>
        </is>
      </c>
      <c r="F325" s="30" t="inlineStr">
        <is>
          <t>petrochemicals</t>
        </is>
      </c>
      <c r="G325" s="30" t="inlineStr">
        <is>
          <t>smallcap</t>
        </is>
      </c>
      <c r="H325" s="31" t="n">
        <v>876.22</v>
      </c>
      <c r="I325" s="31" t="n">
        <v>143.21</v>
      </c>
      <c r="J325" s="31" t="n">
        <v>-3.82</v>
      </c>
      <c r="K325" s="31" t="n">
        <v>80350</v>
      </c>
      <c r="L325" s="30" t="n">
        <v>2</v>
      </c>
      <c r="M325" s="30" t="inlineStr">
        <is>
          <t>Underperforming</t>
        </is>
      </c>
      <c r="N325" s="31">
        <f>IF(M325="Underperforming",-5,IF(L325&gt;=95,15,IF(L325&gt;=90,10,IF(L325&gt;=80,5,0))))</f>
        <v/>
      </c>
      <c r="O325" s="31" t="n">
        <v>58.18</v>
      </c>
      <c r="P325" s="31" t="n">
        <v>24.16</v>
      </c>
      <c r="Q325" s="31" t="n">
        <v>113.3</v>
      </c>
      <c r="R325" s="30" t="inlineStr">
        <is>
          <t>Volume Spike / Accumulation</t>
        </is>
      </c>
      <c r="S325" s="30" t="inlineStr">
        <is>
          <t>Nifty Energy</t>
        </is>
      </c>
      <c r="T325" s="31" t="n">
        <v>8.43</v>
      </c>
      <c r="U325" s="31" t="n">
        <v>-13.85</v>
      </c>
      <c r="V325" s="31" t="n">
        <v>-20.55</v>
      </c>
      <c r="W325" s="31" t="n">
        <v>-0.68</v>
      </c>
      <c r="X325" s="30" t="inlineStr">
        <is>
          <t>Cyclical in an Upturn</t>
        </is>
      </c>
      <c r="Y325" s="30">
        <f>IF(X325="Growing Industry",10,IF(X325="Cyclical in an Upturn",5,0))</f>
        <v/>
      </c>
      <c r="Z325" s="30" t="inlineStr">
        <is>
          <t>Oligopoly</t>
        </is>
      </c>
      <c r="AA325" s="30">
        <f>IF(Z325="Monopoly",10,IF(Z325="Oligopoly",5,IF(Z325="Duopoly that cooperate",10,IF(Z325="Duopoly that compete",5,IF(Z325="Too many players with High ROCE",5,0)))))</f>
        <v/>
      </c>
      <c r="AB325" s="30" t="inlineStr">
        <is>
          <t>Yes</t>
        </is>
      </c>
      <c r="AC325" s="30">
        <f>IF(AB325="No",5,0)</f>
        <v/>
      </c>
      <c r="AD325" s="30" t="inlineStr">
        <is>
          <t>Tailwind</t>
        </is>
      </c>
      <c r="AE325" s="30">
        <f>IF(AD325="Tailwind",10,0)</f>
        <v/>
      </c>
      <c r="AF325" s="30" t="inlineStr">
        <is>
          <t>Cyclical</t>
        </is>
      </c>
      <c r="AG325" s="30">
        <f>IF(AF325="Structural (10 Years Consistency)",10,IF(AF325="Shallow Cyclical (2 to 3 years growth)",5,0))</f>
        <v/>
      </c>
      <c r="AH325" s="30" t="inlineStr">
        <is>
          <t>No</t>
        </is>
      </c>
      <c r="AI325" s="30">
        <f>IF(AH325="Yes due to Product Mix change or Operating Leverage",10,IF(AH325="Yes, these are peak margins",-5,IF(AH325="No",5,0)))</f>
        <v/>
      </c>
      <c r="AJ325" s="30" t="inlineStr">
        <is>
          <t>Volatile</t>
        </is>
      </c>
      <c r="AK325" s="30">
        <f>IF(AJ325="Stable",10,0)</f>
        <v/>
      </c>
      <c r="AL325" s="30" t="inlineStr">
        <is>
          <t>Yes</t>
        </is>
      </c>
      <c r="AM325" s="30">
        <f>IF(AL325="Yes",10,0)</f>
        <v/>
      </c>
      <c r="AN325" s="30" t="inlineStr">
        <is>
          <t>B2B</t>
        </is>
      </c>
      <c r="AO325" s="30">
        <f>IF(AN325="B2C",10,IF(AN325="B2B",5,0))</f>
        <v/>
      </c>
      <c r="AP325" s="30" t="inlineStr">
        <is>
          <t>Yes</t>
        </is>
      </c>
      <c r="AQ325" s="30">
        <f>IF(AP325="Yes",10,0)</f>
        <v/>
      </c>
      <c r="AR325" s="30" t="inlineStr">
        <is>
          <t>Higher One Time, Lower Annuity</t>
        </is>
      </c>
      <c r="AS325" s="30">
        <f>IF(AR325="Fully Annuity",10,IF(AR325="Higher Annuity, Lower One Time",5,IF(AR325="Higher One Time, Lower Annuity",3,0)))</f>
        <v/>
      </c>
      <c r="AT325" s="30" t="inlineStr">
        <is>
          <t>Good</t>
        </is>
      </c>
      <c r="AU325" s="30">
        <f>IF(AT325="Good",10,0)</f>
        <v/>
      </c>
      <c r="AV325" s="30" t="inlineStr">
        <is>
          <t>Yes for more than 2 years</t>
        </is>
      </c>
      <c r="AW325" s="30">
        <f>IF(AV325="Yes for more than 2 years",10,IF(AV325="Yes only for next 1 to 2 years",5,0))</f>
        <v/>
      </c>
      <c r="AX325" s="30" t="inlineStr">
        <is>
          <t>20 to 40</t>
        </is>
      </c>
      <c r="AY325" s="30">
        <f>IF(AX325="Above 40",20,IF(AX325="20 to 40",10,IF(AX325="0 to 20",-5,0)))</f>
        <v/>
      </c>
      <c r="AZ325" s="30" t="inlineStr">
        <is>
          <t>Between 50 to 75</t>
        </is>
      </c>
      <c r="BA325" s="30">
        <f>IF(AZ325="Between 50 to 75",10,IF(AZ325="Above 75",0,0))</f>
        <v/>
      </c>
      <c r="BB325" s="30" t="inlineStr">
        <is>
          <t>Stage 2</t>
        </is>
      </c>
      <c r="BC325" s="30">
        <f>IF(BB325="Stage 2",20,IF(BB325="Stage 1",0,IF(BB325="Stage 3",5,IF(BB325="Stage 4",-5,0))))</f>
        <v/>
      </c>
      <c r="BD325" s="30" t="inlineStr">
        <is>
          <t>Negative Trend</t>
        </is>
      </c>
      <c r="BE325" s="30">
        <f>IF(BD325="Positive Trend",20,IF(BD325="Negative Trend",-10,0))</f>
        <v/>
      </c>
      <c r="BF325" s="30" t="inlineStr">
        <is>
          <t>Uptrend</t>
        </is>
      </c>
      <c r="BG325" s="30">
        <f>IF(BF325="Uptrend",10,IF(BF325="Sideways",5,0))</f>
        <v/>
      </c>
      <c r="BH325" s="30" t="inlineStr">
        <is>
          <t>Uptrend</t>
        </is>
      </c>
      <c r="BI325" s="30">
        <f>IF(BH325="Uptrend",10,IF(BH325="Sideways",5,0))</f>
        <v/>
      </c>
      <c r="BJ325" s="30" t="inlineStr">
        <is>
          <t>Close to 52 week high or retracement</t>
        </is>
      </c>
      <c r="BK325" s="30">
        <f>IF(BJ325="Overhead supply in last 2 years in last 2 years",-5,IF(BJ325="Close to 52 week high or retracement",5,IF(BJ325="Blue sky scenario",10,IF(BJ325="Long term Downtrend",-10,0))))</f>
        <v/>
      </c>
      <c r="BL325" s="30" t="inlineStr">
        <is>
          <t>Yes</t>
        </is>
      </c>
      <c r="BM325" s="30">
        <f>IF(BL325="Yes",10,0)</f>
        <v/>
      </c>
      <c r="BN325" s="30" t="inlineStr">
        <is>
          <t>Less than 12%</t>
        </is>
      </c>
      <c r="BO325" s="30">
        <f>IF(BN325="More than 20%",10,IF(BN325="Between 12 to 20%",5,IF(BN325="Less than 12%",0,0)))</f>
        <v/>
      </c>
      <c r="BP325" s="30" t="inlineStr">
        <is>
          <t>No</t>
        </is>
      </c>
      <c r="BQ325" s="30">
        <f>IF(BP325="No",10,0)</f>
        <v/>
      </c>
      <c r="BR325" s="30" t="inlineStr">
        <is>
          <t>No</t>
        </is>
      </c>
      <c r="BS325" s="30">
        <f>IF(BR325="NO",5,0)</f>
        <v/>
      </c>
      <c r="BT325" s="30" t="inlineStr">
        <is>
          <t>Above 2</t>
        </is>
      </c>
      <c r="BU325" s="30">
        <f>IF(BT325="Above 2",0,IF(BT325="Between 1.5 to 2",5,IF(BT325="Less than 1.5",10,0)))</f>
        <v/>
      </c>
      <c r="BV325" s="30" t="inlineStr">
        <is>
          <t>Above 70%</t>
        </is>
      </c>
      <c r="BW325" s="30">
        <f>IF(BV325="Above 70%",10,IF(BV325="Between 50% to 70%",5,IF(BV325="Less than 50%",0,IF(BV325="Negative",-10,IF(BV325="Less than 50% and Borrowings are increasing",-5,0)))))</f>
        <v/>
      </c>
      <c r="BX325" s="30" t="inlineStr">
        <is>
          <t>Less than 0.7</t>
        </is>
      </c>
      <c r="BY325" s="30">
        <f>IF(BX325="More than 1.2",-10,IF(BX325="Between 0.7 to 1.2",0,IF(BX325="Less than 0.7",10,0)))</f>
        <v/>
      </c>
      <c r="BZ325" s="30" t="inlineStr">
        <is>
          <t>No</t>
        </is>
      </c>
      <c r="CA325" s="30">
        <f>IF(BZ325="Yes",-10,0)</f>
        <v/>
      </c>
      <c r="CB325" s="30" t="inlineStr">
        <is>
          <t>Less than 15%</t>
        </is>
      </c>
      <c r="CC325" s="30">
        <f>IF(CB325="More than 15%",-10,IF(CB325="Less than 15%",10,0))</f>
        <v/>
      </c>
      <c r="CD325" s="30" t="inlineStr">
        <is>
          <t>No</t>
        </is>
      </c>
      <c r="CE325" s="30">
        <f>IF(CD325="Yes, more than 10%",-10,IF(CD325="No",10,0))</f>
        <v/>
      </c>
    </row>
    <row r="326">
      <c r="A326" s="30">
        <f>IF(B326=0,"",RANK(B326,$B$2:$B$331,0))</f>
        <v/>
      </c>
      <c r="B326" s="31">
        <f>SUM(N326,Y326,AA326,AC326,AE326,AG326,AI326,AK326,AM326,AO326,AQ326,AS326,AU326,AW326,AY326,BA326,BC326,BE326,BG326,BI326,BK326,BM326,BO326,BQ326,BS326,BU326,BW326,BY326,CA326,CC326,CE326)</f>
        <v/>
      </c>
      <c r="C326" s="30" t="inlineStr">
        <is>
          <t>GUJALKALI</t>
        </is>
      </c>
      <c r="D326" s="30" t="inlineStr">
        <is>
          <t>Gujarat Alkalies And Chemicals Limited</t>
        </is>
      </c>
      <c r="E326" s="30" t="inlineStr">
        <is>
          <t>chemicals</t>
        </is>
      </c>
      <c r="F326" s="30" t="inlineStr">
        <is>
          <t>chemicals</t>
        </is>
      </c>
      <c r="G326" s="30" t="inlineStr">
        <is>
          <t>midcap</t>
        </is>
      </c>
      <c r="H326" s="31" t="n">
        <v>5232.75</v>
      </c>
      <c r="I326" s="31" t="n">
        <v>718.75</v>
      </c>
      <c r="J326" s="31" t="n">
        <v>0.87</v>
      </c>
      <c r="K326" s="31" t="n">
        <v>61375</v>
      </c>
      <c r="L326" s="30" t="n">
        <v>29</v>
      </c>
      <c r="M326" s="30" t="inlineStr">
        <is>
          <t>Outperforming</t>
        </is>
      </c>
      <c r="N326" s="31">
        <f>IF(M326="Underperforming",-5,IF(L326&gt;=95,15,IF(L326&gt;=90,10,IF(L326&gt;=80,5,0))))</f>
        <v/>
      </c>
      <c r="O326" s="31" t="n">
        <v>62.51</v>
      </c>
      <c r="P326" s="31" t="n">
        <v>29.3</v>
      </c>
      <c r="Q326" s="31" t="n">
        <v>550.71</v>
      </c>
      <c r="R326" s="30" t="inlineStr">
        <is>
          <t>Earnings / Momentum Support</t>
        </is>
      </c>
      <c r="S326" s="30" t="inlineStr">
        <is>
          <t>Nifty 50</t>
        </is>
      </c>
      <c r="T326" s="31" t="n">
        <v>-6.52</v>
      </c>
      <c r="U326" s="31" t="n">
        <v>21.21</v>
      </c>
      <c r="V326" s="31" t="n">
        <v>29.66</v>
      </c>
      <c r="W326" s="31" t="n">
        <v>8.890000000000001</v>
      </c>
      <c r="X326" s="30" t="inlineStr">
        <is>
          <t>Growing Industry</t>
        </is>
      </c>
      <c r="Y326" s="30">
        <f>IF(X326="Growing Industry",10,IF(X326="Cyclical in an Upturn",5,0))</f>
        <v/>
      </c>
      <c r="Z326" s="30" t="inlineStr">
        <is>
          <t>Oligopoly</t>
        </is>
      </c>
      <c r="AA326" s="30">
        <f>IF(Z326="Monopoly",10,IF(Z326="Oligopoly",5,IF(Z326="Duopoly that cooperate",10,IF(Z326="Duopoly that compete",5,IF(Z326="Too many players with High ROCE",5,0)))))</f>
        <v/>
      </c>
      <c r="AB326" s="30" t="inlineStr">
        <is>
          <t>No</t>
        </is>
      </c>
      <c r="AC326" s="30">
        <f>IF(AB326="No",5,0)</f>
        <v/>
      </c>
      <c r="AD326" s="30" t="inlineStr">
        <is>
          <t>Tailwind</t>
        </is>
      </c>
      <c r="AE326" s="30">
        <f>IF(AD326="Tailwind",10,0)</f>
        <v/>
      </c>
      <c r="AF326" s="30" t="inlineStr">
        <is>
          <t>Shallow Cyclical (2 to 3 Years Growth)</t>
        </is>
      </c>
      <c r="AG326" s="30">
        <f>IF(AF326="Structural (10 Years Consistency)",10,IF(AF326="Shallow Cyclical (2 to 3 years growth)",5,0))</f>
        <v/>
      </c>
      <c r="AH326" s="30" t="inlineStr">
        <is>
          <t>Yes due to Product Mix change or Operating Leverage</t>
        </is>
      </c>
      <c r="AI326" s="30">
        <f>IF(AH326="Yes due to Product Mix change or Operating Leverage",10,IF(AH326="Yes, these are peak margins",-5,IF(AH326="No",5,0)))</f>
        <v/>
      </c>
      <c r="AJ326" s="30" t="inlineStr">
        <is>
          <t>Volatile</t>
        </is>
      </c>
      <c r="AK326" s="30">
        <f>IF(AJ326="Stable",10,0)</f>
        <v/>
      </c>
      <c r="AL326" s="30" t="inlineStr">
        <is>
          <t>Yes</t>
        </is>
      </c>
      <c r="AM326" s="30">
        <f>IF(AL326="Yes",10,0)</f>
        <v/>
      </c>
      <c r="AN326" s="30" t="inlineStr">
        <is>
          <t>B2B</t>
        </is>
      </c>
      <c r="AO326" s="30">
        <f>IF(AN326="B2C",10,IF(AN326="B2B",5,0))</f>
        <v/>
      </c>
      <c r="AP326" s="30" t="inlineStr">
        <is>
          <t>Yes</t>
        </is>
      </c>
      <c r="AQ326" s="30">
        <f>IF(AP326="Yes",10,0)</f>
        <v/>
      </c>
      <c r="AR326" s="30" t="inlineStr">
        <is>
          <t>Higher One Time, Lower Annuity</t>
        </is>
      </c>
      <c r="AS326" s="30">
        <f>IF(AR326="Fully Annuity",10,IF(AR326="Higher Annuity, Lower One Time",5,IF(AR326="Higher One Time, Lower Annuity",3,0)))</f>
        <v/>
      </c>
      <c r="AT326" s="30" t="inlineStr">
        <is>
          <t>Allocated capital in Non-core Areas</t>
        </is>
      </c>
      <c r="AU326" s="30">
        <f>IF(AT326="Good",10,0)</f>
        <v/>
      </c>
      <c r="AV326" s="30" t="inlineStr">
        <is>
          <t>Yes for more than 2 years</t>
        </is>
      </c>
      <c r="AW326" s="30">
        <f>IF(AV326="Yes for more than 2 years",10,IF(AV326="Yes only for next 1 to 2 years",5,0))</f>
        <v/>
      </c>
      <c r="AX326" s="30" t="inlineStr">
        <is>
          <t>Above 40</t>
        </is>
      </c>
      <c r="AY326" s="30">
        <f>IF(AX326="Above 40",20,IF(AX326="20 to 40",10,IF(AX326="0 to 20",-5,0)))</f>
        <v/>
      </c>
      <c r="AZ326" s="30" t="inlineStr">
        <is>
          <t>Between 50 to 75</t>
        </is>
      </c>
      <c r="BA326" s="30">
        <f>IF(AZ326="Between 50 to 75",10,IF(AZ326="Above 75",0,0))</f>
        <v/>
      </c>
      <c r="BB326" s="30" t="inlineStr">
        <is>
          <t>Stage 3</t>
        </is>
      </c>
      <c r="BC326" s="30">
        <f>IF(BB326="Stage 2",20,IF(BB326="Stage 1",0,IF(BB326="Stage 3",5,IF(BB326="Stage 4",-5,0))))</f>
        <v/>
      </c>
      <c r="BD326" s="30" t="inlineStr">
        <is>
          <t>Negative Trend</t>
        </is>
      </c>
      <c r="BE326" s="30">
        <f>IF(BD326="Positive Trend",20,IF(BD326="Negative Trend",-10,0))</f>
        <v/>
      </c>
      <c r="BF326" s="30" t="inlineStr">
        <is>
          <t>Sideways</t>
        </is>
      </c>
      <c r="BG326" s="30">
        <f>IF(BF326="Uptrend",10,IF(BF326="Sideways",5,0))</f>
        <v/>
      </c>
      <c r="BH326" s="30" t="inlineStr">
        <is>
          <t>Uptrend</t>
        </is>
      </c>
      <c r="BI326" s="30">
        <f>IF(BH326="Uptrend",10,IF(BH326="Sideways",5,0))</f>
        <v/>
      </c>
      <c r="BJ326" s="30" t="inlineStr">
        <is>
          <t>Overhead supply in last 2 years in last 2 years</t>
        </is>
      </c>
      <c r="BK326" s="30">
        <f>IF(BJ326="Overhead supply in last 2 years in last 2 years",-5,IF(BJ326="Close to 52 week high or retracement",5,IF(BJ326="Blue sky scenario",10,IF(BJ326="Long term Downtrend",-10,0))))</f>
        <v/>
      </c>
      <c r="BL326" s="30" t="inlineStr">
        <is>
          <t>Yes</t>
        </is>
      </c>
      <c r="BM326" s="30">
        <f>IF(BL326="Yes",10,0)</f>
        <v/>
      </c>
      <c r="BN326" s="30" t="inlineStr">
        <is>
          <t>More than 20%</t>
        </is>
      </c>
      <c r="BO326" s="30">
        <f>IF(BN326="More than 20%",10,IF(BN326="Between 12 to 20%",5,IF(BN326="Less than 12%",0,0)))</f>
        <v/>
      </c>
      <c r="BP326" s="30" t="inlineStr">
        <is>
          <t>No</t>
        </is>
      </c>
      <c r="BQ326" s="30">
        <f>IF(BP326="No",10,0)</f>
        <v/>
      </c>
      <c r="BR326" s="30" t="inlineStr">
        <is>
          <t>No</t>
        </is>
      </c>
      <c r="BS326" s="30">
        <f>IF(BR326="NO",5,0)</f>
        <v/>
      </c>
      <c r="BT326" s="30" t="inlineStr">
        <is>
          <t>Less than 1.5</t>
        </is>
      </c>
      <c r="BU326" s="30">
        <f>IF(BT326="Above 2",0,IF(BT326="Between 1.5 to 2",5,IF(BT326="Less than 1.5",10,0)))</f>
        <v/>
      </c>
      <c r="BV326" s="30" t="inlineStr">
        <is>
          <t>Above 70%</t>
        </is>
      </c>
      <c r="BW326" s="30">
        <f>IF(BV326="Above 70%",10,IF(BV326="Between 50% to 70%",5,IF(BV326="Less than 50%",0,IF(BV326="Negative",-10,IF(BV326="Less than 50% and Borrowings are increasing",-5,0)))))</f>
        <v/>
      </c>
      <c r="BX326" s="30" t="inlineStr">
        <is>
          <t>Less than 0.7</t>
        </is>
      </c>
      <c r="BY326" s="30">
        <f>IF(BX326="More than 1.2",-10,IF(BX326="Between 0.7 to 1.2",0,IF(BX326="Less than 0.7",10,0)))</f>
        <v/>
      </c>
      <c r="BZ326" s="30" t="inlineStr">
        <is>
          <t>No</t>
        </is>
      </c>
      <c r="CA326" s="30">
        <f>IF(BZ326="Yes",-10,0)</f>
        <v/>
      </c>
      <c r="CB326" s="30" t="inlineStr">
        <is>
          <t>More than 15%</t>
        </is>
      </c>
      <c r="CC326" s="30">
        <f>IF(CB326="More than 15%",-10,IF(CB326="Less than 15%",10,0))</f>
        <v/>
      </c>
      <c r="CD326" s="30" t="inlineStr">
        <is>
          <t>Yes Upto 10%</t>
        </is>
      </c>
      <c r="CE326" s="30">
        <f>IF(CD326="Yes, more than 10%",-10,IF(CD326="No",10,0))</f>
        <v/>
      </c>
    </row>
    <row r="327">
      <c r="A327" s="30">
        <f>IF(B327=0,"",RANK(B327,$B$2:$B$331,0))</f>
        <v/>
      </c>
      <c r="B327" s="31">
        <f>SUM(N327,Y327,AA327,AC327,AE327,AG327,AI327,AK327,AM327,AO327,AQ327,AS327,AU327,AW327,AY327,BA327,BC327,BE327,BG327,BI327,BK327,BM327,BO327,BQ327,BS327,BU327,BW327,BY327,CA327,CC327,CE327)</f>
        <v/>
      </c>
      <c r="C327" s="30" t="inlineStr">
        <is>
          <t>FLUOROCHEM</t>
        </is>
      </c>
      <c r="D327" s="30" t="inlineStr">
        <is>
          <t>Gujarat Fluorochemicals Ltd</t>
        </is>
      </c>
      <c r="E327" s="30" t="inlineStr">
        <is>
          <t>chemicals</t>
        </is>
      </c>
      <c r="F327" s="30" t="inlineStr">
        <is>
          <t>chemicals</t>
        </is>
      </c>
      <c r="G327" s="30" t="inlineStr">
        <is>
          <t>largecap</t>
        </is>
      </c>
      <c r="H327" s="31" t="n">
        <v>52231.48</v>
      </c>
      <c r="I327" s="31" t="n">
        <v>4786.3</v>
      </c>
      <c r="J327" s="31" t="n">
        <v>0.66</v>
      </c>
      <c r="K327" s="31" t="n">
        <v>170274</v>
      </c>
      <c r="L327" s="30" t="n">
        <v>41</v>
      </c>
      <c r="M327" s="30" t="inlineStr">
        <is>
          <t>Outperforming</t>
        </is>
      </c>
      <c r="N327" s="31">
        <f>IF(M327="Underperforming",-5,IF(L327&gt;=95,15,IF(L327&gt;=90,10,IF(L327&gt;=80,5,0))))</f>
        <v/>
      </c>
      <c r="O327" s="31" t="n">
        <v>67.15000000000001</v>
      </c>
      <c r="P327" s="31" t="n">
        <v>40.13</v>
      </c>
      <c r="Q327" s="31" t="n">
        <v>3900.83</v>
      </c>
      <c r="R327" s="30" t="inlineStr">
        <is>
          <t>Near 52W High Breakout</t>
        </is>
      </c>
      <c r="S327" s="30" t="inlineStr">
        <is>
          <t>Nifty 500</t>
        </is>
      </c>
      <c r="T327" s="31" t="n">
        <v>-1.03</v>
      </c>
      <c r="U327" s="31" t="n">
        <v>28.91</v>
      </c>
      <c r="V327" s="31" t="n">
        <v>30.25</v>
      </c>
      <c r="W327" s="31" t="n">
        <v>12.57</v>
      </c>
      <c r="X327" s="30" t="inlineStr">
        <is>
          <t>Growing Industry</t>
        </is>
      </c>
      <c r="Y327" s="30">
        <f>IF(X327="Growing Industry",10,IF(X327="Cyclical in an Upturn",5,0))</f>
        <v/>
      </c>
      <c r="Z327" s="30" t="inlineStr">
        <is>
          <t>Oligopoly</t>
        </is>
      </c>
      <c r="AA327" s="30">
        <f>IF(Z327="Monopoly",10,IF(Z327="Oligopoly",5,IF(Z327="Duopoly that cooperate",10,IF(Z327="Duopoly that compete",5,IF(Z327="Too many players with High ROCE",5,0)))))</f>
        <v/>
      </c>
      <c r="AB327" s="30" t="inlineStr">
        <is>
          <t>No</t>
        </is>
      </c>
      <c r="AC327" s="30">
        <f>IF(AB327="No",5,0)</f>
        <v/>
      </c>
      <c r="AD327" s="30" t="inlineStr">
        <is>
          <t>Tailwind</t>
        </is>
      </c>
      <c r="AE327" s="30">
        <f>IF(AD327="Tailwind",10,0)</f>
        <v/>
      </c>
      <c r="AF327" s="30" t="inlineStr">
        <is>
          <t>Shallow Cyclical (2 to 3 Years Growth)</t>
        </is>
      </c>
      <c r="AG327" s="30">
        <f>IF(AF327="Structural (10 Years Consistency)",10,IF(AF327="Shallow Cyclical (2 to 3 years growth)",5,0))</f>
        <v/>
      </c>
      <c r="AH327" s="30" t="inlineStr">
        <is>
          <t>Yes due to Product Mix change or Operating Leverage</t>
        </is>
      </c>
      <c r="AI327" s="30">
        <f>IF(AH327="Yes due to Product Mix change or Operating Leverage",10,IF(AH327="Yes, these are peak margins",-5,IF(AH327="No",5,0)))</f>
        <v/>
      </c>
      <c r="AJ327" s="30" t="inlineStr">
        <is>
          <t>Volatile</t>
        </is>
      </c>
      <c r="AK327" s="30">
        <f>IF(AJ327="Stable",10,0)</f>
        <v/>
      </c>
      <c r="AL327" s="30" t="inlineStr">
        <is>
          <t>Yes</t>
        </is>
      </c>
      <c r="AM327" s="30">
        <f>IF(AL327="Yes",10,0)</f>
        <v/>
      </c>
      <c r="AN327" s="30" t="inlineStr">
        <is>
          <t>B2B</t>
        </is>
      </c>
      <c r="AO327" s="30">
        <f>IF(AN327="B2C",10,IF(AN327="B2B",5,0))</f>
        <v/>
      </c>
      <c r="AP327" s="30" t="inlineStr">
        <is>
          <t>Yes</t>
        </is>
      </c>
      <c r="AQ327" s="30">
        <f>IF(AP327="Yes",10,0)</f>
        <v/>
      </c>
      <c r="AR327" s="30" t="inlineStr">
        <is>
          <t>Higher One Time, Lower Annuity</t>
        </is>
      </c>
      <c r="AS327" s="30">
        <f>IF(AR327="Fully Annuity",10,IF(AR327="Higher Annuity, Lower One Time",5,IF(AR327="Higher One Time, Lower Annuity",3,0)))</f>
        <v/>
      </c>
      <c r="AT327" s="30" t="inlineStr">
        <is>
          <t>Allocated capital in Non-core Areas</t>
        </is>
      </c>
      <c r="AU327" s="30">
        <f>IF(AT327="Good",10,0)</f>
        <v/>
      </c>
      <c r="AV327" s="30" t="inlineStr">
        <is>
          <t>Yes for more than 2 years</t>
        </is>
      </c>
      <c r="AW327" s="30">
        <f>IF(AV327="Yes for more than 2 years",10,IF(AV327="Yes only for next 1 to 2 years",5,0))</f>
        <v/>
      </c>
      <c r="AX327" s="30" t="inlineStr">
        <is>
          <t>Above 40</t>
        </is>
      </c>
      <c r="AY327" s="30">
        <f>IF(AX327="Above 40",20,IF(AX327="20 to 40",10,IF(AX327="0 to 20",-5,0)))</f>
        <v/>
      </c>
      <c r="AZ327" s="30" t="inlineStr">
        <is>
          <t>Between 50 to 75</t>
        </is>
      </c>
      <c r="BA327" s="30">
        <f>IF(AZ327="Between 50 to 75",10,IF(AZ327="Above 75",0,0))</f>
        <v/>
      </c>
      <c r="BB327" s="30" t="inlineStr">
        <is>
          <t>Stage 3</t>
        </is>
      </c>
      <c r="BC327" s="30">
        <f>IF(BB327="Stage 2",20,IF(BB327="Stage 1",0,IF(BB327="Stage 3",5,IF(BB327="Stage 4",-5,0))))</f>
        <v/>
      </c>
      <c r="BD327" s="30" t="inlineStr">
        <is>
          <t>Negative Trend</t>
        </is>
      </c>
      <c r="BE327" s="30">
        <f>IF(BD327="Positive Trend",20,IF(BD327="Negative Trend",-10,0))</f>
        <v/>
      </c>
      <c r="BF327" s="30" t="inlineStr">
        <is>
          <t>Sideways</t>
        </is>
      </c>
      <c r="BG327" s="30">
        <f>IF(BF327="Uptrend",10,IF(BF327="Sideways",5,0))</f>
        <v/>
      </c>
      <c r="BH327" s="30" t="inlineStr">
        <is>
          <t>Uptrend</t>
        </is>
      </c>
      <c r="BI327" s="30">
        <f>IF(BH327="Uptrend",10,IF(BH327="Sideways",5,0))</f>
        <v/>
      </c>
      <c r="BJ327" s="30" t="inlineStr">
        <is>
          <t>Overhead supply in last 2 years in last 2 years</t>
        </is>
      </c>
      <c r="BK327" s="30">
        <f>IF(BJ327="Overhead supply in last 2 years in last 2 years",-5,IF(BJ327="Close to 52 week high or retracement",5,IF(BJ327="Blue sky scenario",10,IF(BJ327="Long term Downtrend",-10,0))))</f>
        <v/>
      </c>
      <c r="BL327" s="30" t="inlineStr">
        <is>
          <t>Yes</t>
        </is>
      </c>
      <c r="BM327" s="30">
        <f>IF(BL327="Yes",10,0)</f>
        <v/>
      </c>
      <c r="BN327" s="30" t="inlineStr">
        <is>
          <t>More than 20%</t>
        </is>
      </c>
      <c r="BO327" s="30">
        <f>IF(BN327="More than 20%",10,IF(BN327="Between 12 to 20%",5,IF(BN327="Less than 12%",0,0)))</f>
        <v/>
      </c>
      <c r="BP327" s="30" t="inlineStr">
        <is>
          <t>No</t>
        </is>
      </c>
      <c r="BQ327" s="30">
        <f>IF(BP327="No",10,0)</f>
        <v/>
      </c>
      <c r="BR327" s="30" t="inlineStr">
        <is>
          <t>No</t>
        </is>
      </c>
      <c r="BS327" s="30">
        <f>IF(BR327="NO",5,0)</f>
        <v/>
      </c>
      <c r="BT327" s="30" t="inlineStr">
        <is>
          <t>Less than 1.5</t>
        </is>
      </c>
      <c r="BU327" s="30">
        <f>IF(BT327="Above 2",0,IF(BT327="Between 1.5 to 2",5,IF(BT327="Less than 1.5",10,0)))</f>
        <v/>
      </c>
      <c r="BV327" s="30" t="inlineStr">
        <is>
          <t>Above 70%</t>
        </is>
      </c>
      <c r="BW327" s="30">
        <f>IF(BV327="Above 70%",10,IF(BV327="Between 50% to 70%",5,IF(BV327="Less than 50%",0,IF(BV327="Negative",-10,IF(BV327="Less than 50% and Borrowings are increasing",-5,0)))))</f>
        <v/>
      </c>
      <c r="BX327" s="30" t="inlineStr">
        <is>
          <t>Less than 0.7</t>
        </is>
      </c>
      <c r="BY327" s="30">
        <f>IF(BX327="More than 1.2",-10,IF(BX327="Between 0.7 to 1.2",0,IF(BX327="Less than 0.7",10,0)))</f>
        <v/>
      </c>
      <c r="BZ327" s="30" t="inlineStr">
        <is>
          <t>No</t>
        </is>
      </c>
      <c r="CA327" s="30">
        <f>IF(BZ327="Yes",-10,0)</f>
        <v/>
      </c>
      <c r="CB327" s="30" t="inlineStr">
        <is>
          <t>More than 15%</t>
        </is>
      </c>
      <c r="CC327" s="30">
        <f>IF(CB327="More than 15%",-10,IF(CB327="Less than 15%",10,0))</f>
        <v/>
      </c>
      <c r="CD327" s="30" t="inlineStr">
        <is>
          <t>Yes Upto 10%</t>
        </is>
      </c>
      <c r="CE327" s="30">
        <f>IF(CD327="Yes, more than 10%",-10,IF(CD327="No",10,0))</f>
        <v/>
      </c>
    </row>
    <row r="328">
      <c r="A328" s="30">
        <f>IF(B328=0,"",RANK(B328,$B$2:$B$331,0))</f>
        <v/>
      </c>
      <c r="B328" s="31">
        <f>SUM(N328,Y328,AA328,AC328,AE328,AG328,AI328,AK328,AM328,AO328,AQ328,AS328,AU328,AW328,AY328,BA328,BC328,BE328,BG328,BI328,BK328,BM328,BO328,BQ328,BS328,BU328,BW328,BY328,CA328,CC328,CE328)</f>
        <v/>
      </c>
      <c r="C328" s="30" t="inlineStr">
        <is>
          <t>UNITEDPOLY</t>
        </is>
      </c>
      <c r="D328" s="30" t="inlineStr">
        <is>
          <t>United Polyfab Gujarat Ltd</t>
        </is>
      </c>
      <c r="E328" s="30" t="inlineStr">
        <is>
          <t>textiles</t>
        </is>
      </c>
      <c r="F328" s="30" t="inlineStr">
        <is>
          <t>textiles - products</t>
        </is>
      </c>
      <c r="G328" s="30" t="inlineStr">
        <is>
          <t>smallcap</t>
        </is>
      </c>
      <c r="H328" s="31" t="n">
        <v>985.3099999999999</v>
      </c>
      <c r="I328" s="31" t="n">
        <v>43.07</v>
      </c>
      <c r="J328" s="31" t="n">
        <v>0.33</v>
      </c>
      <c r="K328" s="31" t="n">
        <v>88234</v>
      </c>
      <c r="L328" s="30" t="n">
        <v>37</v>
      </c>
      <c r="M328" s="30" t="inlineStr">
        <is>
          <t>Outperforming</t>
        </is>
      </c>
      <c r="N328" s="31">
        <f>IF(M328="Underperforming",-5,IF(L328&gt;=95,15,IF(L328&gt;=90,10,IF(L328&gt;=80,5,0))))</f>
        <v/>
      </c>
      <c r="O328" s="31" t="n">
        <v>70.94</v>
      </c>
      <c r="P328" s="31" t="n">
        <v>18.89</v>
      </c>
      <c r="Q328" s="31" t="n">
        <v>31.04</v>
      </c>
      <c r="R328" s="30" t="inlineStr">
        <is>
          <t>Earnings / Momentum Support</t>
        </is>
      </c>
      <c r="S328" s="30" t="inlineStr">
        <is>
          <t>Nifty 50</t>
        </is>
      </c>
      <c r="T328" s="31" t="n">
        <v>-6.52</v>
      </c>
      <c r="U328" s="31" t="n">
        <v>18.52</v>
      </c>
      <c r="V328" s="31" t="n">
        <v>26.78</v>
      </c>
      <c r="W328" s="31" t="n">
        <v>11.49</v>
      </c>
      <c r="X328" s="30" t="inlineStr">
        <is>
          <t>Growing Industry</t>
        </is>
      </c>
      <c r="Y328" s="30">
        <f>IF(X328="Growing Industry",10,IF(X328="Cyclical in an Upturn",5,0))</f>
        <v/>
      </c>
      <c r="Z328" s="30" t="inlineStr">
        <is>
          <t>Oligopoly</t>
        </is>
      </c>
      <c r="AA328" s="30">
        <f>IF(Z328="Monopoly",10,IF(Z328="Oligopoly",5,IF(Z328="Duopoly that cooperate",10,IF(Z328="Duopoly that compete",5,IF(Z328="Too many players with High ROCE",5,0)))))</f>
        <v/>
      </c>
      <c r="AB328" s="30" t="inlineStr">
        <is>
          <t>No</t>
        </is>
      </c>
      <c r="AC328" s="30">
        <f>IF(AB328="No",5,0)</f>
        <v/>
      </c>
      <c r="AD328" s="30" t="inlineStr">
        <is>
          <t>Tailwind</t>
        </is>
      </c>
      <c r="AE328" s="30">
        <f>IF(AD328="Tailwind",10,0)</f>
        <v/>
      </c>
      <c r="AF328" s="30" t="inlineStr">
        <is>
          <t>Shallow Cyclical (2 to 3 Years Growth)</t>
        </is>
      </c>
      <c r="AG328" s="30">
        <f>IF(AF328="Structural (10 Years Consistency)",10,IF(AF328="Shallow Cyclical (2 to 3 years growth)",5,0))</f>
        <v/>
      </c>
      <c r="AH328" s="30" t="inlineStr">
        <is>
          <t>Yes due to Product Mix change or Operating Leverage</t>
        </is>
      </c>
      <c r="AI328" s="30">
        <f>IF(AH328="Yes due to Product Mix change or Operating Leverage",10,IF(AH328="Yes, these are peak margins",-5,IF(AH328="No",5,0)))</f>
        <v/>
      </c>
      <c r="AJ328" s="30" t="inlineStr">
        <is>
          <t>Volatile</t>
        </is>
      </c>
      <c r="AK328" s="30">
        <f>IF(AJ328="Stable",10,0)</f>
        <v/>
      </c>
      <c r="AL328" s="30" t="inlineStr">
        <is>
          <t>Yes</t>
        </is>
      </c>
      <c r="AM328" s="30">
        <f>IF(AL328="Yes",10,0)</f>
        <v/>
      </c>
      <c r="AN328" s="30" t="inlineStr">
        <is>
          <t>B2B</t>
        </is>
      </c>
      <c r="AO328" s="30">
        <f>IF(AN328="B2C",10,IF(AN328="B2B",5,0))</f>
        <v/>
      </c>
      <c r="AP328" s="30" t="inlineStr">
        <is>
          <t>Yes</t>
        </is>
      </c>
      <c r="AQ328" s="30">
        <f>IF(AP328="Yes",10,0)</f>
        <v/>
      </c>
      <c r="AR328" s="30" t="inlineStr">
        <is>
          <t>Higher One Time, Lower Annuity</t>
        </is>
      </c>
      <c r="AS328" s="30">
        <f>IF(AR328="Fully Annuity",10,IF(AR328="Higher Annuity, Lower One Time",5,IF(AR328="Higher One Time, Lower Annuity",3,0)))</f>
        <v/>
      </c>
      <c r="AT328" s="30" t="inlineStr">
        <is>
          <t>Allocated capital in Non-core Areas</t>
        </is>
      </c>
      <c r="AU328" s="30">
        <f>IF(AT328="Good",10,0)</f>
        <v/>
      </c>
      <c r="AV328" s="30" t="inlineStr">
        <is>
          <t>Yes for more than 2 years</t>
        </is>
      </c>
      <c r="AW328" s="30">
        <f>IF(AV328="Yes for more than 2 years",10,IF(AV328="Yes only for next 1 to 2 years",5,0))</f>
        <v/>
      </c>
      <c r="AX328" s="30" t="inlineStr">
        <is>
          <t>Above 40</t>
        </is>
      </c>
      <c r="AY328" s="30">
        <f>IF(AX328="Above 40",20,IF(AX328="20 to 40",10,IF(AX328="0 to 20",-5,0)))</f>
        <v/>
      </c>
      <c r="AZ328" s="30" t="inlineStr">
        <is>
          <t>Between 50 to 75</t>
        </is>
      </c>
      <c r="BA328" s="30">
        <f>IF(AZ328="Between 50 to 75",10,IF(AZ328="Above 75",0,0))</f>
        <v/>
      </c>
      <c r="BB328" s="30" t="inlineStr">
        <is>
          <t>Stage 3</t>
        </is>
      </c>
      <c r="BC328" s="30">
        <f>IF(BB328="Stage 2",20,IF(BB328="Stage 1",0,IF(BB328="Stage 3",5,IF(BB328="Stage 4",-5,0))))</f>
        <v/>
      </c>
      <c r="BD328" s="30" t="inlineStr">
        <is>
          <t>Negative Trend</t>
        </is>
      </c>
      <c r="BE328" s="30">
        <f>IF(BD328="Positive Trend",20,IF(BD328="Negative Trend",-10,0))</f>
        <v/>
      </c>
      <c r="BF328" s="30" t="inlineStr">
        <is>
          <t>Sideways</t>
        </is>
      </c>
      <c r="BG328" s="30">
        <f>IF(BF328="Uptrend",10,IF(BF328="Sideways",5,0))</f>
        <v/>
      </c>
      <c r="BH328" s="30" t="inlineStr">
        <is>
          <t>Uptrend</t>
        </is>
      </c>
      <c r="BI328" s="30">
        <f>IF(BH328="Uptrend",10,IF(BH328="Sideways",5,0))</f>
        <v/>
      </c>
      <c r="BJ328" s="30" t="inlineStr">
        <is>
          <t>Overhead supply in last 2 years in last 2 years</t>
        </is>
      </c>
      <c r="BK328" s="30">
        <f>IF(BJ328="Overhead supply in last 2 years in last 2 years",-5,IF(BJ328="Close to 52 week high or retracement",5,IF(BJ328="Blue sky scenario",10,IF(BJ328="Long term Downtrend",-10,0))))</f>
        <v/>
      </c>
      <c r="BL328" s="30" t="inlineStr">
        <is>
          <t>Yes</t>
        </is>
      </c>
      <c r="BM328" s="30">
        <f>IF(BL328="Yes",10,0)</f>
        <v/>
      </c>
      <c r="BN328" s="30" t="inlineStr">
        <is>
          <t>More than 20%</t>
        </is>
      </c>
      <c r="BO328" s="30">
        <f>IF(BN328="More than 20%",10,IF(BN328="Between 12 to 20%",5,IF(BN328="Less than 12%",0,0)))</f>
        <v/>
      </c>
      <c r="BP328" s="30" t="inlineStr">
        <is>
          <t>No</t>
        </is>
      </c>
      <c r="BQ328" s="30">
        <f>IF(BP328="No",10,0)</f>
        <v/>
      </c>
      <c r="BR328" s="30" t="inlineStr">
        <is>
          <t>No</t>
        </is>
      </c>
      <c r="BS328" s="30">
        <f>IF(BR328="NO",5,0)</f>
        <v/>
      </c>
      <c r="BT328" s="30" t="inlineStr">
        <is>
          <t>Less than 1.5</t>
        </is>
      </c>
      <c r="BU328" s="30">
        <f>IF(BT328="Above 2",0,IF(BT328="Between 1.5 to 2",5,IF(BT328="Less than 1.5",10,0)))</f>
        <v/>
      </c>
      <c r="BV328" s="30" t="inlineStr">
        <is>
          <t>Above 70%</t>
        </is>
      </c>
      <c r="BW328" s="30">
        <f>IF(BV328="Above 70%",10,IF(BV328="Between 50% to 70%",5,IF(BV328="Less than 50%",0,IF(BV328="Negative",-10,IF(BV328="Less than 50% and Borrowings are increasing",-5,0)))))</f>
        <v/>
      </c>
      <c r="BX328" s="30" t="inlineStr">
        <is>
          <t>Less than 0.7</t>
        </is>
      </c>
      <c r="BY328" s="30">
        <f>IF(BX328="More than 1.2",-10,IF(BX328="Between 0.7 to 1.2",0,IF(BX328="Less than 0.7",10,0)))</f>
        <v/>
      </c>
      <c r="BZ328" s="30" t="inlineStr">
        <is>
          <t>No</t>
        </is>
      </c>
      <c r="CA328" s="30">
        <f>IF(BZ328="Yes",-10,0)</f>
        <v/>
      </c>
      <c r="CB328" s="30" t="inlineStr">
        <is>
          <t>More than 15%</t>
        </is>
      </c>
      <c r="CC328" s="30">
        <f>IF(CB328="More than 15%",-10,IF(CB328="Less than 15%",10,0))</f>
        <v/>
      </c>
      <c r="CD328" s="30" t="inlineStr">
        <is>
          <t>Yes Upto 10%</t>
        </is>
      </c>
      <c r="CE328" s="30">
        <f>IF(CD328="Yes, more than 10%",-10,IF(CD328="No",10,0))</f>
        <v/>
      </c>
    </row>
    <row r="329">
      <c r="A329" s="30">
        <f>IF(B329=0,"",RANK(B329,$B$2:$B$331,0))</f>
        <v/>
      </c>
      <c r="B329" s="31">
        <f>SUM(N329,Y329,AA329,AC329,AE329,AG329,AI329,AK329,AM329,AO329,AQ329,AS329,AU329,AW329,AY329,BA329,BC329,BE329,BG329,BI329,BK329,BM329,BO329,BQ329,BS329,BU329,BW329,BY329,CA329,CC329,CE329)</f>
        <v/>
      </c>
      <c r="C329" s="30" t="inlineStr">
        <is>
          <t>GIPCL</t>
        </is>
      </c>
      <c r="D329" s="30" t="inlineStr">
        <is>
          <t>Gujarat Industries Power Company Limited</t>
        </is>
      </c>
      <c r="E329" s="30" t="inlineStr">
        <is>
          <t>power &amp; utilities</t>
        </is>
      </c>
      <c r="F329" s="30" t="inlineStr">
        <is>
          <t>power generation and supply</t>
        </is>
      </c>
      <c r="G329" s="30" t="inlineStr">
        <is>
          <t>smallcap</t>
        </is>
      </c>
      <c r="H329" s="31" t="n">
        <v>3120.46</v>
      </c>
      <c r="I329" s="31" t="n">
        <v>201.3</v>
      </c>
      <c r="J329" s="31" t="n">
        <v>0.13</v>
      </c>
      <c r="K329" s="31" t="n">
        <v>352513</v>
      </c>
      <c r="L329" s="30" t="n">
        <v>26</v>
      </c>
      <c r="M329" s="30" t="inlineStr">
        <is>
          <t>Outperforming</t>
        </is>
      </c>
      <c r="N329" s="31">
        <f>IF(M329="Underperforming",-5,IF(L329&gt;=95,15,IF(L329&gt;=90,10,IF(L329&gt;=80,5,0))))</f>
        <v/>
      </c>
      <c r="O329" s="31" t="n">
        <v>68.84999999999999</v>
      </c>
      <c r="P329" s="31" t="n">
        <v>21.28</v>
      </c>
      <c r="Q329" s="31" t="n">
        <v>167.51</v>
      </c>
      <c r="R329" s="30" t="inlineStr">
        <is>
          <t>Near 52W High Breakout</t>
        </is>
      </c>
      <c r="S329" s="30" t="inlineStr">
        <is>
          <t>Nifty IT</t>
        </is>
      </c>
      <c r="T329" s="31" t="n">
        <v>-19.99</v>
      </c>
      <c r="U329" s="31" t="n">
        <v>7.78</v>
      </c>
      <c r="V329" s="31" t="n">
        <v>34.71</v>
      </c>
      <c r="W329" s="31" t="n">
        <v>8.199999999999999</v>
      </c>
      <c r="X329" s="30" t="inlineStr">
        <is>
          <t>Growing Industry</t>
        </is>
      </c>
      <c r="Y329" s="30">
        <f>IF(X329="Growing Industry",10,IF(X329="Cyclical in an Upturn",5,0))</f>
        <v/>
      </c>
      <c r="Z329" s="30" t="inlineStr">
        <is>
          <t>Oligopoly</t>
        </is>
      </c>
      <c r="AA329" s="30">
        <f>IF(Z329="Monopoly",10,IF(Z329="Oligopoly",5,IF(Z329="Duopoly that cooperate",10,IF(Z329="Duopoly that compete",5,IF(Z329="Too many players with High ROCE",5,0)))))</f>
        <v/>
      </c>
      <c r="AB329" s="30" t="inlineStr">
        <is>
          <t>No</t>
        </is>
      </c>
      <c r="AC329" s="30">
        <f>IF(AB329="No",5,0)</f>
        <v/>
      </c>
      <c r="AD329" s="30" t="inlineStr">
        <is>
          <t>Tailwind</t>
        </is>
      </c>
      <c r="AE329" s="30">
        <f>IF(AD329="Tailwind",10,0)</f>
        <v/>
      </c>
      <c r="AF329" s="30" t="inlineStr">
        <is>
          <t>Shallow Cyclical (2 to 3 Years Growth)</t>
        </is>
      </c>
      <c r="AG329" s="30">
        <f>IF(AF329="Structural (10 Years Consistency)",10,IF(AF329="Shallow Cyclical (2 to 3 years growth)",5,0))</f>
        <v/>
      </c>
      <c r="AH329" s="30" t="inlineStr">
        <is>
          <t>Yes due to Product Mix change or Operating Leverage</t>
        </is>
      </c>
      <c r="AI329" s="30">
        <f>IF(AH329="Yes due to Product Mix change or Operating Leverage",10,IF(AH329="Yes, these are peak margins",-5,IF(AH329="No",5,0)))</f>
        <v/>
      </c>
      <c r="AJ329" s="30" t="inlineStr">
        <is>
          <t>Volatile</t>
        </is>
      </c>
      <c r="AK329" s="30">
        <f>IF(AJ329="Stable",10,0)</f>
        <v/>
      </c>
      <c r="AL329" s="30" t="inlineStr">
        <is>
          <t>Yes</t>
        </is>
      </c>
      <c r="AM329" s="30">
        <f>IF(AL329="Yes",10,0)</f>
        <v/>
      </c>
      <c r="AN329" s="30" t="inlineStr">
        <is>
          <t>B2B</t>
        </is>
      </c>
      <c r="AO329" s="30">
        <f>IF(AN329="B2C",10,IF(AN329="B2B",5,0))</f>
        <v/>
      </c>
      <c r="AP329" s="30" t="inlineStr">
        <is>
          <t>Yes</t>
        </is>
      </c>
      <c r="AQ329" s="30">
        <f>IF(AP329="Yes",10,0)</f>
        <v/>
      </c>
      <c r="AR329" s="30" t="inlineStr">
        <is>
          <t>Higher One Time, Lower Annuity</t>
        </is>
      </c>
      <c r="AS329" s="30">
        <f>IF(AR329="Fully Annuity",10,IF(AR329="Higher Annuity, Lower One Time",5,IF(AR329="Higher One Time, Lower Annuity",3,0)))</f>
        <v/>
      </c>
      <c r="AT329" s="30" t="inlineStr">
        <is>
          <t>Allocated capital in Non-core Areas</t>
        </is>
      </c>
      <c r="AU329" s="30">
        <f>IF(AT329="Good",10,0)</f>
        <v/>
      </c>
      <c r="AV329" s="30" t="inlineStr">
        <is>
          <t>Yes for more than 2 years</t>
        </is>
      </c>
      <c r="AW329" s="30">
        <f>IF(AV329="Yes for more than 2 years",10,IF(AV329="Yes only for next 1 to 2 years",5,0))</f>
        <v/>
      </c>
      <c r="AX329" s="30" t="inlineStr">
        <is>
          <t>Above 40</t>
        </is>
      </c>
      <c r="AY329" s="30">
        <f>IF(AX329="Above 40",20,IF(AX329="20 to 40",10,IF(AX329="0 to 20",-5,0)))</f>
        <v/>
      </c>
      <c r="AZ329" s="30" t="inlineStr">
        <is>
          <t>Between 50 to 75</t>
        </is>
      </c>
      <c r="BA329" s="30">
        <f>IF(AZ329="Between 50 to 75",10,IF(AZ329="Above 75",0,0))</f>
        <v/>
      </c>
      <c r="BB329" s="30" t="inlineStr">
        <is>
          <t>Stage 3</t>
        </is>
      </c>
      <c r="BC329" s="30">
        <f>IF(BB329="Stage 2",20,IF(BB329="Stage 1",0,IF(BB329="Stage 3",5,IF(BB329="Stage 4",-5,0))))</f>
        <v/>
      </c>
      <c r="BD329" s="30" t="inlineStr">
        <is>
          <t>Negative Trend</t>
        </is>
      </c>
      <c r="BE329" s="30">
        <f>IF(BD329="Positive Trend",20,IF(BD329="Negative Trend",-10,0))</f>
        <v/>
      </c>
      <c r="BF329" s="30" t="inlineStr">
        <is>
          <t>Sideways</t>
        </is>
      </c>
      <c r="BG329" s="30">
        <f>IF(BF329="Uptrend",10,IF(BF329="Sideways",5,0))</f>
        <v/>
      </c>
      <c r="BH329" s="30" t="inlineStr">
        <is>
          <t>Uptrend</t>
        </is>
      </c>
      <c r="BI329" s="30">
        <f>IF(BH329="Uptrend",10,IF(BH329="Sideways",5,0))</f>
        <v/>
      </c>
      <c r="BJ329" s="30" t="inlineStr">
        <is>
          <t>Overhead supply in last 2 years in last 2 years</t>
        </is>
      </c>
      <c r="BK329" s="30">
        <f>IF(BJ329="Overhead supply in last 2 years in last 2 years",-5,IF(BJ329="Close to 52 week high or retracement",5,IF(BJ329="Blue sky scenario",10,IF(BJ329="Long term Downtrend",-10,0))))</f>
        <v/>
      </c>
      <c r="BL329" s="30" t="inlineStr">
        <is>
          <t>Yes</t>
        </is>
      </c>
      <c r="BM329" s="30">
        <f>IF(BL329="Yes",10,0)</f>
        <v/>
      </c>
      <c r="BN329" s="30" t="inlineStr">
        <is>
          <t>More than 20%</t>
        </is>
      </c>
      <c r="BO329" s="30">
        <f>IF(BN329="More than 20%",10,IF(BN329="Between 12 to 20%",5,IF(BN329="Less than 12%",0,0)))</f>
        <v/>
      </c>
      <c r="BP329" s="30" t="inlineStr">
        <is>
          <t>No</t>
        </is>
      </c>
      <c r="BQ329" s="30">
        <f>IF(BP329="No",10,0)</f>
        <v/>
      </c>
      <c r="BR329" s="30" t="inlineStr">
        <is>
          <t>No</t>
        </is>
      </c>
      <c r="BS329" s="30">
        <f>IF(BR329="NO",5,0)</f>
        <v/>
      </c>
      <c r="BT329" s="30" t="inlineStr">
        <is>
          <t>Less than 1.5</t>
        </is>
      </c>
      <c r="BU329" s="30">
        <f>IF(BT329="Above 2",0,IF(BT329="Between 1.5 to 2",5,IF(BT329="Less than 1.5",10,0)))</f>
        <v/>
      </c>
      <c r="BV329" s="30" t="inlineStr">
        <is>
          <t>Above 70%</t>
        </is>
      </c>
      <c r="BW329" s="30">
        <f>IF(BV329="Above 70%",10,IF(BV329="Between 50% to 70%",5,IF(BV329="Less than 50%",0,IF(BV329="Negative",-10,IF(BV329="Less than 50% and Borrowings are increasing",-5,0)))))</f>
        <v/>
      </c>
      <c r="BX329" s="30" t="inlineStr">
        <is>
          <t>Less than 0.7</t>
        </is>
      </c>
      <c r="BY329" s="30">
        <f>IF(BX329="More than 1.2",-10,IF(BX329="Between 0.7 to 1.2",0,IF(BX329="Less than 0.7",10,0)))</f>
        <v/>
      </c>
      <c r="BZ329" s="30" t="inlineStr">
        <is>
          <t>No</t>
        </is>
      </c>
      <c r="CA329" s="30">
        <f>IF(BZ329="Yes",-10,0)</f>
        <v/>
      </c>
      <c r="CB329" s="30" t="inlineStr">
        <is>
          <t>More than 15%</t>
        </is>
      </c>
      <c r="CC329" s="30">
        <f>IF(CB329="More than 15%",-10,IF(CB329="Less than 15%",10,0))</f>
        <v/>
      </c>
      <c r="CD329" s="30" t="inlineStr">
        <is>
          <t>Yes Upto 10%</t>
        </is>
      </c>
      <c r="CE329" s="30">
        <f>IF(CD329="Yes, more than 10%",-10,IF(CD329="No",10,0))</f>
        <v/>
      </c>
    </row>
    <row r="330">
      <c r="A330" s="30">
        <f>IF(B330=0,"",RANK(B330,$B$2:$B$331,0))</f>
        <v/>
      </c>
      <c r="B330" s="31">
        <f>SUM(N330,Y330,AA330,AC330,AE330,AG330,AI330,AK330,AM330,AO330,AQ330,AS330,AU330,AW330,AY330,BA330,BC330,BE330,BG330,BI330,BK330,BM330,BO330,BQ330,BS330,BU330,BW330,BY330,CA330,CC330,CE330)</f>
        <v/>
      </c>
      <c r="C330" s="32" t="inlineStr">
        <is>
          <t>COALINDIA</t>
        </is>
      </c>
      <c r="D330" s="32" t="inlineStr">
        <is>
          <t>Coal India Limited</t>
        </is>
      </c>
      <c r="E330" s="30" t="inlineStr">
        <is>
          <t>metals &amp; mining</t>
        </is>
      </c>
      <c r="F330" s="30" t="inlineStr">
        <is>
          <t>mining / minerals / metals</t>
        </is>
      </c>
      <c r="G330" s="30" t="inlineStr">
        <is>
          <t>largecap</t>
        </is>
      </c>
      <c r="H330" s="31" t="n">
        <v>265613.59</v>
      </c>
      <c r="I330" s="31" t="n">
        <v>432</v>
      </c>
      <c r="J330" s="31" t="n">
        <v>0.23</v>
      </c>
      <c r="K330" s="31" t="n">
        <v>8811171</v>
      </c>
      <c r="L330" s="30" t="n">
        <v>12</v>
      </c>
      <c r="M330" s="30" t="inlineStr">
        <is>
          <t>Underperforming</t>
        </is>
      </c>
      <c r="N330" s="31">
        <f>IF(M330="Underperforming",-5,IF(L330&gt;=95,15,IF(L330&gt;=90,10,IF(L330&gt;=80,5,0))))</f>
        <v/>
      </c>
      <c r="O330" s="31" t="n">
        <v>55.36</v>
      </c>
      <c r="P330" s="31" t="n">
        <v>10.61</v>
      </c>
      <c r="Q330" s="31" t="n">
        <v>377.98</v>
      </c>
      <c r="R330" s="30" t="inlineStr">
        <is>
          <t>Earnings / Momentum Support</t>
        </is>
      </c>
      <c r="S330" s="30" t="inlineStr">
        <is>
          <t>Nifty Metal</t>
        </is>
      </c>
      <c r="T330" s="31" t="n">
        <v>41.17</v>
      </c>
      <c r="U330" s="31" t="n">
        <v>24.6</v>
      </c>
      <c r="V330" s="31" t="n">
        <v>-11.73</v>
      </c>
      <c r="W330" s="31" t="n">
        <v>4.07</v>
      </c>
      <c r="X330" s="30" t="inlineStr">
        <is>
          <t>Cyclical in an Upturn</t>
        </is>
      </c>
      <c r="Y330" s="30">
        <f>IF(X330="Growing Industry",10,IF(X330="Cyclical in an Upturn",5,0))</f>
        <v/>
      </c>
      <c r="Z330" s="30" t="inlineStr">
        <is>
          <t>Too Many Players with High ROCE</t>
        </is>
      </c>
      <c r="AA330" s="30">
        <f>IF(Z330="Monopoly",10,IF(Z330="Oligopoly",5,IF(Z330="Duopoly that cooperate",10,IF(Z330="Duopoly that compete",5,IF(Z330="Too many players with High ROCE",5,0)))))</f>
        <v/>
      </c>
      <c r="AB330" s="30" t="inlineStr">
        <is>
          <t>No</t>
        </is>
      </c>
      <c r="AC330" s="30">
        <f>IF(AB330="No",5,0)</f>
        <v/>
      </c>
      <c r="AD330" s="30" t="inlineStr">
        <is>
          <t>Headwind</t>
        </is>
      </c>
      <c r="AE330" s="30">
        <f>IF(AD330="Tailwind",10,0)</f>
        <v/>
      </c>
      <c r="AF330" s="30" t="inlineStr">
        <is>
          <t>Cyclical</t>
        </is>
      </c>
      <c r="AG330" s="30">
        <f>IF(AF330="Structural (10 Years Consistency)",10,IF(AF330="Shallow Cyclical (2 to 3 years growth)",5,0))</f>
        <v/>
      </c>
      <c r="AH330" s="30" t="inlineStr">
        <is>
          <t>No</t>
        </is>
      </c>
      <c r="AI330" s="30">
        <f>IF(AH330="Yes due to Product Mix change or Operating Leverage",10,IF(AH330="Yes, these are peak margins",-5,IF(AH330="No",5,0)))</f>
        <v/>
      </c>
      <c r="AJ330" s="30" t="inlineStr">
        <is>
          <t>Volatile</t>
        </is>
      </c>
      <c r="AK330" s="30">
        <f>IF(AJ330="Stable",10,0)</f>
        <v/>
      </c>
      <c r="AL330" s="30" t="inlineStr">
        <is>
          <t>Yes</t>
        </is>
      </c>
      <c r="AM330" s="30">
        <f>IF(AL330="Yes",10,0)</f>
        <v/>
      </c>
      <c r="AN330" s="30" t="inlineStr">
        <is>
          <t>B2B</t>
        </is>
      </c>
      <c r="AO330" s="30">
        <f>IF(AN330="B2C",10,IF(AN330="B2B",5,0))</f>
        <v/>
      </c>
      <c r="AP330" s="30" t="inlineStr">
        <is>
          <t>No</t>
        </is>
      </c>
      <c r="AQ330" s="30">
        <f>IF(AP330="Yes",10,0)</f>
        <v/>
      </c>
      <c r="AR330" s="30" t="inlineStr">
        <is>
          <t>Higher One Time, Lower Annuity</t>
        </is>
      </c>
      <c r="AS330" s="30">
        <f>IF(AR330="Fully Annuity",10,IF(AR330="Higher Annuity, Lower One Time",5,IF(AR330="Higher One Time, Lower Annuity",3,0)))</f>
        <v/>
      </c>
      <c r="AT330" s="30" t="inlineStr">
        <is>
          <t>Good</t>
        </is>
      </c>
      <c r="AU330" s="30">
        <f>IF(AT330="Good",10,0)</f>
        <v/>
      </c>
      <c r="AV330" s="30" t="inlineStr">
        <is>
          <t>Yes for more than 2 years</t>
        </is>
      </c>
      <c r="AW330" s="30">
        <f>IF(AV330="Yes for more than 2 years",10,IF(AV330="Yes only for next 1 to 2 years",5,0))</f>
        <v/>
      </c>
      <c r="AX330" s="30" t="inlineStr">
        <is>
          <t>0 to 20</t>
        </is>
      </c>
      <c r="AY330" s="30">
        <f>IF(AX330="Above 40",20,IF(AX330="20 to 40",10,IF(AX330="0 to 20",-5,0)))</f>
        <v/>
      </c>
      <c r="AZ330" s="30" t="inlineStr">
        <is>
          <t>Between 50 to 75</t>
        </is>
      </c>
      <c r="BA330" s="30">
        <f>IF(AZ330="Between 50 to 75",10,IF(AZ330="Above 75",0,0))</f>
        <v/>
      </c>
      <c r="BB330" s="30" t="inlineStr">
        <is>
          <t>Stage 1</t>
        </is>
      </c>
      <c r="BC330" s="30">
        <f>IF(BB330="Stage 2",20,IF(BB330="Stage 1",0,IF(BB330="Stage 3",5,IF(BB330="Stage 4",-5,0))))</f>
        <v/>
      </c>
      <c r="BD330" s="30" t="inlineStr">
        <is>
          <t>Positive Trend</t>
        </is>
      </c>
      <c r="BE330" s="30">
        <f>IF(BD330="Positive Trend",20,IF(BD330="Negative Trend",-10,0))</f>
        <v/>
      </c>
      <c r="BF330" s="30" t="inlineStr">
        <is>
          <t>Uptrend</t>
        </is>
      </c>
      <c r="BG330" s="30">
        <f>IF(BF330="Uptrend",10,IF(BF330="Sideways",5,0))</f>
        <v/>
      </c>
      <c r="BH330" s="30" t="inlineStr">
        <is>
          <t>Uptrend</t>
        </is>
      </c>
      <c r="BI330" s="30">
        <f>IF(BH330="Uptrend",10,IF(BH330="Sideways",5,0))</f>
        <v/>
      </c>
      <c r="BJ330" s="30" t="inlineStr">
        <is>
          <t>Close to 52 week high or retracement</t>
        </is>
      </c>
      <c r="BK330" s="30">
        <f>IF(BJ330="Overhead supply in last 2 years in last 2 years",-5,IF(BJ330="Close to 52 week high or retracement",5,IF(BJ330="Blue sky scenario",10,IF(BJ330="Long term Downtrend",-10,0))))</f>
        <v/>
      </c>
      <c r="BL330" s="30" t="inlineStr">
        <is>
          <t>Yes</t>
        </is>
      </c>
      <c r="BM330" s="30">
        <f>IF(BL330="Yes",10,0)</f>
        <v/>
      </c>
      <c r="BN330" s="30" t="inlineStr">
        <is>
          <t>Less than 12%</t>
        </is>
      </c>
      <c r="BO330" s="30">
        <f>IF(BN330="More than 20%",10,IF(BN330="Between 12 to 20%",5,IF(BN330="Less than 12%",0,0)))</f>
        <v/>
      </c>
      <c r="BP330" s="30" t="inlineStr">
        <is>
          <t>No</t>
        </is>
      </c>
      <c r="BQ330" s="30">
        <f>IF(BP330="No",10,0)</f>
        <v/>
      </c>
      <c r="BR330" s="30" t="inlineStr">
        <is>
          <t>No</t>
        </is>
      </c>
      <c r="BS330" s="30">
        <f>IF(BR330="NO",5,0)</f>
        <v/>
      </c>
      <c r="BT330" s="30" t="inlineStr">
        <is>
          <t>Above 2</t>
        </is>
      </c>
      <c r="BU330" s="30">
        <f>IF(BT330="Above 2",0,IF(BT330="Between 1.5 to 2",5,IF(BT330="Less than 1.5",10,0)))</f>
        <v/>
      </c>
      <c r="BV330" s="30" t="inlineStr">
        <is>
          <t>Above 70%</t>
        </is>
      </c>
      <c r="BW330" s="30">
        <f>IF(BV330="Above 70%",10,IF(BV330="Between 50% to 70%",5,IF(BV330="Less than 50%",0,IF(BV330="Negative",-10,IF(BV330="Less than 50% and Borrowings are increasing",-5,0)))))</f>
        <v/>
      </c>
      <c r="BX330" s="30" t="inlineStr">
        <is>
          <t>Less than 0.7</t>
        </is>
      </c>
      <c r="BY330" s="30">
        <f>IF(BX330="More than 1.2",-10,IF(BX330="Between 0.7 to 1.2",0,IF(BX330="Less than 0.7",10,0)))</f>
        <v/>
      </c>
      <c r="BZ330" s="30" t="inlineStr">
        <is>
          <t>No</t>
        </is>
      </c>
      <c r="CA330" s="30">
        <f>IF(BZ330="Yes",-10,0)</f>
        <v/>
      </c>
      <c r="CB330" s="30" t="inlineStr">
        <is>
          <t>Less than 15%</t>
        </is>
      </c>
      <c r="CC330" s="30">
        <f>IF(CB330="More than 15%",-10,IF(CB330="Less than 15%",10,0))</f>
        <v/>
      </c>
      <c r="CD330" s="30" t="inlineStr">
        <is>
          <t>No</t>
        </is>
      </c>
      <c r="CE330" s="30">
        <f>IF(CD330="Yes, more than 10%",-10,IF(CD330="No",10,0))</f>
        <v/>
      </c>
    </row>
    <row r="331">
      <c r="A331" s="30">
        <f>IF(B331=0,"",RANK(B331,$B$2:$B$331,0))</f>
        <v/>
      </c>
      <c r="B331" s="31">
        <f>SUM(N331,Y331,AA331,AC331,AE331,AG331,AI331,AK331,AM331,AO331,AQ331,AS331,AU331,AW331,AY331,BA331,BC331,BE331,BG331,BI331,BK331,BM331,BO331,BQ331,BS331,BU331,BW331,BY331,CA331,CC331,CE331)</f>
        <v/>
      </c>
      <c r="C331" s="32" t="inlineStr">
        <is>
          <t>GUJTHEM</t>
        </is>
      </c>
      <c r="D331" s="32" t="inlineStr">
        <is>
          <t>Gujarat Themis Biosyn Ltd</t>
        </is>
      </c>
      <c r="E331" s="30" t="inlineStr">
        <is>
          <t>healthcare</t>
        </is>
      </c>
      <c r="F331" s="30" t="inlineStr">
        <is>
          <t>pharmaceuticals - indian - bulk drugs</t>
        </is>
      </c>
      <c r="G331" s="30" t="inlineStr">
        <is>
          <t>smallcap</t>
        </is>
      </c>
      <c r="H331" s="31" t="n">
        <v>4693.68</v>
      </c>
      <c r="I331" s="31" t="n">
        <v>430.1</v>
      </c>
      <c r="J331" s="31" t="n">
        <v>-0.15</v>
      </c>
      <c r="K331" s="31" t="n">
        <v>1458568</v>
      </c>
      <c r="L331" s="30" t="n">
        <v>24</v>
      </c>
      <c r="M331" s="30" t="inlineStr">
        <is>
          <t>Underperforming</t>
        </is>
      </c>
      <c r="N331" s="31">
        <f>IF(M331="Underperforming",-5,IF(L331&gt;=95,15,IF(L331&gt;=90,10,IF(L331&gt;=80,5,0))))</f>
        <v/>
      </c>
      <c r="O331" s="31" t="n">
        <v>64.54000000000001</v>
      </c>
      <c r="P331" s="31" t="n">
        <v>24.88</v>
      </c>
      <c r="Q331" s="31" t="n">
        <v>313.25</v>
      </c>
      <c r="R331" s="30" t="inlineStr">
        <is>
          <t>Volume Spike / Accumulation</t>
        </is>
      </c>
      <c r="S331" s="30" t="inlineStr">
        <is>
          <t>Nifty Pharma</t>
        </is>
      </c>
      <c r="T331" s="31" t="n">
        <v>18.86</v>
      </c>
      <c r="U331" s="31" t="n">
        <v>13.98</v>
      </c>
      <c r="V331" s="31" t="n">
        <v>-4.11</v>
      </c>
      <c r="W331" s="31" t="n">
        <v>7.07</v>
      </c>
      <c r="X331" s="30" t="inlineStr">
        <is>
          <t>Growing Industry</t>
        </is>
      </c>
      <c r="Y331" s="30">
        <f>IF(X331="Growing Industry",10,IF(X331="Cyclical in an Upturn",5,0))</f>
        <v/>
      </c>
      <c r="Z331" s="30" t="inlineStr">
        <is>
          <t>Oligopoly</t>
        </is>
      </c>
      <c r="AA331" s="30">
        <f>IF(Z331="Monopoly",10,IF(Z331="Oligopoly",5,IF(Z331="Duopoly that cooperate",10,IF(Z331="Duopoly that compete",5,IF(Z331="Too many players with High ROCE",5,0)))))</f>
        <v/>
      </c>
      <c r="AB331" s="30" t="inlineStr">
        <is>
          <t>No</t>
        </is>
      </c>
      <c r="AC331" s="30">
        <f>IF(AB331="No",5,0)</f>
        <v/>
      </c>
      <c r="AD331" s="30" t="inlineStr">
        <is>
          <t>Tailwind</t>
        </is>
      </c>
      <c r="AE331" s="30">
        <f>IF(AD331="Tailwind",10,0)</f>
        <v/>
      </c>
      <c r="AF331" s="30" t="inlineStr">
        <is>
          <t>Shallow Cyclical (2 to 3 Years Growth)</t>
        </is>
      </c>
      <c r="AG331" s="30">
        <f>IF(AF331="Structural (10 Years Consistency)",10,IF(AF331="Shallow Cyclical (2 to 3 years growth)",5,0))</f>
        <v/>
      </c>
      <c r="AH331" s="30" t="inlineStr">
        <is>
          <t>Yes due to Product Mix change or Operating Leverage</t>
        </is>
      </c>
      <c r="AI331" s="30">
        <f>IF(AH331="Yes due to Product Mix change or Operating Leverage",10,IF(AH331="Yes, these are peak margins",-5,IF(AH331="No",5,0)))</f>
        <v/>
      </c>
      <c r="AJ331" s="30" t="inlineStr">
        <is>
          <t>Volatile</t>
        </is>
      </c>
      <c r="AK331" s="30">
        <f>IF(AJ331="Stable",10,0)</f>
        <v/>
      </c>
      <c r="AL331" s="30" t="inlineStr">
        <is>
          <t>Yes</t>
        </is>
      </c>
      <c r="AM331" s="30">
        <f>IF(AL331="Yes",10,0)</f>
        <v/>
      </c>
      <c r="AN331" s="30" t="inlineStr">
        <is>
          <t>B2B</t>
        </is>
      </c>
      <c r="AO331" s="30">
        <f>IF(AN331="B2C",10,IF(AN331="B2B",5,0))</f>
        <v/>
      </c>
      <c r="AP331" s="30" t="inlineStr">
        <is>
          <t>Yes</t>
        </is>
      </c>
      <c r="AQ331" s="30">
        <f>IF(AP331="Yes",10,0)</f>
        <v/>
      </c>
      <c r="AR331" s="30" t="inlineStr">
        <is>
          <t>Higher One Time, Lower Annuity</t>
        </is>
      </c>
      <c r="AS331" s="30">
        <f>IF(AR331="Fully Annuity",10,IF(AR331="Higher Annuity, Lower One Time",5,IF(AR331="Higher One Time, Lower Annuity",3,0)))</f>
        <v/>
      </c>
      <c r="AT331" s="30" t="inlineStr">
        <is>
          <t>Allocated capital in Non-core Areas</t>
        </is>
      </c>
      <c r="AU331" s="30">
        <f>IF(AT331="Good",10,0)</f>
        <v/>
      </c>
      <c r="AV331" s="30" t="inlineStr">
        <is>
          <t>Yes for more than 2 years</t>
        </is>
      </c>
      <c r="AW331" s="30">
        <f>IF(AV331="Yes for more than 2 years",10,IF(AV331="Yes only for next 1 to 2 years",5,0))</f>
        <v/>
      </c>
      <c r="AX331" s="30" t="inlineStr">
        <is>
          <t>Above 40</t>
        </is>
      </c>
      <c r="AY331" s="30">
        <f>IF(AX331="Above 40",20,IF(AX331="20 to 40",10,IF(AX331="0 to 20",-5,0)))</f>
        <v/>
      </c>
      <c r="AZ331" s="30" t="inlineStr">
        <is>
          <t>Between 50 to 75</t>
        </is>
      </c>
      <c r="BA331" s="30">
        <f>IF(AZ331="Between 50 to 75",10,IF(AZ331="Above 75",0,0))</f>
        <v/>
      </c>
      <c r="BB331" s="30" t="inlineStr">
        <is>
          <t>Stage 3</t>
        </is>
      </c>
      <c r="BC331" s="30">
        <f>IF(BB331="Stage 2",20,IF(BB331="Stage 1",0,IF(BB331="Stage 3",5,IF(BB331="Stage 4",-5,0))))</f>
        <v/>
      </c>
      <c r="BD331" s="30" t="inlineStr">
        <is>
          <t>Negative Trend</t>
        </is>
      </c>
      <c r="BE331" s="30">
        <f>IF(BD331="Positive Trend",20,IF(BD331="Negative Trend",-10,0))</f>
        <v/>
      </c>
      <c r="BF331" s="30" t="inlineStr">
        <is>
          <t>Sideways</t>
        </is>
      </c>
      <c r="BG331" s="30">
        <f>IF(BF331="Uptrend",10,IF(BF331="Sideways",5,0))</f>
        <v/>
      </c>
      <c r="BH331" s="30" t="inlineStr">
        <is>
          <t>Uptrend</t>
        </is>
      </c>
      <c r="BI331" s="30">
        <f>IF(BH331="Uptrend",10,IF(BH331="Sideways",5,0))</f>
        <v/>
      </c>
      <c r="BJ331" s="30" t="inlineStr">
        <is>
          <t>Overhead supply in last 2 years in last 2 years</t>
        </is>
      </c>
      <c r="BK331" s="30">
        <f>IF(BJ331="Overhead supply in last 2 years in last 2 years",-5,IF(BJ331="Close to 52 week high or retracement",5,IF(BJ331="Blue sky scenario",10,IF(BJ331="Long term Downtrend",-10,0))))</f>
        <v/>
      </c>
      <c r="BL331" s="30" t="inlineStr">
        <is>
          <t>Yes</t>
        </is>
      </c>
      <c r="BM331" s="30">
        <f>IF(BL331="Yes",10,0)</f>
        <v/>
      </c>
      <c r="BN331" s="30" t="inlineStr">
        <is>
          <t>More than 20%</t>
        </is>
      </c>
      <c r="BO331" s="30">
        <f>IF(BN331="More than 20%",10,IF(BN331="Between 12 to 20%",5,IF(BN331="Less than 12%",0,0)))</f>
        <v/>
      </c>
      <c r="BP331" s="30" t="inlineStr">
        <is>
          <t>No</t>
        </is>
      </c>
      <c r="BQ331" s="30">
        <f>IF(BP331="No",10,0)</f>
        <v/>
      </c>
      <c r="BR331" s="30" t="inlineStr">
        <is>
          <t>No</t>
        </is>
      </c>
      <c r="BS331" s="30">
        <f>IF(BR331="NO",5,0)</f>
        <v/>
      </c>
      <c r="BT331" s="30" t="inlineStr">
        <is>
          <t>Less than 1.5</t>
        </is>
      </c>
      <c r="BU331" s="30">
        <f>IF(BT331="Above 2",0,IF(BT331="Between 1.5 to 2",5,IF(BT331="Less than 1.5",10,0)))</f>
        <v/>
      </c>
      <c r="BV331" s="30" t="inlineStr">
        <is>
          <t>Above 70%</t>
        </is>
      </c>
      <c r="BW331" s="30">
        <f>IF(BV331="Above 70%",10,IF(BV331="Between 50% to 70%",5,IF(BV331="Less than 50%",0,IF(BV331="Negative",-10,IF(BV331="Less than 50% and Borrowings are increasing",-5,0)))))</f>
        <v/>
      </c>
      <c r="BX331" s="30" t="inlineStr">
        <is>
          <t>Less than 0.7</t>
        </is>
      </c>
      <c r="BY331" s="30">
        <f>IF(BX331="More than 1.2",-10,IF(BX331="Between 0.7 to 1.2",0,IF(BX331="Less than 0.7",10,0)))</f>
        <v/>
      </c>
      <c r="BZ331" s="30" t="inlineStr">
        <is>
          <t>No</t>
        </is>
      </c>
      <c r="CA331" s="30">
        <f>IF(BZ331="Yes",-10,0)</f>
        <v/>
      </c>
      <c r="CB331" s="30" t="inlineStr">
        <is>
          <t>More than 15%</t>
        </is>
      </c>
      <c r="CC331" s="30">
        <f>IF(CB331="More than 15%",-10,IF(CB331="Less than 15%",10,0))</f>
        <v/>
      </c>
      <c r="CD331" s="30" t="inlineStr">
        <is>
          <t>Yes Upto 10%</t>
        </is>
      </c>
      <c r="CE331" s="30">
        <f>IF(CD331="Yes, more than 10%",-10,IF(CD331="No",10,0))</f>
        <v/>
      </c>
    </row>
  </sheetData>
  <autoFilter ref="A1:CE331"/>
  <conditionalFormatting sqref="B2:B331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3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3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3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3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3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3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3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3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3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3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3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3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3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3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3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3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3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3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31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31">
    <cfRule type="cellIs" priority="36" operator="equal" dxfId="3" stopIfTrue="1">
      <formula>"Underperforming"</formula>
    </cfRule>
  </conditionalFormatting>
  <conditionalFormatting sqref="N2:N331">
    <cfRule type="cellIs" priority="37" operator="equal" dxfId="3" stopIfTrue="1">
      <formula>-5</formula>
    </cfRule>
  </conditionalFormatting>
  <conditionalFormatting sqref="Q2:Q331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31" showDropDown="0" showInputMessage="0" showErrorMessage="0" allowBlank="1" type="list">
      <formula1>"Growing Industry,Stagnant Industry,Cyclical in an Upturn"</formula1>
    </dataValidation>
    <dataValidation sqref="Z2:Z331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31" showDropDown="0" showInputMessage="0" showErrorMessage="0" allowBlank="1" type="list">
      <formula1>"Yes,No"</formula1>
    </dataValidation>
    <dataValidation sqref="AD2:AD331" showDropDown="0" showInputMessage="0" showErrorMessage="0" allowBlank="1" type="list">
      <formula1>"Tailwind,Headwind"</formula1>
    </dataValidation>
    <dataValidation sqref="AF2:AF331" showDropDown="0" showInputMessage="0" showErrorMessage="0" allowBlank="1" type="list">
      <formula1>"Structural (10 Years Consistency),Shallow Cyclical (2 to 3 Years Growth),Cyclical"</formula1>
    </dataValidation>
    <dataValidation sqref="AH2:AH331" showDropDown="0" showInputMessage="0" showErrorMessage="0" allowBlank="1" type="list">
      <formula1>"Yes due to Product Mix change or Operating Leverage,Yes, these are peak margins,No"</formula1>
    </dataValidation>
    <dataValidation sqref="AJ2:AJ331" showDropDown="0" showInputMessage="0" showErrorMessage="0" allowBlank="1" type="list">
      <formula1>"Stable,Volatile"</formula1>
    </dataValidation>
    <dataValidation sqref="AL2:AL331" showDropDown="0" showInputMessage="0" showErrorMessage="0" allowBlank="1" type="list">
      <formula1>"Yes,No"</formula1>
    </dataValidation>
    <dataValidation sqref="AN2:AN331" showDropDown="0" showInputMessage="0" showErrorMessage="0" allowBlank="1" type="list">
      <formula1>"B2C,B2B,B2G"</formula1>
    </dataValidation>
    <dataValidation sqref="AP2:AP331" showDropDown="0" showInputMessage="0" showErrorMessage="0" allowBlank="1" type="list">
      <formula1>"Yes,No"</formula1>
    </dataValidation>
    <dataValidation sqref="AR2:AR331" showDropDown="0" showInputMessage="0" showErrorMessage="0" allowBlank="1" type="list">
      <formula1>"Fully Annuity,Higher Annuity, Lower One time,Higher One Time, Lower Annuity,Fully One Time"</formula1>
    </dataValidation>
    <dataValidation sqref="AT2:AT331" showDropDown="0" showInputMessage="0" showErrorMessage="0" allowBlank="1" type="list">
      <formula1>"Good,Allocated capital in Non-core Areas"</formula1>
    </dataValidation>
    <dataValidation sqref="AV2:AV331" showDropDown="0" showInputMessage="0" showErrorMessage="0" allowBlank="1" type="list">
      <formula1>"Yes for more than 2 years,Yes only for next 1 to 2 years,No"</formula1>
    </dataValidation>
    <dataValidation sqref="AX2:AX331" showDropDown="0" showInputMessage="0" showErrorMessage="0" allowBlank="1" type="list">
      <formula1>"Above 40,20 to 40,0 to 20"</formula1>
    </dataValidation>
    <dataValidation sqref="AZ2:AZ331" showDropDown="0" showInputMessage="0" showErrorMessage="0" allowBlank="1" type="list">
      <formula1>"Between 50 to 75,Above 75,Below 45"</formula1>
    </dataValidation>
    <dataValidation sqref="BB2:BB331" showDropDown="0" showInputMessage="0" showErrorMessage="0" allowBlank="1" type="list">
      <formula1>"Stage 1,Stage 2,Stage 3,Stage 4"</formula1>
    </dataValidation>
    <dataValidation sqref="BD2:BD331" showDropDown="0" showInputMessage="0" showErrorMessage="0" allowBlank="1" type="list">
      <formula1>"Positive Trend,Negative Trend"</formula1>
    </dataValidation>
    <dataValidation sqref="BF2:BF331" showDropDown="0" showInputMessage="0" showErrorMessage="0" allowBlank="1" type="list">
      <formula1>"Uptrend,Sideways,Downtrend"</formula1>
    </dataValidation>
    <dataValidation sqref="BH2:BH331" showDropDown="0" showInputMessage="0" showErrorMessage="0" allowBlank="1" type="list">
      <formula1>"Uptrend,Sideways,Downtrend"</formula1>
    </dataValidation>
    <dataValidation sqref="BJ2:BJ331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31" showDropDown="0" showInputMessage="0" showErrorMessage="0" allowBlank="1" type="list">
      <formula1>"Yes,No"</formula1>
    </dataValidation>
    <dataValidation sqref="BN2:BN331" showDropDown="0" showInputMessage="0" showErrorMessage="0" allowBlank="1" type="list">
      <formula1>"More than 20%,Between 12 to 20%,Less than 12%"</formula1>
    </dataValidation>
    <dataValidation sqref="BP2:BP331" showDropDown="0" showInputMessage="0" showErrorMessage="0" allowBlank="1" type="list">
      <formula1>"Yes,No"</formula1>
    </dataValidation>
    <dataValidation sqref="BR2:BR331" showDropDown="0" showInputMessage="0" showErrorMessage="0" allowBlank="1" type="list">
      <formula1>"Yes,No"</formula1>
    </dataValidation>
    <dataValidation sqref="BT2:BT331" showDropDown="0" showInputMessage="0" showErrorMessage="0" allowBlank="1" type="list">
      <formula1>"Above 2,Between 1.5 to 2,Less than 1.5"</formula1>
    </dataValidation>
    <dataValidation sqref="BV2:BV331" showDropDown="0" showInputMessage="0" showErrorMessage="0" allowBlank="1" type="list">
      <formula1>"Above 70%,Between 50% to 70%,Less than 50%,Less than 50% and Borrowings are increasing,Negative"</formula1>
    </dataValidation>
    <dataValidation sqref="BX2:BX331" showDropDown="0" showInputMessage="0" showErrorMessage="0" allowBlank="1" type="list">
      <formula1>"More than 1.2,Between 0.7 to 1.2,Less than 0.7"</formula1>
    </dataValidation>
    <dataValidation sqref="BZ2:BZ331" showDropDown="0" showInputMessage="0" showErrorMessage="0" allowBlank="1" type="list">
      <formula1>"Yes,No"</formula1>
    </dataValidation>
    <dataValidation sqref="CB2:CB331" showDropDown="0" showInputMessage="0" showErrorMessage="0" allowBlank="1" type="list">
      <formula1>"More than 15%,Less than 15%"</formula1>
    </dataValidation>
    <dataValidation sqref="CD2:CD331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32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</row>
    <row r="2">
      <c r="A2" s="30">
        <f>IF(B2=0,"",RANK(B2,$B$2:$B$32,0))</f>
        <v/>
      </c>
      <c r="B2" s="31">
        <f>SUM(N2,Y2,AA2,AC2,AE2,AG2,AI2,AK2,AM2,AO2,AQ2,AS2,AU2,AW2,AY2,BA2,BC2,BE2,BG2,BI2,BK2,BM2,BO2,BQ2,BS2,BU2,BW2,BY2,CA2)</f>
        <v/>
      </c>
      <c r="C2" s="30" t="inlineStr">
        <is>
          <t>TMB</t>
        </is>
      </c>
      <c r="D2" s="30" t="inlineStr">
        <is>
          <t>Tamilnad Mercantile Bank Ltd</t>
        </is>
      </c>
      <c r="E2" s="30" t="inlineStr">
        <is>
          <t>bank</t>
        </is>
      </c>
      <c r="F2" s="30" t="inlineStr">
        <is>
          <t>banks - private sector</t>
        </is>
      </c>
      <c r="G2" s="30" t="inlineStr">
        <is>
          <t>midcap</t>
        </is>
      </c>
      <c r="H2" s="31" t="n">
        <v>14603.96</v>
      </c>
      <c r="I2" s="31" t="n">
        <v>923.65</v>
      </c>
      <c r="J2" s="31" t="n">
        <v>0.15</v>
      </c>
      <c r="K2" s="31" t="n">
        <v>51371</v>
      </c>
      <c r="L2" s="30" t="n">
        <v>67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73.04000000000001</v>
      </c>
      <c r="P2" s="31" t="n">
        <v>44.03</v>
      </c>
      <c r="Q2" s="31" t="n">
        <v>768.09</v>
      </c>
      <c r="R2" s="30" t="inlineStr">
        <is>
          <t>Near 52W High Breakout</t>
        </is>
      </c>
      <c r="S2" s="30" t="inlineStr">
        <is>
          <t>Nifty Bank</t>
        </is>
      </c>
      <c r="T2" s="31" t="n">
        <v>3.03</v>
      </c>
      <c r="U2" s="31" t="n">
        <v>117.35</v>
      </c>
      <c r="V2" s="31" t="n">
        <v>110.95</v>
      </c>
      <c r="W2" s="31" t="n">
        <v>21.3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Above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Blue sky scenario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</row>
    <row r="3">
      <c r="A3" s="30">
        <f>IF(B3=0,"",RANK(B3,$B$2:$B$32,0))</f>
        <v/>
      </c>
      <c r="B3" s="31">
        <f>SUM(N3,Y3,AA3,AC3,AE3,AG3,AI3,AK3,AM3,AO3,AQ3,AS3,AU3,AW3,AY3,BA3,BC3,BE3,BG3,BI3,BK3,BM3,BO3,BQ3,BS3,BU3,BW3,BY3,CA3)</f>
        <v/>
      </c>
      <c r="C3" s="30" t="inlineStr">
        <is>
          <t>KTKBANK</t>
        </is>
      </c>
      <c r="D3" s="30" t="inlineStr">
        <is>
          <t>The Karnataka Bank Limited</t>
        </is>
      </c>
      <c r="E3" s="30" t="inlineStr">
        <is>
          <t>bank</t>
        </is>
      </c>
      <c r="F3" s="30" t="inlineStr">
        <is>
          <t>banks - private sector</t>
        </is>
      </c>
      <c r="G3" s="30" t="inlineStr">
        <is>
          <t>midcap</t>
        </is>
      </c>
      <c r="H3" s="31" t="n">
        <v>12527.99</v>
      </c>
      <c r="I3" s="31" t="n">
        <v>332.55</v>
      </c>
      <c r="J3" s="31" t="n">
        <v>0.39</v>
      </c>
      <c r="K3" s="31" t="n">
        <v>1448556</v>
      </c>
      <c r="L3" s="30" t="n">
        <v>58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75.22</v>
      </c>
      <c r="P3" s="31" t="n">
        <v>50.7</v>
      </c>
      <c r="Q3" s="31" t="n">
        <v>282.93</v>
      </c>
      <c r="R3" s="30" t="inlineStr">
        <is>
          <t>Near 52W High Breakout</t>
        </is>
      </c>
      <c r="S3" s="30" t="inlineStr">
        <is>
          <t>Nifty Bank</t>
        </is>
      </c>
      <c r="T3" s="31" t="n">
        <v>3.03</v>
      </c>
      <c r="U3" s="31" t="n">
        <v>91.06999999999999</v>
      </c>
      <c r="V3" s="31" t="n">
        <v>85.44</v>
      </c>
      <c r="W3" s="31" t="n">
        <v>18.26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less than 2.5x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Above 40</t>
        </is>
      </c>
      <c r="BM3" s="30">
        <f>IF(BL3="Above 40",20,IF(BL3="20 to 40",10,IF(BL3="0 to 20",-5,0)))</f>
        <v/>
      </c>
      <c r="BN3" s="30" t="inlineStr">
        <is>
          <t>Above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Blue sky scenario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</row>
    <row r="4">
      <c r="A4" s="30">
        <f>IF(B4=0,"",RANK(B4,$B$2:$B$32,0))</f>
        <v/>
      </c>
      <c r="B4" s="31">
        <f>SUM(N4,Y4,AA4,AC4,AE4,AG4,AI4,AK4,AM4,AO4,AQ4,AS4,AU4,AW4,AY4,BA4,BC4,BE4,BG4,BI4,BK4,BM4,BO4,BQ4,BS4,BU4,BW4,BY4,CA4)</f>
        <v/>
      </c>
      <c r="C4" s="30" t="inlineStr">
        <is>
          <t>NORTHARC</t>
        </is>
      </c>
      <c r="D4" s="30" t="inlineStr">
        <is>
          <t>Northern ARC Capital Ltd</t>
        </is>
      </c>
      <c r="E4" s="30" t="inlineStr">
        <is>
          <t>financials</t>
        </is>
      </c>
      <c r="F4" s="30" t="inlineStr">
        <is>
          <t>finance &amp; investments</t>
        </is>
      </c>
      <c r="G4" s="30" t="inlineStr">
        <is>
          <t>smallcap</t>
        </is>
      </c>
      <c r="H4" s="31" t="n">
        <v>4983.32</v>
      </c>
      <c r="I4" s="31" t="n">
        <v>309.15</v>
      </c>
      <c r="J4" s="31" t="n">
        <v>0.26</v>
      </c>
      <c r="K4" s="31" t="n">
        <v>1349056</v>
      </c>
      <c r="L4" s="30" t="n">
        <v>23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60.47</v>
      </c>
      <c r="P4" s="31" t="n">
        <v>32.8</v>
      </c>
      <c r="Q4" s="31" t="n">
        <v>254.37</v>
      </c>
      <c r="R4" s="30" t="inlineStr">
        <is>
          <t>Near 52W High Breakout</t>
        </is>
      </c>
      <c r="S4" s="30" t="inlineStr">
        <is>
          <t>Nifty Bank</t>
        </is>
      </c>
      <c r="T4" s="31" t="n">
        <v>3.03</v>
      </c>
      <c r="U4" s="31" t="n">
        <v>25.46</v>
      </c>
      <c r="V4" s="31" t="n">
        <v>21.76</v>
      </c>
      <c r="W4" s="31" t="n">
        <v>6.94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Yes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less than 2.5x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20 to 40</t>
        </is>
      </c>
      <c r="BM4" s="30">
        <f>IF(BL4="Above 40",20,IF(BL4="20 to 40",10,IF(BL4="0 to 20",-5,0)))</f>
        <v/>
      </c>
      <c r="BN4" s="30" t="inlineStr">
        <is>
          <t>Between 50 to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Blue sky scenario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</row>
    <row r="5">
      <c r="A5" s="30">
        <f>IF(B5=0,"",RANK(B5,$B$2:$B$32,0))</f>
        <v/>
      </c>
      <c r="B5" s="31">
        <f>SUM(N5,Y5,AA5,AC5,AE5,AG5,AI5,AK5,AM5,AO5,AQ5,AS5,AU5,AW5,AY5,BA5,BC5,BE5,BG5,BI5,BK5,BM5,BO5,BQ5,BS5,BU5,BW5,BY5,CA5)</f>
        <v/>
      </c>
      <c r="C5" s="30" t="inlineStr">
        <is>
          <t>WELINV</t>
        </is>
      </c>
      <c r="D5" s="30" t="inlineStr">
        <is>
          <t>Welspun Investments And Commercials Limited</t>
        </is>
      </c>
      <c r="E5" s="30" t="inlineStr">
        <is>
          <t>financials</t>
        </is>
      </c>
      <c r="F5" s="30" t="inlineStr">
        <is>
          <t>finance &amp; investments</t>
        </is>
      </c>
      <c r="G5" s="30" t="inlineStr">
        <is>
          <t>smallcap</t>
        </is>
      </c>
      <c r="H5" s="31" t="n">
        <v>854.78</v>
      </c>
      <c r="I5" s="31" t="n">
        <v>2345</v>
      </c>
      <c r="J5" s="31" t="n">
        <v>0.26</v>
      </c>
      <c r="K5" s="31" t="n">
        <v>278</v>
      </c>
      <c r="L5" s="30" t="n">
        <v>76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82.72</v>
      </c>
      <c r="P5" s="31" t="n">
        <v>57.07</v>
      </c>
      <c r="Q5" s="31" t="n">
        <v>1827.8</v>
      </c>
      <c r="R5" s="30" t="inlineStr">
        <is>
          <t>Near 52W High Breakout</t>
        </is>
      </c>
      <c r="S5" s="30" t="inlineStr">
        <is>
          <t>Nifty Bank</t>
        </is>
      </c>
      <c r="T5" s="31" t="n">
        <v>3.03</v>
      </c>
      <c r="U5" s="31" t="n">
        <v>134.5</v>
      </c>
      <c r="V5" s="31" t="n">
        <v>127.6</v>
      </c>
      <c r="W5" s="31" t="n">
        <v>26.79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less than 2.5x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Above 40</t>
        </is>
      </c>
      <c r="BM5" s="30">
        <f>IF(BL5="Above 40",20,IF(BL5="20 to 40",10,IF(BL5="0 to 20",-5,0)))</f>
        <v/>
      </c>
      <c r="BN5" s="30" t="inlineStr">
        <is>
          <t>Above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Positive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Blue sky scenario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</row>
    <row r="6">
      <c r="A6" s="30">
        <f>IF(B6=0,"",RANK(B6,$B$2:$B$32,0))</f>
        <v/>
      </c>
      <c r="B6" s="31">
        <f>SUM(N6,Y6,AA6,AC6,AE6,AG6,AI6,AK6,AM6,AO6,AQ6,AS6,AU6,AW6,AY6,BA6,BC6,BE6,BG6,BI6,BK6,BM6,BO6,BQ6,BS6,BU6,BW6,BY6,CA6)</f>
        <v/>
      </c>
      <c r="C6" s="30" t="inlineStr">
        <is>
          <t>CGCL</t>
        </is>
      </c>
      <c r="D6" s="30" t="inlineStr">
        <is>
          <t>Capri Global Capital Limited</t>
        </is>
      </c>
      <c r="E6" s="30" t="inlineStr">
        <is>
          <t>financials</t>
        </is>
      </c>
      <c r="F6" s="30" t="inlineStr">
        <is>
          <t>finance &amp; investments</t>
        </is>
      </c>
      <c r="G6" s="30" t="inlineStr">
        <is>
          <t>largecap</t>
        </is>
      </c>
      <c r="H6" s="31" t="n">
        <v>26209.07</v>
      </c>
      <c r="I6" s="31" t="n">
        <v>272.25</v>
      </c>
      <c r="J6" s="31" t="n">
        <v>-0.06</v>
      </c>
      <c r="K6" s="31" t="n">
        <v>6527437</v>
      </c>
      <c r="L6" s="30" t="n">
        <v>48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69.97</v>
      </c>
      <c r="P6" s="31" t="n">
        <v>40.5</v>
      </c>
      <c r="Q6" s="31" t="n">
        <v>220.06</v>
      </c>
      <c r="R6" s="30" t="inlineStr">
        <is>
          <t>Near 52W High Breakout</t>
        </is>
      </c>
      <c r="S6" s="30" t="inlineStr">
        <is>
          <t>Nifty Bank</t>
        </is>
      </c>
      <c r="T6" s="31" t="n">
        <v>3.03</v>
      </c>
      <c r="U6" s="31" t="n">
        <v>46.45</v>
      </c>
      <c r="V6" s="31" t="n">
        <v>42.14</v>
      </c>
      <c r="W6" s="31" t="n">
        <v>15.06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Yes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between 2.5x to 5x and Growth more than 20%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Above 40</t>
        </is>
      </c>
      <c r="BM6" s="30">
        <f>IF(BL6="Above 40",20,IF(BL6="20 to 40",10,IF(BL6="0 to 20",-5,0)))</f>
        <v/>
      </c>
      <c r="BN6" s="30" t="inlineStr">
        <is>
          <t>Between 50 to 75</t>
        </is>
      </c>
      <c r="BO6" s="30">
        <f>IF(BN6="Between 50 to 75",10,IF(BN6="Above 75",0,0))</f>
        <v/>
      </c>
      <c r="BP6" s="30" t="inlineStr">
        <is>
          <t>Stage 2</t>
        </is>
      </c>
      <c r="BQ6" s="30">
        <f>IF(BP6="Stage 2",20,IF(BP6="Stage 1",0,IF(BP6="Stage 3",5,IF(BP6="Stage 4",-5,0))))</f>
        <v/>
      </c>
      <c r="BR6" s="30" t="inlineStr">
        <is>
          <t>Positive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Blue sky scenario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</row>
    <row r="7">
      <c r="A7" s="30">
        <f>IF(B7=0,"",RANK(B7,$B$2:$B$32,0))</f>
        <v/>
      </c>
      <c r="B7" s="31">
        <f>SUM(N7,Y7,AA7,AC7,AE7,AG7,AI7,AK7,AM7,AO7,AQ7,AS7,AU7,AW7,AY7,BA7,BC7,BE7,BG7,BI7,BK7,BM7,BO7,BQ7,BS7,BU7,BW7,BY7,CA7)</f>
        <v/>
      </c>
      <c r="C7" s="30" t="inlineStr">
        <is>
          <t>DCBBANK</t>
        </is>
      </c>
      <c r="D7" s="30" t="inlineStr">
        <is>
          <t>Dcb Bank Limited</t>
        </is>
      </c>
      <c r="E7" s="30" t="inlineStr">
        <is>
          <t>bank</t>
        </is>
      </c>
      <c r="F7" s="30" t="inlineStr">
        <is>
          <t>banks - private sector</t>
        </is>
      </c>
      <c r="G7" s="30" t="inlineStr">
        <is>
          <t>midcap</t>
        </is>
      </c>
      <c r="H7" s="31" t="n">
        <v>7346.59</v>
      </c>
      <c r="I7" s="31" t="n">
        <v>227.13</v>
      </c>
      <c r="J7" s="31" t="n">
        <v>-0.43</v>
      </c>
      <c r="K7" s="31" t="n">
        <v>925685</v>
      </c>
      <c r="L7" s="30" t="n">
        <v>60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73.59</v>
      </c>
      <c r="P7" s="31" t="n">
        <v>32.3</v>
      </c>
      <c r="Q7" s="31" t="n">
        <v>184.04</v>
      </c>
      <c r="R7" s="30" t="inlineStr">
        <is>
          <t>Near 52W High Breakout</t>
        </is>
      </c>
      <c r="S7" s="30" t="inlineStr">
        <is>
          <t>Nifty Bank</t>
        </is>
      </c>
      <c r="T7" s="31" t="n">
        <v>3.03</v>
      </c>
      <c r="U7" s="31" t="n">
        <v>80.26000000000001</v>
      </c>
      <c r="V7" s="31" t="n">
        <v>74.95</v>
      </c>
      <c r="W7" s="31" t="n">
        <v>18.67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Yes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less than 2.5x and Growth more than 20%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20 to 40</t>
        </is>
      </c>
      <c r="BM7" s="30">
        <f>IF(BL7="Above 40",20,IF(BL7="20 to 40",10,IF(BL7="0 to 20",-5,0)))</f>
        <v/>
      </c>
      <c r="BN7" s="30" t="inlineStr">
        <is>
          <t>Between 50 to 75</t>
        </is>
      </c>
      <c r="BO7" s="30">
        <f>IF(BN7="Between 50 to 75",10,IF(BN7="Above 75",0,0))</f>
        <v/>
      </c>
      <c r="BP7" s="30" t="inlineStr">
        <is>
          <t>Stage 2</t>
        </is>
      </c>
      <c r="BQ7" s="30">
        <f>IF(BP7="Stage 2",20,IF(BP7="Stage 1",0,IF(BP7="Stage 3",5,IF(BP7="Stage 4",-5,0))))</f>
        <v/>
      </c>
      <c r="BR7" s="30" t="inlineStr">
        <is>
          <t>Positive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Blue sky scenario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</row>
    <row r="8">
      <c r="A8" s="30">
        <f>IF(B8=0,"",RANK(B8,$B$2:$B$32,0))</f>
        <v/>
      </c>
      <c r="B8" s="31">
        <f>SUM(N8,Y8,AA8,AC8,AE8,AG8,AI8,AK8,AM8,AO8,AQ8,AS8,AU8,AW8,AY8,BA8,BC8,BE8,BG8,BI8,BK8,BM8,BO8,BQ8,BS8,BU8,BW8,BY8,CA8)</f>
        <v/>
      </c>
      <c r="C8" s="30" t="inlineStr">
        <is>
          <t>RBLBANK</t>
        </is>
      </c>
      <c r="D8" s="30" t="inlineStr">
        <is>
          <t>Rbl Bank Limited</t>
        </is>
      </c>
      <c r="E8" s="30" t="inlineStr">
        <is>
          <t>bank</t>
        </is>
      </c>
      <c r="F8" s="30" t="inlineStr">
        <is>
          <t>banks - private sector</t>
        </is>
      </c>
      <c r="G8" s="30" t="inlineStr">
        <is>
          <t>largecap</t>
        </is>
      </c>
      <c r="H8" s="31" t="n">
        <v>64420.01</v>
      </c>
      <c r="I8" s="31" t="n">
        <v>410.8</v>
      </c>
      <c r="J8" s="31" t="n">
        <v>-1.25</v>
      </c>
      <c r="K8" s="31" t="n">
        <v>2711005</v>
      </c>
      <c r="L8" s="30" t="n">
        <v>37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66.75</v>
      </c>
      <c r="P8" s="31" t="n">
        <v>36.51</v>
      </c>
      <c r="Q8" s="31" t="n">
        <v>352.84</v>
      </c>
      <c r="R8" s="30" t="inlineStr">
        <is>
          <t>Near 52W High Breakout</t>
        </is>
      </c>
      <c r="S8" s="30" t="inlineStr">
        <is>
          <t>Nifty Bank</t>
        </is>
      </c>
      <c r="T8" s="31" t="n">
        <v>3.03</v>
      </c>
      <c r="U8" s="31" t="n">
        <v>51.09</v>
      </c>
      <c r="V8" s="31" t="n">
        <v>46.64</v>
      </c>
      <c r="W8" s="31" t="n">
        <v>11.59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Fragmented with High ROE</t>
        </is>
      </c>
      <c r="AA8" s="30">
        <f>IF(Z8="Fragmented with Low ROE",-5,IF(Z8="Fragmented with High ROE",10,IF(Z8= "highly cyclical",5,0)))</f>
        <v/>
      </c>
      <c r="AB8" s="30" t="inlineStr">
        <is>
          <t>Yes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Consistency)",15,IF(AF8="Shallow Cyclical (2 to 3 years growth)",10,IF(AF8 = "Cyclical in an Uptick",5,IF(AF8 = "Cyclical in an Downtick",-10,0))))</f>
        <v/>
      </c>
      <c r="AH8" s="30" t="inlineStr">
        <is>
          <t>Yes</t>
        </is>
      </c>
      <c r="AI8" s="30">
        <f>IF(AH8="Yes",10,0)</f>
        <v/>
      </c>
      <c r="AJ8" s="30" t="inlineStr">
        <is>
          <t>Yes</t>
        </is>
      </c>
      <c r="AK8" s="30">
        <f>IF(AJ8="Yes",10,0)</f>
        <v/>
      </c>
      <c r="AL8" s="30" t="n"/>
      <c r="AM8" s="30">
        <f>IF(AL8="No",10,0)</f>
        <v/>
      </c>
      <c r="AN8" s="30" t="inlineStr">
        <is>
          <t>Yes</t>
        </is>
      </c>
      <c r="AO8" s="30">
        <f>IF(AN8="Yes",10,0)</f>
        <v/>
      </c>
      <c r="AP8" s="30" t="inlineStr">
        <is>
          <t>Yes</t>
        </is>
      </c>
      <c r="AQ8" s="30">
        <f>IF(AP8="Yes",10,0)</f>
        <v/>
      </c>
      <c r="AR8" s="30" t="inlineStr">
        <is>
          <t>Yes</t>
        </is>
      </c>
      <c r="AS8" s="30">
        <f>IF(AR8="Yes",5,0)</f>
        <v/>
      </c>
      <c r="AT8" s="30" t="inlineStr">
        <is>
          <t>No</t>
        </is>
      </c>
      <c r="AU8" s="30">
        <f>IF(AT8="No",10,IF(AT8="Yes",-10,0))</f>
        <v/>
      </c>
      <c r="AV8" s="30" t="inlineStr">
        <is>
          <t>No</t>
        </is>
      </c>
      <c r="AW8" s="30">
        <f>IF(AV8="No",10,0)</f>
        <v/>
      </c>
      <c r="AX8" s="30" t="inlineStr">
        <is>
          <t>No</t>
        </is>
      </c>
      <c r="AY8" s="30">
        <f>IF(AX8="No",10,IF(AX8= "Yes CEO Resignation",-5,0))</f>
        <v/>
      </c>
      <c r="AZ8" s="30" t="inlineStr">
        <is>
          <t>No</t>
        </is>
      </c>
      <c r="BA8" s="30">
        <f>IF(AZ8="No",10,IF(AZ8="Yes",-5,0))</f>
        <v/>
      </c>
      <c r="BB8" s="30" t="inlineStr">
        <is>
          <t>No</t>
        </is>
      </c>
      <c r="BC8" s="30">
        <f>IF(BB8="No",5,IF(BB8="Yes",-5,0))</f>
        <v/>
      </c>
      <c r="BD8" s="30" t="inlineStr">
        <is>
          <t>Yes</t>
        </is>
      </c>
      <c r="BE8" s="30">
        <f>IF(BD8="Yes",10,0)</f>
        <v/>
      </c>
      <c r="BF8" s="30" t="inlineStr">
        <is>
          <t>Yes</t>
        </is>
      </c>
      <c r="BG8" s="30">
        <f>IF(BF8="Yes",10,0)</f>
        <v/>
      </c>
      <c r="BH8" s="30" t="inlineStr">
        <is>
          <t>Yes</t>
        </is>
      </c>
      <c r="BI8" s="30">
        <f>IF(BH8="Yes",10,0)</f>
        <v/>
      </c>
      <c r="BJ8" s="30" t="inlineStr">
        <is>
          <t>P/BV less than 2.5x and Growth more than 20%</t>
        </is>
      </c>
      <c r="BK8" s="30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0" t="inlineStr">
        <is>
          <t>20 to 40</t>
        </is>
      </c>
      <c r="BM8" s="30">
        <f>IF(BL8="Above 40",20,IF(BL8="20 to 40",10,IF(BL8="0 to 20",-5,0)))</f>
        <v/>
      </c>
      <c r="BN8" s="30" t="inlineStr">
        <is>
          <t>Between 50 to 75</t>
        </is>
      </c>
      <c r="BO8" s="30">
        <f>IF(BN8="Between 50 to 75",10,IF(BN8="Above 75",0,0))</f>
        <v/>
      </c>
      <c r="BP8" s="30" t="inlineStr">
        <is>
          <t>Stage 2</t>
        </is>
      </c>
      <c r="BQ8" s="30">
        <f>IF(BP8="Stage 2",20,IF(BP8="Stage 1",0,IF(BP8="Stage 3",5,IF(BP8="Stage 4",-5,0))))</f>
        <v/>
      </c>
      <c r="BR8" s="30" t="inlineStr">
        <is>
          <t>Positive Trend</t>
        </is>
      </c>
      <c r="BS8" s="30">
        <f>IF(BR8="Positive Trend",20,IF(BR8="Negative Trend",-10,0))</f>
        <v/>
      </c>
      <c r="BT8" s="30" t="inlineStr">
        <is>
          <t>Uptrend</t>
        </is>
      </c>
      <c r="BU8" s="30">
        <f>IF(BT8="Uptrend",10,IF(BT8="Sideways",5,0))</f>
        <v/>
      </c>
      <c r="BV8" s="30" t="inlineStr">
        <is>
          <t>Uptrend</t>
        </is>
      </c>
      <c r="BW8" s="30">
        <f>IF(BV8="Uptrend",10,IF(BV8="Sideways",5,0))</f>
        <v/>
      </c>
      <c r="BX8" s="30" t="inlineStr">
        <is>
          <t>Blue sky scenario</t>
        </is>
      </c>
      <c r="BY8" s="30">
        <f>IF(BX8="Overhead supply in last 2 years in last 2 years",-5,IF(BX8="Close to 52 week high or retracement",5,IF(BX8="Blue sky scenario",10,IF(BX8="Long term Downtrend",-10,0))))</f>
        <v/>
      </c>
      <c r="BZ8" s="30" t="inlineStr">
        <is>
          <t>Yes</t>
        </is>
      </c>
      <c r="CA8" s="30">
        <f>IF(BZ8="Yes",10,0)</f>
        <v/>
      </c>
    </row>
    <row r="9">
      <c r="A9" s="30">
        <f>IF(B9=0,"",RANK(B9,$B$2:$B$32,0))</f>
        <v/>
      </c>
      <c r="B9" s="31">
        <f>SUM(N9,Y9,AA9,AC9,AE9,AG9,AI9,AK9,AM9,AO9,AQ9,AS9,AU9,AW9,AY9,BA9,BC9,BE9,BG9,BI9,BK9,BM9,BO9,BQ9,BS9,BU9,BW9,BY9,CA9)</f>
        <v/>
      </c>
      <c r="C9" s="30" t="inlineStr">
        <is>
          <t>PAISALO</t>
        </is>
      </c>
      <c r="D9" s="30" t="inlineStr">
        <is>
          <t>Paisalo Digital Ltd</t>
        </is>
      </c>
      <c r="E9" s="30" t="inlineStr">
        <is>
          <t>financials</t>
        </is>
      </c>
      <c r="F9" s="30" t="inlineStr">
        <is>
          <t>finance &amp; investments</t>
        </is>
      </c>
      <c r="G9" s="30" t="inlineStr">
        <is>
          <t>midcap</t>
        </is>
      </c>
      <c r="H9" s="31" t="n">
        <v>7268.9</v>
      </c>
      <c r="I9" s="31" t="n">
        <v>83.05</v>
      </c>
      <c r="J9" s="31" t="n">
        <v>3.92</v>
      </c>
      <c r="K9" s="31" t="n">
        <v>21159038</v>
      </c>
      <c r="L9" s="30" t="n">
        <v>80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79.67</v>
      </c>
      <c r="P9" s="31" t="n">
        <v>67.28</v>
      </c>
      <c r="Q9" s="31" t="n">
        <v>66.01000000000001</v>
      </c>
      <c r="R9" s="30" t="inlineStr">
        <is>
          <t>Near 52W High Breakout</t>
        </is>
      </c>
      <c r="S9" s="30" t="inlineStr">
        <is>
          <t>Nifty Bank</t>
        </is>
      </c>
      <c r="T9" s="31" t="n">
        <v>3.03</v>
      </c>
      <c r="U9" s="31" t="n">
        <v>118.88</v>
      </c>
      <c r="V9" s="31" t="n">
        <v>112.44</v>
      </c>
      <c r="W9" s="31" t="n">
        <v>30.63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Fragmented with High ROE</t>
        </is>
      </c>
      <c r="AA9" s="30">
        <f>IF(Z9="Fragmented with Low ROE",-5,IF(Z9="Fragmented with High ROE",10,IF(Z9= "highly cyclical",5,0)))</f>
        <v/>
      </c>
      <c r="AB9" s="30" t="inlineStr">
        <is>
          <t>Yes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Consistency)",15,IF(AF9="Shallow Cyclical (2 to 3 years growth)",10,IF(AF9 = "Cyclical in an Uptick",5,IF(AF9 = "Cyclical in an Downtick",-10,0))))</f>
        <v/>
      </c>
      <c r="AH9" s="30" t="inlineStr">
        <is>
          <t>Yes</t>
        </is>
      </c>
      <c r="AI9" s="30">
        <f>IF(AH9="Yes",10,0)</f>
        <v/>
      </c>
      <c r="AJ9" s="30" t="inlineStr">
        <is>
          <t>Yes</t>
        </is>
      </c>
      <c r="AK9" s="30">
        <f>IF(AJ9="Yes",10,0)</f>
        <v/>
      </c>
      <c r="AL9" s="30" t="n"/>
      <c r="AM9" s="30">
        <f>IF(AL9="No",10,0)</f>
        <v/>
      </c>
      <c r="AN9" s="30" t="inlineStr">
        <is>
          <t>Yes</t>
        </is>
      </c>
      <c r="AO9" s="30">
        <f>IF(AN9="Yes",10,0)</f>
        <v/>
      </c>
      <c r="AP9" s="30" t="inlineStr">
        <is>
          <t>Yes</t>
        </is>
      </c>
      <c r="AQ9" s="30">
        <f>IF(AP9="Yes",10,0)</f>
        <v/>
      </c>
      <c r="AR9" s="30" t="inlineStr">
        <is>
          <t>Yes</t>
        </is>
      </c>
      <c r="AS9" s="30">
        <f>IF(AR9="Yes",5,0)</f>
        <v/>
      </c>
      <c r="AT9" s="30" t="inlineStr">
        <is>
          <t>No</t>
        </is>
      </c>
      <c r="AU9" s="30">
        <f>IF(AT9="No",10,IF(AT9="Yes",-10,0))</f>
        <v/>
      </c>
      <c r="AV9" s="30" t="inlineStr">
        <is>
          <t>No</t>
        </is>
      </c>
      <c r="AW9" s="30">
        <f>IF(AV9="No",10,0)</f>
        <v/>
      </c>
      <c r="AX9" s="30" t="inlineStr">
        <is>
          <t>No</t>
        </is>
      </c>
      <c r="AY9" s="30">
        <f>IF(AX9="No",10,IF(AX9= "Yes CEO Resignation",-5,0))</f>
        <v/>
      </c>
      <c r="AZ9" s="30" t="inlineStr">
        <is>
          <t>No</t>
        </is>
      </c>
      <c r="BA9" s="30">
        <f>IF(AZ9="No",10,IF(AZ9="Yes",-5,0))</f>
        <v/>
      </c>
      <c r="BB9" s="30" t="inlineStr">
        <is>
          <t>No</t>
        </is>
      </c>
      <c r="BC9" s="30">
        <f>IF(BB9="No",5,IF(BB9="Yes",-5,0))</f>
        <v/>
      </c>
      <c r="BD9" s="30" t="inlineStr">
        <is>
          <t>Yes</t>
        </is>
      </c>
      <c r="BE9" s="30">
        <f>IF(BD9="Yes",10,0)</f>
        <v/>
      </c>
      <c r="BF9" s="30" t="inlineStr">
        <is>
          <t>Yes</t>
        </is>
      </c>
      <c r="BG9" s="30">
        <f>IF(BF9="Yes",10,0)</f>
        <v/>
      </c>
      <c r="BH9" s="30" t="inlineStr">
        <is>
          <t>Yes</t>
        </is>
      </c>
      <c r="BI9" s="30">
        <f>IF(BH9="Yes",10,0)</f>
        <v/>
      </c>
      <c r="BJ9" s="30" t="inlineStr">
        <is>
          <t>P/BV between 2.5x to 5x and Growth more than 20%</t>
        </is>
      </c>
      <c r="BK9" s="30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0" t="inlineStr">
        <is>
          <t>Above 40</t>
        </is>
      </c>
      <c r="BM9" s="30">
        <f>IF(BL9="Above 40",20,IF(BL9="20 to 40",10,IF(BL9="0 to 20",-5,0)))</f>
        <v/>
      </c>
      <c r="BN9" s="30" t="inlineStr">
        <is>
          <t>Above 75</t>
        </is>
      </c>
      <c r="BO9" s="30">
        <f>IF(BN9="Between 50 to 75",10,IF(BN9="Above 75",0,0))</f>
        <v/>
      </c>
      <c r="BP9" s="30" t="inlineStr">
        <is>
          <t>Stage 2</t>
        </is>
      </c>
      <c r="BQ9" s="30">
        <f>IF(BP9="Stage 2",20,IF(BP9="Stage 1",0,IF(BP9="Stage 3",5,IF(BP9="Stage 4",-5,0))))</f>
        <v/>
      </c>
      <c r="BR9" s="30" t="inlineStr">
        <is>
          <t>Positive Trend</t>
        </is>
      </c>
      <c r="BS9" s="30">
        <f>IF(BR9="Positive Trend",20,IF(BR9="Negative Trend",-10,0))</f>
        <v/>
      </c>
      <c r="BT9" s="30" t="inlineStr">
        <is>
          <t>Uptrend</t>
        </is>
      </c>
      <c r="BU9" s="30">
        <f>IF(BT9="Uptrend",10,IF(BT9="Sideways",5,0))</f>
        <v/>
      </c>
      <c r="BV9" s="30" t="inlineStr">
        <is>
          <t>Uptrend</t>
        </is>
      </c>
      <c r="BW9" s="30">
        <f>IF(BV9="Uptrend",10,IF(BV9="Sideways",5,0))</f>
        <v/>
      </c>
      <c r="BX9" s="30" t="inlineStr">
        <is>
          <t>Blue sky scenario</t>
        </is>
      </c>
      <c r="BY9" s="30">
        <f>IF(BX9="Overhead supply in last 2 years in last 2 years",-5,IF(BX9="Close to 52 week high or retracement",5,IF(BX9="Blue sky scenario",10,IF(BX9="Long term Downtrend",-10,0))))</f>
        <v/>
      </c>
      <c r="BZ9" s="30" t="inlineStr">
        <is>
          <t>Yes</t>
        </is>
      </c>
      <c r="CA9" s="30">
        <f>IF(BZ9="Yes",10,0)</f>
        <v/>
      </c>
    </row>
    <row r="10">
      <c r="A10" s="30">
        <f>IF(B10=0,"",RANK(B10,$B$2:$B$32,0))</f>
        <v/>
      </c>
      <c r="B10" s="31">
        <f>SUM(N10,Y10,AA10,AC10,AE10,AG10,AI10,AK10,AM10,AO10,AQ10,AS10,AU10,AW10,AY10,BA10,BC10,BE10,BG10,BI10,BK10,BM10,BO10,BQ10,BS10,BU10,BW10,BY10,CA10)</f>
        <v/>
      </c>
      <c r="C10" s="30" t="inlineStr">
        <is>
          <t>SHAREINDIA</t>
        </is>
      </c>
      <c r="D10" s="30" t="inlineStr">
        <is>
          <t>Share India Securities Ltd</t>
        </is>
      </c>
      <c r="E10" s="30" t="inlineStr">
        <is>
          <t>financials</t>
        </is>
      </c>
      <c r="F10" s="30" t="inlineStr">
        <is>
          <t>finance &amp; investments</t>
        </is>
      </c>
      <c r="G10" s="30" t="inlineStr">
        <is>
          <t>smallcap</t>
        </is>
      </c>
      <c r="H10" s="31" t="n">
        <v>4145.87</v>
      </c>
      <c r="I10" s="31" t="n">
        <v>196.32</v>
      </c>
      <c r="J10" s="31" t="n">
        <v>3.62</v>
      </c>
      <c r="K10" s="31" t="n">
        <v>58611177</v>
      </c>
      <c r="L10" s="30" t="n">
        <v>56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66.23</v>
      </c>
      <c r="P10" s="31" t="n">
        <v>31.16</v>
      </c>
      <c r="Q10" s="31" t="n">
        <v>145.97</v>
      </c>
      <c r="R10" s="30" t="inlineStr">
        <is>
          <t>Volume Spike &amp; Near 52W High Breakout</t>
        </is>
      </c>
      <c r="S10" s="30" t="inlineStr">
        <is>
          <t>Nifty Bank</t>
        </is>
      </c>
      <c r="T10" s="31" t="n">
        <v>3.03</v>
      </c>
      <c r="U10" s="31" t="n">
        <v>36.1</v>
      </c>
      <c r="V10" s="31" t="n">
        <v>32.09</v>
      </c>
      <c r="W10" s="31" t="n">
        <v>17.79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Fragmented with High ROE</t>
        </is>
      </c>
      <c r="AA10" s="30">
        <f>IF(Z10="Fragmented with Low ROE",-5,IF(Z10="Fragmented with High ROE",10,IF(Z10= "highly cyclical",5,0)))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Consistency)",15,IF(AF10="Shallow Cyclical (2 to 3 years growth)",10,IF(AF10 = "Cyclical in an Uptick",5,IF(AF10 = "Cyclical in an Downtick",-10,0))))</f>
        <v/>
      </c>
      <c r="AH10" s="30" t="inlineStr">
        <is>
          <t>Yes</t>
        </is>
      </c>
      <c r="AI10" s="30">
        <f>IF(AH10="Yes",10,0)</f>
        <v/>
      </c>
      <c r="AJ10" s="30" t="inlineStr">
        <is>
          <t>Yes</t>
        </is>
      </c>
      <c r="AK10" s="30">
        <f>IF(AJ10="Yes",10,0)</f>
        <v/>
      </c>
      <c r="AL10" s="30" t="n"/>
      <c r="AM10" s="30">
        <f>IF(AL10="No",10,0)</f>
        <v/>
      </c>
      <c r="AN10" s="30" t="inlineStr">
        <is>
          <t>Yes</t>
        </is>
      </c>
      <c r="AO10" s="30">
        <f>IF(AN10="Yes",10,0)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Yes</t>
        </is>
      </c>
      <c r="AS10" s="30">
        <f>IF(AR10="Yes",5,0)</f>
        <v/>
      </c>
      <c r="AT10" s="30" t="inlineStr">
        <is>
          <t>No</t>
        </is>
      </c>
      <c r="AU10" s="30">
        <f>IF(AT10="No",10,IF(AT10="Yes",-10,0))</f>
        <v/>
      </c>
      <c r="AV10" s="30" t="inlineStr">
        <is>
          <t>No</t>
        </is>
      </c>
      <c r="AW10" s="30">
        <f>IF(AV10="No",10,0)</f>
        <v/>
      </c>
      <c r="AX10" s="30" t="inlineStr">
        <is>
          <t>No</t>
        </is>
      </c>
      <c r="AY10" s="30">
        <f>IF(AX10="No",10,IF(AX10= "Yes CEO Resignation",-5,0))</f>
        <v/>
      </c>
      <c r="AZ10" s="30" t="inlineStr">
        <is>
          <t>No</t>
        </is>
      </c>
      <c r="BA10" s="30">
        <f>IF(AZ10="No",10,IF(AZ10="Yes",-5,0))</f>
        <v/>
      </c>
      <c r="BB10" s="30" t="inlineStr">
        <is>
          <t>No</t>
        </is>
      </c>
      <c r="BC10" s="30">
        <f>IF(BB10="No",5,IF(BB10="Yes",-5,0))</f>
        <v/>
      </c>
      <c r="BD10" s="30" t="inlineStr">
        <is>
          <t>Yes</t>
        </is>
      </c>
      <c r="BE10" s="30">
        <f>IF(BD10="Yes",10,0)</f>
        <v/>
      </c>
      <c r="BF10" s="30" t="inlineStr">
        <is>
          <t>Yes</t>
        </is>
      </c>
      <c r="BG10" s="30">
        <f>IF(BF10="Yes",10,0)</f>
        <v/>
      </c>
      <c r="BH10" s="30" t="inlineStr">
        <is>
          <t>Yes</t>
        </is>
      </c>
      <c r="BI10" s="30">
        <f>IF(BH10="Yes",10,0)</f>
        <v/>
      </c>
      <c r="BJ10" s="30" t="inlineStr">
        <is>
          <t>P/BV less than 2.5x and Growth more than 20%</t>
        </is>
      </c>
      <c r="BK10" s="30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0" t="inlineStr">
        <is>
          <t>20 to 40</t>
        </is>
      </c>
      <c r="BM10" s="30">
        <f>IF(BL10="Above 40",20,IF(BL10="20 to 40",10,IF(BL10="0 to 20",-5,0)))</f>
        <v/>
      </c>
      <c r="BN10" s="30" t="inlineStr">
        <is>
          <t>Between 50 to 75</t>
        </is>
      </c>
      <c r="BO10" s="30">
        <f>IF(BN10="Between 50 to 75",10,IF(BN10="Above 75",0,0))</f>
        <v/>
      </c>
      <c r="BP10" s="30" t="inlineStr">
        <is>
          <t>Stage 2</t>
        </is>
      </c>
      <c r="BQ10" s="30">
        <f>IF(BP10="Stage 2",20,IF(BP10="Stage 1",0,IF(BP10="Stage 3",5,IF(BP10="Stage 4",-5,0))))</f>
        <v/>
      </c>
      <c r="BR10" s="30" t="inlineStr">
        <is>
          <t>Positive Trend</t>
        </is>
      </c>
      <c r="BS10" s="30">
        <f>IF(BR10="Positive Trend",20,IF(BR10="Negative Trend",-10,0))</f>
        <v/>
      </c>
      <c r="BT10" s="30" t="inlineStr">
        <is>
          <t>Uptrend</t>
        </is>
      </c>
      <c r="BU10" s="30">
        <f>IF(BT10="Uptrend",10,IF(BT10="Sideways",5,0))</f>
        <v/>
      </c>
      <c r="BV10" s="30" t="inlineStr">
        <is>
          <t>Uptrend</t>
        </is>
      </c>
      <c r="BW10" s="30">
        <f>IF(BV10="Uptrend",10,IF(BV10="Sideways",5,0))</f>
        <v/>
      </c>
      <c r="BX10" s="30" t="inlineStr">
        <is>
          <t>Close to 52 week high or retracement</t>
        </is>
      </c>
      <c r="BY10" s="30">
        <f>IF(BX10="Overhead supply in last 2 years in last 2 years",-5,IF(BX10="Close to 52 week high or retracement",5,IF(BX10="Blue sky scenario",10,IF(BX10="Long term Downtrend",-10,0))))</f>
        <v/>
      </c>
      <c r="BZ10" s="30" t="inlineStr">
        <is>
          <t>Yes</t>
        </is>
      </c>
      <c r="CA10" s="30">
        <f>IF(BZ10="Yes",10,0)</f>
        <v/>
      </c>
    </row>
    <row r="11">
      <c r="A11" s="30">
        <f>IF(B11=0,"",RANK(B11,$B$2:$B$32,0))</f>
        <v/>
      </c>
      <c r="B11" s="31">
        <f>SUM(N11,Y11,AA11,AC11,AE11,AG11,AI11,AK11,AM11,AO11,AQ11,AS11,AU11,AW11,AY11,BA11,BC11,BE11,BG11,BI11,BK11,BM11,BO11,BQ11,BS11,BU11,BW11,BY11,CA11)</f>
        <v/>
      </c>
      <c r="C11" s="30" t="inlineStr">
        <is>
          <t>SMCGLOBAL</t>
        </is>
      </c>
      <c r="D11" s="30" t="inlineStr">
        <is>
          <t>SMC Global Securities Ltd</t>
        </is>
      </c>
      <c r="E11" s="30" t="inlineStr">
        <is>
          <t>financials</t>
        </is>
      </c>
      <c r="F11" s="30" t="inlineStr">
        <is>
          <t>finance &amp; investments</t>
        </is>
      </c>
      <c r="G11" s="30" t="inlineStr">
        <is>
          <t>smallcap</t>
        </is>
      </c>
      <c r="H11" s="31" t="n">
        <v>1757.49</v>
      </c>
      <c r="I11" s="31" t="n">
        <v>85.64</v>
      </c>
      <c r="J11" s="31" t="n">
        <v>2.04</v>
      </c>
      <c r="K11" s="31" t="n">
        <v>35904423</v>
      </c>
      <c r="L11" s="30" t="n">
        <v>34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63.28</v>
      </c>
      <c r="P11" s="31" t="n">
        <v>21.69</v>
      </c>
      <c r="Q11" s="31" t="n">
        <v>66</v>
      </c>
      <c r="R11" s="30" t="inlineStr">
        <is>
          <t>Volume Spike / Accumulation</t>
        </is>
      </c>
      <c r="S11" s="30" t="inlineStr">
        <is>
          <t>Nifty Bank</t>
        </is>
      </c>
      <c r="T11" s="31" t="n">
        <v>3.03</v>
      </c>
      <c r="U11" s="31" t="n">
        <v>26.46</v>
      </c>
      <c r="V11" s="31" t="n">
        <v>22.73</v>
      </c>
      <c r="W11" s="31" t="n">
        <v>10.25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Fragmented with High ROE</t>
        </is>
      </c>
      <c r="AA11" s="30">
        <f>IF(Z11="Fragmented with Low ROE",-5,IF(Z11="Fragmented with High ROE",10,IF(Z11= "highly cyclical",5,0)))</f>
        <v/>
      </c>
      <c r="AB11" s="30" t="inlineStr">
        <is>
          <t>Yes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Consistency)",15,IF(AF11="Shallow Cyclical (2 to 3 years growth)",10,IF(AF11 = "Cyclical in an Uptick",5,IF(AF11 = "Cyclical in an Downtick",-10,0))))</f>
        <v/>
      </c>
      <c r="AH11" s="30" t="inlineStr">
        <is>
          <t>Yes</t>
        </is>
      </c>
      <c r="AI11" s="30">
        <f>IF(AH11="Yes",10,0)</f>
        <v/>
      </c>
      <c r="AJ11" s="30" t="inlineStr">
        <is>
          <t>Yes</t>
        </is>
      </c>
      <c r="AK11" s="30">
        <f>IF(AJ11="Yes",10,0)</f>
        <v/>
      </c>
      <c r="AL11" s="30" t="n"/>
      <c r="AM11" s="30">
        <f>IF(AL11="No",10,0)</f>
        <v/>
      </c>
      <c r="AN11" s="30" t="inlineStr">
        <is>
          <t>Yes</t>
        </is>
      </c>
      <c r="AO11" s="30">
        <f>IF(AN11="Yes",10,0)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Yes</t>
        </is>
      </c>
      <c r="AS11" s="30">
        <f>IF(AR11="Yes",5,0)</f>
        <v/>
      </c>
      <c r="AT11" s="30" t="inlineStr">
        <is>
          <t>No</t>
        </is>
      </c>
      <c r="AU11" s="30">
        <f>IF(AT11="No",10,IF(AT11="Yes",-10,0))</f>
        <v/>
      </c>
      <c r="AV11" s="30" t="inlineStr">
        <is>
          <t>No</t>
        </is>
      </c>
      <c r="AW11" s="30">
        <f>IF(AV11="No",10,0)</f>
        <v/>
      </c>
      <c r="AX11" s="30" t="inlineStr">
        <is>
          <t>No</t>
        </is>
      </c>
      <c r="AY11" s="30">
        <f>IF(AX11="No",10,IF(AX11= "Yes CEO Resignation",-5,0))</f>
        <v/>
      </c>
      <c r="AZ11" s="30" t="inlineStr">
        <is>
          <t>No</t>
        </is>
      </c>
      <c r="BA11" s="30">
        <f>IF(AZ11="No",10,IF(AZ11="Yes",-5,0))</f>
        <v/>
      </c>
      <c r="BB11" s="30" t="inlineStr">
        <is>
          <t>No</t>
        </is>
      </c>
      <c r="BC11" s="30">
        <f>IF(BB11="No",5,IF(BB11="Yes",-5,0))</f>
        <v/>
      </c>
      <c r="BD11" s="30" t="inlineStr">
        <is>
          <t>Yes</t>
        </is>
      </c>
      <c r="BE11" s="30">
        <f>IF(BD11="Yes",10,0)</f>
        <v/>
      </c>
      <c r="BF11" s="30" t="inlineStr">
        <is>
          <t>Yes</t>
        </is>
      </c>
      <c r="BG11" s="30">
        <f>IF(BF11="Yes",10,0)</f>
        <v/>
      </c>
      <c r="BH11" s="30" t="inlineStr">
        <is>
          <t>Yes</t>
        </is>
      </c>
      <c r="BI11" s="30">
        <f>IF(BH11="Yes",10,0)</f>
        <v/>
      </c>
      <c r="BJ11" s="30" t="inlineStr">
        <is>
          <t>P/BV less than 2.5x and Growth more than 20%</t>
        </is>
      </c>
      <c r="BK11" s="30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0" t="inlineStr">
        <is>
          <t>20 to 40</t>
        </is>
      </c>
      <c r="BM11" s="30">
        <f>IF(BL11="Above 40",20,IF(BL11="20 to 40",10,IF(BL11="0 to 20",-5,0)))</f>
        <v/>
      </c>
      <c r="BN11" s="30" t="inlineStr">
        <is>
          <t>Between 50 to 75</t>
        </is>
      </c>
      <c r="BO11" s="30">
        <f>IF(BN11="Between 50 to 75",10,IF(BN11="Above 75",0,0))</f>
        <v/>
      </c>
      <c r="BP11" s="30" t="inlineStr">
        <is>
          <t>Stage 2</t>
        </is>
      </c>
      <c r="BQ11" s="30">
        <f>IF(BP11="Stage 2",20,IF(BP11="Stage 1",0,IF(BP11="Stage 3",5,IF(BP11="Stage 4",-5,0))))</f>
        <v/>
      </c>
      <c r="BR11" s="30" t="inlineStr">
        <is>
          <t>Positive Trend</t>
        </is>
      </c>
      <c r="BS11" s="30">
        <f>IF(BR11="Positive Trend",20,IF(BR11="Negative Trend",-10,0))</f>
        <v/>
      </c>
      <c r="BT11" s="30" t="inlineStr">
        <is>
          <t>Uptrend</t>
        </is>
      </c>
      <c r="BU11" s="30">
        <f>IF(BT11="Uptrend",10,IF(BT11="Sideways",5,0))</f>
        <v/>
      </c>
      <c r="BV11" s="30" t="inlineStr">
        <is>
          <t>Uptrend</t>
        </is>
      </c>
      <c r="BW11" s="30">
        <f>IF(BV11="Uptrend",10,IF(BV11="Sideways",5,0))</f>
        <v/>
      </c>
      <c r="BX11" s="30" t="inlineStr">
        <is>
          <t>Close to 52 week high or retracement</t>
        </is>
      </c>
      <c r="BY11" s="30">
        <f>IF(BX11="Overhead supply in last 2 years in last 2 years",-5,IF(BX11="Close to 52 week high or retracement",5,IF(BX11="Blue sky scenario",10,IF(BX11="Long term Downtrend",-10,0))))</f>
        <v/>
      </c>
      <c r="BZ11" s="30" t="inlineStr">
        <is>
          <t>Yes</t>
        </is>
      </c>
      <c r="CA11" s="30">
        <f>IF(BZ11="Yes",10,0)</f>
        <v/>
      </c>
    </row>
    <row r="12">
      <c r="A12" s="30">
        <f>IF(B12=0,"",RANK(B12,$B$2:$B$32,0))</f>
        <v/>
      </c>
      <c r="B12" s="31">
        <f>SUM(N12,Y12,AA12,AC12,AE12,AG12,AI12,AK12,AM12,AO12,AQ12,AS12,AU12,AW12,AY12,BA12,BC12,BE12,BG12,BI12,BK12,BM12,BO12,BQ12,BS12,BU12,BW12,BY12,CA12)</f>
        <v/>
      </c>
      <c r="C12" s="30" t="inlineStr">
        <is>
          <t>MAHABANK</t>
        </is>
      </c>
      <c r="D12" s="30" t="inlineStr">
        <is>
          <t>Bank Of Maharashtra Ltd</t>
        </is>
      </c>
      <c r="E12" s="30" t="inlineStr">
        <is>
          <t>bank</t>
        </is>
      </c>
      <c r="F12" s="30" t="inlineStr">
        <is>
          <t>banks - public sector</t>
        </is>
      </c>
      <c r="G12" s="30" t="inlineStr">
        <is>
          <t>largecap</t>
        </is>
      </c>
      <c r="H12" s="31" t="n">
        <v>65039.79</v>
      </c>
      <c r="I12" s="31" t="n">
        <v>84.34999999999999</v>
      </c>
      <c r="J12" s="31" t="n">
        <v>-0.25</v>
      </c>
      <c r="K12" s="31" t="n">
        <v>15415768</v>
      </c>
      <c r="L12" s="30" t="n">
        <v>34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59.85</v>
      </c>
      <c r="P12" s="31" t="n">
        <v>40.65</v>
      </c>
      <c r="Q12" s="31" t="n">
        <v>74.45</v>
      </c>
      <c r="R12" s="30" t="inlineStr">
        <is>
          <t>Earnings / Momentum Support</t>
        </is>
      </c>
      <c r="S12" s="30" t="inlineStr">
        <is>
          <t>Nifty Bank</t>
        </is>
      </c>
      <c r="T12" s="31" t="n">
        <v>3.03</v>
      </c>
      <c r="U12" s="31" t="n">
        <v>60.85</v>
      </c>
      <c r="V12" s="31" t="n">
        <v>56.11</v>
      </c>
      <c r="W12" s="31" t="n">
        <v>10.23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Fragmented with High ROE</t>
        </is>
      </c>
      <c r="AA12" s="30">
        <f>IF(Z12="Fragmented with Low ROE",-5,IF(Z12="Fragmented with High ROE",10,IF(Z12= "highly cyclical",5,0)))</f>
        <v/>
      </c>
      <c r="AB12" s="30" t="inlineStr">
        <is>
          <t>Yes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Consistency)",15,IF(AF12="Shallow Cyclical (2 to 3 years growth)",10,IF(AF12 = "Cyclical in an Uptick",5,IF(AF12 = "Cyclical in an Downtick",-10,0))))</f>
        <v/>
      </c>
      <c r="AH12" s="30" t="inlineStr">
        <is>
          <t>Yes</t>
        </is>
      </c>
      <c r="AI12" s="30">
        <f>IF(AH12="Yes",10,0)</f>
        <v/>
      </c>
      <c r="AJ12" s="30" t="inlineStr">
        <is>
          <t>Yes</t>
        </is>
      </c>
      <c r="AK12" s="30">
        <f>IF(AJ12="Yes",10,0)</f>
        <v/>
      </c>
      <c r="AL12" s="30" t="n"/>
      <c r="AM12" s="30">
        <f>IF(AL12="No",10,0)</f>
        <v/>
      </c>
      <c r="AN12" s="30" t="inlineStr">
        <is>
          <t>Yes</t>
        </is>
      </c>
      <c r="AO12" s="30">
        <f>IF(AN12="Yes",10,0)</f>
        <v/>
      </c>
      <c r="AP12" s="30" t="inlineStr">
        <is>
          <t>No</t>
        </is>
      </c>
      <c r="AQ12" s="30">
        <f>IF(AP12="Yes",10,0)</f>
        <v/>
      </c>
      <c r="AR12" s="30" t="inlineStr">
        <is>
          <t>Yes</t>
        </is>
      </c>
      <c r="AS12" s="30">
        <f>IF(AR12="Yes",5,0)</f>
        <v/>
      </c>
      <c r="AT12" s="30" t="inlineStr">
        <is>
          <t>No</t>
        </is>
      </c>
      <c r="AU12" s="30">
        <f>IF(AT12="No",10,IF(AT12="Yes",-10,0))</f>
        <v/>
      </c>
      <c r="AV12" s="30" t="inlineStr">
        <is>
          <t>No</t>
        </is>
      </c>
      <c r="AW12" s="30">
        <f>IF(AV12="No",10,0)</f>
        <v/>
      </c>
      <c r="AX12" s="30" t="inlineStr">
        <is>
          <t>No</t>
        </is>
      </c>
      <c r="AY12" s="30">
        <f>IF(AX12="No",10,IF(AX12= "Yes CEO Resignation",-5,0))</f>
        <v/>
      </c>
      <c r="AZ12" s="30" t="inlineStr">
        <is>
          <t>No</t>
        </is>
      </c>
      <c r="BA12" s="30">
        <f>IF(AZ12="No",10,IF(AZ12="Yes",-5,0))</f>
        <v/>
      </c>
      <c r="BB12" s="30" t="inlineStr">
        <is>
          <t>No</t>
        </is>
      </c>
      <c r="BC12" s="30">
        <f>IF(BB12="No",5,IF(BB12="Yes",-5,0))</f>
        <v/>
      </c>
      <c r="BD12" s="30" t="inlineStr">
        <is>
          <t>Yes</t>
        </is>
      </c>
      <c r="BE12" s="30">
        <f>IF(BD12="Yes",10,0)</f>
        <v/>
      </c>
      <c r="BF12" s="30" t="inlineStr">
        <is>
          <t>Yes</t>
        </is>
      </c>
      <c r="BG12" s="30">
        <f>IF(BF12="Yes",10,0)</f>
        <v/>
      </c>
      <c r="BH12" s="30" t="inlineStr">
        <is>
          <t>Yes</t>
        </is>
      </c>
      <c r="BI12" s="30">
        <f>IF(BH12="Yes",10,0)</f>
        <v/>
      </c>
      <c r="BJ12" s="30" t="inlineStr">
        <is>
          <t>P/BV less than 2.5x and Growth more than 20%</t>
        </is>
      </c>
      <c r="BK12" s="30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0" t="inlineStr">
        <is>
          <t>Above 40</t>
        </is>
      </c>
      <c r="BM12" s="30">
        <f>IF(BL12="Above 40",20,IF(BL12="20 to 40",10,IF(BL12="0 to 20",-5,0)))</f>
        <v/>
      </c>
      <c r="BN12" s="30" t="inlineStr">
        <is>
          <t>Between 50 to 75</t>
        </is>
      </c>
      <c r="BO12" s="30">
        <f>IF(BN12="Between 50 to 75",10,IF(BN12="Above 75",0,0))</f>
        <v/>
      </c>
      <c r="BP12" s="30" t="inlineStr">
        <is>
          <t>Stage 2</t>
        </is>
      </c>
      <c r="BQ12" s="30">
        <f>IF(BP12="Stage 2",20,IF(BP12="Stage 1",0,IF(BP12="Stage 3",5,IF(BP12="Stage 4",-5,0))))</f>
        <v/>
      </c>
      <c r="BR12" s="30" t="inlineStr">
        <is>
          <t>Positive Trend</t>
        </is>
      </c>
      <c r="BS12" s="30">
        <f>IF(BR12="Positive Trend",20,IF(BR12="Negative Trend",-10,0))</f>
        <v/>
      </c>
      <c r="BT12" s="30" t="inlineStr">
        <is>
          <t>Uptrend</t>
        </is>
      </c>
      <c r="BU12" s="30">
        <f>IF(BT12="Uptrend",10,IF(BT12="Sideways",5,0))</f>
        <v/>
      </c>
      <c r="BV12" s="30" t="inlineStr">
        <is>
          <t>Uptrend</t>
        </is>
      </c>
      <c r="BW12" s="30">
        <f>IF(BV12="Uptrend",10,IF(BV12="Sideways",5,0))</f>
        <v/>
      </c>
      <c r="BX12" s="30" t="inlineStr">
        <is>
          <t>Close to 52 week high or retracement</t>
        </is>
      </c>
      <c r="BY12" s="30">
        <f>IF(BX12="Overhead supply in last 2 years in last 2 years",-5,IF(BX12="Close to 52 week high or retracement",5,IF(BX12="Blue sky scenario",10,IF(BX12="Long term Downtrend",-10,0))))</f>
        <v/>
      </c>
      <c r="BZ12" s="30" t="inlineStr">
        <is>
          <t>Yes</t>
        </is>
      </c>
      <c r="CA12" s="30">
        <f>IF(BZ12="Yes",10,0)</f>
        <v/>
      </c>
    </row>
    <row r="13">
      <c r="A13" s="30">
        <f>IF(B13=0,"",RANK(B13,$B$2:$B$32,0))</f>
        <v/>
      </c>
      <c r="B13" s="31">
        <f>SUM(N13,Y13,AA13,AC13,AE13,AG13,AI13,AK13,AM13,AO13,AQ13,AS13,AU13,AW13,AY13,BA13,BC13,BE13,BG13,BI13,BK13,BM13,BO13,BQ13,BS13,BU13,BW13,BY13,CA13)</f>
        <v/>
      </c>
      <c r="C13" s="32" t="inlineStr">
        <is>
          <t>GEECEE</t>
        </is>
      </c>
      <c r="D13" s="32" t="inlineStr">
        <is>
          <t>Geecee Ventures Limited</t>
        </is>
      </c>
      <c r="E13" s="30" t="inlineStr">
        <is>
          <t>financials</t>
        </is>
      </c>
      <c r="F13" s="30" t="inlineStr">
        <is>
          <t>finance &amp; investments</t>
        </is>
      </c>
      <c r="G13" s="30" t="inlineStr">
        <is>
          <t>smallcap</t>
        </is>
      </c>
      <c r="H13" s="31" t="n">
        <v>761.08</v>
      </c>
      <c r="I13" s="31" t="n">
        <v>370.05</v>
      </c>
      <c r="J13" s="31" t="n">
        <v>1.68</v>
      </c>
      <c r="K13" s="31" t="n">
        <v>2131</v>
      </c>
      <c r="L13" s="30" t="n">
        <v>11</v>
      </c>
      <c r="M13" s="30" t="inlineStr">
        <is>
          <t>Underperforming</t>
        </is>
      </c>
      <c r="N13" s="31">
        <f>IF(M13="Underperforming",-5,IF(L13&gt;=95,15,IF(L13&gt;=90,10,IF(L13&gt;=80,5,0))))</f>
        <v/>
      </c>
      <c r="O13" s="31" t="n">
        <v>61.66</v>
      </c>
      <c r="P13" s="31" t="n">
        <v>37.72</v>
      </c>
      <c r="Q13" s="31" t="n">
        <v>291.44</v>
      </c>
      <c r="R13" s="30" t="inlineStr">
        <is>
          <t>Near 52W High Breakout</t>
        </is>
      </c>
      <c r="S13" s="30" t="inlineStr">
        <is>
          <t>Nifty Bank</t>
        </is>
      </c>
      <c r="T13" s="31" t="n">
        <v>3.03</v>
      </c>
      <c r="U13" s="31" t="n">
        <v>-2.23</v>
      </c>
      <c r="V13" s="31" t="n">
        <v>-5.1</v>
      </c>
      <c r="W13" s="31" t="n">
        <v>4.03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Fragmented with High ROE</t>
        </is>
      </c>
      <c r="AA13" s="30">
        <f>IF(Z13="Fragmented with Low ROE",-5,IF(Z13="Fragmented with High ROE",10,IF(Z13= "highly cyclical",5,0)))</f>
        <v/>
      </c>
      <c r="AB13" s="30" t="inlineStr">
        <is>
          <t>Yes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Consistency)",15,IF(AF13="Shallow Cyclical (2 to 3 years growth)",10,IF(AF13 = "Cyclical in an Uptick",5,IF(AF13 = "Cyclical in an Downtick",-10,0))))</f>
        <v/>
      </c>
      <c r="AH13" s="30" t="inlineStr">
        <is>
          <t>Yes</t>
        </is>
      </c>
      <c r="AI13" s="30">
        <f>IF(AH13="Yes",10,0)</f>
        <v/>
      </c>
      <c r="AJ13" s="30" t="inlineStr">
        <is>
          <t>Yes</t>
        </is>
      </c>
      <c r="AK13" s="30">
        <f>IF(AJ13="Yes",10,0)</f>
        <v/>
      </c>
      <c r="AL13" s="30" t="n"/>
      <c r="AM13" s="30">
        <f>IF(AL13="No",10,0)</f>
        <v/>
      </c>
      <c r="AN13" s="30" t="inlineStr">
        <is>
          <t>Yes</t>
        </is>
      </c>
      <c r="AO13" s="30">
        <f>IF(AN13="Yes",10,0)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Yes</t>
        </is>
      </c>
      <c r="AS13" s="30">
        <f>IF(AR13="Yes",5,0)</f>
        <v/>
      </c>
      <c r="AT13" s="30" t="inlineStr">
        <is>
          <t>No</t>
        </is>
      </c>
      <c r="AU13" s="30">
        <f>IF(AT13="No",10,IF(AT13="Yes",-10,0))</f>
        <v/>
      </c>
      <c r="AV13" s="30" t="inlineStr">
        <is>
          <t>No</t>
        </is>
      </c>
      <c r="AW13" s="30">
        <f>IF(AV13="No",10,0)</f>
        <v/>
      </c>
      <c r="AX13" s="30" t="inlineStr">
        <is>
          <t>No</t>
        </is>
      </c>
      <c r="AY13" s="30">
        <f>IF(AX13="No",10,IF(AX13= "Yes CEO Resignation",-5,0))</f>
        <v/>
      </c>
      <c r="AZ13" s="30" t="inlineStr">
        <is>
          <t>No</t>
        </is>
      </c>
      <c r="BA13" s="30">
        <f>IF(AZ13="No",10,IF(AZ13="Yes",-5,0))</f>
        <v/>
      </c>
      <c r="BB13" s="30" t="inlineStr">
        <is>
          <t>No</t>
        </is>
      </c>
      <c r="BC13" s="30">
        <f>IF(BB13="No",5,IF(BB13="Yes",-5,0))</f>
        <v/>
      </c>
      <c r="BD13" s="30" t="inlineStr">
        <is>
          <t>Yes</t>
        </is>
      </c>
      <c r="BE13" s="30">
        <f>IF(BD13="Yes",10,0)</f>
        <v/>
      </c>
      <c r="BF13" s="30" t="inlineStr">
        <is>
          <t>Yes</t>
        </is>
      </c>
      <c r="BG13" s="30">
        <f>IF(BF13="Yes",10,0)</f>
        <v/>
      </c>
      <c r="BH13" s="30" t="inlineStr">
        <is>
          <t>Yes</t>
        </is>
      </c>
      <c r="BI13" s="30">
        <f>IF(BH13="Yes",10,0)</f>
        <v/>
      </c>
      <c r="BJ13" s="30" t="inlineStr">
        <is>
          <t>P/BV less than 2.5x and Growth more than 20%</t>
        </is>
      </c>
      <c r="BK13" s="30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0" t="inlineStr">
        <is>
          <t>20 to 40</t>
        </is>
      </c>
      <c r="BM13" s="30">
        <f>IF(BL13="Above 40",20,IF(BL13="20 to 40",10,IF(BL13="0 to 20",-5,0)))</f>
        <v/>
      </c>
      <c r="BN13" s="30" t="inlineStr">
        <is>
          <t>Between 50 to 75</t>
        </is>
      </c>
      <c r="BO13" s="30">
        <f>IF(BN13="Between 50 to 75",10,IF(BN13="Above 75",0,0))</f>
        <v/>
      </c>
      <c r="BP13" s="30" t="inlineStr">
        <is>
          <t>Stage 2</t>
        </is>
      </c>
      <c r="BQ13" s="30">
        <f>IF(BP13="Stage 2",20,IF(BP13="Stage 1",0,IF(BP13="Stage 3",5,IF(BP13="Stage 4",-5,0))))</f>
        <v/>
      </c>
      <c r="BR13" s="30" t="inlineStr">
        <is>
          <t>Positive Trend</t>
        </is>
      </c>
      <c r="BS13" s="30">
        <f>IF(BR13="Positive Trend",20,IF(BR13="Negative Trend",-10,0))</f>
        <v/>
      </c>
      <c r="BT13" s="30" t="inlineStr">
        <is>
          <t>Uptrend</t>
        </is>
      </c>
      <c r="BU13" s="30">
        <f>IF(BT13="Uptrend",10,IF(BT13="Sideways",5,0))</f>
        <v/>
      </c>
      <c r="BV13" s="30" t="inlineStr">
        <is>
          <t>Uptrend</t>
        </is>
      </c>
      <c r="BW13" s="30">
        <f>IF(BV13="Uptrend",10,IF(BV13="Sideways",5,0))</f>
        <v/>
      </c>
      <c r="BX13" s="30" t="inlineStr">
        <is>
          <t>Close to 52 week high or retracement</t>
        </is>
      </c>
      <c r="BY13" s="30">
        <f>IF(BX13="Overhead supply in last 2 years in last 2 years",-5,IF(BX13="Close to 52 week high or retracement",5,IF(BX13="Blue sky scenario",10,IF(BX13="Long term Downtrend",-10,0))))</f>
        <v/>
      </c>
      <c r="BZ13" s="30" t="inlineStr">
        <is>
          <t>Yes</t>
        </is>
      </c>
      <c r="CA13" s="30">
        <f>IF(BZ13="Yes",10,0)</f>
        <v/>
      </c>
    </row>
    <row r="14">
      <c r="A14" s="30">
        <f>IF(B14=0,"",RANK(B14,$B$2:$B$32,0))</f>
        <v/>
      </c>
      <c r="B14" s="31">
        <f>SUM(N14,Y14,AA14,AC14,AE14,AG14,AI14,AK14,AM14,AO14,AQ14,AS14,AU14,AW14,AY14,BA14,BC14,BE14,BG14,BI14,BK14,BM14,BO14,BQ14,BS14,BU14,BW14,BY14,CA14)</f>
        <v/>
      </c>
      <c r="C14" s="30" t="inlineStr">
        <is>
          <t>RANEHOLDIN</t>
        </is>
      </c>
      <c r="D14" s="30" t="inlineStr">
        <is>
          <t>Rane Holdings Limited</t>
        </is>
      </c>
      <c r="E14" s="30" t="inlineStr">
        <is>
          <t>financials</t>
        </is>
      </c>
      <c r="F14" s="30" t="inlineStr">
        <is>
          <t>finance &amp; investments</t>
        </is>
      </c>
      <c r="G14" s="30" t="inlineStr">
        <is>
          <t>smallcap</t>
        </is>
      </c>
      <c r="H14" s="31" t="n">
        <v>2407.81</v>
      </c>
      <c r="I14" s="31" t="n">
        <v>1704.8</v>
      </c>
      <c r="J14" s="31" t="n">
        <v>1.09</v>
      </c>
      <c r="K14" s="31" t="n">
        <v>6820</v>
      </c>
      <c r="L14" s="30" t="n">
        <v>28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62.75</v>
      </c>
      <c r="P14" s="31" t="n">
        <v>43.69</v>
      </c>
      <c r="Q14" s="31" t="n">
        <v>1364.46</v>
      </c>
      <c r="R14" s="30" t="inlineStr">
        <is>
          <t>Near 52W High Breakout</t>
        </is>
      </c>
      <c r="S14" s="30" t="inlineStr">
        <is>
          <t>Nifty Bank</t>
        </is>
      </c>
      <c r="T14" s="31" t="n">
        <v>3.03</v>
      </c>
      <c r="U14" s="31" t="n">
        <v>16.42</v>
      </c>
      <c r="V14" s="31" t="n">
        <v>12.99</v>
      </c>
      <c r="W14" s="31" t="n">
        <v>8.609999999999999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Fragmented with High ROE</t>
        </is>
      </c>
      <c r="AA14" s="30">
        <f>IF(Z14="Fragmented with Low ROE",-5,IF(Z14="Fragmented with High ROE",10,IF(Z14= "highly cyclical",5,0)))</f>
        <v/>
      </c>
      <c r="AB14" s="30" t="inlineStr">
        <is>
          <t>Yes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Consistency)",15,IF(AF14="Shallow Cyclical (2 to 3 years growth)",10,IF(AF14 = "Cyclical in an Uptick",5,IF(AF14 = "Cyclical in an Downtick",-10,0))))</f>
        <v/>
      </c>
      <c r="AH14" s="30" t="inlineStr">
        <is>
          <t>Yes</t>
        </is>
      </c>
      <c r="AI14" s="30">
        <f>IF(AH14="Yes",10,0)</f>
        <v/>
      </c>
      <c r="AJ14" s="30" t="inlineStr">
        <is>
          <t>Yes</t>
        </is>
      </c>
      <c r="AK14" s="30">
        <f>IF(AJ14="Yes",10,0)</f>
        <v/>
      </c>
      <c r="AL14" s="30" t="n"/>
      <c r="AM14" s="30">
        <f>IF(AL14="No",10,0)</f>
        <v/>
      </c>
      <c r="AN14" s="30" t="inlineStr">
        <is>
          <t>Yes</t>
        </is>
      </c>
      <c r="AO14" s="30">
        <f>IF(AN14="Yes",10,0)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Yes</t>
        </is>
      </c>
      <c r="AS14" s="30">
        <f>IF(AR14="Yes",5,0)</f>
        <v/>
      </c>
      <c r="AT14" s="30" t="inlineStr">
        <is>
          <t>No</t>
        </is>
      </c>
      <c r="AU14" s="30">
        <f>IF(AT14="No",10,IF(AT14="Yes",-10,0))</f>
        <v/>
      </c>
      <c r="AV14" s="30" t="inlineStr">
        <is>
          <t>No</t>
        </is>
      </c>
      <c r="AW14" s="30">
        <f>IF(AV14="No",10,0)</f>
        <v/>
      </c>
      <c r="AX14" s="30" t="inlineStr">
        <is>
          <t>No</t>
        </is>
      </c>
      <c r="AY14" s="30">
        <f>IF(AX14="No",10,IF(AX14= "Yes CEO Resignation",-5,0))</f>
        <v/>
      </c>
      <c r="AZ14" s="30" t="inlineStr">
        <is>
          <t>No</t>
        </is>
      </c>
      <c r="BA14" s="30">
        <f>IF(AZ14="No",10,IF(AZ14="Yes",-5,0))</f>
        <v/>
      </c>
      <c r="BB14" s="30" t="inlineStr">
        <is>
          <t>No</t>
        </is>
      </c>
      <c r="BC14" s="30">
        <f>IF(BB14="No",5,IF(BB14="Yes",-5,0))</f>
        <v/>
      </c>
      <c r="BD14" s="30" t="inlineStr">
        <is>
          <t>Yes</t>
        </is>
      </c>
      <c r="BE14" s="30">
        <f>IF(BD14="Yes",10,0)</f>
        <v/>
      </c>
      <c r="BF14" s="30" t="inlineStr">
        <is>
          <t>Yes</t>
        </is>
      </c>
      <c r="BG14" s="30">
        <f>IF(BF14="Yes",10,0)</f>
        <v/>
      </c>
      <c r="BH14" s="30" t="inlineStr">
        <is>
          <t>Yes</t>
        </is>
      </c>
      <c r="BI14" s="30">
        <f>IF(BH14="Yes",10,0)</f>
        <v/>
      </c>
      <c r="BJ14" s="30" t="inlineStr">
        <is>
          <t>P/BV less than 2.5x and Growth less than 20%</t>
        </is>
      </c>
      <c r="BK14" s="30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0" t="inlineStr">
        <is>
          <t>Above 40</t>
        </is>
      </c>
      <c r="BM14" s="30">
        <f>IF(BL14="Above 40",20,IF(BL14="20 to 40",10,IF(BL14="0 to 20",-5,0)))</f>
        <v/>
      </c>
      <c r="BN14" s="30" t="inlineStr">
        <is>
          <t>Between 50 to 75</t>
        </is>
      </c>
      <c r="BO14" s="30">
        <f>IF(BN14="Between 50 to 75",10,IF(BN14="Above 75",0,0))</f>
        <v/>
      </c>
      <c r="BP14" s="30" t="inlineStr">
        <is>
          <t>Stage 2</t>
        </is>
      </c>
      <c r="BQ14" s="30">
        <f>IF(BP14="Stage 2",20,IF(BP14="Stage 1",0,IF(BP14="Stage 3",5,IF(BP14="Stage 4",-5,0))))</f>
        <v/>
      </c>
      <c r="BR14" s="30" t="inlineStr">
        <is>
          <t>Positive Trend</t>
        </is>
      </c>
      <c r="BS14" s="30">
        <f>IF(BR14="Positive Trend",20,IF(BR14="Negative Trend",-10,0))</f>
        <v/>
      </c>
      <c r="BT14" s="30" t="inlineStr">
        <is>
          <t>Uptrend</t>
        </is>
      </c>
      <c r="BU14" s="30">
        <f>IF(BT14="Uptrend",10,IF(BT14="Sideways",5,0))</f>
        <v/>
      </c>
      <c r="BV14" s="30" t="inlineStr">
        <is>
          <t>Uptrend</t>
        </is>
      </c>
      <c r="BW14" s="30">
        <f>IF(BV14="Uptrend",10,IF(BV14="Sideways",5,0))</f>
        <v/>
      </c>
      <c r="BX14" s="30" t="inlineStr">
        <is>
          <t>Close to 52 week high or retracement</t>
        </is>
      </c>
      <c r="BY14" s="30">
        <f>IF(BX14="Overhead supply in last 2 years in last 2 years",-5,IF(BX14="Close to 52 week high or retracement",5,IF(BX14="Blue sky scenario",10,IF(BX14="Long term Downtrend",-10,0))))</f>
        <v/>
      </c>
      <c r="BZ14" s="30" t="inlineStr">
        <is>
          <t>Yes</t>
        </is>
      </c>
      <c r="CA14" s="30">
        <f>IF(BZ14="Yes",10,0)</f>
        <v/>
      </c>
    </row>
    <row r="15">
      <c r="A15" s="30">
        <f>IF(B15=0,"",RANK(B15,$B$2:$B$32,0))</f>
        <v/>
      </c>
      <c r="B15" s="31">
        <f>SUM(N15,Y15,AA15,AC15,AE15,AG15,AI15,AK15,AM15,AO15,AQ15,AS15,AU15,AW15,AY15,BA15,BC15,BE15,BG15,BI15,BK15,BM15,BO15,BQ15,BS15,BU15,BW15,BY15,CA15)</f>
        <v/>
      </c>
      <c r="C15" s="30" t="inlineStr">
        <is>
          <t>PNBHOUSING</t>
        </is>
      </c>
      <c r="D15" s="30" t="inlineStr">
        <is>
          <t>Pnb Housing Finance Limited</t>
        </is>
      </c>
      <c r="E15" s="30" t="inlineStr">
        <is>
          <t>financials</t>
        </is>
      </c>
      <c r="F15" s="30" t="inlineStr">
        <is>
          <t>finance - housing</t>
        </is>
      </c>
      <c r="G15" s="30" t="inlineStr">
        <is>
          <t>largecap</t>
        </is>
      </c>
      <c r="H15" s="31" t="n">
        <v>29759.37</v>
      </c>
      <c r="I15" s="31" t="n">
        <v>1179</v>
      </c>
      <c r="J15" s="31" t="n">
        <v>3.24</v>
      </c>
      <c r="K15" s="31" t="n">
        <v>1084833</v>
      </c>
      <c r="L15" s="30" t="n">
        <v>42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69.36</v>
      </c>
      <c r="P15" s="31" t="n">
        <v>35.19</v>
      </c>
      <c r="Q15" s="31" t="n">
        <v>980.02</v>
      </c>
      <c r="R15" s="30" t="inlineStr">
        <is>
          <t>Near 52W High Breakout</t>
        </is>
      </c>
      <c r="S15" s="30" t="inlineStr">
        <is>
          <t>Nifty Bank</t>
        </is>
      </c>
      <c r="T15" s="31" t="n">
        <v>3.03</v>
      </c>
      <c r="U15" s="31" t="n">
        <v>43.13</v>
      </c>
      <c r="V15" s="31" t="n">
        <v>38.92</v>
      </c>
      <c r="W15" s="31" t="n">
        <v>12.81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Fragmented with High ROE</t>
        </is>
      </c>
      <c r="AA15" s="30">
        <f>IF(Z15="Fragmented with Low ROE",-5,IF(Z15="Fragmented with High ROE",10,IF(Z15= "highly cyclical",5,0)))</f>
        <v/>
      </c>
      <c r="AB15" s="30" t="inlineStr">
        <is>
          <t>Yes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Consistency)",15,IF(AF15="Shallow Cyclical (2 to 3 years growth)",10,IF(AF15 = "Cyclical in an Uptick",5,IF(AF15 = "Cyclical in an Downtick",-10,0))))</f>
        <v/>
      </c>
      <c r="AH15" s="30" t="inlineStr">
        <is>
          <t>Yes</t>
        </is>
      </c>
      <c r="AI15" s="30">
        <f>IF(AH15="Yes",10,0)</f>
        <v/>
      </c>
      <c r="AJ15" s="30" t="inlineStr">
        <is>
          <t>Yes</t>
        </is>
      </c>
      <c r="AK15" s="30">
        <f>IF(AJ15="Yes",10,0)</f>
        <v/>
      </c>
      <c r="AL15" s="30" t="n"/>
      <c r="AM15" s="30">
        <f>IF(AL15="No",10,0)</f>
        <v/>
      </c>
      <c r="AN15" s="30" t="inlineStr">
        <is>
          <t>Yes</t>
        </is>
      </c>
      <c r="AO15" s="30">
        <f>IF(AN15="Yes",10,0)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Yes</t>
        </is>
      </c>
      <c r="AS15" s="30">
        <f>IF(AR15="Yes",5,0)</f>
        <v/>
      </c>
      <c r="AT15" s="30" t="inlineStr">
        <is>
          <t>No</t>
        </is>
      </c>
      <c r="AU15" s="30">
        <f>IF(AT15="No",10,IF(AT15="Yes",-10,0))</f>
        <v/>
      </c>
      <c r="AV15" s="30" t="inlineStr">
        <is>
          <t>No</t>
        </is>
      </c>
      <c r="AW15" s="30">
        <f>IF(AV15="No",10,0)</f>
        <v/>
      </c>
      <c r="AX15" s="30" t="inlineStr">
        <is>
          <t>No</t>
        </is>
      </c>
      <c r="AY15" s="30">
        <f>IF(AX15="No",10,IF(AX15= "Yes CEO Resignation",-5,0))</f>
        <v/>
      </c>
      <c r="AZ15" s="30" t="inlineStr">
        <is>
          <t>No</t>
        </is>
      </c>
      <c r="BA15" s="30">
        <f>IF(AZ15="No",10,IF(AZ15="Yes",-5,0))</f>
        <v/>
      </c>
      <c r="BB15" s="30" t="inlineStr">
        <is>
          <t>No</t>
        </is>
      </c>
      <c r="BC15" s="30">
        <f>IF(BB15="No",5,IF(BB15="Yes",-5,0))</f>
        <v/>
      </c>
      <c r="BD15" s="30" t="inlineStr">
        <is>
          <t>Yes</t>
        </is>
      </c>
      <c r="BE15" s="30">
        <f>IF(BD15="Yes",10,0)</f>
        <v/>
      </c>
      <c r="BF15" s="30" t="inlineStr">
        <is>
          <t>Yes</t>
        </is>
      </c>
      <c r="BG15" s="30">
        <f>IF(BF15="Yes",10,0)</f>
        <v/>
      </c>
      <c r="BH15" s="30" t="inlineStr">
        <is>
          <t>Yes</t>
        </is>
      </c>
      <c r="BI15" s="30">
        <f>IF(BH15="Yes",10,0)</f>
        <v/>
      </c>
      <c r="BJ15" s="30" t="inlineStr">
        <is>
          <t>P/BV less than 2.5x and Growth less than 20%</t>
        </is>
      </c>
      <c r="BK15" s="30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0" t="inlineStr">
        <is>
          <t>20 to 40</t>
        </is>
      </c>
      <c r="BM15" s="30">
        <f>IF(BL15="Above 40",20,IF(BL15="20 to 40",10,IF(BL15="0 to 20",-5,0)))</f>
        <v/>
      </c>
      <c r="BN15" s="30" t="inlineStr">
        <is>
          <t>Between 50 to 75</t>
        </is>
      </c>
      <c r="BO15" s="30">
        <f>IF(BN15="Between 50 to 75",10,IF(BN15="Above 75",0,0))</f>
        <v/>
      </c>
      <c r="BP15" s="30" t="inlineStr">
        <is>
          <t>Stage 2</t>
        </is>
      </c>
      <c r="BQ15" s="30">
        <f>IF(BP15="Stage 2",20,IF(BP15="Stage 1",0,IF(BP15="Stage 3",5,IF(BP15="Stage 4",-5,0))))</f>
        <v/>
      </c>
      <c r="BR15" s="30" t="inlineStr">
        <is>
          <t>Positive Trend</t>
        </is>
      </c>
      <c r="BS15" s="30">
        <f>IF(BR15="Positive Trend",20,IF(BR15="Negative Trend",-10,0))</f>
        <v/>
      </c>
      <c r="BT15" s="30" t="inlineStr">
        <is>
          <t>Uptrend</t>
        </is>
      </c>
      <c r="BU15" s="30">
        <f>IF(BT15="Uptrend",10,IF(BT15="Sideways",5,0))</f>
        <v/>
      </c>
      <c r="BV15" s="30" t="inlineStr">
        <is>
          <t>Uptrend</t>
        </is>
      </c>
      <c r="BW15" s="30">
        <f>IF(BV15="Uptrend",10,IF(BV15="Sideways",5,0))</f>
        <v/>
      </c>
      <c r="BX15" s="30" t="inlineStr">
        <is>
          <t>Blue sky scenario</t>
        </is>
      </c>
      <c r="BY15" s="30">
        <f>IF(BX15="Overhead supply in last 2 years in last 2 years",-5,IF(BX15="Close to 52 week high or retracement",5,IF(BX15="Blue sky scenario",10,IF(BX15="Long term Downtrend",-10,0))))</f>
        <v/>
      </c>
      <c r="BZ15" s="30" t="inlineStr">
        <is>
          <t>Yes</t>
        </is>
      </c>
      <c r="CA15" s="30">
        <f>IF(BZ15="Yes",10,0)</f>
        <v/>
      </c>
    </row>
    <row r="16">
      <c r="A16" s="30">
        <f>IF(B16=0,"",RANK(B16,$B$2:$B$32,0))</f>
        <v/>
      </c>
      <c r="B16" s="31">
        <f>SUM(N16,Y16,AA16,AC16,AE16,AG16,AI16,AK16,AM16,AO16,AQ16,AS16,AU16,AW16,AY16,BA16,BC16,BE16,BG16,BI16,BK16,BM16,BO16,BQ16,BS16,BU16,BW16,BY16,CA16)</f>
        <v/>
      </c>
      <c r="C16" s="30" t="inlineStr">
        <is>
          <t>ANANDRATHI</t>
        </is>
      </c>
      <c r="D16" s="30" t="inlineStr">
        <is>
          <t>Anand Rathi Wealth Ltd</t>
        </is>
      </c>
      <c r="E16" s="30" t="inlineStr">
        <is>
          <t>financials</t>
        </is>
      </c>
      <c r="F16" s="30" t="inlineStr">
        <is>
          <t>finance &amp; investments</t>
        </is>
      </c>
      <c r="G16" s="30" t="inlineStr">
        <is>
          <t>largecap</t>
        </is>
      </c>
      <c r="H16" s="31" t="n">
        <v>36206.96</v>
      </c>
      <c r="I16" s="31" t="n">
        <v>2202.5</v>
      </c>
      <c r="J16" s="31" t="n">
        <v>1</v>
      </c>
      <c r="K16" s="31" t="n">
        <v>473429</v>
      </c>
      <c r="L16" s="30" t="n">
        <v>45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74.84999999999999</v>
      </c>
      <c r="P16" s="31" t="n">
        <v>58.44</v>
      </c>
      <c r="Q16" s="31" t="n">
        <v>1924.79</v>
      </c>
      <c r="R16" s="30" t="inlineStr">
        <is>
          <t>Near 52W High Breakout</t>
        </is>
      </c>
      <c r="S16" s="30" t="inlineStr">
        <is>
          <t>Nifty Bank</t>
        </is>
      </c>
      <c r="T16" s="31" t="n">
        <v>3.03</v>
      </c>
      <c r="U16" s="31" t="n">
        <v>48.54</v>
      </c>
      <c r="V16" s="31" t="n">
        <v>44.17</v>
      </c>
      <c r="W16" s="31" t="n">
        <v>13.65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Fragmented with High ROE</t>
        </is>
      </c>
      <c r="AA16" s="30">
        <f>IF(Z16="Fragmented with Low ROE",-5,IF(Z16="Fragmented with High ROE",10,IF(Z16= "highly cyclical",5,0)))</f>
        <v/>
      </c>
      <c r="AB16" s="30" t="inlineStr">
        <is>
          <t>Yes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Consistency)",15,IF(AF16="Shallow Cyclical (2 to 3 years growth)",10,IF(AF16 = "Cyclical in an Uptick",5,IF(AF16 = "Cyclical in an Downtick",-10,0))))</f>
        <v/>
      </c>
      <c r="AH16" s="30" t="inlineStr">
        <is>
          <t>Yes</t>
        </is>
      </c>
      <c r="AI16" s="30">
        <f>IF(AH16="Yes",10,0)</f>
        <v/>
      </c>
      <c r="AJ16" s="30" t="inlineStr">
        <is>
          <t>Yes</t>
        </is>
      </c>
      <c r="AK16" s="30">
        <f>IF(AJ16="Yes",10,0)</f>
        <v/>
      </c>
      <c r="AL16" s="30" t="n"/>
      <c r="AM16" s="30">
        <f>IF(AL16="No",10,0)</f>
        <v/>
      </c>
      <c r="AN16" s="30" t="inlineStr">
        <is>
          <t>Yes</t>
        </is>
      </c>
      <c r="AO16" s="30">
        <f>IF(AN16="Yes",10,0)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Yes</t>
        </is>
      </c>
      <c r="AS16" s="30">
        <f>IF(AR16="Yes",5,0)</f>
        <v/>
      </c>
      <c r="AT16" s="30" t="inlineStr">
        <is>
          <t>No</t>
        </is>
      </c>
      <c r="AU16" s="30">
        <f>IF(AT16="No",10,IF(AT16="Yes",-10,0))</f>
        <v/>
      </c>
      <c r="AV16" s="30" t="inlineStr">
        <is>
          <t>No</t>
        </is>
      </c>
      <c r="AW16" s="30">
        <f>IF(AV16="No",10,0)</f>
        <v/>
      </c>
      <c r="AX16" s="30" t="inlineStr">
        <is>
          <t>No</t>
        </is>
      </c>
      <c r="AY16" s="30">
        <f>IF(AX16="No",10,IF(AX16= "Yes CEO Resignation",-5,0))</f>
        <v/>
      </c>
      <c r="AZ16" s="30" t="inlineStr">
        <is>
          <t>No</t>
        </is>
      </c>
      <c r="BA16" s="30">
        <f>IF(AZ16="No",10,IF(AZ16="Yes",-5,0))</f>
        <v/>
      </c>
      <c r="BB16" s="30" t="inlineStr">
        <is>
          <t>No</t>
        </is>
      </c>
      <c r="BC16" s="30">
        <f>IF(BB16="No",5,IF(BB16="Yes",-5,0))</f>
        <v/>
      </c>
      <c r="BD16" s="30" t="inlineStr">
        <is>
          <t>Yes</t>
        </is>
      </c>
      <c r="BE16" s="30">
        <f>IF(BD16="Yes",10,0)</f>
        <v/>
      </c>
      <c r="BF16" s="30" t="inlineStr">
        <is>
          <t>Yes</t>
        </is>
      </c>
      <c r="BG16" s="30">
        <f>IF(BF16="Yes",10,0)</f>
        <v/>
      </c>
      <c r="BH16" s="30" t="inlineStr">
        <is>
          <t>Yes</t>
        </is>
      </c>
      <c r="BI16" s="30">
        <f>IF(BH16="Yes",10,0)</f>
        <v/>
      </c>
      <c r="BJ16" s="30" t="inlineStr">
        <is>
          <t>P/BV above 5x</t>
        </is>
      </c>
      <c r="BK16" s="30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0" t="inlineStr">
        <is>
          <t>Above 40</t>
        </is>
      </c>
      <c r="BM16" s="30">
        <f>IF(BL16="Above 40",20,IF(BL16="20 to 40",10,IF(BL16="0 to 20",-5,0)))</f>
        <v/>
      </c>
      <c r="BN16" s="30" t="inlineStr">
        <is>
          <t>Between 50 to 75</t>
        </is>
      </c>
      <c r="BO16" s="30">
        <f>IF(BN16="Between 50 to 75",10,IF(BN16="Above 75",0,0))</f>
        <v/>
      </c>
      <c r="BP16" s="30" t="inlineStr">
        <is>
          <t>Stage 2</t>
        </is>
      </c>
      <c r="BQ16" s="30">
        <f>IF(BP16="Stage 2",20,IF(BP16="Stage 1",0,IF(BP16="Stage 3",5,IF(BP16="Stage 4",-5,0))))</f>
        <v/>
      </c>
      <c r="BR16" s="30" t="inlineStr">
        <is>
          <t>Positive Trend</t>
        </is>
      </c>
      <c r="BS16" s="30">
        <f>IF(BR16="Positive Trend",20,IF(BR16="Negative Trend",-10,0))</f>
        <v/>
      </c>
      <c r="BT16" s="30" t="inlineStr">
        <is>
          <t>Uptrend</t>
        </is>
      </c>
      <c r="BU16" s="30">
        <f>IF(BT16="Uptrend",10,IF(BT16="Sideways",5,0))</f>
        <v/>
      </c>
      <c r="BV16" s="30" t="inlineStr">
        <is>
          <t>Uptrend</t>
        </is>
      </c>
      <c r="BW16" s="30">
        <f>IF(BV16="Uptrend",10,IF(BV16="Sideways",5,0))</f>
        <v/>
      </c>
      <c r="BX16" s="30" t="inlineStr">
        <is>
          <t>Blue sky scenario</t>
        </is>
      </c>
      <c r="BY16" s="30">
        <f>IF(BX16="Overhead supply in last 2 years in last 2 years",-5,IF(BX16="Close to 52 week high or retracement",5,IF(BX16="Blue sky scenario",10,IF(BX16="Long term Downtrend",-10,0))))</f>
        <v/>
      </c>
      <c r="BZ16" s="30" t="inlineStr">
        <is>
          <t>Yes</t>
        </is>
      </c>
      <c r="CA16" s="30">
        <f>IF(BZ16="Yes",10,0)</f>
        <v/>
      </c>
    </row>
    <row r="17">
      <c r="A17" s="30">
        <f>IF(B17=0,"",RANK(B17,$B$2:$B$32,0))</f>
        <v/>
      </c>
      <c r="B17" s="31">
        <f>SUM(N17,Y17,AA17,AC17,AE17,AG17,AI17,AK17,AM17,AO17,AQ17,AS17,AU17,AW17,AY17,BA17,BC17,BE17,BG17,BI17,BK17,BM17,BO17,BQ17,BS17,BU17,BW17,BY17,CA17)</f>
        <v/>
      </c>
      <c r="C17" s="30" t="inlineStr">
        <is>
          <t>IDFCFIRSTB</t>
        </is>
      </c>
      <c r="D17" s="30" t="inlineStr">
        <is>
          <t>IDFC First Bank Ltd</t>
        </is>
      </c>
      <c r="E17" s="30" t="inlineStr">
        <is>
          <t>bank</t>
        </is>
      </c>
      <c r="F17" s="30" t="inlineStr">
        <is>
          <t>banks - private sector</t>
        </is>
      </c>
      <c r="G17" s="30" t="inlineStr">
        <is>
          <t>largecap</t>
        </is>
      </c>
      <c r="H17" s="31" t="n">
        <v>74086.73</v>
      </c>
      <c r="I17" s="31" t="n">
        <v>86.84</v>
      </c>
      <c r="J17" s="31" t="n">
        <v>0.98</v>
      </c>
      <c r="K17" s="31" t="n">
        <v>14637414</v>
      </c>
      <c r="L17" s="30" t="n">
        <v>26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65.40000000000001</v>
      </c>
      <c r="P17" s="31" t="n">
        <v>28.59</v>
      </c>
      <c r="Q17" s="31" t="n">
        <v>75.03</v>
      </c>
      <c r="R17" s="30" t="inlineStr">
        <is>
          <t>Near 52W High Breakout</t>
        </is>
      </c>
      <c r="S17" s="30" t="inlineStr">
        <is>
          <t>Nifty Bank</t>
        </is>
      </c>
      <c r="T17" s="31" t="n">
        <v>3.03</v>
      </c>
      <c r="U17" s="31" t="n">
        <v>20.9</v>
      </c>
      <c r="V17" s="31" t="n">
        <v>17.34</v>
      </c>
      <c r="W17" s="31" t="n">
        <v>8.050000000000001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Fragmented with High ROE</t>
        </is>
      </c>
      <c r="AA17" s="30">
        <f>IF(Z17="Fragmented with Low ROE",-5,IF(Z17="Fragmented with High ROE",10,IF(Z17= "highly cyclical",5,0)))</f>
        <v/>
      </c>
      <c r="AB17" s="30" t="inlineStr">
        <is>
          <t>Yes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Consistency)",15,IF(AF17="Shallow Cyclical (2 to 3 years growth)",10,IF(AF17 = "Cyclical in an Uptick",5,IF(AF17 = "Cyclical in an Downtick",-10,0))))</f>
        <v/>
      </c>
      <c r="AH17" s="30" t="inlineStr">
        <is>
          <t>Yes</t>
        </is>
      </c>
      <c r="AI17" s="30">
        <f>IF(AH17="Yes",10,0)</f>
        <v/>
      </c>
      <c r="AJ17" s="30" t="inlineStr">
        <is>
          <t>Yes</t>
        </is>
      </c>
      <c r="AK17" s="30">
        <f>IF(AJ17="Yes",10,0)</f>
        <v/>
      </c>
      <c r="AL17" s="30" t="n"/>
      <c r="AM17" s="30">
        <f>IF(AL17="No",10,0)</f>
        <v/>
      </c>
      <c r="AN17" s="30" t="inlineStr">
        <is>
          <t>Yes</t>
        </is>
      </c>
      <c r="AO17" s="30">
        <f>IF(AN17="Yes",10,0)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Yes</t>
        </is>
      </c>
      <c r="AS17" s="30">
        <f>IF(AR17="Yes",5,0)</f>
        <v/>
      </c>
      <c r="AT17" s="30" t="inlineStr">
        <is>
          <t>No</t>
        </is>
      </c>
      <c r="AU17" s="30">
        <f>IF(AT17="No",10,IF(AT17="Yes",-10,0))</f>
        <v/>
      </c>
      <c r="AV17" s="30" t="inlineStr">
        <is>
          <t>No</t>
        </is>
      </c>
      <c r="AW17" s="30">
        <f>IF(AV17="No",10,0)</f>
        <v/>
      </c>
      <c r="AX17" s="30" t="inlineStr">
        <is>
          <t>No</t>
        </is>
      </c>
      <c r="AY17" s="30">
        <f>IF(AX17="No",10,IF(AX17= "Yes CEO Resignation",-5,0))</f>
        <v/>
      </c>
      <c r="AZ17" s="30" t="inlineStr">
        <is>
          <t>No</t>
        </is>
      </c>
      <c r="BA17" s="30">
        <f>IF(AZ17="No",10,IF(AZ17="Yes",-5,0))</f>
        <v/>
      </c>
      <c r="BB17" s="30" t="inlineStr">
        <is>
          <t>No</t>
        </is>
      </c>
      <c r="BC17" s="30">
        <f>IF(BB17="No",5,IF(BB17="Yes",-5,0))</f>
        <v/>
      </c>
      <c r="BD17" s="30" t="inlineStr">
        <is>
          <t>Yes</t>
        </is>
      </c>
      <c r="BE17" s="30">
        <f>IF(BD17="Yes",10,0)</f>
        <v/>
      </c>
      <c r="BF17" s="30" t="inlineStr">
        <is>
          <t>Yes</t>
        </is>
      </c>
      <c r="BG17" s="30">
        <f>IF(BF17="Yes",10,0)</f>
        <v/>
      </c>
      <c r="BH17" s="30" t="inlineStr">
        <is>
          <t>Yes</t>
        </is>
      </c>
      <c r="BI17" s="30">
        <f>IF(BH17="Yes",10,0)</f>
        <v/>
      </c>
      <c r="BJ17" s="30" t="inlineStr">
        <is>
          <t>P/BV less than 2.5x and Growth less than 20%</t>
        </is>
      </c>
      <c r="BK17" s="30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0" t="inlineStr">
        <is>
          <t>20 to 40</t>
        </is>
      </c>
      <c r="BM17" s="30">
        <f>IF(BL17="Above 40",20,IF(BL17="20 to 40",10,IF(BL17="0 to 20",-5,0)))</f>
        <v/>
      </c>
      <c r="BN17" s="30" t="inlineStr">
        <is>
          <t>Between 50 to 75</t>
        </is>
      </c>
      <c r="BO17" s="30">
        <f>IF(BN17="Between 50 to 75",10,IF(BN17="Above 75",0,0))</f>
        <v/>
      </c>
      <c r="BP17" s="30" t="inlineStr">
        <is>
          <t>Stage 2</t>
        </is>
      </c>
      <c r="BQ17" s="30">
        <f>IF(BP17="Stage 2",20,IF(BP17="Stage 1",0,IF(BP17="Stage 3",5,IF(BP17="Stage 4",-5,0))))</f>
        <v/>
      </c>
      <c r="BR17" s="30" t="inlineStr">
        <is>
          <t>Positive Trend</t>
        </is>
      </c>
      <c r="BS17" s="30">
        <f>IF(BR17="Positive Trend",20,IF(BR17="Negative Trend",-10,0))</f>
        <v/>
      </c>
      <c r="BT17" s="30" t="inlineStr">
        <is>
          <t>Uptrend</t>
        </is>
      </c>
      <c r="BU17" s="30">
        <f>IF(BT17="Uptrend",10,IF(BT17="Sideways",5,0))</f>
        <v/>
      </c>
      <c r="BV17" s="30" t="inlineStr">
        <is>
          <t>Uptrend</t>
        </is>
      </c>
      <c r="BW17" s="30">
        <f>IF(BV17="Uptrend",10,IF(BV17="Sideways",5,0))</f>
        <v/>
      </c>
      <c r="BX17" s="30" t="inlineStr">
        <is>
          <t>Blue sky scenario</t>
        </is>
      </c>
      <c r="BY17" s="30">
        <f>IF(BX17="Overhead supply in last 2 years in last 2 years",-5,IF(BX17="Close to 52 week high or retracement",5,IF(BX17="Blue sky scenario",10,IF(BX17="Long term Downtrend",-10,0))))</f>
        <v/>
      </c>
      <c r="BZ17" s="30" t="inlineStr">
        <is>
          <t>Yes</t>
        </is>
      </c>
      <c r="CA17" s="30">
        <f>IF(BZ17="Yes",10,0)</f>
        <v/>
      </c>
    </row>
    <row r="18">
      <c r="A18" s="30">
        <f>IF(B18=0,"",RANK(B18,$B$2:$B$32,0))</f>
        <v/>
      </c>
      <c r="B18" s="31">
        <f>SUM(N18,Y18,AA18,AC18,AE18,AG18,AI18,AK18,AM18,AO18,AQ18,AS18,AU18,AW18,AY18,BA18,BC18,BE18,BG18,BI18,BK18,BM18,BO18,BQ18,BS18,BU18,BW18,BY18,CA18)</f>
        <v/>
      </c>
      <c r="C18" s="30" t="inlineStr">
        <is>
          <t>CONSOFINVT</t>
        </is>
      </c>
      <c r="D18" s="30" t="inlineStr">
        <is>
          <t>Consolidated Finvest &amp; Holdings Limited</t>
        </is>
      </c>
      <c r="E18" s="30" t="inlineStr">
        <is>
          <t>financials</t>
        </is>
      </c>
      <c r="F18" s="30" t="inlineStr">
        <is>
          <t>finance &amp; investments</t>
        </is>
      </c>
      <c r="G18" s="30" t="inlineStr">
        <is>
          <t>smallcap</t>
        </is>
      </c>
      <c r="H18" s="31" t="n">
        <v>986.12</v>
      </c>
      <c r="I18" s="31" t="n">
        <v>303.5</v>
      </c>
      <c r="J18" s="31" t="n">
        <v>-0.51</v>
      </c>
      <c r="K18" s="31" t="n">
        <v>3305</v>
      </c>
      <c r="L18" s="30" t="n">
        <v>60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70.23</v>
      </c>
      <c r="P18" s="31" t="n">
        <v>36.2</v>
      </c>
      <c r="Q18" s="31" t="n">
        <v>236.07</v>
      </c>
      <c r="R18" s="30" t="inlineStr">
        <is>
          <t>Near 52W High Breakout</t>
        </is>
      </c>
      <c r="S18" s="30" t="inlineStr">
        <is>
          <t>Nifty Bank</t>
        </is>
      </c>
      <c r="T18" s="31" t="n">
        <v>3.03</v>
      </c>
      <c r="U18" s="31" t="n">
        <v>55.63</v>
      </c>
      <c r="V18" s="31" t="n">
        <v>51.05</v>
      </c>
      <c r="W18" s="31" t="n">
        <v>18.63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Fragmented with High ROE</t>
        </is>
      </c>
      <c r="AA18" s="30">
        <f>IF(Z18="Fragmented with Low ROE",-5,IF(Z18="Fragmented with High ROE",10,IF(Z18= "highly cyclical",5,0)))</f>
        <v/>
      </c>
      <c r="AB18" s="30" t="inlineStr">
        <is>
          <t>Yes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Consistency)",15,IF(AF18="Shallow Cyclical (2 to 3 years growth)",10,IF(AF18 = "Cyclical in an Uptick",5,IF(AF18 = "Cyclical in an Downtick",-10,0))))</f>
        <v/>
      </c>
      <c r="AH18" s="30" t="inlineStr">
        <is>
          <t>Yes</t>
        </is>
      </c>
      <c r="AI18" s="30">
        <f>IF(AH18="Yes",10,0)</f>
        <v/>
      </c>
      <c r="AJ18" s="30" t="inlineStr">
        <is>
          <t>Yes</t>
        </is>
      </c>
      <c r="AK18" s="30">
        <f>IF(AJ18="Yes",10,0)</f>
        <v/>
      </c>
      <c r="AL18" s="30" t="n"/>
      <c r="AM18" s="30">
        <f>IF(AL18="No",10,0)</f>
        <v/>
      </c>
      <c r="AN18" s="30" t="inlineStr">
        <is>
          <t>Yes</t>
        </is>
      </c>
      <c r="AO18" s="30">
        <f>IF(AN18="Yes",10,0)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Yes</t>
        </is>
      </c>
      <c r="AS18" s="30">
        <f>IF(AR18="Yes",5,0)</f>
        <v/>
      </c>
      <c r="AT18" s="30" t="inlineStr">
        <is>
          <t>No</t>
        </is>
      </c>
      <c r="AU18" s="30">
        <f>IF(AT18="No",10,IF(AT18="Yes",-10,0))</f>
        <v/>
      </c>
      <c r="AV18" s="30" t="inlineStr">
        <is>
          <t>No</t>
        </is>
      </c>
      <c r="AW18" s="30">
        <f>IF(AV18="No",10,0)</f>
        <v/>
      </c>
      <c r="AX18" s="30" t="inlineStr">
        <is>
          <t>No</t>
        </is>
      </c>
      <c r="AY18" s="30">
        <f>IF(AX18="No",10,IF(AX18= "Yes CEO Resignation",-5,0))</f>
        <v/>
      </c>
      <c r="AZ18" s="30" t="inlineStr">
        <is>
          <t>No</t>
        </is>
      </c>
      <c r="BA18" s="30">
        <f>IF(AZ18="No",10,IF(AZ18="Yes",-5,0))</f>
        <v/>
      </c>
      <c r="BB18" s="30" t="inlineStr">
        <is>
          <t>No</t>
        </is>
      </c>
      <c r="BC18" s="30">
        <f>IF(BB18="No",5,IF(BB18="Yes",-5,0))</f>
        <v/>
      </c>
      <c r="BD18" s="30" t="inlineStr">
        <is>
          <t>Yes</t>
        </is>
      </c>
      <c r="BE18" s="30">
        <f>IF(BD18="Yes",10,0)</f>
        <v/>
      </c>
      <c r="BF18" s="30" t="inlineStr">
        <is>
          <t>Yes</t>
        </is>
      </c>
      <c r="BG18" s="30">
        <f>IF(BF18="Yes",10,0)</f>
        <v/>
      </c>
      <c r="BH18" s="30" t="inlineStr">
        <is>
          <t>Yes</t>
        </is>
      </c>
      <c r="BI18" s="30">
        <f>IF(BH18="Yes",10,0)</f>
        <v/>
      </c>
      <c r="BJ18" s="30" t="inlineStr">
        <is>
          <t>P/BV less than 2.5x and Growth less than 20%</t>
        </is>
      </c>
      <c r="BK18" s="30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0" t="inlineStr">
        <is>
          <t>20 to 40</t>
        </is>
      </c>
      <c r="BM18" s="30">
        <f>IF(BL18="Above 40",20,IF(BL18="20 to 40",10,IF(BL18="0 to 20",-5,0)))</f>
        <v/>
      </c>
      <c r="BN18" s="30" t="inlineStr">
        <is>
          <t>Between 50 to 75</t>
        </is>
      </c>
      <c r="BO18" s="30">
        <f>IF(BN18="Between 50 to 75",10,IF(BN18="Above 75",0,0))</f>
        <v/>
      </c>
      <c r="BP18" s="30" t="inlineStr">
        <is>
          <t>Stage 2</t>
        </is>
      </c>
      <c r="BQ18" s="30">
        <f>IF(BP18="Stage 2",20,IF(BP18="Stage 1",0,IF(BP18="Stage 3",5,IF(BP18="Stage 4",-5,0))))</f>
        <v/>
      </c>
      <c r="BR18" s="30" t="inlineStr">
        <is>
          <t>Positive Trend</t>
        </is>
      </c>
      <c r="BS18" s="30">
        <f>IF(BR18="Positive Trend",20,IF(BR18="Negative Trend",-10,0))</f>
        <v/>
      </c>
      <c r="BT18" s="30" t="inlineStr">
        <is>
          <t>Uptrend</t>
        </is>
      </c>
      <c r="BU18" s="30">
        <f>IF(BT18="Uptrend",10,IF(BT18="Sideways",5,0))</f>
        <v/>
      </c>
      <c r="BV18" s="30" t="inlineStr">
        <is>
          <t>Uptrend</t>
        </is>
      </c>
      <c r="BW18" s="30">
        <f>IF(BV18="Uptrend",10,IF(BV18="Sideways",5,0))</f>
        <v/>
      </c>
      <c r="BX18" s="30" t="inlineStr">
        <is>
          <t>Blue sky scenario</t>
        </is>
      </c>
      <c r="BY18" s="30">
        <f>IF(BX18="Overhead supply in last 2 years in last 2 years",-5,IF(BX18="Close to 52 week high or retracement",5,IF(BX18="Blue sky scenario",10,IF(BX18="Long term Downtrend",-10,0))))</f>
        <v/>
      </c>
      <c r="BZ18" s="30" t="inlineStr">
        <is>
          <t>Yes</t>
        </is>
      </c>
      <c r="CA18" s="30">
        <f>IF(BZ18="Yes",10,0)</f>
        <v/>
      </c>
    </row>
    <row r="19">
      <c r="A19" s="30">
        <f>IF(B19=0,"",RANK(B19,$B$2:$B$32,0))</f>
        <v/>
      </c>
      <c r="B19" s="31">
        <f>SUM(N19,Y19,AA19,AC19,AE19,AG19,AI19,AK19,AM19,AO19,AQ19,AS19,AU19,AW19,AY19,BA19,BC19,BE19,BG19,BI19,BK19,BM19,BO19,BQ19,BS19,BU19,BW19,BY19,CA19)</f>
        <v/>
      </c>
      <c r="C19" s="30" t="inlineStr">
        <is>
          <t>TFCILTD</t>
        </is>
      </c>
      <c r="D19" s="30" t="inlineStr">
        <is>
          <t>Tourism Finance Corporation Of India Limited</t>
        </is>
      </c>
      <c r="E19" s="30" t="inlineStr">
        <is>
          <t>financials</t>
        </is>
      </c>
      <c r="F19" s="30" t="inlineStr">
        <is>
          <t>finance - term-lending institutions</t>
        </is>
      </c>
      <c r="G19" s="30" t="inlineStr">
        <is>
          <t>midcap</t>
        </is>
      </c>
      <c r="H19" s="31" t="n">
        <v>6559.92</v>
      </c>
      <c r="I19" s="31" t="n">
        <v>143.17</v>
      </c>
      <c r="J19" s="31" t="n">
        <v>1.04</v>
      </c>
      <c r="K19" s="31" t="n">
        <v>4319155</v>
      </c>
      <c r="L19" s="30" t="n">
        <v>88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85.91</v>
      </c>
      <c r="P19" s="31" t="n">
        <v>65.98</v>
      </c>
      <c r="Q19" s="31" t="n">
        <v>114.99</v>
      </c>
      <c r="R19" s="30" t="inlineStr">
        <is>
          <t>Near 52W High Breakout</t>
        </is>
      </c>
      <c r="S19" s="30" t="inlineStr">
        <is>
          <t>Nifty Bank</t>
        </is>
      </c>
      <c r="T19" s="31" t="n">
        <v>3.03</v>
      </c>
      <c r="U19" s="31" t="n">
        <v>97.53</v>
      </c>
      <c r="V19" s="31" t="n">
        <v>91.70999999999999</v>
      </c>
      <c r="W19" s="31" t="n">
        <v>38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Fragmented with High ROE</t>
        </is>
      </c>
      <c r="AA19" s="30">
        <f>IF(Z19="Fragmented with Low ROE",-5,IF(Z19="Fragmented with High ROE",10,IF(Z19= "highly cyclical",5,0)))</f>
        <v/>
      </c>
      <c r="AB19" s="30" t="inlineStr">
        <is>
          <t>Yes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Consistency)",15,IF(AF19="Shallow Cyclical (2 to 3 years growth)",10,IF(AF19 = "Cyclical in an Uptick",5,IF(AF19 = "Cyclical in an Downtick",-10,0))))</f>
        <v/>
      </c>
      <c r="AH19" s="30" t="inlineStr">
        <is>
          <t>Yes</t>
        </is>
      </c>
      <c r="AI19" s="30">
        <f>IF(AH19="Yes",10,0)</f>
        <v/>
      </c>
      <c r="AJ19" s="30" t="inlineStr">
        <is>
          <t>Yes</t>
        </is>
      </c>
      <c r="AK19" s="30">
        <f>IF(AJ19="Yes",10,0)</f>
        <v/>
      </c>
      <c r="AL19" s="30" t="n"/>
      <c r="AM19" s="30">
        <f>IF(AL19="No",10,0)</f>
        <v/>
      </c>
      <c r="AN19" s="30" t="inlineStr">
        <is>
          <t>Yes</t>
        </is>
      </c>
      <c r="AO19" s="30">
        <f>IF(AN19="Yes",10,0)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Yes</t>
        </is>
      </c>
      <c r="AS19" s="30">
        <f>IF(AR19="Yes",5,0)</f>
        <v/>
      </c>
      <c r="AT19" s="30" t="inlineStr">
        <is>
          <t>No</t>
        </is>
      </c>
      <c r="AU19" s="30">
        <f>IF(AT19="No",10,IF(AT19="Yes",-10,0))</f>
        <v/>
      </c>
      <c r="AV19" s="30" t="inlineStr">
        <is>
          <t>No</t>
        </is>
      </c>
      <c r="AW19" s="30">
        <f>IF(AV19="No",10,0)</f>
        <v/>
      </c>
      <c r="AX19" s="30" t="inlineStr">
        <is>
          <t>No</t>
        </is>
      </c>
      <c r="AY19" s="30">
        <f>IF(AX19="No",10,IF(AX19= "Yes CEO Resignation",-5,0))</f>
        <v/>
      </c>
      <c r="AZ19" s="30" t="inlineStr">
        <is>
          <t>No</t>
        </is>
      </c>
      <c r="BA19" s="30">
        <f>IF(AZ19="No",10,IF(AZ19="Yes",-5,0))</f>
        <v/>
      </c>
      <c r="BB19" s="30" t="inlineStr">
        <is>
          <t>No</t>
        </is>
      </c>
      <c r="BC19" s="30">
        <f>IF(BB19="No",5,IF(BB19="Yes",-5,0))</f>
        <v/>
      </c>
      <c r="BD19" s="30" t="inlineStr">
        <is>
          <t>Yes</t>
        </is>
      </c>
      <c r="BE19" s="30">
        <f>IF(BD19="Yes",10,0)</f>
        <v/>
      </c>
      <c r="BF19" s="30" t="inlineStr">
        <is>
          <t>Yes</t>
        </is>
      </c>
      <c r="BG19" s="30">
        <f>IF(BF19="Yes",10,0)</f>
        <v/>
      </c>
      <c r="BH19" s="30" t="inlineStr">
        <is>
          <t>Yes</t>
        </is>
      </c>
      <c r="BI19" s="30">
        <f>IF(BH19="Yes",10,0)</f>
        <v/>
      </c>
      <c r="BJ19" s="30" t="inlineStr">
        <is>
          <t>P/BV above 5x</t>
        </is>
      </c>
      <c r="BK19" s="30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0" t="inlineStr">
        <is>
          <t>Above 40</t>
        </is>
      </c>
      <c r="BM19" s="30">
        <f>IF(BL19="Above 40",20,IF(BL19="20 to 40",10,IF(BL19="0 to 20",-5,0)))</f>
        <v/>
      </c>
      <c r="BN19" s="30" t="inlineStr">
        <is>
          <t>Above 75</t>
        </is>
      </c>
      <c r="BO19" s="30">
        <f>IF(BN19="Between 50 to 75",10,IF(BN19="Above 75",0,0))</f>
        <v/>
      </c>
      <c r="BP19" s="30" t="inlineStr">
        <is>
          <t>Stage 2</t>
        </is>
      </c>
      <c r="BQ19" s="30">
        <f>IF(BP19="Stage 2",20,IF(BP19="Stage 1",0,IF(BP19="Stage 3",5,IF(BP19="Stage 4",-5,0))))</f>
        <v/>
      </c>
      <c r="BR19" s="30" t="inlineStr">
        <is>
          <t>Positive Trend</t>
        </is>
      </c>
      <c r="BS19" s="30">
        <f>IF(BR19="Positive Trend",20,IF(BR19="Negative Trend",-10,0))</f>
        <v/>
      </c>
      <c r="BT19" s="30" t="inlineStr">
        <is>
          <t>Uptrend</t>
        </is>
      </c>
      <c r="BU19" s="30">
        <f>IF(BT19="Uptrend",10,IF(BT19="Sideways",5,0))</f>
        <v/>
      </c>
      <c r="BV19" s="30" t="inlineStr">
        <is>
          <t>Uptrend</t>
        </is>
      </c>
      <c r="BW19" s="30">
        <f>IF(BV19="Uptrend",10,IF(BV19="Sideways",5,0))</f>
        <v/>
      </c>
      <c r="BX19" s="30" t="inlineStr">
        <is>
          <t>Blue sky scenario</t>
        </is>
      </c>
      <c r="BY19" s="30">
        <f>IF(BX19="Overhead supply in last 2 years in last 2 years",-5,IF(BX19="Close to 52 week high or retracement",5,IF(BX19="Blue sky scenario",10,IF(BX19="Long term Downtrend",-10,0))))</f>
        <v/>
      </c>
      <c r="BZ19" s="30" t="inlineStr">
        <is>
          <t>Yes</t>
        </is>
      </c>
      <c r="CA19" s="30">
        <f>IF(BZ19="Yes",10,0)</f>
        <v/>
      </c>
    </row>
    <row r="20">
      <c r="A20" s="30">
        <f>IF(B20=0,"",RANK(B20,$B$2:$B$32,0))</f>
        <v/>
      </c>
      <c r="B20" s="31">
        <f>SUM(N20,Y20,AA20,AC20,AE20,AG20,AI20,AK20,AM20,AO20,AQ20,AS20,AU20,AW20,AY20,BA20,BC20,BE20,BG20,BI20,BK20,BM20,BO20,BQ20,BS20,BU20,BW20,BY20,CA20)</f>
        <v/>
      </c>
      <c r="C20" s="30" t="inlineStr">
        <is>
          <t>EDELWEISS</t>
        </is>
      </c>
      <c r="D20" s="30" t="inlineStr">
        <is>
          <t>Edelweiss Financial Services Limited</t>
        </is>
      </c>
      <c r="E20" s="30" t="inlineStr">
        <is>
          <t>financials</t>
        </is>
      </c>
      <c r="F20" s="30" t="inlineStr">
        <is>
          <t>finance &amp; investments</t>
        </is>
      </c>
      <c r="G20" s="30" t="inlineStr">
        <is>
          <t>midcap</t>
        </is>
      </c>
      <c r="H20" s="31" t="n">
        <v>12648.5</v>
      </c>
      <c r="I20" s="31" t="n">
        <v>136.74</v>
      </c>
      <c r="J20" s="31" t="n">
        <v>2.33</v>
      </c>
      <c r="K20" s="31" t="n">
        <v>16928746</v>
      </c>
      <c r="L20" s="30" t="n">
        <v>29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64.70999999999999</v>
      </c>
      <c r="P20" s="31" t="n">
        <v>17.41</v>
      </c>
      <c r="Q20" s="31" t="n">
        <v>104.52</v>
      </c>
      <c r="R20" s="30" t="inlineStr">
        <is>
          <t>Volume Spike &amp; Near 52W High Breakout</t>
        </is>
      </c>
      <c r="S20" s="30" t="inlineStr">
        <is>
          <t>Nifty Bank</t>
        </is>
      </c>
      <c r="T20" s="31" t="n">
        <v>3.03</v>
      </c>
      <c r="U20" s="31" t="n">
        <v>18.52</v>
      </c>
      <c r="V20" s="31" t="n">
        <v>15.03</v>
      </c>
      <c r="W20" s="31" t="n">
        <v>8.92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Fragmented with High ROE</t>
        </is>
      </c>
      <c r="AA20" s="30">
        <f>IF(Z20="Fragmented with Low ROE",-5,IF(Z20="Fragmented with High ROE",10,IF(Z20= "highly cyclical",5,0)))</f>
        <v/>
      </c>
      <c r="AB20" s="30" t="inlineStr">
        <is>
          <t>Yes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Consistency)",15,IF(AF20="Shallow Cyclical (2 to 3 years growth)",10,IF(AF20 = "Cyclical in an Uptick",5,IF(AF20 = "Cyclical in an Downtick",-10,0))))</f>
        <v/>
      </c>
      <c r="AH20" s="30" t="inlineStr">
        <is>
          <t>Yes</t>
        </is>
      </c>
      <c r="AI20" s="30">
        <f>IF(AH20="Yes",10,0)</f>
        <v/>
      </c>
      <c r="AJ20" s="30" t="inlineStr">
        <is>
          <t>Yes</t>
        </is>
      </c>
      <c r="AK20" s="30">
        <f>IF(AJ20="Yes",10,0)</f>
        <v/>
      </c>
      <c r="AL20" s="30" t="n"/>
      <c r="AM20" s="30">
        <f>IF(AL20="No",10,0)</f>
        <v/>
      </c>
      <c r="AN20" s="30" t="inlineStr">
        <is>
          <t>Yes</t>
        </is>
      </c>
      <c r="AO20" s="30">
        <f>IF(AN20="Yes",10,0)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Yes</t>
        </is>
      </c>
      <c r="AS20" s="30">
        <f>IF(AR20="Yes",5,0)</f>
        <v/>
      </c>
      <c r="AT20" s="30" t="inlineStr">
        <is>
          <t>No</t>
        </is>
      </c>
      <c r="AU20" s="30">
        <f>IF(AT20="No",10,IF(AT20="Yes",-10,0))</f>
        <v/>
      </c>
      <c r="AV20" s="30" t="inlineStr">
        <is>
          <t>No</t>
        </is>
      </c>
      <c r="AW20" s="30">
        <f>IF(AV20="No",10,0)</f>
        <v/>
      </c>
      <c r="AX20" s="30" t="inlineStr">
        <is>
          <t>No</t>
        </is>
      </c>
      <c r="AY20" s="30">
        <f>IF(AX20="No",10,IF(AX20= "Yes CEO Resignation",-5,0))</f>
        <v/>
      </c>
      <c r="AZ20" s="30" t="inlineStr">
        <is>
          <t>No</t>
        </is>
      </c>
      <c r="BA20" s="30">
        <f>IF(AZ20="No",10,IF(AZ20="Yes",-5,0))</f>
        <v/>
      </c>
      <c r="BB20" s="30" t="inlineStr">
        <is>
          <t>No</t>
        </is>
      </c>
      <c r="BC20" s="30">
        <f>IF(BB20="No",5,IF(BB20="Yes",-5,0))</f>
        <v/>
      </c>
      <c r="BD20" s="30" t="inlineStr">
        <is>
          <t>Yes</t>
        </is>
      </c>
      <c r="BE20" s="30">
        <f>IF(BD20="Yes",10,0)</f>
        <v/>
      </c>
      <c r="BF20" s="30" t="inlineStr">
        <is>
          <t>Yes</t>
        </is>
      </c>
      <c r="BG20" s="30">
        <f>IF(BF20="Yes",10,0)</f>
        <v/>
      </c>
      <c r="BH20" s="30" t="inlineStr">
        <is>
          <t>Yes</t>
        </is>
      </c>
      <c r="BI20" s="30">
        <f>IF(BH20="Yes",10,0)</f>
        <v/>
      </c>
      <c r="BJ20" s="30" t="inlineStr">
        <is>
          <t>P/BV between 2.5x to 5x and Growth more than 20%</t>
        </is>
      </c>
      <c r="BK20" s="30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0" t="inlineStr">
        <is>
          <t>0 to 20</t>
        </is>
      </c>
      <c r="BM20" s="30">
        <f>IF(BL20="Above 40",20,IF(BL20="20 to 40",10,IF(BL20="0 to 20",-5,0)))</f>
        <v/>
      </c>
      <c r="BN20" s="30" t="inlineStr">
        <is>
          <t>Between 50 to 75</t>
        </is>
      </c>
      <c r="BO20" s="30">
        <f>IF(BN20="Between 50 to 75",10,IF(BN20="Above 75",0,0))</f>
        <v/>
      </c>
      <c r="BP20" s="30" t="inlineStr">
        <is>
          <t>Stage 2</t>
        </is>
      </c>
      <c r="BQ20" s="30">
        <f>IF(BP20="Stage 2",20,IF(BP20="Stage 1",0,IF(BP20="Stage 3",5,IF(BP20="Stage 4",-5,0))))</f>
        <v/>
      </c>
      <c r="BR20" s="30" t="inlineStr">
        <is>
          <t>Positive Trend</t>
        </is>
      </c>
      <c r="BS20" s="30">
        <f>IF(BR20="Positive Trend",20,IF(BR20="Negative Trend",-10,0))</f>
        <v/>
      </c>
      <c r="BT20" s="30" t="inlineStr">
        <is>
          <t>Uptrend</t>
        </is>
      </c>
      <c r="BU20" s="30">
        <f>IF(BT20="Uptrend",10,IF(BT20="Sideways",5,0))</f>
        <v/>
      </c>
      <c r="BV20" s="30" t="inlineStr">
        <is>
          <t>Uptrend</t>
        </is>
      </c>
      <c r="BW20" s="30">
        <f>IF(BV20="Uptrend",10,IF(BV20="Sideways",5,0))</f>
        <v/>
      </c>
      <c r="BX20" s="30" t="inlineStr">
        <is>
          <t>Blue sky scenario</t>
        </is>
      </c>
      <c r="BY20" s="30">
        <f>IF(BX20="Overhead supply in last 2 years in last 2 years",-5,IF(BX20="Close to 52 week high or retracement",5,IF(BX20="Blue sky scenario",10,IF(BX20="Long term Downtrend",-10,0))))</f>
        <v/>
      </c>
      <c r="BZ20" s="30" t="inlineStr">
        <is>
          <t>Yes</t>
        </is>
      </c>
      <c r="CA20" s="30">
        <f>IF(BZ20="Yes",10,0)</f>
        <v/>
      </c>
    </row>
    <row r="21">
      <c r="A21" s="30">
        <f>IF(B21=0,"",RANK(B21,$B$2:$B$32,0))</f>
        <v/>
      </c>
      <c r="B21" s="31">
        <f>SUM(N21,Y21,AA21,AC21,AE21,AG21,AI21,AK21,AM21,AO21,AQ21,AS21,AU21,AW21,AY21,BA21,BC21,BE21,BG21,BI21,BK21,BM21,BO21,BQ21,BS21,BU21,BW21,BY21,CA21)</f>
        <v/>
      </c>
      <c r="C21" s="30" t="inlineStr">
        <is>
          <t>MCX</t>
        </is>
      </c>
      <c r="D21" s="30" t="inlineStr">
        <is>
          <t>Multi Commodity Exchange Of India Limited</t>
        </is>
      </c>
      <c r="E21" s="30" t="inlineStr">
        <is>
          <t>financials</t>
        </is>
      </c>
      <c r="F21" s="30" t="inlineStr">
        <is>
          <t>miscellaneous</t>
        </is>
      </c>
      <c r="G21" s="30" t="inlineStr">
        <is>
          <t>largecap</t>
        </is>
      </c>
      <c r="H21" s="31" t="n">
        <v>85422.27</v>
      </c>
      <c r="I21" s="31" t="n">
        <v>3300</v>
      </c>
      <c r="J21" s="31" t="n">
        <v>-1.49</v>
      </c>
      <c r="K21" s="31" t="n">
        <v>1308638</v>
      </c>
      <c r="L21" s="30" t="n">
        <v>65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67.73</v>
      </c>
      <c r="P21" s="31" t="n">
        <v>22.28</v>
      </c>
      <c r="Q21" s="31" t="n">
        <v>2679.23</v>
      </c>
      <c r="R21" s="30" t="inlineStr">
        <is>
          <t>Near 52W High Breakout</t>
        </is>
      </c>
      <c r="S21" s="30" t="inlineStr">
        <is>
          <t>Nifty Bank</t>
        </is>
      </c>
      <c r="T21" s="31" t="n">
        <v>3.03</v>
      </c>
      <c r="U21" s="31" t="n">
        <v>114.02</v>
      </c>
      <c r="V21" s="31" t="n">
        <v>107.72</v>
      </c>
      <c r="W21" s="31" t="n">
        <v>20.1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Fragmented with High ROE</t>
        </is>
      </c>
      <c r="AA21" s="30">
        <f>IF(Z21="Fragmented with Low ROE",-5,IF(Z21="Fragmented with High ROE",10,IF(Z21= "highly cyclical",5,0)))</f>
        <v/>
      </c>
      <c r="AB21" s="30" t="inlineStr">
        <is>
          <t>Yes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Consistency)",15,IF(AF21="Shallow Cyclical (2 to 3 years growth)",10,IF(AF21 = "Cyclical in an Uptick",5,IF(AF21 = "Cyclical in an Downtick",-10,0))))</f>
        <v/>
      </c>
      <c r="AH21" s="30" t="inlineStr">
        <is>
          <t>Yes</t>
        </is>
      </c>
      <c r="AI21" s="30">
        <f>IF(AH21="Yes",10,0)</f>
        <v/>
      </c>
      <c r="AJ21" s="30" t="inlineStr">
        <is>
          <t>Yes</t>
        </is>
      </c>
      <c r="AK21" s="30">
        <f>IF(AJ21="Yes",10,0)</f>
        <v/>
      </c>
      <c r="AL21" s="30" t="n"/>
      <c r="AM21" s="30">
        <f>IF(AL21="No",10,0)</f>
        <v/>
      </c>
      <c r="AN21" s="30" t="inlineStr">
        <is>
          <t>Yes</t>
        </is>
      </c>
      <c r="AO21" s="30">
        <f>IF(AN21="Yes",10,0)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Yes</t>
        </is>
      </c>
      <c r="AS21" s="30">
        <f>IF(AR21="Yes",5,0)</f>
        <v/>
      </c>
      <c r="AT21" s="30" t="inlineStr">
        <is>
          <t>No</t>
        </is>
      </c>
      <c r="AU21" s="30">
        <f>IF(AT21="No",10,IF(AT21="Yes",-10,0))</f>
        <v/>
      </c>
      <c r="AV21" s="30" t="inlineStr">
        <is>
          <t>No</t>
        </is>
      </c>
      <c r="AW21" s="30">
        <f>IF(AV21="No",10,0)</f>
        <v/>
      </c>
      <c r="AX21" s="30" t="inlineStr">
        <is>
          <t>No</t>
        </is>
      </c>
      <c r="AY21" s="30">
        <f>IF(AX21="No",10,IF(AX21= "Yes CEO Resignation",-5,0))</f>
        <v/>
      </c>
      <c r="AZ21" s="30" t="inlineStr">
        <is>
          <t>No</t>
        </is>
      </c>
      <c r="BA21" s="30">
        <f>IF(AZ21="No",10,IF(AZ21="Yes",-5,0))</f>
        <v/>
      </c>
      <c r="BB21" s="30" t="inlineStr">
        <is>
          <t>No</t>
        </is>
      </c>
      <c r="BC21" s="30">
        <f>IF(BB21="No",5,IF(BB21="Yes",-5,0))</f>
        <v/>
      </c>
      <c r="BD21" s="30" t="inlineStr">
        <is>
          <t>Yes</t>
        </is>
      </c>
      <c r="BE21" s="30">
        <f>IF(BD21="Yes",10,0)</f>
        <v/>
      </c>
      <c r="BF21" s="30" t="inlineStr">
        <is>
          <t>Yes</t>
        </is>
      </c>
      <c r="BG21" s="30">
        <f>IF(BF21="Yes",10,0)</f>
        <v/>
      </c>
      <c r="BH21" s="30" t="inlineStr">
        <is>
          <t>Yes</t>
        </is>
      </c>
      <c r="BI21" s="30">
        <f>IF(BH21="Yes",10,0)</f>
        <v/>
      </c>
      <c r="BJ21" s="30" t="inlineStr">
        <is>
          <t>P/BV above 5x</t>
        </is>
      </c>
      <c r="BK21" s="30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0" t="inlineStr">
        <is>
          <t>20 to 40</t>
        </is>
      </c>
      <c r="BM21" s="30">
        <f>IF(BL21="Above 40",20,IF(BL21="20 to 40",10,IF(BL21="0 to 20",-5,0)))</f>
        <v/>
      </c>
      <c r="BN21" s="30" t="inlineStr">
        <is>
          <t>Between 50 to 75</t>
        </is>
      </c>
      <c r="BO21" s="30">
        <f>IF(BN21="Between 50 to 75",10,IF(BN21="Above 75",0,0))</f>
        <v/>
      </c>
      <c r="BP21" s="30" t="inlineStr">
        <is>
          <t>Stage 2</t>
        </is>
      </c>
      <c r="BQ21" s="30">
        <f>IF(BP21="Stage 2",20,IF(BP21="Stage 1",0,IF(BP21="Stage 3",5,IF(BP21="Stage 4",-5,0))))</f>
        <v/>
      </c>
      <c r="BR21" s="30" t="inlineStr">
        <is>
          <t>Positive Trend</t>
        </is>
      </c>
      <c r="BS21" s="30">
        <f>IF(BR21="Positive Trend",20,IF(BR21="Negative Trend",-10,0))</f>
        <v/>
      </c>
      <c r="BT21" s="30" t="inlineStr">
        <is>
          <t>Uptrend</t>
        </is>
      </c>
      <c r="BU21" s="30">
        <f>IF(BT21="Uptrend",10,IF(BT21="Sideways",5,0))</f>
        <v/>
      </c>
      <c r="BV21" s="30" t="inlineStr">
        <is>
          <t>Uptrend</t>
        </is>
      </c>
      <c r="BW21" s="30">
        <f>IF(BV21="Uptrend",10,IF(BV21="Sideways",5,0))</f>
        <v/>
      </c>
      <c r="BX21" s="30" t="inlineStr">
        <is>
          <t>Blue sky scenario</t>
        </is>
      </c>
      <c r="BY21" s="30">
        <f>IF(BX21="Overhead supply in last 2 years in last 2 years",-5,IF(BX21="Close to 52 week high or retracement",5,IF(BX21="Blue sky scenario",10,IF(BX21="Long term Downtrend",-10,0))))</f>
        <v/>
      </c>
      <c r="BZ21" s="30" t="inlineStr">
        <is>
          <t>Yes</t>
        </is>
      </c>
      <c r="CA21" s="30">
        <f>IF(BZ21="Yes",10,0)</f>
        <v/>
      </c>
    </row>
    <row r="22">
      <c r="A22" s="30">
        <f>IF(B22=0,"",RANK(B22,$B$2:$B$32,0))</f>
        <v/>
      </c>
      <c r="B22" s="31">
        <f>SUM(N22,Y22,AA22,AC22,AE22,AG22,AI22,AK22,AM22,AO22,AQ22,AS22,AU22,AW22,AY22,BA22,BC22,BE22,BG22,BI22,BK22,BM22,BO22,BQ22,BS22,BU22,BW22,BY22,CA22)</f>
        <v/>
      </c>
      <c r="C22" s="30" t="inlineStr">
        <is>
          <t>KOTAKBANK</t>
        </is>
      </c>
      <c r="D22" s="30" t="inlineStr">
        <is>
          <t>Kotak Mahindra Bank Limited</t>
        </is>
      </c>
      <c r="E22" s="30" t="inlineStr">
        <is>
          <t>bank</t>
        </is>
      </c>
      <c r="F22" s="30" t="inlineStr">
        <is>
          <t>banks - private sector</t>
        </is>
      </c>
      <c r="G22" s="30" t="inlineStr">
        <is>
          <t>largecap</t>
        </is>
      </c>
      <c r="H22" s="31" t="n">
        <v>411793.76</v>
      </c>
      <c r="I22" s="31" t="n">
        <v>416.55</v>
      </c>
      <c r="J22" s="31" t="n">
        <v>0.62</v>
      </c>
      <c r="K22" s="31" t="n">
        <v>7755254</v>
      </c>
      <c r="L22" s="30" t="n">
        <v>7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58.1</v>
      </c>
      <c r="P22" s="31" t="n">
        <v>11.67</v>
      </c>
      <c r="Q22" s="31" t="n">
        <v>373.5</v>
      </c>
      <c r="R22" s="30" t="inlineStr">
        <is>
          <t>Earnings / Momentum Support</t>
        </is>
      </c>
      <c r="S22" s="30" t="inlineStr">
        <is>
          <t>Nifty Bank</t>
        </is>
      </c>
      <c r="T22" s="31" t="n">
        <v>3.03</v>
      </c>
      <c r="U22" s="31" t="n">
        <v>5.78</v>
      </c>
      <c r="V22" s="31" t="n">
        <v>2.67</v>
      </c>
      <c r="W22" s="31" t="n">
        <v>2.3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Fragmented with High ROE</t>
        </is>
      </c>
      <c r="AA22" s="30">
        <f>IF(Z22="Fragmented with Low ROE",-5,IF(Z22="Fragmented with High ROE",10,IF(Z22= "highly cyclical",5,0)))</f>
        <v/>
      </c>
      <c r="AB22" s="30" t="inlineStr">
        <is>
          <t>Yes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Consistency)",15,IF(AF22="Shallow Cyclical (2 to 3 years growth)",10,IF(AF22 = "Cyclical in an Uptick",5,IF(AF22 = "Cyclical in an Downtick",-10,0))))</f>
        <v/>
      </c>
      <c r="AH22" s="30" t="inlineStr">
        <is>
          <t>Yes</t>
        </is>
      </c>
      <c r="AI22" s="30">
        <f>IF(AH22="Yes",10,0)</f>
        <v/>
      </c>
      <c r="AJ22" s="30" t="inlineStr">
        <is>
          <t>Yes</t>
        </is>
      </c>
      <c r="AK22" s="30">
        <f>IF(AJ22="Yes",10,0)</f>
        <v/>
      </c>
      <c r="AL22" s="30" t="n"/>
      <c r="AM22" s="30">
        <f>IF(AL22="No",10,0)</f>
        <v/>
      </c>
      <c r="AN22" s="30" t="inlineStr">
        <is>
          <t>Yes</t>
        </is>
      </c>
      <c r="AO22" s="30">
        <f>IF(AN22="Yes",10,0)</f>
        <v/>
      </c>
      <c r="AP22" s="30" t="inlineStr">
        <is>
          <t>No</t>
        </is>
      </c>
      <c r="AQ22" s="30">
        <f>IF(AP22="Yes",10,0)</f>
        <v/>
      </c>
      <c r="AR22" s="30" t="inlineStr">
        <is>
          <t>Yes</t>
        </is>
      </c>
      <c r="AS22" s="30">
        <f>IF(AR22="Yes",5,0)</f>
        <v/>
      </c>
      <c r="AT22" s="30" t="inlineStr">
        <is>
          <t>No</t>
        </is>
      </c>
      <c r="AU22" s="30">
        <f>IF(AT22="No",10,IF(AT22="Yes",-10,0))</f>
        <v/>
      </c>
      <c r="AV22" s="30" t="inlineStr">
        <is>
          <t>No</t>
        </is>
      </c>
      <c r="AW22" s="30">
        <f>IF(AV22="No",10,0)</f>
        <v/>
      </c>
      <c r="AX22" s="30" t="inlineStr">
        <is>
          <t>No</t>
        </is>
      </c>
      <c r="AY22" s="30">
        <f>IF(AX22="No",10,IF(AX22= "Yes CEO Resignation",-5,0))</f>
        <v/>
      </c>
      <c r="AZ22" s="30" t="inlineStr">
        <is>
          <t>No</t>
        </is>
      </c>
      <c r="BA22" s="30">
        <f>IF(AZ22="No",10,IF(AZ22="Yes",-5,0))</f>
        <v/>
      </c>
      <c r="BB22" s="30" t="inlineStr">
        <is>
          <t>No</t>
        </is>
      </c>
      <c r="BC22" s="30">
        <f>IF(BB22="No",5,IF(BB22="Yes",-5,0))</f>
        <v/>
      </c>
      <c r="BD22" s="30" t="inlineStr">
        <is>
          <t>Yes</t>
        </is>
      </c>
      <c r="BE22" s="30">
        <f>IF(BD22="Yes",10,0)</f>
        <v/>
      </c>
      <c r="BF22" s="30" t="inlineStr">
        <is>
          <t>Yes</t>
        </is>
      </c>
      <c r="BG22" s="30">
        <f>IF(BF22="Yes",10,0)</f>
        <v/>
      </c>
      <c r="BH22" s="30" t="inlineStr">
        <is>
          <t>Yes</t>
        </is>
      </c>
      <c r="BI22" s="30">
        <f>IF(BH22="Yes",10,0)</f>
        <v/>
      </c>
      <c r="BJ22" s="30" t="inlineStr">
        <is>
          <t>P/BV less than 2.5x and Growth more than 20%</t>
        </is>
      </c>
      <c r="BK22" s="30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0" t="inlineStr">
        <is>
          <t>0 to 20</t>
        </is>
      </c>
      <c r="BM22" s="30">
        <f>IF(BL22="Above 40",20,IF(BL22="20 to 40",10,IF(BL22="0 to 20",-5,0)))</f>
        <v/>
      </c>
      <c r="BN22" s="30" t="inlineStr">
        <is>
          <t>Between 50 to 75</t>
        </is>
      </c>
      <c r="BO22" s="30">
        <f>IF(BN22="Between 50 to 75",10,IF(BN22="Above 75",0,0))</f>
        <v/>
      </c>
      <c r="BP22" s="30" t="inlineStr">
        <is>
          <t>Stage 2</t>
        </is>
      </c>
      <c r="BQ22" s="30">
        <f>IF(BP22="Stage 2",20,IF(BP22="Stage 1",0,IF(BP22="Stage 3",5,IF(BP22="Stage 4",-5,0))))</f>
        <v/>
      </c>
      <c r="BR22" s="30" t="inlineStr">
        <is>
          <t>Positive Trend</t>
        </is>
      </c>
      <c r="BS22" s="30">
        <f>IF(BR22="Positive Trend",20,IF(BR22="Negative Trend",-10,0))</f>
        <v/>
      </c>
      <c r="BT22" s="30" t="inlineStr">
        <is>
          <t>Uptrend</t>
        </is>
      </c>
      <c r="BU22" s="30">
        <f>IF(BT22="Uptrend",10,IF(BT22="Sideways",5,0))</f>
        <v/>
      </c>
      <c r="BV22" s="30" t="inlineStr">
        <is>
          <t>Uptrend</t>
        </is>
      </c>
      <c r="BW22" s="30">
        <f>IF(BV22="Uptrend",10,IF(BV22="Sideways",5,0))</f>
        <v/>
      </c>
      <c r="BX22" s="30" t="inlineStr">
        <is>
          <t>Close to 52 week high or retracement</t>
        </is>
      </c>
      <c r="BY22" s="30">
        <f>IF(BX22="Overhead supply in last 2 years in last 2 years",-5,IF(BX22="Close to 52 week high or retracement",5,IF(BX22="Blue sky scenario",10,IF(BX22="Long term Downtrend",-10,0))))</f>
        <v/>
      </c>
      <c r="BZ22" s="30" t="inlineStr">
        <is>
          <t>Yes</t>
        </is>
      </c>
      <c r="CA22" s="30">
        <f>IF(BZ22="Yes",10,0)</f>
        <v/>
      </c>
    </row>
    <row r="23">
      <c r="A23" s="30">
        <f>IF(B23=0,"",RANK(B23,$B$2:$B$32,0))</f>
        <v/>
      </c>
      <c r="B23" s="31">
        <f>SUM(N23,Y23,AA23,AC23,AE23,AG23,AI23,AK23,AM23,AO23,AQ23,AS23,AU23,AW23,AY23,BA23,BC23,BE23,BG23,BI23,BK23,BM23,BO23,BQ23,BS23,BU23,BW23,BY23,CA23)</f>
        <v/>
      </c>
      <c r="C23" s="30" t="inlineStr">
        <is>
          <t>GCSL</t>
        </is>
      </c>
      <c r="D23" s="30" t="inlineStr">
        <is>
          <t>Gretex Corporate Services Ltd</t>
        </is>
      </c>
      <c r="E23" s="30" t="inlineStr">
        <is>
          <t>financials</t>
        </is>
      </c>
      <c r="F23" s="30" t="inlineStr">
        <is>
          <t>finance &amp; investments</t>
        </is>
      </c>
      <c r="G23" s="30" t="inlineStr">
        <is>
          <t>smallcap</t>
        </is>
      </c>
      <c r="H23" s="31" t="n">
        <v>1454.15</v>
      </c>
      <c r="I23" s="31" t="n">
        <v>614.8</v>
      </c>
      <c r="J23" s="31" t="n">
        <v>2.14</v>
      </c>
      <c r="K23" s="31" t="n">
        <v>241437</v>
      </c>
      <c r="L23" s="30" t="n">
        <v>75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75.55</v>
      </c>
      <c r="P23" s="31" t="n">
        <v>34.17</v>
      </c>
      <c r="Q23" s="31" t="n">
        <v>480.57</v>
      </c>
      <c r="R23" s="30" t="inlineStr">
        <is>
          <t>Near 52W High Breakout</t>
        </is>
      </c>
      <c r="S23" s="30" t="inlineStr">
        <is>
          <t>Nifty Bank</t>
        </is>
      </c>
      <c r="T23" s="31" t="n">
        <v>3.03</v>
      </c>
      <c r="U23" s="31" t="n">
        <v>119.56</v>
      </c>
      <c r="V23" s="31" t="n">
        <v>113.09</v>
      </c>
      <c r="W23" s="31" t="n">
        <v>26.5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Fragmented with High ROE</t>
        </is>
      </c>
      <c r="AA23" s="30">
        <f>IF(Z23="Fragmented with Low ROE",-5,IF(Z23="Fragmented with High ROE",10,IF(Z23= "highly cyclical",5,0)))</f>
        <v/>
      </c>
      <c r="AB23" s="30" t="inlineStr">
        <is>
          <t>Yes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Consistency)",15,IF(AF23="Shallow Cyclical (2 to 3 years growth)",10,IF(AF23 = "Cyclical in an Uptick",5,IF(AF23 = "Cyclical in an Downtick",-10,0))))</f>
        <v/>
      </c>
      <c r="AH23" s="30" t="inlineStr">
        <is>
          <t>Yes</t>
        </is>
      </c>
      <c r="AI23" s="30">
        <f>IF(AH23="Yes",10,0)</f>
        <v/>
      </c>
      <c r="AJ23" s="30" t="inlineStr">
        <is>
          <t>Yes</t>
        </is>
      </c>
      <c r="AK23" s="30">
        <f>IF(AJ23="Yes",10,0)</f>
        <v/>
      </c>
      <c r="AL23" s="30" t="n"/>
      <c r="AM23" s="30">
        <f>IF(AL23="No",10,0)</f>
        <v/>
      </c>
      <c r="AN23" s="30" t="inlineStr">
        <is>
          <t>Yes</t>
        </is>
      </c>
      <c r="AO23" s="30">
        <f>IF(AN23="Yes",10,0)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Yes</t>
        </is>
      </c>
      <c r="AS23" s="30">
        <f>IF(AR23="Yes",5,0)</f>
        <v/>
      </c>
      <c r="AT23" s="30" t="inlineStr">
        <is>
          <t>No</t>
        </is>
      </c>
      <c r="AU23" s="30">
        <f>IF(AT23="No",10,IF(AT23="Yes",-10,0))</f>
        <v/>
      </c>
      <c r="AV23" s="30" t="inlineStr">
        <is>
          <t>No</t>
        </is>
      </c>
      <c r="AW23" s="30">
        <f>IF(AV23="No",10,0)</f>
        <v/>
      </c>
      <c r="AX23" s="30" t="inlineStr">
        <is>
          <t>No</t>
        </is>
      </c>
      <c r="AY23" s="30">
        <f>IF(AX23="No",10,IF(AX23= "Yes CEO Resignation",-5,0))</f>
        <v/>
      </c>
      <c r="AZ23" s="30" t="inlineStr">
        <is>
          <t>No</t>
        </is>
      </c>
      <c r="BA23" s="30">
        <f>IF(AZ23="No",10,IF(AZ23="Yes",-5,0))</f>
        <v/>
      </c>
      <c r="BB23" s="30" t="inlineStr">
        <is>
          <t>No</t>
        </is>
      </c>
      <c r="BC23" s="30">
        <f>IF(BB23="No",5,IF(BB23="Yes",-5,0))</f>
        <v/>
      </c>
      <c r="BD23" s="30" t="inlineStr">
        <is>
          <t>Yes</t>
        </is>
      </c>
      <c r="BE23" s="30">
        <f>IF(BD23="Yes",10,0)</f>
        <v/>
      </c>
      <c r="BF23" s="30" t="inlineStr">
        <is>
          <t>Yes</t>
        </is>
      </c>
      <c r="BG23" s="30">
        <f>IF(BF23="Yes",10,0)</f>
        <v/>
      </c>
      <c r="BH23" s="30" t="inlineStr">
        <is>
          <t>Yes</t>
        </is>
      </c>
      <c r="BI23" s="30">
        <f>IF(BH23="Yes",10,0)</f>
        <v/>
      </c>
      <c r="BJ23" s="30" t="inlineStr">
        <is>
          <t>P/BV above 5x</t>
        </is>
      </c>
      <c r="BK23" s="30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0" t="inlineStr">
        <is>
          <t>20 to 40</t>
        </is>
      </c>
      <c r="BM23" s="30">
        <f>IF(BL23="Above 40",20,IF(BL23="20 to 40",10,IF(BL23="0 to 20",-5,0)))</f>
        <v/>
      </c>
      <c r="BN23" s="30" t="inlineStr">
        <is>
          <t>Above 75</t>
        </is>
      </c>
      <c r="BO23" s="30">
        <f>IF(BN23="Between 50 to 75",10,IF(BN23="Above 75",0,0))</f>
        <v/>
      </c>
      <c r="BP23" s="30" t="inlineStr">
        <is>
          <t>Stage 2</t>
        </is>
      </c>
      <c r="BQ23" s="30">
        <f>IF(BP23="Stage 2",20,IF(BP23="Stage 1",0,IF(BP23="Stage 3",5,IF(BP23="Stage 4",-5,0))))</f>
        <v/>
      </c>
      <c r="BR23" s="30" t="inlineStr">
        <is>
          <t>Positive Trend</t>
        </is>
      </c>
      <c r="BS23" s="30">
        <f>IF(BR23="Positive Trend",20,IF(BR23="Negative Trend",-10,0))</f>
        <v/>
      </c>
      <c r="BT23" s="30" t="inlineStr">
        <is>
          <t>Uptrend</t>
        </is>
      </c>
      <c r="BU23" s="30">
        <f>IF(BT23="Uptrend",10,IF(BT23="Sideways",5,0))</f>
        <v/>
      </c>
      <c r="BV23" s="30" t="inlineStr">
        <is>
          <t>Uptrend</t>
        </is>
      </c>
      <c r="BW23" s="30">
        <f>IF(BV23="Uptrend",10,IF(BV23="Sideways",5,0))</f>
        <v/>
      </c>
      <c r="BX23" s="30" t="inlineStr">
        <is>
          <t>Blue sky scenario</t>
        </is>
      </c>
      <c r="BY23" s="30">
        <f>IF(BX23="Overhead supply in last 2 years in last 2 years",-5,IF(BX23="Close to 52 week high or retracement",5,IF(BX23="Blue sky scenario",10,IF(BX23="Long term Downtrend",-10,0))))</f>
        <v/>
      </c>
      <c r="BZ23" s="30" t="inlineStr">
        <is>
          <t>Yes</t>
        </is>
      </c>
      <c r="CA23" s="30">
        <f>IF(BZ23="Yes",10,0)</f>
        <v/>
      </c>
    </row>
    <row r="24">
      <c r="A24" s="30">
        <f>IF(B24=0,"",RANK(B24,$B$2:$B$32,0))</f>
        <v/>
      </c>
      <c r="B24" s="31">
        <f>SUM(N24,Y24,AA24,AC24,AE24,AG24,AI24,AK24,AM24,AO24,AQ24,AS24,AU24,AW24,AY24,BA24,BC24,BE24,BG24,BI24,BK24,BM24,BO24,BQ24,BS24,BU24,BW24,BY24,CA24)</f>
        <v/>
      </c>
      <c r="C24" s="30" t="inlineStr">
        <is>
          <t>ABSLAMC</t>
        </is>
      </c>
      <c r="D24" s="30" t="inlineStr">
        <is>
          <t>Aditya Birla Sun Life AMC Ltd</t>
        </is>
      </c>
      <c r="E24" s="30" t="inlineStr">
        <is>
          <t>financials</t>
        </is>
      </c>
      <c r="F24" s="30" t="inlineStr">
        <is>
          <t>finance &amp; investments</t>
        </is>
      </c>
      <c r="G24" s="30" t="inlineStr">
        <is>
          <t>largecap</t>
        </is>
      </c>
      <c r="H24" s="31" t="n">
        <v>30801.18</v>
      </c>
      <c r="I24" s="31" t="n">
        <v>1088.5</v>
      </c>
      <c r="J24" s="31" t="n">
        <v>2.06</v>
      </c>
      <c r="K24" s="31" t="n">
        <v>371848</v>
      </c>
      <c r="L24" s="30" t="n">
        <v>22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59.6</v>
      </c>
      <c r="P24" s="31" t="n">
        <v>33.7</v>
      </c>
      <c r="Q24" s="31" t="n">
        <v>933.1799999999999</v>
      </c>
      <c r="R24" s="30" t="inlineStr">
        <is>
          <t>Earnings / Momentum Support</t>
        </is>
      </c>
      <c r="S24" s="30" t="inlineStr">
        <is>
          <t>Nifty Bank</t>
        </is>
      </c>
      <c r="T24" s="31" t="n">
        <v>3.03</v>
      </c>
      <c r="U24" s="31" t="n">
        <v>31.71</v>
      </c>
      <c r="V24" s="31" t="n">
        <v>27.83</v>
      </c>
      <c r="W24" s="31" t="n">
        <v>6.7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Fragmented with High ROE</t>
        </is>
      </c>
      <c r="AA24" s="30">
        <f>IF(Z24="Fragmented with Low ROE",-5,IF(Z24="Fragmented with High ROE",10,IF(Z24= "highly cyclical",5,0)))</f>
        <v/>
      </c>
      <c r="AB24" s="30" t="inlineStr">
        <is>
          <t>Yes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Consistency)",15,IF(AF24="Shallow Cyclical (2 to 3 years growth)",10,IF(AF24 = "Cyclical in an Uptick",5,IF(AF24 = "Cyclical in an Downtick",-10,0))))</f>
        <v/>
      </c>
      <c r="AH24" s="30" t="inlineStr">
        <is>
          <t>Yes</t>
        </is>
      </c>
      <c r="AI24" s="30">
        <f>IF(AH24="Yes",10,0)</f>
        <v/>
      </c>
      <c r="AJ24" s="30" t="inlineStr">
        <is>
          <t>Yes</t>
        </is>
      </c>
      <c r="AK24" s="30">
        <f>IF(AJ24="Yes",10,0)</f>
        <v/>
      </c>
      <c r="AL24" s="30" t="n"/>
      <c r="AM24" s="30">
        <f>IF(AL24="No",10,0)</f>
        <v/>
      </c>
      <c r="AN24" s="30" t="inlineStr">
        <is>
          <t>Yes</t>
        </is>
      </c>
      <c r="AO24" s="30">
        <f>IF(AN24="Yes",10,0)</f>
        <v/>
      </c>
      <c r="AP24" s="30" t="inlineStr">
        <is>
          <t>No</t>
        </is>
      </c>
      <c r="AQ24" s="30">
        <f>IF(AP24="Yes",10,0)</f>
        <v/>
      </c>
      <c r="AR24" s="30" t="inlineStr">
        <is>
          <t>Yes</t>
        </is>
      </c>
      <c r="AS24" s="30">
        <f>IF(AR24="Yes",5,0)</f>
        <v/>
      </c>
      <c r="AT24" s="30" t="inlineStr">
        <is>
          <t>No</t>
        </is>
      </c>
      <c r="AU24" s="30">
        <f>IF(AT24="No",10,IF(AT24="Yes",-10,0))</f>
        <v/>
      </c>
      <c r="AV24" s="30" t="inlineStr">
        <is>
          <t>No</t>
        </is>
      </c>
      <c r="AW24" s="30">
        <f>IF(AV24="No",10,0)</f>
        <v/>
      </c>
      <c r="AX24" s="30" t="inlineStr">
        <is>
          <t>No</t>
        </is>
      </c>
      <c r="AY24" s="30">
        <f>IF(AX24="No",10,IF(AX24= "Yes CEO Resignation",-5,0))</f>
        <v/>
      </c>
      <c r="AZ24" s="30" t="inlineStr">
        <is>
          <t>No</t>
        </is>
      </c>
      <c r="BA24" s="30">
        <f>IF(AZ24="No",10,IF(AZ24="Yes",-5,0))</f>
        <v/>
      </c>
      <c r="BB24" s="30" t="inlineStr">
        <is>
          <t>No</t>
        </is>
      </c>
      <c r="BC24" s="30">
        <f>IF(BB24="No",5,IF(BB24="Yes",-5,0))</f>
        <v/>
      </c>
      <c r="BD24" s="30" t="inlineStr">
        <is>
          <t>Yes</t>
        </is>
      </c>
      <c r="BE24" s="30">
        <f>IF(BD24="Yes",10,0)</f>
        <v/>
      </c>
      <c r="BF24" s="30" t="inlineStr">
        <is>
          <t>Yes</t>
        </is>
      </c>
      <c r="BG24" s="30">
        <f>IF(BF24="Yes",10,0)</f>
        <v/>
      </c>
      <c r="BH24" s="30" t="inlineStr">
        <is>
          <t>Yes</t>
        </is>
      </c>
      <c r="BI24" s="30">
        <f>IF(BH24="Yes",10,0)</f>
        <v/>
      </c>
      <c r="BJ24" s="30" t="inlineStr">
        <is>
          <t>P/BV above 5x</t>
        </is>
      </c>
      <c r="BK24" s="30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0" t="inlineStr">
        <is>
          <t>20 to 40</t>
        </is>
      </c>
      <c r="BM24" s="30">
        <f>IF(BL24="Above 40",20,IF(BL24="20 to 40",10,IF(BL24="0 to 20",-5,0)))</f>
        <v/>
      </c>
      <c r="BN24" s="30" t="inlineStr">
        <is>
          <t>Between 50 to 75</t>
        </is>
      </c>
      <c r="BO24" s="30">
        <f>IF(BN24="Between 50 to 75",10,IF(BN24="Above 75",0,0))</f>
        <v/>
      </c>
      <c r="BP24" s="30" t="inlineStr">
        <is>
          <t>Stage 2</t>
        </is>
      </c>
      <c r="BQ24" s="30">
        <f>IF(BP24="Stage 2",20,IF(BP24="Stage 1",0,IF(BP24="Stage 3",5,IF(BP24="Stage 4",-5,0))))</f>
        <v/>
      </c>
      <c r="BR24" s="30" t="inlineStr">
        <is>
          <t>Positive Trend</t>
        </is>
      </c>
      <c r="BS24" s="30">
        <f>IF(BR24="Positive Trend",20,IF(BR24="Negative Trend",-10,0))</f>
        <v/>
      </c>
      <c r="BT24" s="30" t="inlineStr">
        <is>
          <t>Uptrend</t>
        </is>
      </c>
      <c r="BU24" s="30">
        <f>IF(BT24="Uptrend",10,IF(BT24="Sideways",5,0))</f>
        <v/>
      </c>
      <c r="BV24" s="30" t="inlineStr">
        <is>
          <t>Uptrend</t>
        </is>
      </c>
      <c r="BW24" s="30">
        <f>IF(BV24="Uptrend",10,IF(BV24="Sideways",5,0))</f>
        <v/>
      </c>
      <c r="BX24" s="30" t="inlineStr">
        <is>
          <t>Close to 52 week high or retracement</t>
        </is>
      </c>
      <c r="BY24" s="30">
        <f>IF(BX24="Overhead supply in last 2 years in last 2 years",-5,IF(BX24="Close to 52 week high or retracement",5,IF(BX24="Blue sky scenario",10,IF(BX24="Long term Downtrend",-10,0))))</f>
        <v/>
      </c>
      <c r="BZ24" s="30" t="inlineStr">
        <is>
          <t>Yes</t>
        </is>
      </c>
      <c r="CA24" s="30">
        <f>IF(BZ24="Yes",10,0)</f>
        <v/>
      </c>
    </row>
    <row r="25">
      <c r="A25" s="30">
        <f>IF(B25=0,"",RANK(B25,$B$2:$B$32,0))</f>
        <v/>
      </c>
      <c r="B25" s="31">
        <f>SUM(N25,Y25,AA25,AC25,AE25,AG25,AI25,AK25,AM25,AO25,AQ25,AS25,AU25,AW25,AY25,BA25,BC25,BE25,BG25,BI25,BK25,BM25,BO25,BQ25,BS25,BU25,BW25,BY25,CA25)</f>
        <v/>
      </c>
      <c r="C25" s="32" t="inlineStr">
        <is>
          <t>LICHSGFIN</t>
        </is>
      </c>
      <c r="D25" s="32" t="inlineStr">
        <is>
          <t>Lic Housing Finance Limited</t>
        </is>
      </c>
      <c r="E25" s="30" t="inlineStr">
        <is>
          <t>financials</t>
        </is>
      </c>
      <c r="F25" s="30" t="inlineStr">
        <is>
          <t>finance - housing</t>
        </is>
      </c>
      <c r="G25" s="30" t="inlineStr">
        <is>
          <t>largecap</t>
        </is>
      </c>
      <c r="H25" s="31" t="n">
        <v>30528.5</v>
      </c>
      <c r="I25" s="31" t="n">
        <v>552.3</v>
      </c>
      <c r="J25" s="31" t="n">
        <v>-0.49</v>
      </c>
      <c r="K25" s="31" t="n">
        <v>2842584</v>
      </c>
      <c r="L25" s="30" t="n">
        <v>3</v>
      </c>
      <c r="M25" s="30" t="inlineStr">
        <is>
          <t>Underperforming</t>
        </is>
      </c>
      <c r="N25" s="31">
        <f>IF(M25="Underperforming",-5,IF(L25&gt;=95,15,IF(L25&gt;=90,10,IF(L25&gt;=80,5,0))))</f>
        <v/>
      </c>
      <c r="O25" s="31" t="n">
        <v>56.77</v>
      </c>
      <c r="P25" s="31" t="n">
        <v>14.34</v>
      </c>
      <c r="Q25" s="31" t="n">
        <v>472.93</v>
      </c>
      <c r="R25" s="30" t="inlineStr">
        <is>
          <t>Near 52W High Breakout</t>
        </is>
      </c>
      <c r="S25" s="30" t="inlineStr">
        <is>
          <t>Nifty Bank</t>
        </is>
      </c>
      <c r="T25" s="31" t="n">
        <v>3.03</v>
      </c>
      <c r="U25" s="31" t="n">
        <v>-0.65</v>
      </c>
      <c r="V25" s="31" t="n">
        <v>-3.58</v>
      </c>
      <c r="W25" s="31" t="n">
        <v>0.24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Fragmented with High ROE</t>
        </is>
      </c>
      <c r="AA25" s="30">
        <f>IF(Z25="Fragmented with Low ROE",-5,IF(Z25="Fragmented with High ROE",10,IF(Z25= "highly cyclical",5,0)))</f>
        <v/>
      </c>
      <c r="AB25" s="30" t="inlineStr">
        <is>
          <t>Yes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Consistency)",15,IF(AF25="Shallow Cyclical (2 to 3 years growth)",10,IF(AF25 = "Cyclical in an Uptick",5,IF(AF25 = "Cyclical in an Downtick",-10,0))))</f>
        <v/>
      </c>
      <c r="AH25" s="30" t="inlineStr">
        <is>
          <t>Yes</t>
        </is>
      </c>
      <c r="AI25" s="30">
        <f>IF(AH25="Yes",10,0)</f>
        <v/>
      </c>
      <c r="AJ25" s="30" t="inlineStr">
        <is>
          <t>Yes</t>
        </is>
      </c>
      <c r="AK25" s="30">
        <f>IF(AJ25="Yes",10,0)</f>
        <v/>
      </c>
      <c r="AL25" s="30" t="n"/>
      <c r="AM25" s="30">
        <f>IF(AL25="No",10,0)</f>
        <v/>
      </c>
      <c r="AN25" s="30" t="inlineStr">
        <is>
          <t>Yes</t>
        </is>
      </c>
      <c r="AO25" s="30">
        <f>IF(AN25="Yes",10,0)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Yes</t>
        </is>
      </c>
      <c r="AS25" s="30">
        <f>IF(AR25="Yes",5,0)</f>
        <v/>
      </c>
      <c r="AT25" s="30" t="inlineStr">
        <is>
          <t>No</t>
        </is>
      </c>
      <c r="AU25" s="30">
        <f>IF(AT25="No",10,IF(AT25="Yes",-10,0))</f>
        <v/>
      </c>
      <c r="AV25" s="30" t="inlineStr">
        <is>
          <t>No</t>
        </is>
      </c>
      <c r="AW25" s="30">
        <f>IF(AV25="No",10,0)</f>
        <v/>
      </c>
      <c r="AX25" s="30" t="inlineStr">
        <is>
          <t>No</t>
        </is>
      </c>
      <c r="AY25" s="30">
        <f>IF(AX25="No",10,IF(AX25= "Yes CEO Resignation",-5,0))</f>
        <v/>
      </c>
      <c r="AZ25" s="30" t="inlineStr">
        <is>
          <t>No</t>
        </is>
      </c>
      <c r="BA25" s="30">
        <f>IF(AZ25="No",10,IF(AZ25="Yes",-5,0))</f>
        <v/>
      </c>
      <c r="BB25" s="30" t="inlineStr">
        <is>
          <t>No</t>
        </is>
      </c>
      <c r="BC25" s="30">
        <f>IF(BB25="No",5,IF(BB25="Yes",-5,0))</f>
        <v/>
      </c>
      <c r="BD25" s="30" t="inlineStr">
        <is>
          <t>Yes</t>
        </is>
      </c>
      <c r="BE25" s="30">
        <f>IF(BD25="Yes",10,0)</f>
        <v/>
      </c>
      <c r="BF25" s="30" t="inlineStr">
        <is>
          <t>Yes</t>
        </is>
      </c>
      <c r="BG25" s="30">
        <f>IF(BF25="Yes",10,0)</f>
        <v/>
      </c>
      <c r="BH25" s="30" t="inlineStr">
        <is>
          <t>Yes</t>
        </is>
      </c>
      <c r="BI25" s="30">
        <f>IF(BH25="Yes",10,0)</f>
        <v/>
      </c>
      <c r="BJ25" s="30" t="inlineStr">
        <is>
          <t>P/BV less than 2.5x and Growth less than 20%</t>
        </is>
      </c>
      <c r="BK25" s="30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0" t="inlineStr">
        <is>
          <t>0 to 20</t>
        </is>
      </c>
      <c r="BM25" s="30">
        <f>IF(BL25="Above 40",20,IF(BL25="20 to 40",10,IF(BL25="0 to 20",-5,0)))</f>
        <v/>
      </c>
      <c r="BN25" s="30" t="inlineStr">
        <is>
          <t>Between 50 to 75</t>
        </is>
      </c>
      <c r="BO25" s="30">
        <f>IF(BN25="Between 50 to 75",10,IF(BN25="Above 75",0,0))</f>
        <v/>
      </c>
      <c r="BP25" s="30" t="inlineStr">
        <is>
          <t>Stage 2</t>
        </is>
      </c>
      <c r="BQ25" s="30">
        <f>IF(BP25="Stage 2",20,IF(BP25="Stage 1",0,IF(BP25="Stage 3",5,IF(BP25="Stage 4",-5,0))))</f>
        <v/>
      </c>
      <c r="BR25" s="30" t="inlineStr">
        <is>
          <t>Positive Trend</t>
        </is>
      </c>
      <c r="BS25" s="30">
        <f>IF(BR25="Positive Trend",20,IF(BR25="Negative Trend",-10,0))</f>
        <v/>
      </c>
      <c r="BT25" s="30" t="inlineStr">
        <is>
          <t>Uptrend</t>
        </is>
      </c>
      <c r="BU25" s="30">
        <f>IF(BT25="Uptrend",10,IF(BT25="Sideways",5,0))</f>
        <v/>
      </c>
      <c r="BV25" s="30" t="inlineStr">
        <is>
          <t>Uptrend</t>
        </is>
      </c>
      <c r="BW25" s="30">
        <f>IF(BV25="Uptrend",10,IF(BV25="Sideways",5,0))</f>
        <v/>
      </c>
      <c r="BX25" s="30" t="inlineStr">
        <is>
          <t>Close to 52 week high or retracement</t>
        </is>
      </c>
      <c r="BY25" s="30">
        <f>IF(BX25="Overhead supply in last 2 years in last 2 years",-5,IF(BX25="Close to 52 week high or retracement",5,IF(BX25="Blue sky scenario",10,IF(BX25="Long term Downtrend",-10,0))))</f>
        <v/>
      </c>
      <c r="BZ25" s="30" t="inlineStr">
        <is>
          <t>Yes</t>
        </is>
      </c>
      <c r="CA25" s="30">
        <f>IF(BZ25="Yes",10,0)</f>
        <v/>
      </c>
    </row>
    <row r="26">
      <c r="A26" s="30">
        <f>IF(B26=0,"",RANK(B26,$B$2:$B$32,0))</f>
        <v/>
      </c>
      <c r="B26" s="31">
        <f>SUM(N26,Y26,AA26,AC26,AE26,AG26,AI26,AK26,AM26,AO26,AQ26,AS26,AU26,AW26,AY26,BA26,BC26,BE26,BG26,BI26,BK26,BM26,BO26,BQ26,BS26,BU26,BW26,BY26,CA26)</f>
        <v/>
      </c>
      <c r="C26" s="30" t="inlineStr">
        <is>
          <t>MOTILALOFS</t>
        </is>
      </c>
      <c r="D26" s="30" t="inlineStr">
        <is>
          <t>Motilal Oswal Financial Services Limited</t>
        </is>
      </c>
      <c r="E26" s="30" t="inlineStr">
        <is>
          <t>financials</t>
        </is>
      </c>
      <c r="F26" s="30" t="inlineStr">
        <is>
          <t>finance &amp; investments</t>
        </is>
      </c>
      <c r="G26" s="30" t="inlineStr">
        <is>
          <t>largecap</t>
        </is>
      </c>
      <c r="H26" s="31" t="n">
        <v>61720.04</v>
      </c>
      <c r="I26" s="31" t="n">
        <v>1015</v>
      </c>
      <c r="J26" s="31" t="n">
        <v>-0.98</v>
      </c>
      <c r="K26" s="31" t="n">
        <v>338388</v>
      </c>
      <c r="L26" s="30" t="n">
        <v>21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62.54</v>
      </c>
      <c r="P26" s="31" t="n">
        <v>18</v>
      </c>
      <c r="Q26" s="31" t="n">
        <v>848.27</v>
      </c>
      <c r="R26" s="30" t="inlineStr">
        <is>
          <t>Near 52W High Breakout</t>
        </is>
      </c>
      <c r="S26" s="30" t="inlineStr">
        <is>
          <t>Nifty Bank</t>
        </is>
      </c>
      <c r="T26" s="31" t="n">
        <v>3.03</v>
      </c>
      <c r="U26" s="31" t="n">
        <v>11.46</v>
      </c>
      <c r="V26" s="31" t="n">
        <v>8.18</v>
      </c>
      <c r="W26" s="31" t="n">
        <v>6.52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Fragmented with High ROE</t>
        </is>
      </c>
      <c r="AA26" s="30">
        <f>IF(Z26="Fragmented with Low ROE",-5,IF(Z26="Fragmented with High ROE",10,IF(Z26= "highly cyclical",5,0)))</f>
        <v/>
      </c>
      <c r="AB26" s="30" t="inlineStr">
        <is>
          <t>Yes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Consistency)",15,IF(AF26="Shallow Cyclical (2 to 3 years growth)",10,IF(AF26 = "Cyclical in an Uptick",5,IF(AF26 = "Cyclical in an Downtick",-10,0))))</f>
        <v/>
      </c>
      <c r="AH26" s="30" t="inlineStr">
        <is>
          <t>Yes</t>
        </is>
      </c>
      <c r="AI26" s="30">
        <f>IF(AH26="Yes",10,0)</f>
        <v/>
      </c>
      <c r="AJ26" s="30" t="inlineStr">
        <is>
          <t>Yes</t>
        </is>
      </c>
      <c r="AK26" s="30">
        <f>IF(AJ26="Yes",10,0)</f>
        <v/>
      </c>
      <c r="AL26" s="30" t="n"/>
      <c r="AM26" s="30">
        <f>IF(AL26="No",10,0)</f>
        <v/>
      </c>
      <c r="AN26" s="30" t="inlineStr">
        <is>
          <t>Yes</t>
        </is>
      </c>
      <c r="AO26" s="30">
        <f>IF(AN26="Yes",10,0)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Yes</t>
        </is>
      </c>
      <c r="AS26" s="30">
        <f>IF(AR26="Yes",5,0)</f>
        <v/>
      </c>
      <c r="AT26" s="30" t="inlineStr">
        <is>
          <t>No</t>
        </is>
      </c>
      <c r="AU26" s="30">
        <f>IF(AT26="No",10,IF(AT26="Yes",-10,0))</f>
        <v/>
      </c>
      <c r="AV26" s="30" t="inlineStr">
        <is>
          <t>No</t>
        </is>
      </c>
      <c r="AW26" s="30">
        <f>IF(AV26="No",10,0)</f>
        <v/>
      </c>
      <c r="AX26" s="30" t="inlineStr">
        <is>
          <t>No</t>
        </is>
      </c>
      <c r="AY26" s="30">
        <f>IF(AX26="No",10,IF(AX26= "Yes CEO Resignation",-5,0))</f>
        <v/>
      </c>
      <c r="AZ26" s="30" t="inlineStr">
        <is>
          <t>No</t>
        </is>
      </c>
      <c r="BA26" s="30">
        <f>IF(AZ26="No",10,IF(AZ26="Yes",-5,0))</f>
        <v/>
      </c>
      <c r="BB26" s="30" t="inlineStr">
        <is>
          <t>No</t>
        </is>
      </c>
      <c r="BC26" s="30">
        <f>IF(BB26="No",5,IF(BB26="Yes",-5,0))</f>
        <v/>
      </c>
      <c r="BD26" s="30" t="inlineStr">
        <is>
          <t>Yes</t>
        </is>
      </c>
      <c r="BE26" s="30">
        <f>IF(BD26="Yes",10,0)</f>
        <v/>
      </c>
      <c r="BF26" s="30" t="inlineStr">
        <is>
          <t>Yes</t>
        </is>
      </c>
      <c r="BG26" s="30">
        <f>IF(BF26="Yes",10,0)</f>
        <v/>
      </c>
      <c r="BH26" s="30" t="inlineStr">
        <is>
          <t>Yes</t>
        </is>
      </c>
      <c r="BI26" s="30">
        <f>IF(BH26="Yes",10,0)</f>
        <v/>
      </c>
      <c r="BJ26" s="30" t="inlineStr">
        <is>
          <t>P/BV between 2.5x to 5x and Growth less than 20%</t>
        </is>
      </c>
      <c r="BK26" s="30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0" t="inlineStr">
        <is>
          <t>0 to 20</t>
        </is>
      </c>
      <c r="BM26" s="30">
        <f>IF(BL26="Above 40",20,IF(BL26="20 to 40",10,IF(BL26="0 to 20",-5,0)))</f>
        <v/>
      </c>
      <c r="BN26" s="30" t="inlineStr">
        <is>
          <t>Between 50 to 75</t>
        </is>
      </c>
      <c r="BO26" s="30">
        <f>IF(BN26="Between 50 to 75",10,IF(BN26="Above 75",0,0))</f>
        <v/>
      </c>
      <c r="BP26" s="30" t="inlineStr">
        <is>
          <t>Stage 2</t>
        </is>
      </c>
      <c r="BQ26" s="30">
        <f>IF(BP26="Stage 2",20,IF(BP26="Stage 1",0,IF(BP26="Stage 3",5,IF(BP26="Stage 4",-5,0))))</f>
        <v/>
      </c>
      <c r="BR26" s="30" t="inlineStr">
        <is>
          <t>Positive Trend</t>
        </is>
      </c>
      <c r="BS26" s="30">
        <f>IF(BR26="Positive Trend",20,IF(BR26="Negative Trend",-10,0))</f>
        <v/>
      </c>
      <c r="BT26" s="30" t="inlineStr">
        <is>
          <t>Uptrend</t>
        </is>
      </c>
      <c r="BU26" s="30">
        <f>IF(BT26="Uptrend",10,IF(BT26="Sideways",5,0))</f>
        <v/>
      </c>
      <c r="BV26" s="30" t="inlineStr">
        <is>
          <t>Uptrend</t>
        </is>
      </c>
      <c r="BW26" s="30">
        <f>IF(BV26="Uptrend",10,IF(BV26="Sideways",5,0))</f>
        <v/>
      </c>
      <c r="BX26" s="30" t="inlineStr">
        <is>
          <t>Blue sky scenario</t>
        </is>
      </c>
      <c r="BY26" s="30">
        <f>IF(BX26="Overhead supply in last 2 years in last 2 years",-5,IF(BX26="Close to 52 week high or retracement",5,IF(BX26="Blue sky scenario",10,IF(BX26="Long term Downtrend",-10,0))))</f>
        <v/>
      </c>
      <c r="BZ26" s="30" t="inlineStr">
        <is>
          <t>Yes</t>
        </is>
      </c>
      <c r="CA26" s="30">
        <f>IF(BZ26="Yes",10,0)</f>
        <v/>
      </c>
    </row>
    <row r="27">
      <c r="A27" s="30">
        <f>IF(B27=0,"",RANK(B27,$B$2:$B$32,0))</f>
        <v/>
      </c>
      <c r="B27" s="31">
        <f>SUM(N27,Y27,AA27,AC27,AE27,AG27,AI27,AK27,AM27,AO27,AQ27,AS27,AU27,AW27,AY27,BA27,BC27,BE27,BG27,BI27,BK27,BM27,BO27,BQ27,BS27,BU27,BW27,BY27,CA27)</f>
        <v/>
      </c>
      <c r="C27" s="32" t="inlineStr">
        <is>
          <t>SBFC</t>
        </is>
      </c>
      <c r="D27" s="32" t="inlineStr">
        <is>
          <t>SBFC Finance Ltd</t>
        </is>
      </c>
      <c r="E27" s="30" t="inlineStr">
        <is>
          <t>financials</t>
        </is>
      </c>
      <c r="F27" s="30" t="inlineStr">
        <is>
          <t>finance &amp; investments</t>
        </is>
      </c>
      <c r="G27" s="30" t="inlineStr">
        <is>
          <t>midcap</t>
        </is>
      </c>
      <c r="H27" s="31" t="n">
        <v>11027.67</v>
      </c>
      <c r="I27" s="31" t="n">
        <v>98.48</v>
      </c>
      <c r="J27" s="31" t="n">
        <v>-1.11</v>
      </c>
      <c r="K27" s="31" t="n">
        <v>716501</v>
      </c>
      <c r="L27" s="30" t="n">
        <v>3</v>
      </c>
      <c r="M27" s="30" t="inlineStr">
        <is>
          <t>Underperforming</t>
        </is>
      </c>
      <c r="N27" s="31">
        <f>IF(M27="Underperforming",-5,IF(L27&gt;=95,15,IF(L27&gt;=90,10,IF(L27&gt;=80,5,0))))</f>
        <v/>
      </c>
      <c r="O27" s="31" t="n">
        <v>55.02</v>
      </c>
      <c r="P27" s="31" t="n">
        <v>14.35</v>
      </c>
      <c r="Q27" s="31" t="n">
        <v>81.48999999999999</v>
      </c>
      <c r="R27" s="30" t="inlineStr">
        <is>
          <t>Earnings / Momentum Support</t>
        </is>
      </c>
      <c r="S27" s="30" t="inlineStr">
        <is>
          <t>Nifty Bank</t>
        </is>
      </c>
      <c r="T27" s="31" t="n">
        <v>3.03</v>
      </c>
      <c r="U27" s="31" t="n">
        <v>-7.68</v>
      </c>
      <c r="V27" s="31" t="n">
        <v>-10.4</v>
      </c>
      <c r="W27" s="31" t="n">
        <v>0.42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Fragmented with High ROE</t>
        </is>
      </c>
      <c r="AA27" s="30">
        <f>IF(Z27="Fragmented with Low ROE",-5,IF(Z27="Fragmented with High ROE",10,IF(Z27= "highly cyclical",5,0)))</f>
        <v/>
      </c>
      <c r="AB27" s="30" t="inlineStr">
        <is>
          <t>Yes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Consistency)",15,IF(AF27="Shallow Cyclical (2 to 3 years growth)",10,IF(AF27 = "Cyclical in an Uptick",5,IF(AF27 = "Cyclical in an Downtick",-10,0))))</f>
        <v/>
      </c>
      <c r="AH27" s="30" t="inlineStr">
        <is>
          <t>Yes</t>
        </is>
      </c>
      <c r="AI27" s="30">
        <f>IF(AH27="Yes",10,0)</f>
        <v/>
      </c>
      <c r="AJ27" s="30" t="inlineStr">
        <is>
          <t>Yes</t>
        </is>
      </c>
      <c r="AK27" s="30">
        <f>IF(AJ27="Yes",10,0)</f>
        <v/>
      </c>
      <c r="AL27" s="30" t="n"/>
      <c r="AM27" s="30">
        <f>IF(AL27="No",10,0)</f>
        <v/>
      </c>
      <c r="AN27" s="30" t="inlineStr">
        <is>
          <t>Yes</t>
        </is>
      </c>
      <c r="AO27" s="30">
        <f>IF(AN27="Yes",10,0)</f>
        <v/>
      </c>
      <c r="AP27" s="30" t="inlineStr">
        <is>
          <t>No</t>
        </is>
      </c>
      <c r="AQ27" s="30">
        <f>IF(AP27="Yes",10,0)</f>
        <v/>
      </c>
      <c r="AR27" s="30" t="inlineStr">
        <is>
          <t>Yes</t>
        </is>
      </c>
      <c r="AS27" s="30">
        <f>IF(AR27="Yes",5,0)</f>
        <v/>
      </c>
      <c r="AT27" s="30" t="inlineStr">
        <is>
          <t>No</t>
        </is>
      </c>
      <c r="AU27" s="30">
        <f>IF(AT27="No",10,IF(AT27="Yes",-10,0))</f>
        <v/>
      </c>
      <c r="AV27" s="30" t="inlineStr">
        <is>
          <t>No</t>
        </is>
      </c>
      <c r="AW27" s="30">
        <f>IF(AV27="No",10,0)</f>
        <v/>
      </c>
      <c r="AX27" s="30" t="inlineStr">
        <is>
          <t>No</t>
        </is>
      </c>
      <c r="AY27" s="30">
        <f>IF(AX27="No",10,IF(AX27= "Yes CEO Resignation",-5,0))</f>
        <v/>
      </c>
      <c r="AZ27" s="30" t="inlineStr">
        <is>
          <t>No</t>
        </is>
      </c>
      <c r="BA27" s="30">
        <f>IF(AZ27="No",10,IF(AZ27="Yes",-5,0))</f>
        <v/>
      </c>
      <c r="BB27" s="30" t="inlineStr">
        <is>
          <t>No</t>
        </is>
      </c>
      <c r="BC27" s="30">
        <f>IF(BB27="No",5,IF(BB27="Yes",-5,0))</f>
        <v/>
      </c>
      <c r="BD27" s="30" t="inlineStr">
        <is>
          <t>Yes</t>
        </is>
      </c>
      <c r="BE27" s="30">
        <f>IF(BD27="Yes",10,0)</f>
        <v/>
      </c>
      <c r="BF27" s="30" t="inlineStr">
        <is>
          <t>Yes</t>
        </is>
      </c>
      <c r="BG27" s="30">
        <f>IF(BF27="Yes",10,0)</f>
        <v/>
      </c>
      <c r="BH27" s="30" t="inlineStr">
        <is>
          <t>Yes</t>
        </is>
      </c>
      <c r="BI27" s="30">
        <f>IF(BH27="Yes",10,0)</f>
        <v/>
      </c>
      <c r="BJ27" s="30" t="inlineStr">
        <is>
          <t>P/BV between 2.5x to 5x and Growth more than 20%</t>
        </is>
      </c>
      <c r="BK27" s="30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0" t="inlineStr">
        <is>
          <t>0 to 20</t>
        </is>
      </c>
      <c r="BM27" s="30">
        <f>IF(BL27="Above 40",20,IF(BL27="20 to 40",10,IF(BL27="0 to 20",-5,0)))</f>
        <v/>
      </c>
      <c r="BN27" s="30" t="inlineStr">
        <is>
          <t>Between 50 to 75</t>
        </is>
      </c>
      <c r="BO27" s="30">
        <f>IF(BN27="Between 50 to 75",10,IF(BN27="Above 75",0,0))</f>
        <v/>
      </c>
      <c r="BP27" s="30" t="inlineStr">
        <is>
          <t>Stage 2</t>
        </is>
      </c>
      <c r="BQ27" s="30">
        <f>IF(BP27="Stage 2",20,IF(BP27="Stage 1",0,IF(BP27="Stage 3",5,IF(BP27="Stage 4",-5,0))))</f>
        <v/>
      </c>
      <c r="BR27" s="30" t="inlineStr">
        <is>
          <t>Positive Trend</t>
        </is>
      </c>
      <c r="BS27" s="30">
        <f>IF(BR27="Positive Trend",20,IF(BR27="Negative Trend",-10,0))</f>
        <v/>
      </c>
      <c r="BT27" s="30" t="inlineStr">
        <is>
          <t>Uptrend</t>
        </is>
      </c>
      <c r="BU27" s="30">
        <f>IF(BT27="Uptrend",10,IF(BT27="Sideways",5,0))</f>
        <v/>
      </c>
      <c r="BV27" s="30" t="inlineStr">
        <is>
          <t>Uptrend</t>
        </is>
      </c>
      <c r="BW27" s="30">
        <f>IF(BV27="Uptrend",10,IF(BV27="Sideways",5,0))</f>
        <v/>
      </c>
      <c r="BX27" s="30" t="inlineStr">
        <is>
          <t>Close to 52 week high or retracement</t>
        </is>
      </c>
      <c r="BY27" s="30">
        <f>IF(BX27="Overhead supply in last 2 years in last 2 years",-5,IF(BX27="Close to 52 week high or retracement",5,IF(BX27="Blue sky scenario",10,IF(BX27="Long term Downtrend",-10,0))))</f>
        <v/>
      </c>
      <c r="BZ27" s="30" t="inlineStr">
        <is>
          <t>Yes</t>
        </is>
      </c>
      <c r="CA27" s="30">
        <f>IF(BZ27="Yes",10,0)</f>
        <v/>
      </c>
    </row>
    <row r="28">
      <c r="A28" s="30">
        <f>IF(B28=0,"",RANK(B28,$B$2:$B$32,0))</f>
        <v/>
      </c>
      <c r="B28" s="31">
        <f>SUM(N28,Y28,AA28,AC28,AE28,AG28,AI28,AK28,AM28,AO28,AQ28,AS28,AU28,AW28,AY28,BA28,BC28,BE28,BG28,BI28,BK28,BM28,BO28,BQ28,BS28,BU28,BW28,BY28,CA28)</f>
        <v/>
      </c>
      <c r="C28" s="32" t="inlineStr">
        <is>
          <t>CRISIL</t>
        </is>
      </c>
      <c r="D28" s="32" t="inlineStr">
        <is>
          <t>Crisil Limited</t>
        </is>
      </c>
      <c r="E28" s="30" t="inlineStr">
        <is>
          <t>financials</t>
        </is>
      </c>
      <c r="F28" s="30" t="inlineStr">
        <is>
          <t>miscellaneous</t>
        </is>
      </c>
      <c r="G28" s="30" t="inlineStr">
        <is>
          <t>largecap</t>
        </is>
      </c>
      <c r="H28" s="31" t="n">
        <v>34302.37</v>
      </c>
      <c r="I28" s="31" t="n">
        <v>4721.7</v>
      </c>
      <c r="J28" s="31" t="n">
        <v>0.66</v>
      </c>
      <c r="K28" s="31" t="n">
        <v>22193</v>
      </c>
      <c r="L28" s="30" t="n">
        <v>12</v>
      </c>
      <c r="M28" s="30" t="inlineStr">
        <is>
          <t>Underperforming</t>
        </is>
      </c>
      <c r="N28" s="31">
        <f>IF(M28="Underperforming",-5,IF(L28&gt;=95,15,IF(L28&gt;=90,10,IF(L28&gt;=80,5,0))))</f>
        <v/>
      </c>
      <c r="O28" s="31" t="n">
        <v>61.64</v>
      </c>
      <c r="P28" s="31" t="n">
        <v>14.39</v>
      </c>
      <c r="Q28" s="31" t="n">
        <v>4033.06</v>
      </c>
      <c r="R28" s="30" t="inlineStr">
        <is>
          <t>Near 52W High Breakout</t>
        </is>
      </c>
      <c r="S28" s="30" t="inlineStr">
        <is>
          <t>Nifty Bank</t>
        </is>
      </c>
      <c r="T28" s="31" t="n">
        <v>3.03</v>
      </c>
      <c r="U28" s="31" t="n">
        <v>-4.16</v>
      </c>
      <c r="V28" s="31" t="n">
        <v>-6.99</v>
      </c>
      <c r="W28" s="31" t="n">
        <v>4.06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Fragmented with High ROE</t>
        </is>
      </c>
      <c r="AA28" s="30">
        <f>IF(Z28="Fragmented with Low ROE",-5,IF(Z28="Fragmented with High ROE",10,IF(Z28= "highly cyclical",5,0)))</f>
        <v/>
      </c>
      <c r="AB28" s="30" t="inlineStr">
        <is>
          <t>Yes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Consistency)",15,IF(AF28="Shallow Cyclical (2 to 3 years growth)",10,IF(AF28 = "Cyclical in an Uptick",5,IF(AF28 = "Cyclical in an Downtick",-10,0))))</f>
        <v/>
      </c>
      <c r="AH28" s="30" t="inlineStr">
        <is>
          <t>Yes</t>
        </is>
      </c>
      <c r="AI28" s="30">
        <f>IF(AH28="Yes",10,0)</f>
        <v/>
      </c>
      <c r="AJ28" s="30" t="inlineStr">
        <is>
          <t>Yes</t>
        </is>
      </c>
      <c r="AK28" s="30">
        <f>IF(AJ28="Yes",10,0)</f>
        <v/>
      </c>
      <c r="AL28" s="30" t="n"/>
      <c r="AM28" s="30">
        <f>IF(AL28="No",10,0)</f>
        <v/>
      </c>
      <c r="AN28" s="30" t="inlineStr">
        <is>
          <t>Yes</t>
        </is>
      </c>
      <c r="AO28" s="30">
        <f>IF(AN28="Yes",10,0)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Yes</t>
        </is>
      </c>
      <c r="AS28" s="30">
        <f>IF(AR28="Yes",5,0)</f>
        <v/>
      </c>
      <c r="AT28" s="30" t="inlineStr">
        <is>
          <t>No</t>
        </is>
      </c>
      <c r="AU28" s="30">
        <f>IF(AT28="No",10,IF(AT28="Yes",-10,0))</f>
        <v/>
      </c>
      <c r="AV28" s="30" t="inlineStr">
        <is>
          <t>No</t>
        </is>
      </c>
      <c r="AW28" s="30">
        <f>IF(AV28="No",10,0)</f>
        <v/>
      </c>
      <c r="AX28" s="30" t="inlineStr">
        <is>
          <t>No</t>
        </is>
      </c>
      <c r="AY28" s="30">
        <f>IF(AX28="No",10,IF(AX28= "Yes CEO Resignation",-5,0))</f>
        <v/>
      </c>
      <c r="AZ28" s="30" t="inlineStr">
        <is>
          <t>No</t>
        </is>
      </c>
      <c r="BA28" s="30">
        <f>IF(AZ28="No",10,IF(AZ28="Yes",-5,0))</f>
        <v/>
      </c>
      <c r="BB28" s="30" t="inlineStr">
        <is>
          <t>No</t>
        </is>
      </c>
      <c r="BC28" s="30">
        <f>IF(BB28="No",5,IF(BB28="Yes",-5,0))</f>
        <v/>
      </c>
      <c r="BD28" s="30" t="inlineStr">
        <is>
          <t>Yes</t>
        </is>
      </c>
      <c r="BE28" s="30">
        <f>IF(BD28="Yes",10,0)</f>
        <v/>
      </c>
      <c r="BF28" s="30" t="inlineStr">
        <is>
          <t>Yes</t>
        </is>
      </c>
      <c r="BG28" s="30">
        <f>IF(BF28="Yes",10,0)</f>
        <v/>
      </c>
      <c r="BH28" s="30" t="inlineStr">
        <is>
          <t>Yes</t>
        </is>
      </c>
      <c r="BI28" s="30">
        <f>IF(BH28="Yes",10,0)</f>
        <v/>
      </c>
      <c r="BJ28" s="30" t="inlineStr">
        <is>
          <t>P/BV above 5x</t>
        </is>
      </c>
      <c r="BK28" s="30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0" t="inlineStr">
        <is>
          <t>0 to 20</t>
        </is>
      </c>
      <c r="BM28" s="30">
        <f>IF(BL28="Above 40",20,IF(BL28="20 to 40",10,IF(BL28="0 to 20",-5,0)))</f>
        <v/>
      </c>
      <c r="BN28" s="30" t="inlineStr">
        <is>
          <t>Between 50 to 75</t>
        </is>
      </c>
      <c r="BO28" s="30">
        <f>IF(BN28="Between 50 to 75",10,IF(BN28="Above 75",0,0))</f>
        <v/>
      </c>
      <c r="BP28" s="30" t="inlineStr">
        <is>
          <t>Stage 2</t>
        </is>
      </c>
      <c r="BQ28" s="30">
        <f>IF(BP28="Stage 2",20,IF(BP28="Stage 1",0,IF(BP28="Stage 3",5,IF(BP28="Stage 4",-5,0))))</f>
        <v/>
      </c>
      <c r="BR28" s="30" t="inlineStr">
        <is>
          <t>Positive Trend</t>
        </is>
      </c>
      <c r="BS28" s="30">
        <f>IF(BR28="Positive Trend",20,IF(BR28="Negative Trend",-10,0))</f>
        <v/>
      </c>
      <c r="BT28" s="30" t="inlineStr">
        <is>
          <t>Uptrend</t>
        </is>
      </c>
      <c r="BU28" s="30">
        <f>IF(BT28="Uptrend",10,IF(BT28="Sideways",5,0))</f>
        <v/>
      </c>
      <c r="BV28" s="30" t="inlineStr">
        <is>
          <t>Uptrend</t>
        </is>
      </c>
      <c r="BW28" s="30">
        <f>IF(BV28="Uptrend",10,IF(BV28="Sideways",5,0))</f>
        <v/>
      </c>
      <c r="BX28" s="30" t="inlineStr">
        <is>
          <t>Close to 52 week high or retracement</t>
        </is>
      </c>
      <c r="BY28" s="30">
        <f>IF(BX28="Overhead supply in last 2 years in last 2 years",-5,IF(BX28="Close to 52 week high or retracement",5,IF(BX28="Blue sky scenario",10,IF(BX28="Long term Downtrend",-10,0))))</f>
        <v/>
      </c>
      <c r="BZ28" s="30" t="inlineStr">
        <is>
          <t>Yes</t>
        </is>
      </c>
      <c r="CA28" s="30">
        <f>IF(BZ28="Yes",10,0)</f>
        <v/>
      </c>
    </row>
    <row r="29">
      <c r="A29" s="30">
        <f>IF(B29=0,"",RANK(B29,$B$2:$B$32,0))</f>
        <v/>
      </c>
      <c r="B29" s="31">
        <f>SUM(N29,Y29,AA29,AC29,AE29,AG29,AI29,AK29,AM29,AO29,AQ29,AS29,AU29,AW29,AY29,BA29,BC29,BE29,BG29,BI29,BK29,BM29,BO29,BQ29,BS29,BU29,BW29,BY29,CA29)</f>
        <v/>
      </c>
      <c r="C29" s="30" t="inlineStr">
        <is>
          <t>ARMANFIN</t>
        </is>
      </c>
      <c r="D29" s="30" t="inlineStr">
        <is>
          <t>Arman Financial Services Limited</t>
        </is>
      </c>
      <c r="E29" s="30" t="inlineStr">
        <is>
          <t>financials</t>
        </is>
      </c>
      <c r="F29" s="30" t="inlineStr">
        <is>
          <t>finance &amp; investments</t>
        </is>
      </c>
      <c r="G29" s="30" t="inlineStr">
        <is>
          <t>smallcap</t>
        </is>
      </c>
      <c r="H29" s="31" t="n">
        <v>2141.96</v>
      </c>
      <c r="I29" s="31" t="n">
        <v>2036.5</v>
      </c>
      <c r="J29" s="31" t="n">
        <v>-0.03</v>
      </c>
      <c r="K29" s="31" t="n">
        <v>16638</v>
      </c>
      <c r="L29" s="30" t="n">
        <v>41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64.27</v>
      </c>
      <c r="P29" s="31" t="n">
        <v>28.43</v>
      </c>
      <c r="Q29" s="31" t="n">
        <v>1604.1</v>
      </c>
      <c r="R29" s="30" t="inlineStr">
        <is>
          <t>Near 52W High Breakout</t>
        </is>
      </c>
      <c r="S29" s="30" t="inlineStr">
        <is>
          <t>Nifty Bank</t>
        </is>
      </c>
      <c r="T29" s="31" t="n">
        <v>3.03</v>
      </c>
      <c r="U29" s="31" t="n">
        <v>42.31</v>
      </c>
      <c r="V29" s="31" t="n">
        <v>38.12</v>
      </c>
      <c r="W29" s="31" t="n">
        <v>12.75</v>
      </c>
      <c r="X29" s="30" t="inlineStr">
        <is>
          <t>Cyclical in an Upturn</t>
        </is>
      </c>
      <c r="Y29" s="30">
        <f>IF(X29="Growing Industry",10,IF(X29="Cyclical in an Upturn",5,0))</f>
        <v/>
      </c>
      <c r="Z29" s="30" t="inlineStr">
        <is>
          <t>Fragmented with High ROE</t>
        </is>
      </c>
      <c r="AA29" s="30">
        <f>IF(Z29="Fragmented with Low ROE",-5,IF(Z29="Fragmented with High ROE",10,IF(Z29= "highly cyclical",5,0)))</f>
        <v/>
      </c>
      <c r="AB29" s="30" t="inlineStr">
        <is>
          <t>No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Cyclical in an Uptick</t>
        </is>
      </c>
      <c r="AG29" s="30">
        <f>IF(AF29="Structural (10 Years Consistency)",15,IF(AF29="Shallow Cyclical (2 to 3 years growth)",10,IF(AF29 = "Cyclical in an Uptick",5,IF(AF29 = "Cyclical in an Downtick",-10,0))))</f>
        <v/>
      </c>
      <c r="AH29" s="30" t="inlineStr">
        <is>
          <t>Yes</t>
        </is>
      </c>
      <c r="AI29" s="30">
        <f>IF(AH29="Yes",10,0)</f>
        <v/>
      </c>
      <c r="AJ29" s="30" t="inlineStr">
        <is>
          <t>Not Applicable</t>
        </is>
      </c>
      <c r="AK29" s="30">
        <f>IF(AJ29="Yes",10,0)</f>
        <v/>
      </c>
      <c r="AL29" s="30" t="inlineStr">
        <is>
          <t>Yes</t>
        </is>
      </c>
      <c r="AM29" s="30">
        <f>IF(AL29="No",10,0)</f>
        <v/>
      </c>
      <c r="AN29" s="30" t="inlineStr">
        <is>
          <t>Yes</t>
        </is>
      </c>
      <c r="AO29" s="30">
        <f>IF(AN29="Yes",10,0)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Yes</t>
        </is>
      </c>
      <c r="AS29" s="30">
        <f>IF(AR29="Yes",5,0)</f>
        <v/>
      </c>
      <c r="AT29" s="30" t="inlineStr">
        <is>
          <t>Not Applicable</t>
        </is>
      </c>
      <c r="AU29" s="30">
        <f>IF(AT29="No",10,IF(AT29="Yes",-10,0))</f>
        <v/>
      </c>
      <c r="AV29" s="30" t="inlineStr">
        <is>
          <t>No</t>
        </is>
      </c>
      <c r="AW29" s="30">
        <f>IF(AV29="No",10,0)</f>
        <v/>
      </c>
      <c r="AX29" s="30" t="inlineStr">
        <is>
          <t>No</t>
        </is>
      </c>
      <c r="AY29" s="30">
        <f>IF(AX29="No",10,IF(AX29= "Yes CEO Resignation",-5,0))</f>
        <v/>
      </c>
      <c r="AZ29" s="30" t="inlineStr">
        <is>
          <t>No</t>
        </is>
      </c>
      <c r="BA29" s="30">
        <f>IF(AZ29="No",10,IF(AZ29="Yes",-5,0))</f>
        <v/>
      </c>
      <c r="BB29" s="30" t="inlineStr">
        <is>
          <t>No</t>
        </is>
      </c>
      <c r="BC29" s="30">
        <f>IF(BB29="No",5,IF(BB29="Yes",-5,0))</f>
        <v/>
      </c>
      <c r="BD29" s="30" t="inlineStr">
        <is>
          <t>Yes</t>
        </is>
      </c>
      <c r="BE29" s="30">
        <f>IF(BD29="Yes",10,0)</f>
        <v/>
      </c>
      <c r="BF29" s="30" t="inlineStr">
        <is>
          <t>Yes</t>
        </is>
      </c>
      <c r="BG29" s="30">
        <f>IF(BF29="Yes",10,0)</f>
        <v/>
      </c>
      <c r="BH29" s="30" t="inlineStr">
        <is>
          <t>Yes</t>
        </is>
      </c>
      <c r="BI29" s="30">
        <f>IF(BH29="Yes",10,0)</f>
        <v/>
      </c>
      <c r="BJ29" s="30" t="inlineStr">
        <is>
          <t>P/BV between 2.5x to 5x and Growth more than 20%</t>
        </is>
      </c>
      <c r="BK29" s="30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0" t="inlineStr">
        <is>
          <t>20 to 40</t>
        </is>
      </c>
      <c r="BM29" s="30">
        <f>IF(BL29="Above 40",20,IF(BL29="20 to 40",10,IF(BL29="0 to 20",-5,0)))</f>
        <v/>
      </c>
      <c r="BN29" s="30" t="inlineStr">
        <is>
          <t>Between 50 to 75</t>
        </is>
      </c>
      <c r="BO29" s="30">
        <f>IF(BN29="Between 50 to 75",10,IF(BN29="Above 75",0,0))</f>
        <v/>
      </c>
      <c r="BP29" s="30" t="inlineStr">
        <is>
          <t>Stage 2</t>
        </is>
      </c>
      <c r="BQ29" s="30">
        <f>IF(BP29="Stage 2",20,IF(BP29="Stage 1",0,IF(BP29="Stage 3",5,IF(BP29="Stage 4",-5,0))))</f>
        <v/>
      </c>
      <c r="BR29" s="30" t="inlineStr">
        <is>
          <t>Positive Trend</t>
        </is>
      </c>
      <c r="BS29" s="30">
        <f>IF(BR29="Positive Trend",20,IF(BR29="Negative Trend",-10,0))</f>
        <v/>
      </c>
      <c r="BT29" s="30" t="inlineStr">
        <is>
          <t>Sideways</t>
        </is>
      </c>
      <c r="BU29" s="30">
        <f>IF(BT29="Uptrend",10,IF(BT29="Sideways",5,0))</f>
        <v/>
      </c>
      <c r="BV29" s="30" t="inlineStr">
        <is>
          <t>Uptrend</t>
        </is>
      </c>
      <c r="BW29" s="30">
        <f>IF(BV29="Uptrend",10,IF(BV29="Sideways",5,0))</f>
        <v/>
      </c>
      <c r="BX29" s="30" t="inlineStr">
        <is>
          <t>Close to 52 week high or retracement</t>
        </is>
      </c>
      <c r="BY29" s="30">
        <f>IF(BX29="Overhead supply in last 2 years in last 2 years",-5,IF(BX29="Close to 52 week high or retracement",5,IF(BX29="Blue sky scenario",10,IF(BX29="Long term Downtrend",-10,0))))</f>
        <v/>
      </c>
      <c r="BZ29" s="30" t="inlineStr">
        <is>
          <t>Yes</t>
        </is>
      </c>
      <c r="CA29" s="30">
        <f>IF(BZ29="Yes",10,0)</f>
        <v/>
      </c>
    </row>
    <row r="30">
      <c r="A30" s="30">
        <f>IF(B30=0,"",RANK(B30,$B$2:$B$32,0))</f>
        <v/>
      </c>
      <c r="B30" s="31">
        <f>SUM(N30,Y30,AA30,AC30,AE30,AG30,AI30,AK30,AM30,AO30,AQ30,AS30,AU30,AW30,AY30,BA30,BC30,BE30,BG30,BI30,BK30,BM30,BO30,BQ30,BS30,BU30,BW30,BY30,CA30)</f>
        <v/>
      </c>
      <c r="C30" s="30" t="inlineStr">
        <is>
          <t>SUNDARMFIN</t>
        </is>
      </c>
      <c r="D30" s="30" t="inlineStr">
        <is>
          <t>Sundaram Finance Limited</t>
        </is>
      </c>
      <c r="E30" s="30" t="inlineStr">
        <is>
          <t>financials</t>
        </is>
      </c>
      <c r="F30" s="30" t="inlineStr">
        <is>
          <t>finance &amp; investments</t>
        </is>
      </c>
      <c r="G30" s="30" t="inlineStr">
        <is>
          <t>largecap</t>
        </is>
      </c>
      <c r="H30" s="31" t="n">
        <v>52529.91</v>
      </c>
      <c r="I30" s="31" t="n">
        <v>4703</v>
      </c>
      <c r="J30" s="31" t="n">
        <v>-0.53</v>
      </c>
      <c r="K30" s="31" t="n">
        <v>17626</v>
      </c>
      <c r="L30" s="30" t="n">
        <v>14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52.87</v>
      </c>
      <c r="P30" s="31" t="n">
        <v>10.52</v>
      </c>
      <c r="Q30" s="31" t="n">
        <v>3899.77</v>
      </c>
      <c r="R30" s="30" t="inlineStr">
        <is>
          <t>Earnings / Momentum Support</t>
        </is>
      </c>
      <c r="S30" s="30" t="inlineStr">
        <is>
          <t>Nifty Bank</t>
        </is>
      </c>
      <c r="T30" s="31" t="n">
        <v>3.03</v>
      </c>
      <c r="U30" s="31" t="n">
        <v>6.03</v>
      </c>
      <c r="V30" s="31" t="n">
        <v>2.91</v>
      </c>
      <c r="W30" s="31" t="n">
        <v>4.6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Fragmented with High ROE</t>
        </is>
      </c>
      <c r="AA30" s="30">
        <f>IF(Z30="Fragmented with Low ROE",-5,IF(Z30="Fragmented with High ROE",10,IF(Z30= "highly cyclical",5,0)))</f>
        <v/>
      </c>
      <c r="AB30" s="30" t="inlineStr">
        <is>
          <t>Yes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Consistency)",15,IF(AF30="Shallow Cyclical (2 to 3 years growth)",10,IF(AF30 = "Cyclical in an Uptick",5,IF(AF30 = "Cyclical in an Downtick",-10,0))))</f>
        <v/>
      </c>
      <c r="AH30" s="30" t="inlineStr">
        <is>
          <t>Yes</t>
        </is>
      </c>
      <c r="AI30" s="30">
        <f>IF(AH30="Yes",10,0)</f>
        <v/>
      </c>
      <c r="AJ30" s="30" t="inlineStr">
        <is>
          <t>Yes</t>
        </is>
      </c>
      <c r="AK30" s="30">
        <f>IF(AJ30="Yes",10,0)</f>
        <v/>
      </c>
      <c r="AL30" s="30" t="n"/>
      <c r="AM30" s="30">
        <f>IF(AL30="No",10,0)</f>
        <v/>
      </c>
      <c r="AN30" s="30" t="inlineStr">
        <is>
          <t>Yes</t>
        </is>
      </c>
      <c r="AO30" s="30">
        <f>IF(AN30="Yes",10,0)</f>
        <v/>
      </c>
      <c r="AP30" s="30" t="inlineStr">
        <is>
          <t>No</t>
        </is>
      </c>
      <c r="AQ30" s="30">
        <f>IF(AP30="Yes",10,0)</f>
        <v/>
      </c>
      <c r="AR30" s="30" t="inlineStr">
        <is>
          <t>Yes</t>
        </is>
      </c>
      <c r="AS30" s="30">
        <f>IF(AR30="Yes",5,0)</f>
        <v/>
      </c>
      <c r="AT30" s="30" t="inlineStr">
        <is>
          <t>No</t>
        </is>
      </c>
      <c r="AU30" s="30">
        <f>IF(AT30="No",10,IF(AT30="Yes",-10,0))</f>
        <v/>
      </c>
      <c r="AV30" s="30" t="inlineStr">
        <is>
          <t>No</t>
        </is>
      </c>
      <c r="AW30" s="30">
        <f>IF(AV30="No",10,0)</f>
        <v/>
      </c>
      <c r="AX30" s="30" t="inlineStr">
        <is>
          <t>No</t>
        </is>
      </c>
      <c r="AY30" s="30">
        <f>IF(AX30="No",10,IF(AX30= "Yes CEO Resignation",-5,0))</f>
        <v/>
      </c>
      <c r="AZ30" s="30" t="inlineStr">
        <is>
          <t>No</t>
        </is>
      </c>
      <c r="BA30" s="30">
        <f>IF(AZ30="No",10,IF(AZ30="Yes",-5,0))</f>
        <v/>
      </c>
      <c r="BB30" s="30" t="inlineStr">
        <is>
          <t>No</t>
        </is>
      </c>
      <c r="BC30" s="30">
        <f>IF(BB30="No",5,IF(BB30="Yes",-5,0))</f>
        <v/>
      </c>
      <c r="BD30" s="30" t="inlineStr">
        <is>
          <t>Yes</t>
        </is>
      </c>
      <c r="BE30" s="30">
        <f>IF(BD30="Yes",10,0)</f>
        <v/>
      </c>
      <c r="BF30" s="30" t="inlineStr">
        <is>
          <t>Yes</t>
        </is>
      </c>
      <c r="BG30" s="30">
        <f>IF(BF30="Yes",10,0)</f>
        <v/>
      </c>
      <c r="BH30" s="30" t="inlineStr">
        <is>
          <t>Yes</t>
        </is>
      </c>
      <c r="BI30" s="30">
        <f>IF(BH30="Yes",10,0)</f>
        <v/>
      </c>
      <c r="BJ30" s="30" t="inlineStr">
        <is>
          <t>P/BV between 2.5x to 5x and Growth more than 20%</t>
        </is>
      </c>
      <c r="BK30" s="30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0" t="inlineStr">
        <is>
          <t>0 to 20</t>
        </is>
      </c>
      <c r="BM30" s="30">
        <f>IF(BL30="Above 40",20,IF(BL30="20 to 40",10,IF(BL30="0 to 20",-5,0)))</f>
        <v/>
      </c>
      <c r="BN30" s="30" t="inlineStr">
        <is>
          <t>Between 50 to 75</t>
        </is>
      </c>
      <c r="BO30" s="30">
        <f>IF(BN30="Between 50 to 75",10,IF(BN30="Above 75",0,0))</f>
        <v/>
      </c>
      <c r="BP30" s="30" t="inlineStr">
        <is>
          <t>Stage 1</t>
        </is>
      </c>
      <c r="BQ30" s="30">
        <f>IF(BP30="Stage 2",20,IF(BP30="Stage 1",0,IF(BP30="Stage 3",5,IF(BP30="Stage 4",-5,0))))</f>
        <v/>
      </c>
      <c r="BR30" s="30" t="inlineStr">
        <is>
          <t>Positive Trend</t>
        </is>
      </c>
      <c r="BS30" s="30">
        <f>IF(BR30="Positive Trend",20,IF(BR30="Negative Trend",-10,0))</f>
        <v/>
      </c>
      <c r="BT30" s="30" t="inlineStr">
        <is>
          <t>Uptrend</t>
        </is>
      </c>
      <c r="BU30" s="30">
        <f>IF(BT30="Uptrend",10,IF(BT30="Sideways",5,0))</f>
        <v/>
      </c>
      <c r="BV30" s="30" t="inlineStr">
        <is>
          <t>Uptrend</t>
        </is>
      </c>
      <c r="BW30" s="30">
        <f>IF(BV30="Uptrend",10,IF(BV30="Sideways",5,0))</f>
        <v/>
      </c>
      <c r="BX30" s="30" t="inlineStr">
        <is>
          <t>Close to 52 week high or retracement</t>
        </is>
      </c>
      <c r="BY30" s="30">
        <f>IF(BX30="Overhead supply in last 2 years in last 2 years",-5,IF(BX30="Close to 52 week high or retracement",5,IF(BX30="Blue sky scenario",10,IF(BX30="Long term Downtrend",-10,0))))</f>
        <v/>
      </c>
      <c r="BZ30" s="30" t="inlineStr">
        <is>
          <t>Yes</t>
        </is>
      </c>
      <c r="CA30" s="30">
        <f>IF(BZ30="Yes",10,0)</f>
        <v/>
      </c>
    </row>
    <row r="31">
      <c r="A31" s="30">
        <f>IF(B31=0,"",RANK(B31,$B$2:$B$32,0))</f>
        <v/>
      </c>
      <c r="B31" s="31">
        <f>SUM(N31,Y31,AA31,AC31,AE31,AG31,AI31,AK31,AM31,AO31,AQ31,AS31,AU31,AW31,AY31,BA31,BC31,BE31,BG31,BI31,BK31,BM31,BO31,BQ31,BS31,BU31,BW31,BY31,CA31)</f>
        <v/>
      </c>
      <c r="C31" s="32" t="inlineStr">
        <is>
          <t>RELIGARE</t>
        </is>
      </c>
      <c r="D31" s="32" t="inlineStr">
        <is>
          <t>Religare Enterprises Limited</t>
        </is>
      </c>
      <c r="E31" s="30" t="inlineStr">
        <is>
          <t>financials</t>
        </is>
      </c>
      <c r="F31" s="30" t="inlineStr">
        <is>
          <t>finance &amp; investments</t>
        </is>
      </c>
      <c r="G31" s="30" t="inlineStr">
        <is>
          <t>midcap</t>
        </is>
      </c>
      <c r="H31" s="31" t="n">
        <v>8757.76</v>
      </c>
      <c r="I31" s="31" t="n">
        <v>258.78</v>
      </c>
      <c r="J31" s="31" t="n">
        <v>0.83</v>
      </c>
      <c r="K31" s="31" t="n">
        <v>1470503</v>
      </c>
      <c r="L31" s="30" t="n">
        <v>7</v>
      </c>
      <c r="M31" s="30" t="inlineStr">
        <is>
          <t>Underperforming</t>
        </is>
      </c>
      <c r="N31" s="31">
        <f>IF(M31="Underperforming",-5,IF(L31&gt;=95,15,IF(L31&gt;=90,10,IF(L31&gt;=80,5,0))))</f>
        <v/>
      </c>
      <c r="O31" s="31" t="n">
        <v>57.27</v>
      </c>
      <c r="P31" s="31" t="n">
        <v>18.03</v>
      </c>
      <c r="Q31" s="31" t="n">
        <v>221.39</v>
      </c>
      <c r="R31" s="30" t="inlineStr">
        <is>
          <t>Earnings / Momentum Support</t>
        </is>
      </c>
      <c r="S31" s="30" t="inlineStr">
        <is>
          <t>Nifty Bank</t>
        </is>
      </c>
      <c r="T31" s="31" t="n">
        <v>3.03</v>
      </c>
      <c r="U31" s="31" t="n">
        <v>2.14</v>
      </c>
      <c r="V31" s="31" t="n">
        <v>-0.87</v>
      </c>
      <c r="W31" s="31" t="n">
        <v>2.25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Fragmented with High ROE</t>
        </is>
      </c>
      <c r="AA31" s="30">
        <f>IF(Z31="Fragmented with Low ROE",-5,IF(Z31="Fragmented with High ROE",10,IF(Z31= "highly cyclical",5,0)))</f>
        <v/>
      </c>
      <c r="AB31" s="30" t="inlineStr">
        <is>
          <t>Yes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Consistency)",15,IF(AF31="Shallow Cyclical (2 to 3 years growth)",10,IF(AF31 = "Cyclical in an Uptick",5,IF(AF31 = "Cyclical in an Downtick",-10,0))))</f>
        <v/>
      </c>
      <c r="AH31" s="30" t="inlineStr">
        <is>
          <t>Yes</t>
        </is>
      </c>
      <c r="AI31" s="30">
        <f>IF(AH31="Yes",10,0)</f>
        <v/>
      </c>
      <c r="AJ31" s="30" t="inlineStr">
        <is>
          <t>Yes</t>
        </is>
      </c>
      <c r="AK31" s="30">
        <f>IF(AJ31="Yes",10,0)</f>
        <v/>
      </c>
      <c r="AL31" s="30" t="n"/>
      <c r="AM31" s="30">
        <f>IF(AL31="No",10,0)</f>
        <v/>
      </c>
      <c r="AN31" s="30" t="inlineStr">
        <is>
          <t>Yes</t>
        </is>
      </c>
      <c r="AO31" s="30">
        <f>IF(AN31="Yes",10,0)</f>
        <v/>
      </c>
      <c r="AP31" s="30" t="inlineStr">
        <is>
          <t>No</t>
        </is>
      </c>
      <c r="AQ31" s="30">
        <f>IF(AP31="Yes",10,0)</f>
        <v/>
      </c>
      <c r="AR31" s="30" t="inlineStr">
        <is>
          <t>Yes</t>
        </is>
      </c>
      <c r="AS31" s="30">
        <f>IF(AR31="Yes",5,0)</f>
        <v/>
      </c>
      <c r="AT31" s="30" t="inlineStr">
        <is>
          <t>No</t>
        </is>
      </c>
      <c r="AU31" s="30">
        <f>IF(AT31="No",10,IF(AT31="Yes",-10,0))</f>
        <v/>
      </c>
      <c r="AV31" s="30" t="inlineStr">
        <is>
          <t>No</t>
        </is>
      </c>
      <c r="AW31" s="30">
        <f>IF(AV31="No",10,0)</f>
        <v/>
      </c>
      <c r="AX31" s="30" t="inlineStr">
        <is>
          <t>No</t>
        </is>
      </c>
      <c r="AY31" s="30">
        <f>IF(AX31="No",10,IF(AX31= "Yes CEO Resignation",-5,0))</f>
        <v/>
      </c>
      <c r="AZ31" s="30" t="inlineStr">
        <is>
          <t>No</t>
        </is>
      </c>
      <c r="BA31" s="30">
        <f>IF(AZ31="No",10,IF(AZ31="Yes",-5,0))</f>
        <v/>
      </c>
      <c r="BB31" s="30" t="inlineStr">
        <is>
          <t>No</t>
        </is>
      </c>
      <c r="BC31" s="30">
        <f>IF(BB31="No",5,IF(BB31="Yes",-5,0))</f>
        <v/>
      </c>
      <c r="BD31" s="30" t="inlineStr">
        <is>
          <t>Yes</t>
        </is>
      </c>
      <c r="BE31" s="30">
        <f>IF(BD31="Yes",10,0)</f>
        <v/>
      </c>
      <c r="BF31" s="30" t="inlineStr">
        <is>
          <t>Yes</t>
        </is>
      </c>
      <c r="BG31" s="30">
        <f>IF(BF31="Yes",10,0)</f>
        <v/>
      </c>
      <c r="BH31" s="30" t="inlineStr">
        <is>
          <t>Yes</t>
        </is>
      </c>
      <c r="BI31" s="30">
        <f>IF(BH31="Yes",10,0)</f>
        <v/>
      </c>
      <c r="BJ31" s="30" t="inlineStr">
        <is>
          <t>P/BV between 2.5x to 5x and Growth more than 20%</t>
        </is>
      </c>
      <c r="BK31" s="30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0" t="inlineStr">
        <is>
          <t>0 to 20</t>
        </is>
      </c>
      <c r="BM31" s="30">
        <f>IF(BL31="Above 40",20,IF(BL31="20 to 40",10,IF(BL31="0 to 20",-5,0)))</f>
        <v/>
      </c>
      <c r="BN31" s="30" t="inlineStr">
        <is>
          <t>Between 50 to 75</t>
        </is>
      </c>
      <c r="BO31" s="30">
        <f>IF(BN31="Between 50 to 75",10,IF(BN31="Above 75",0,0))</f>
        <v/>
      </c>
      <c r="BP31" s="30" t="inlineStr">
        <is>
          <t>Stage 1</t>
        </is>
      </c>
      <c r="BQ31" s="30">
        <f>IF(BP31="Stage 2",20,IF(BP31="Stage 1",0,IF(BP31="Stage 3",5,IF(BP31="Stage 4",-5,0))))</f>
        <v/>
      </c>
      <c r="BR31" s="30" t="inlineStr">
        <is>
          <t>Positive Trend</t>
        </is>
      </c>
      <c r="BS31" s="30">
        <f>IF(BR31="Positive Trend",20,IF(BR31="Negative Trend",-10,0))</f>
        <v/>
      </c>
      <c r="BT31" s="30" t="inlineStr">
        <is>
          <t>Uptrend</t>
        </is>
      </c>
      <c r="BU31" s="30">
        <f>IF(BT31="Uptrend",10,IF(BT31="Sideways",5,0))</f>
        <v/>
      </c>
      <c r="BV31" s="30" t="inlineStr">
        <is>
          <t>Uptrend</t>
        </is>
      </c>
      <c r="BW31" s="30">
        <f>IF(BV31="Uptrend",10,IF(BV31="Sideways",5,0))</f>
        <v/>
      </c>
      <c r="BX31" s="30" t="inlineStr">
        <is>
          <t>Close to 52 week high or retracement</t>
        </is>
      </c>
      <c r="BY31" s="30">
        <f>IF(BX31="Overhead supply in last 2 years in last 2 years",-5,IF(BX31="Close to 52 week high or retracement",5,IF(BX31="Blue sky scenario",10,IF(BX31="Long term Downtrend",-10,0))))</f>
        <v/>
      </c>
      <c r="BZ31" s="30" t="inlineStr">
        <is>
          <t>Yes</t>
        </is>
      </c>
      <c r="CA31" s="30">
        <f>IF(BZ31="Yes",10,0)</f>
        <v/>
      </c>
    </row>
    <row r="32">
      <c r="A32" s="30">
        <f>IF(B32=0,"",RANK(B32,$B$2:$B$32,0))</f>
        <v/>
      </c>
      <c r="B32" s="31">
        <f>SUM(N32,Y32,AA32,AC32,AE32,AG32,AI32,AK32,AM32,AO32,AQ32,AS32,AU32,AW32,AY32,BA32,BC32,BE32,BG32,BI32,BK32,BM32,BO32,BQ32,BS32,BU32,BW32,BY32,CA32)</f>
        <v/>
      </c>
      <c r="C32" s="30" t="inlineStr">
        <is>
          <t>PNB</t>
        </is>
      </c>
      <c r="D32" s="30" t="inlineStr">
        <is>
          <t>Punjab National Bank Ltd</t>
        </is>
      </c>
      <c r="E32" s="30" t="inlineStr">
        <is>
          <t>bank</t>
        </is>
      </c>
      <c r="F32" s="30" t="inlineStr">
        <is>
          <t>banks - public sector</t>
        </is>
      </c>
      <c r="G32" s="30" t="inlineStr">
        <is>
          <t>largecap</t>
        </is>
      </c>
      <c r="H32" s="31" t="n">
        <v>132869.92</v>
      </c>
      <c r="I32" s="31" t="n">
        <v>116.85</v>
      </c>
      <c r="J32" s="31" t="n">
        <v>1.07</v>
      </c>
      <c r="K32" s="31" t="n">
        <v>18231772</v>
      </c>
      <c r="L32" s="30" t="n">
        <v>13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58.99</v>
      </c>
      <c r="P32" s="31" t="n">
        <v>9.140000000000001</v>
      </c>
      <c r="Q32" s="31" t="n">
        <v>102.35</v>
      </c>
      <c r="R32" s="30" t="inlineStr">
        <is>
          <t>Earnings / Momentum Support</t>
        </is>
      </c>
      <c r="S32" s="30" t="inlineStr">
        <is>
          <t>Nifty Bank</t>
        </is>
      </c>
      <c r="T32" s="31" t="n">
        <v>3.03</v>
      </c>
      <c r="U32" s="31" t="n">
        <v>12.06</v>
      </c>
      <c r="V32" s="31" t="n">
        <v>8.76</v>
      </c>
      <c r="W32" s="31" t="n">
        <v>4.34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Fragmented with High ROE</t>
        </is>
      </c>
      <c r="AA32" s="30">
        <f>IF(Z32="Fragmented with Low ROE",-5,IF(Z32="Fragmented with High ROE",10,IF(Z32= "highly cyclical",5,0)))</f>
        <v/>
      </c>
      <c r="AB32" s="30" t="inlineStr">
        <is>
          <t>Yes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Consistency)",15,IF(AF32="Shallow Cyclical (2 to 3 years growth)",10,IF(AF32 = "Cyclical in an Uptick",5,IF(AF32 = "Cyclical in an Downtick",-10,0))))</f>
        <v/>
      </c>
      <c r="AH32" s="30" t="inlineStr">
        <is>
          <t>Yes</t>
        </is>
      </c>
      <c r="AI32" s="30">
        <f>IF(AH32="Yes",10,0)</f>
        <v/>
      </c>
      <c r="AJ32" s="30" t="inlineStr">
        <is>
          <t>Yes</t>
        </is>
      </c>
      <c r="AK32" s="30">
        <f>IF(AJ32="Yes",10,0)</f>
        <v/>
      </c>
      <c r="AL32" s="30" t="n"/>
      <c r="AM32" s="30">
        <f>IF(AL32="No",10,0)</f>
        <v/>
      </c>
      <c r="AN32" s="30" t="inlineStr">
        <is>
          <t>Yes</t>
        </is>
      </c>
      <c r="AO32" s="30">
        <f>IF(AN32="Yes",10,0)</f>
        <v/>
      </c>
      <c r="AP32" s="30" t="inlineStr">
        <is>
          <t>No</t>
        </is>
      </c>
      <c r="AQ32" s="30">
        <f>IF(AP32="Yes",10,0)</f>
        <v/>
      </c>
      <c r="AR32" s="30" t="inlineStr">
        <is>
          <t>Yes</t>
        </is>
      </c>
      <c r="AS32" s="30">
        <f>IF(AR32="Yes",5,0)</f>
        <v/>
      </c>
      <c r="AT32" s="30" t="inlineStr">
        <is>
          <t>No</t>
        </is>
      </c>
      <c r="AU32" s="30">
        <f>IF(AT32="No",10,IF(AT32="Yes",-10,0))</f>
        <v/>
      </c>
      <c r="AV32" s="30" t="inlineStr">
        <is>
          <t>No</t>
        </is>
      </c>
      <c r="AW32" s="30">
        <f>IF(AV32="No",10,0)</f>
        <v/>
      </c>
      <c r="AX32" s="30" t="inlineStr">
        <is>
          <t>No</t>
        </is>
      </c>
      <c r="AY32" s="30">
        <f>IF(AX32="No",10,IF(AX32= "Yes CEO Resignation",-5,0))</f>
        <v/>
      </c>
      <c r="AZ32" s="30" t="inlineStr">
        <is>
          <t>No</t>
        </is>
      </c>
      <c r="BA32" s="30">
        <f>IF(AZ32="No",10,IF(AZ32="Yes",-5,0))</f>
        <v/>
      </c>
      <c r="BB32" s="30" t="inlineStr">
        <is>
          <t>No</t>
        </is>
      </c>
      <c r="BC32" s="30">
        <f>IF(BB32="No",5,IF(BB32="Yes",-5,0))</f>
        <v/>
      </c>
      <c r="BD32" s="30" t="inlineStr">
        <is>
          <t>Yes</t>
        </is>
      </c>
      <c r="BE32" s="30">
        <f>IF(BD32="Yes",10,0)</f>
        <v/>
      </c>
      <c r="BF32" s="30" t="inlineStr">
        <is>
          <t>Yes</t>
        </is>
      </c>
      <c r="BG32" s="30">
        <f>IF(BF32="Yes",10,0)</f>
        <v/>
      </c>
      <c r="BH32" s="30" t="inlineStr">
        <is>
          <t>Yes</t>
        </is>
      </c>
      <c r="BI32" s="30">
        <f>IF(BH32="Yes",10,0)</f>
        <v/>
      </c>
      <c r="BJ32" s="30" t="inlineStr">
        <is>
          <t>P/BV less than 2.5x and Growth less than 20%</t>
        </is>
      </c>
      <c r="BK32" s="30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0" t="inlineStr">
        <is>
          <t>0 to 20</t>
        </is>
      </c>
      <c r="BM32" s="30">
        <f>IF(BL32="Above 40",20,IF(BL32="20 to 40",10,IF(BL32="0 to 20",-5,0)))</f>
        <v/>
      </c>
      <c r="BN32" s="30" t="inlineStr">
        <is>
          <t>Between 50 to 75</t>
        </is>
      </c>
      <c r="BO32" s="30">
        <f>IF(BN32="Between 50 to 75",10,IF(BN32="Above 75",0,0))</f>
        <v/>
      </c>
      <c r="BP32" s="30" t="inlineStr">
        <is>
          <t>Stage 2</t>
        </is>
      </c>
      <c r="BQ32" s="30">
        <f>IF(BP32="Stage 2",20,IF(BP32="Stage 1",0,IF(BP32="Stage 3",5,IF(BP32="Stage 4",-5,0))))</f>
        <v/>
      </c>
      <c r="BR32" s="30" t="inlineStr">
        <is>
          <t>Negative Trend</t>
        </is>
      </c>
      <c r="BS32" s="30">
        <f>IF(BR32="Positive Trend",20,IF(BR32="Negative Trend",-10,0))</f>
        <v/>
      </c>
      <c r="BT32" s="30" t="inlineStr">
        <is>
          <t>Uptrend</t>
        </is>
      </c>
      <c r="BU32" s="30">
        <f>IF(BT32="Uptrend",10,IF(BT32="Sideways",5,0))</f>
        <v/>
      </c>
      <c r="BV32" s="30" t="inlineStr">
        <is>
          <t>Uptrend</t>
        </is>
      </c>
      <c r="BW32" s="30">
        <f>IF(BV32="Uptrend",10,IF(BV32="Sideways",5,0))</f>
        <v/>
      </c>
      <c r="BX32" s="30" t="inlineStr">
        <is>
          <t>Close to 52 week high or retracement</t>
        </is>
      </c>
      <c r="BY32" s="30">
        <f>IF(BX32="Overhead supply in last 2 years in last 2 years",-5,IF(BX32="Close to 52 week high or retracement",5,IF(BX32="Blue sky scenario",10,IF(BX32="Long term Downtrend",-10,0))))</f>
        <v/>
      </c>
      <c r="BZ32" s="30" t="inlineStr">
        <is>
          <t>Yes</t>
        </is>
      </c>
      <c r="CA32" s="30">
        <f>IF(BZ32="Yes",10,0)</f>
        <v/>
      </c>
    </row>
  </sheetData>
  <autoFilter ref="A1:CA32"/>
  <conditionalFormatting sqref="B2:B3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2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32">
    <cfRule type="cellIs" priority="34" operator="equal" dxfId="3" stopIfTrue="1">
      <formula>"Underperforming"</formula>
    </cfRule>
  </conditionalFormatting>
  <conditionalFormatting sqref="N2:N32">
    <cfRule type="cellIs" priority="35" operator="equal" dxfId="3" stopIfTrue="1">
      <formula>-5</formula>
    </cfRule>
  </conditionalFormatting>
  <conditionalFormatting sqref="Q2:Q32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32" showDropDown="0" showInputMessage="0" showErrorMessage="0" allowBlank="1" type="list">
      <formula1>"Growing Industry,Stagnant Industry,Cyclical in an Upturn"</formula1>
    </dataValidation>
    <dataValidation sqref="Z2:Z32" showDropDown="0" showInputMessage="0" showErrorMessage="0" allowBlank="1" type="list">
      <formula1>"Fragmented with Low ROE,Fragmented with High ROE,Highly Cyclical"</formula1>
    </dataValidation>
    <dataValidation sqref="AB2:AB32" showDropDown="0" showInputMessage="0" showErrorMessage="0" allowBlank="1" type="list">
      <formula1>"Yes,No"</formula1>
    </dataValidation>
    <dataValidation sqref="AD2:AD32" showDropDown="0" showInputMessage="0" showErrorMessage="0" allowBlank="1" type="list">
      <formula1>"Tailwind,Headwind"</formula1>
    </dataValidation>
    <dataValidation sqref="AF2:AF32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32" showDropDown="0" showInputMessage="0" showErrorMessage="0" allowBlank="1" type="list">
      <formula1>"Yes,No"</formula1>
    </dataValidation>
    <dataValidation sqref="AJ2:AJ32" showDropDown="0" showInputMessage="0" showErrorMessage="0" allowBlank="1" type="list">
      <formula1>"Yes,No,Not Applicable"</formula1>
    </dataValidation>
    <dataValidation sqref="AL2:AL32" showDropDown="0" showInputMessage="0" showErrorMessage="0" allowBlank="1" type="list">
      <formula1>"Yes,No"</formula1>
    </dataValidation>
    <dataValidation sqref="AN2:AN32" showDropDown="0" showInputMessage="0" showErrorMessage="0" allowBlank="1" type="list">
      <formula1>"Yes,No"</formula1>
    </dataValidation>
    <dataValidation sqref="AP2:AP32" showDropDown="0" showInputMessage="0" showErrorMessage="0" allowBlank="1" type="list">
      <formula1>"Yes,No"</formula1>
    </dataValidation>
    <dataValidation sqref="AR2:AR32" showDropDown="0" showInputMessage="0" showErrorMessage="0" allowBlank="1" type="list">
      <formula1>"Yes,No"</formula1>
    </dataValidation>
    <dataValidation sqref="AT2:AT32" showDropDown="0" showInputMessage="0" showErrorMessage="0" allowBlank="1" type="list">
      <formula1>"No,Yes"</formula1>
    </dataValidation>
    <dataValidation sqref="AV2:AV32" showDropDown="0" showInputMessage="0" showErrorMessage="0" allowBlank="1" type="list">
      <formula1>"No,Yes"</formula1>
    </dataValidation>
    <dataValidation sqref="AX2:AX32" showDropDown="0" showInputMessage="0" showErrorMessage="0" allowBlank="1" type="list">
      <formula1>"No,Yes CEO Resignation,Yes CEO Retirement"</formula1>
    </dataValidation>
    <dataValidation sqref="AZ2:AZ32" showDropDown="0" showInputMessage="0" showErrorMessage="0" allowBlank="1" type="list">
      <formula1>"No,Yes"</formula1>
    </dataValidation>
    <dataValidation sqref="BB2:BB32" showDropDown="0" showInputMessage="0" showErrorMessage="0" allowBlank="1" type="list">
      <formula1>"No,Yes"</formula1>
    </dataValidation>
    <dataValidation sqref="BD2:BD32" showDropDown="0" showInputMessage="0" showErrorMessage="0" allowBlank="1" type="list">
      <formula1>"Yes,No"</formula1>
    </dataValidation>
    <dataValidation sqref="BF2:BF32" showDropDown="0" showInputMessage="0" showErrorMessage="0" allowBlank="1" type="list">
      <formula1>"Yes,No"</formula1>
    </dataValidation>
    <dataValidation sqref="BH2:BH32" showDropDown="0" showInputMessage="0" showErrorMessage="0" allowBlank="1" type="list">
      <formula1>"Yes,No"</formula1>
    </dataValidation>
    <dataValidation sqref="BJ2:BJ32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32" showDropDown="0" showInputMessage="0" showErrorMessage="0" allowBlank="1" type="list">
      <formula1>"Above 40,20 to 40,0 to 20"</formula1>
    </dataValidation>
    <dataValidation sqref="BN2:BN32" showDropDown="0" showInputMessage="0" showErrorMessage="0" allowBlank="1" type="list">
      <formula1>"Between 50 to 75,Above 75,Below 45"</formula1>
    </dataValidation>
    <dataValidation sqref="BP2:BP32" showDropDown="0" showInputMessage="0" showErrorMessage="0" allowBlank="1" type="list">
      <formula1>"Stage 1,Stage 2,Stage 3,Stage 4"</formula1>
    </dataValidation>
    <dataValidation sqref="BR2:BR32" showDropDown="0" showInputMessage="0" showErrorMessage="0" allowBlank="1" type="list">
      <formula1>"Positive Trend,Negative Trend"</formula1>
    </dataValidation>
    <dataValidation sqref="BT2:BT32" showDropDown="0" showInputMessage="0" showErrorMessage="0" allowBlank="1" type="list">
      <formula1>"Uptrend,Sideways,Downtrend"</formula1>
    </dataValidation>
    <dataValidation sqref="BV2:BV32" showDropDown="0" showInputMessage="0" showErrorMessage="0" allowBlank="1" type="list">
      <formula1>"Uptrend,Sideways,Downtrend"</formula1>
    </dataValidation>
    <dataValidation sqref="BX2:BX3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3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0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Margins</t>
        </is>
      </c>
      <c r="AN1" s="29" t="inlineStr">
        <is>
          <t>Margins Score</t>
        </is>
      </c>
      <c r="AO1" s="29" t="inlineStr">
        <is>
          <t>Margins Stability</t>
        </is>
      </c>
      <c r="AP1" s="29" t="inlineStr">
        <is>
          <t>Margins Stability Score</t>
        </is>
      </c>
      <c r="AQ1" s="29" t="inlineStr">
        <is>
          <t>Growth</t>
        </is>
      </c>
      <c r="AR1" s="29" t="inlineStr">
        <is>
          <t>Growth Score</t>
        </is>
      </c>
      <c r="AS1" s="29" t="inlineStr">
        <is>
          <t>Business Type</t>
        </is>
      </c>
      <c r="AT1" s="29" t="inlineStr">
        <is>
          <t>Business Type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Type of Revenue</t>
        </is>
      </c>
      <c r="AX1" s="29" t="inlineStr">
        <is>
          <t>Type of Revenue Score</t>
        </is>
      </c>
      <c r="AY1" s="29" t="inlineStr">
        <is>
          <t>Capital Allocation</t>
        </is>
      </c>
      <c r="AZ1" s="29" t="inlineStr">
        <is>
          <t>Capital Allocation Score</t>
        </is>
      </c>
      <c r="BA1" s="29" t="inlineStr">
        <is>
          <t>Medium term Growth</t>
        </is>
      </c>
      <c r="BB1" s="29" t="inlineStr">
        <is>
          <t>Medium term Growth Score</t>
        </is>
      </c>
      <c r="BC1" s="29" t="inlineStr">
        <is>
          <t>ADX</t>
        </is>
      </c>
      <c r="BD1" s="29" t="inlineStr">
        <is>
          <t>ADX Score</t>
        </is>
      </c>
      <c r="BE1" s="29" t="inlineStr">
        <is>
          <t>RSI</t>
        </is>
      </c>
      <c r="BF1" s="29" t="inlineStr">
        <is>
          <t>RSI Score</t>
        </is>
      </c>
      <c r="BG1" s="29" t="inlineStr">
        <is>
          <t>Stage Analysis</t>
        </is>
      </c>
      <c r="BH1" s="29" t="inlineStr">
        <is>
          <t>Stage Analysis Score</t>
        </is>
      </c>
      <c r="BI1" s="29" t="inlineStr">
        <is>
          <t>Price Volume Action</t>
        </is>
      </c>
      <c r="BJ1" s="29" t="inlineStr">
        <is>
          <t>Price Volume Action Score</t>
        </is>
      </c>
      <c r="BK1" s="29" t="inlineStr">
        <is>
          <t>Secondary Trend</t>
        </is>
      </c>
      <c r="BL1" s="29" t="inlineStr">
        <is>
          <t>Secondary Trend Score</t>
        </is>
      </c>
      <c r="BM1" s="29" t="inlineStr">
        <is>
          <t>Primary Trend</t>
        </is>
      </c>
      <c r="BN1" s="29" t="inlineStr">
        <is>
          <t>Primary Trend Score</t>
        </is>
      </c>
      <c r="BO1" s="29" t="inlineStr">
        <is>
          <t>Resistance</t>
        </is>
      </c>
      <c r="BP1" s="29" t="inlineStr">
        <is>
          <t>Resistance Score</t>
        </is>
      </c>
      <c r="BQ1" s="29" t="inlineStr">
        <is>
          <t>V-stop</t>
        </is>
      </c>
      <c r="BR1" s="29" t="inlineStr">
        <is>
          <t>V-stop Score</t>
        </is>
      </c>
      <c r="BS1" s="29" t="inlineStr">
        <is>
          <t>PAT Growth</t>
        </is>
      </c>
      <c r="BT1" s="29" t="inlineStr">
        <is>
          <t>PAT Growth Score</t>
        </is>
      </c>
      <c r="BU1" s="29" t="inlineStr">
        <is>
          <t>Stock History</t>
        </is>
      </c>
      <c r="BV1" s="29" t="inlineStr">
        <is>
          <t>Stock History Score</t>
        </is>
      </c>
      <c r="BW1" s="29" t="inlineStr">
        <is>
          <t>PE Ratio</t>
        </is>
      </c>
      <c r="BX1" s="29" t="inlineStr">
        <is>
          <t>PE Ratio Score</t>
        </is>
      </c>
      <c r="BY1" s="29" t="inlineStr">
        <is>
          <t>PEG Ratio</t>
        </is>
      </c>
      <c r="BZ1" s="29" t="inlineStr">
        <is>
          <t>PEG Ratio Score</t>
        </is>
      </c>
      <c r="CA1" s="29" t="inlineStr">
        <is>
          <t>CFO to EBITDA</t>
        </is>
      </c>
      <c r="CB1" s="29" t="inlineStr">
        <is>
          <t>CFO to EBITDA Score</t>
        </is>
      </c>
      <c r="CC1" s="29" t="inlineStr">
        <is>
          <t>Debt to Equity</t>
        </is>
      </c>
      <c r="CD1" s="29" t="inlineStr">
        <is>
          <t>Debt to Equity Score</t>
        </is>
      </c>
      <c r="CE1" s="29" t="inlineStr">
        <is>
          <t>Auditor Resignation</t>
        </is>
      </c>
      <c r="CF1" s="29" t="inlineStr">
        <is>
          <t>Auditor Resignation Score</t>
        </is>
      </c>
      <c r="CG1" s="29" t="inlineStr">
        <is>
          <t>Contingent Liability</t>
        </is>
      </c>
      <c r="CH1" s="29" t="inlineStr">
        <is>
          <t>Contingent Liability Score</t>
        </is>
      </c>
      <c r="CI1" s="29" t="inlineStr">
        <is>
          <t>Pledging</t>
        </is>
      </c>
      <c r="CJ1" s="29" t="inlineStr">
        <is>
          <t>Pledging Score</t>
        </is>
      </c>
    </row>
    <row r="2">
      <c r="A2" s="30">
        <f>IF(B2=0,"",RANK(B2,$B$2:$B$20,0))</f>
        <v/>
      </c>
      <c r="B2" s="31">
        <f>SUM(S2,AD2,AF2,AH2,AJ2,AL2,AN2,AP2,AR2,AT2,AV2,AX2,AZ2,BB2,BD2,BF2,BH2,BJ2,BL2,BN2,BP2,BR2,BT2,BV2,BX2,BZ2,CB2,CD2,CF2,CH2,CJ2)</f>
        <v/>
      </c>
      <c r="C2" s="30" t="inlineStr">
        <is>
          <t>52W Breakout</t>
        </is>
      </c>
      <c r="D2" s="31" t="n">
        <v>137.8</v>
      </c>
      <c r="E2" s="31" t="inlineStr">
        <is>
          <t>5%</t>
        </is>
      </c>
      <c r="F2" s="31" t="n">
        <v>50000</v>
      </c>
      <c r="G2" s="31" t="n">
        <v>35</v>
      </c>
      <c r="H2" s="30" t="inlineStr">
        <is>
          <t>RML</t>
        </is>
      </c>
      <c r="I2" s="30" t="inlineStr">
        <is>
          <t>Rane (madras) Limited</t>
        </is>
      </c>
      <c r="J2" s="30" t="inlineStr">
        <is>
          <t>auto</t>
        </is>
      </c>
      <c r="K2" s="30" t="inlineStr">
        <is>
          <t>auto ancillaries</t>
        </is>
      </c>
      <c r="L2" s="30" t="inlineStr">
        <is>
          <t>smallcap</t>
        </is>
      </c>
      <c r="M2" s="31" t="n">
        <v>3770.53</v>
      </c>
      <c r="N2" s="31" t="n">
        <v>1408.9</v>
      </c>
      <c r="O2" s="31" t="n">
        <v>3.27</v>
      </c>
      <c r="P2" s="31" t="n">
        <v>187566</v>
      </c>
      <c r="Q2" s="30" t="n">
        <v>85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70.95</v>
      </c>
      <c r="U2" s="31" t="n">
        <v>53.01</v>
      </c>
      <c r="V2" s="31" t="n">
        <v>1070.59</v>
      </c>
      <c r="W2" s="30" t="inlineStr">
        <is>
          <t>Near 52W High Breakout</t>
        </is>
      </c>
      <c r="X2" s="30" t="inlineStr">
        <is>
          <t>Nifty Auto</t>
        </is>
      </c>
      <c r="Y2" s="31" t="n">
        <v>15.81</v>
      </c>
      <c r="Z2" s="31" t="n">
        <v>69.2</v>
      </c>
      <c r="AA2" s="31" t="n">
        <v>46.11</v>
      </c>
      <c r="AB2" s="31" t="n">
        <v>34.15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Too Many Players with High ROCE</t>
        </is>
      </c>
      <c r="AF2" s="30">
        <f>IF(AE2="Monopoly",10,IF(AE2="Oligopoly",5,IF(AE2="Duopoly that cooperate",10,IF(AE2="Duopoly that compete",5,IF(AE2="Too many players with High ROCE",5,0)))))</f>
        <v/>
      </c>
      <c r="AG2" s="30" t="inlineStr">
        <is>
          <t>No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Consistency)",10,IF(AK2="Shallow Cyclical (2 to 3 years growth)",5,0))</f>
        <v/>
      </c>
      <c r="AM2" s="30" t="inlineStr">
        <is>
          <t>No</t>
        </is>
      </c>
      <c r="AN2" s="30">
        <f>IF(AM2="Yes due to Product Mix change or Operating Leverage",10,IF(AM2="Yes, these are peak margins",-5,IF(AM2="No",5,0)))</f>
        <v/>
      </c>
      <c r="AO2" s="30" t="inlineStr">
        <is>
          <t>Stable</t>
        </is>
      </c>
      <c r="AP2" s="30">
        <f>IF(AO2="Stable",10,0)</f>
        <v/>
      </c>
      <c r="AQ2" s="30" t="inlineStr">
        <is>
          <t>Yes</t>
        </is>
      </c>
      <c r="AR2" s="30">
        <f>IF(AQ2="Yes",10,0)</f>
        <v/>
      </c>
      <c r="AS2" s="30" t="inlineStr">
        <is>
          <t>B2B</t>
        </is>
      </c>
      <c r="AT2" s="30">
        <f>IF(AS2="B2C",10,IF(AS2="B2B",5,0))</f>
        <v/>
      </c>
      <c r="AU2" s="30" t="inlineStr">
        <is>
          <t>Yes</t>
        </is>
      </c>
      <c r="AV2" s="30">
        <f>IF(AU2="Yes",10,0)</f>
        <v/>
      </c>
      <c r="AW2" s="30" t="inlineStr">
        <is>
          <t>Higher One Time, Lower Annuity</t>
        </is>
      </c>
      <c r="AX2" s="30">
        <f>IF(AW2="Fully Annuity",10,IF(AW2="Higher Annuity, Lower One Time",5,IF(AW2="Higher One Time, Lower Annuity",3,0)))</f>
        <v/>
      </c>
      <c r="AY2" s="30" t="inlineStr">
        <is>
          <t>Good</t>
        </is>
      </c>
      <c r="AZ2" s="30">
        <f>IF(AY2="Good",10,0)</f>
        <v/>
      </c>
      <c r="BA2" s="30" t="inlineStr">
        <is>
          <t>Yes for more than 2 years</t>
        </is>
      </c>
      <c r="BB2" s="30">
        <f>IF(BA2="Yes for more than 2 years",10,IF(BA2="Yes only for next 1 to 2 years",5,0))</f>
        <v/>
      </c>
      <c r="BC2" s="30" t="inlineStr">
        <is>
          <t>Above 40</t>
        </is>
      </c>
      <c r="BD2" s="30">
        <f>IF(BC2="Above 40",20,IF(BC2="20 to 40",10,IF(BC2="0 to 20",-5,0)))</f>
        <v/>
      </c>
      <c r="BE2" s="30" t="inlineStr">
        <is>
          <t>Between 50 to 75</t>
        </is>
      </c>
      <c r="BF2" s="30">
        <f>IF(BE2="Between 50 to 75",10,IF(BE2="Above 75",0,0))</f>
        <v/>
      </c>
      <c r="BG2" s="30" t="inlineStr">
        <is>
          <t>Stage 2</t>
        </is>
      </c>
      <c r="BH2" s="30">
        <f>IF(BG2="Stage 2",20,IF(BG2="Stage 1",0,IF(BG2="Stage 3",5,IF(BG2="Stage 4",-5,0))))</f>
        <v/>
      </c>
      <c r="BI2" s="30" t="inlineStr">
        <is>
          <t>Positive Trend</t>
        </is>
      </c>
      <c r="BJ2" s="30">
        <f>IF(BI2="Positive Trend",20,IF(BI2="Negative Trend",-10,0))</f>
        <v/>
      </c>
      <c r="BK2" s="30" t="inlineStr">
        <is>
          <t>Uptrend</t>
        </is>
      </c>
      <c r="BL2" s="30">
        <f>IF(BK2="Uptrend",10,IF(BK2="Sideways",5,0))</f>
        <v/>
      </c>
      <c r="BM2" s="30" t="inlineStr">
        <is>
          <t>Uptrend</t>
        </is>
      </c>
      <c r="BN2" s="30">
        <f>IF(BM2="Uptrend",10,IF(BM2="Sideways",5,0))</f>
        <v/>
      </c>
      <c r="BO2" s="30" t="inlineStr">
        <is>
          <t>Blue sky scenario</t>
        </is>
      </c>
      <c r="BP2" s="30">
        <f>IF(BO2="Overhead supply in last 2 years in last 2 years",-5,IF(BO2="Close to 52 week high or retracement",5,IF(BO2="Blue sky scenario",10,IF(BO2="Long term Downtrend",-10,0))))</f>
        <v/>
      </c>
      <c r="BQ2" s="30" t="inlineStr">
        <is>
          <t>Yes</t>
        </is>
      </c>
      <c r="BR2" s="30">
        <f>IF(BQ2="Yes",10,0)</f>
        <v/>
      </c>
      <c r="BS2" s="30" t="inlineStr">
        <is>
          <t>More than 20%</t>
        </is>
      </c>
      <c r="BT2" s="30">
        <f>IF(BS2="More than 20%",10,IF(BS2="Between 12 to 20%",5,IF(BS2="Less than 12%",0,0)))</f>
        <v/>
      </c>
      <c r="BU2" s="30" t="inlineStr">
        <is>
          <t>No</t>
        </is>
      </c>
      <c r="BV2" s="30">
        <f>IF(BU2="No",10,0)</f>
        <v/>
      </c>
      <c r="BW2" s="30" t="inlineStr">
        <is>
          <t>No</t>
        </is>
      </c>
      <c r="BX2" s="30">
        <f>IF(BW2="NO",5,0)</f>
        <v/>
      </c>
      <c r="BY2" s="30" t="inlineStr">
        <is>
          <t>Less than 1.5</t>
        </is>
      </c>
      <c r="BZ2" s="30">
        <f>IF(BY2="Above 2",0,IF(BY2="Between 1.5 to 2",5,IF(BY2="Less than 1.5",10,0)))</f>
        <v/>
      </c>
      <c r="CA2" s="30" t="inlineStr">
        <is>
          <t>Above 70%</t>
        </is>
      </c>
      <c r="CB2" s="30">
        <f>IF(CA2="Above 70%",10,IF(CA2="Between 50% to 70%",5,IF(CA2="Less than 50%",0,IF(CA2="Negative",-10,IF(CA2="Less than 50% and Borrowings are increasing",-5,0)))))</f>
        <v/>
      </c>
      <c r="CC2" s="30" t="inlineStr">
        <is>
          <t>Between 0.7 to 1.2</t>
        </is>
      </c>
      <c r="CD2" s="30">
        <f>IF(CC2="More than 1.2",-10,IF(CC2="Between 0.7 to 1.2",0,IF(CC2="Less than 0.7",10,0)))</f>
        <v/>
      </c>
      <c r="CE2" s="30" t="inlineStr">
        <is>
          <t>No</t>
        </is>
      </c>
      <c r="CF2" s="30">
        <f>IF(CE2="Yes",-10,0)</f>
        <v/>
      </c>
      <c r="CG2" s="30" t="inlineStr">
        <is>
          <t>Less than 15%</t>
        </is>
      </c>
      <c r="CH2" s="30">
        <f>IF(CG2="More than 15%",-10,IF(CG2="Less than 15%",10,0))</f>
        <v/>
      </c>
      <c r="CI2" s="30" t="inlineStr">
        <is>
          <t>No</t>
        </is>
      </c>
      <c r="CJ2" s="30">
        <f>IF(CI2="Yes, more than 10%",-10,IF(CI2="No",10,0))</f>
        <v/>
      </c>
    </row>
    <row r="3">
      <c r="A3" s="30">
        <f>IF(B3=0,"",RANK(B3,$B$2:$B$20,0))</f>
        <v/>
      </c>
      <c r="B3" s="31">
        <f>SUM(S3,AD3,AF3,AH3,AJ3,AL3,AN3,AP3,AR3,AT3,AV3,AX3,AZ3,BB3,BD3,BF3,BH3,BJ3,BL3,BN3,BP3,BR3,BT3,BV3,BX3,BZ3,CB3,CD3,CF3,CH3,CJ3)</f>
        <v/>
      </c>
      <c r="C3" s="30" t="inlineStr">
        <is>
          <t>52W Breakout</t>
        </is>
      </c>
      <c r="D3" s="31" t="n">
        <v>139.7</v>
      </c>
      <c r="E3" s="31" t="inlineStr">
        <is>
          <t>5%</t>
        </is>
      </c>
      <c r="F3" s="31" t="n">
        <v>50000</v>
      </c>
      <c r="G3" s="31" t="n">
        <v>18</v>
      </c>
      <c r="H3" s="30" t="inlineStr">
        <is>
          <t>WELCORP</t>
        </is>
      </c>
      <c r="I3" s="30" t="inlineStr">
        <is>
          <t>Welspun Corp Limited</t>
        </is>
      </c>
      <c r="J3" s="30" t="inlineStr">
        <is>
          <t>industrials</t>
        </is>
      </c>
      <c r="K3" s="30" t="inlineStr">
        <is>
          <t>steel - large</t>
        </is>
      </c>
      <c r="L3" s="30" t="inlineStr">
        <is>
          <t>largecap</t>
        </is>
      </c>
      <c r="M3" s="31" t="n">
        <v>68809.78999999999</v>
      </c>
      <c r="N3" s="31" t="n">
        <v>2776.9</v>
      </c>
      <c r="O3" s="31" t="n">
        <v>6.46</v>
      </c>
      <c r="P3" s="31" t="n">
        <v>4261554</v>
      </c>
      <c r="Q3" s="30" t="n">
        <v>97</v>
      </c>
      <c r="R3" s="30" t="inlineStr">
        <is>
          <t>Outperforming</t>
        </is>
      </c>
      <c r="S3" s="31">
        <f>IF(R3="Underperforming",-5,IF(Q3&gt;=95,15,IF(Q3&gt;=90,10,IF(Q3&gt;=80,5,0))))</f>
        <v/>
      </c>
      <c r="T3" s="31" t="n">
        <v>95.41</v>
      </c>
      <c r="U3" s="31" t="n">
        <v>77.06</v>
      </c>
      <c r="V3" s="31" t="n">
        <v>2290.49</v>
      </c>
      <c r="W3" s="30" t="inlineStr">
        <is>
          <t>Near 52W High Breakout</t>
        </is>
      </c>
      <c r="X3" s="30" t="inlineStr">
        <is>
          <t>Nifty Metal</t>
        </is>
      </c>
      <c r="Y3" s="31" t="n">
        <v>41.17</v>
      </c>
      <c r="Z3" s="31" t="n">
        <v>214.14</v>
      </c>
      <c r="AA3" s="31" t="n">
        <v>122.53</v>
      </c>
      <c r="AB3" s="31" t="n">
        <v>61.68</v>
      </c>
      <c r="AC3" s="30" t="inlineStr">
        <is>
          <t>Cyclical in an Upturn</t>
        </is>
      </c>
      <c r="AD3" s="30">
        <f>IF(AC3="Growing Industry",10,IF(AC3="Cyclical in an Upturn",5,0))</f>
        <v/>
      </c>
      <c r="AE3" s="30" t="inlineStr">
        <is>
          <t>Too Many Players with High ROCE</t>
        </is>
      </c>
      <c r="AF3" s="30">
        <f>IF(AE3="Monopoly",10,IF(AE3="Oligopoly",5,IF(AE3="Duopoly that cooperate",10,IF(AE3="Duopoly that compete",5,IF(AE3="Too many players with High ROCE",5,0)))))</f>
        <v/>
      </c>
      <c r="AG3" s="30" t="inlineStr">
        <is>
          <t>No</t>
        </is>
      </c>
      <c r="AH3" s="30">
        <f>IF(AG3="No",5,0)</f>
        <v/>
      </c>
      <c r="AI3" s="30" t="inlineStr">
        <is>
          <t>Tailwind</t>
        </is>
      </c>
      <c r="AJ3" s="30">
        <f>IF(AI3="Tailwind",10,0)</f>
        <v/>
      </c>
      <c r="AK3" s="30" t="inlineStr">
        <is>
          <t>Structural (10 Years Consistency)</t>
        </is>
      </c>
      <c r="AL3" s="30">
        <f>IF(AK3="Structural (10 Years Consistency)",10,IF(AK3="Shallow Cyclical (2 to 3 years growth)",5,0))</f>
        <v/>
      </c>
      <c r="AM3" s="30" t="inlineStr">
        <is>
          <t>No</t>
        </is>
      </c>
      <c r="AN3" s="30">
        <f>IF(AM3="Yes due to Product Mix change or Operating Leverage",10,IF(AM3="Yes, these are peak margins",-5,IF(AM3="No",5,0)))</f>
        <v/>
      </c>
      <c r="AO3" s="30" t="inlineStr">
        <is>
          <t>Stable</t>
        </is>
      </c>
      <c r="AP3" s="30">
        <f>IF(AO3="Stable",10,0)</f>
        <v/>
      </c>
      <c r="AQ3" s="30" t="inlineStr">
        <is>
          <t>Yes</t>
        </is>
      </c>
      <c r="AR3" s="30">
        <f>IF(AQ3="Yes",10,0)</f>
        <v/>
      </c>
      <c r="AS3" s="30" t="inlineStr">
        <is>
          <t>B2B</t>
        </is>
      </c>
      <c r="AT3" s="30">
        <f>IF(AS3="B2C",10,IF(AS3="B2B",5,0))</f>
        <v/>
      </c>
      <c r="AU3" s="30" t="inlineStr">
        <is>
          <t>Yes</t>
        </is>
      </c>
      <c r="AV3" s="30">
        <f>IF(AU3="Yes",10,0)</f>
        <v/>
      </c>
      <c r="AW3" s="30" t="inlineStr">
        <is>
          <t>Higher One Time, Lower Annuity</t>
        </is>
      </c>
      <c r="AX3" s="30">
        <f>IF(AW3="Fully Annuity",10,IF(AW3="Higher Annuity, Lower One Time",5,IF(AW3="Higher One Time, Lower Annuity",3,0)))</f>
        <v/>
      </c>
      <c r="AY3" s="30" t="inlineStr">
        <is>
          <t>Good</t>
        </is>
      </c>
      <c r="AZ3" s="30">
        <f>IF(AY3="Good",10,0)</f>
        <v/>
      </c>
      <c r="BA3" s="30" t="inlineStr">
        <is>
          <t>Yes for more than 2 years</t>
        </is>
      </c>
      <c r="BB3" s="30">
        <f>IF(BA3="Yes for more than 2 years",10,IF(BA3="Yes only for next 1 to 2 years",5,0))</f>
        <v/>
      </c>
      <c r="BC3" s="30" t="inlineStr">
        <is>
          <t>Above 40</t>
        </is>
      </c>
      <c r="BD3" s="30">
        <f>IF(BC3="Above 40",20,IF(BC3="20 to 40",10,IF(BC3="0 to 20",-5,0)))</f>
        <v/>
      </c>
      <c r="BE3" s="30" t="inlineStr">
        <is>
          <t>Above 75</t>
        </is>
      </c>
      <c r="BF3" s="30">
        <f>IF(BE3="Between 50 to 75",10,IF(BE3="Above 75",0,0))</f>
        <v/>
      </c>
      <c r="BG3" s="30" t="inlineStr">
        <is>
          <t>Stage 2</t>
        </is>
      </c>
      <c r="BH3" s="30">
        <f>IF(BG3="Stage 2",20,IF(BG3="Stage 1",0,IF(BG3="Stage 3",5,IF(BG3="Stage 4",-5,0))))</f>
        <v/>
      </c>
      <c r="BI3" s="30" t="inlineStr">
        <is>
          <t>Positive Trend</t>
        </is>
      </c>
      <c r="BJ3" s="30">
        <f>IF(BI3="Positive Trend",20,IF(BI3="Negative Trend",-10,0))</f>
        <v/>
      </c>
      <c r="BK3" s="30" t="inlineStr">
        <is>
          <t>Uptrend</t>
        </is>
      </c>
      <c r="BL3" s="30">
        <f>IF(BK3="Uptrend",10,IF(BK3="Sideways",5,0))</f>
        <v/>
      </c>
      <c r="BM3" s="30" t="inlineStr">
        <is>
          <t>Uptrend</t>
        </is>
      </c>
      <c r="BN3" s="30">
        <f>IF(BM3="Uptrend",10,IF(BM3="Sideways",5,0))</f>
        <v/>
      </c>
      <c r="BO3" s="30" t="inlineStr">
        <is>
          <t>Blue sky scenario</t>
        </is>
      </c>
      <c r="BP3" s="30">
        <f>IF(BO3="Overhead supply in last 2 years in last 2 years",-5,IF(BO3="Close to 52 week high or retracement",5,IF(BO3="Blue sky scenario",10,IF(BO3="Long term Downtrend",-10,0))))</f>
        <v/>
      </c>
      <c r="BQ3" s="30" t="inlineStr">
        <is>
          <t>Yes</t>
        </is>
      </c>
      <c r="BR3" s="30">
        <f>IF(BQ3="Yes",10,0)</f>
        <v/>
      </c>
      <c r="BS3" s="30" t="inlineStr">
        <is>
          <t>More than 20%</t>
        </is>
      </c>
      <c r="BT3" s="30">
        <f>IF(BS3="More than 20%",10,IF(BS3="Between 12 to 20%",5,IF(BS3="Less than 12%",0,0)))</f>
        <v/>
      </c>
      <c r="BU3" s="30" t="inlineStr">
        <is>
          <t>No</t>
        </is>
      </c>
      <c r="BV3" s="30">
        <f>IF(BU3="No",10,0)</f>
        <v/>
      </c>
      <c r="BW3" s="30" t="inlineStr">
        <is>
          <t>No</t>
        </is>
      </c>
      <c r="BX3" s="30">
        <f>IF(BW3="NO",5,0)</f>
        <v/>
      </c>
      <c r="BY3" s="30" t="inlineStr">
        <is>
          <t>Above 2</t>
        </is>
      </c>
      <c r="BZ3" s="30">
        <f>IF(BY3="Above 2",0,IF(BY3="Between 1.5 to 2",5,IF(BY3="Less than 1.5",10,0)))</f>
        <v/>
      </c>
      <c r="CA3" s="30" t="inlineStr">
        <is>
          <t>Above 70%</t>
        </is>
      </c>
      <c r="CB3" s="30">
        <f>IF(CA3="Above 70%",10,IF(CA3="Between 50% to 70%",5,IF(CA3="Less than 50%",0,IF(CA3="Negative",-10,IF(CA3="Less than 50% and Borrowings are increasing",-5,0)))))</f>
        <v/>
      </c>
      <c r="CC3" s="30" t="inlineStr">
        <is>
          <t>Less than 0.7</t>
        </is>
      </c>
      <c r="CD3" s="30">
        <f>IF(CC3="More than 1.2",-10,IF(CC3="Between 0.7 to 1.2",0,IF(CC3="Less than 0.7",10,0)))</f>
        <v/>
      </c>
      <c r="CE3" s="30" t="inlineStr">
        <is>
          <t>No</t>
        </is>
      </c>
      <c r="CF3" s="30">
        <f>IF(CE3="Yes",-10,0)</f>
        <v/>
      </c>
      <c r="CG3" s="30" t="inlineStr">
        <is>
          <t>Less than 15%</t>
        </is>
      </c>
      <c r="CH3" s="30">
        <f>IF(CG3="More than 15%",-10,IF(CG3="Less than 15%",10,0))</f>
        <v/>
      </c>
      <c r="CI3" s="30" t="inlineStr">
        <is>
          <t>No</t>
        </is>
      </c>
      <c r="CJ3" s="30">
        <f>IF(CI3="Yes, more than 10%",-10,IF(CI3="No",10,0))</f>
        <v/>
      </c>
    </row>
    <row r="4">
      <c r="A4" s="30">
        <f>IF(B4=0,"",RANK(B4,$B$2:$B$20,0))</f>
        <v/>
      </c>
      <c r="B4" s="31">
        <f>SUM(S4,AD4,AF4,AH4,AJ4,AL4,AN4,AP4,AR4,AT4,AV4,AX4,AZ4,BB4,BD4,BF4,BH4,BJ4,BL4,BN4,BP4,BR4,BT4,BV4,BX4,BZ4,CB4,CD4,CF4,CH4,CJ4)</f>
        <v/>
      </c>
      <c r="C4" s="30" t="inlineStr">
        <is>
          <t>52W Breakout</t>
        </is>
      </c>
      <c r="D4" s="31" t="n">
        <v>138.6</v>
      </c>
      <c r="E4" s="31" t="inlineStr">
        <is>
          <t>5%</t>
        </is>
      </c>
      <c r="F4" s="31" t="n">
        <v>50000</v>
      </c>
      <c r="G4" s="31" t="n">
        <v>133</v>
      </c>
      <c r="H4" s="30" t="inlineStr">
        <is>
          <t>SSWL</t>
        </is>
      </c>
      <c r="I4" s="30" t="inlineStr">
        <is>
          <t>Steel Strips Wheels Limited</t>
        </is>
      </c>
      <c r="J4" s="30" t="inlineStr">
        <is>
          <t>auto</t>
        </is>
      </c>
      <c r="K4" s="30" t="inlineStr">
        <is>
          <t>auto ancillaries</t>
        </is>
      </c>
      <c r="L4" s="30" t="inlineStr">
        <is>
          <t>midcap</t>
        </is>
      </c>
      <c r="M4" s="31" t="n">
        <v>5838.47</v>
      </c>
      <c r="N4" s="31" t="n">
        <v>373.6</v>
      </c>
      <c r="O4" s="31" t="n">
        <v>0.58</v>
      </c>
      <c r="P4" s="31" t="n">
        <v>696576</v>
      </c>
      <c r="Q4" s="30" t="n">
        <v>79</v>
      </c>
      <c r="R4" s="30" t="inlineStr">
        <is>
          <t>Outperforming</t>
        </is>
      </c>
      <c r="S4" s="31">
        <f>IF(R4="Underperforming",-5,IF(Q4&gt;=95,15,IF(Q4&gt;=90,10,IF(Q4&gt;=80,5,0))))</f>
        <v/>
      </c>
      <c r="T4" s="31" t="n">
        <v>79.58</v>
      </c>
      <c r="U4" s="31" t="n">
        <v>41.9</v>
      </c>
      <c r="V4" s="31" t="n">
        <v>299.76</v>
      </c>
      <c r="W4" s="30" t="inlineStr">
        <is>
          <t>Near 52W High Breakout</t>
        </is>
      </c>
      <c r="X4" s="30" t="inlineStr">
        <is>
          <t>Nifty Auto</t>
        </is>
      </c>
      <c r="Y4" s="31" t="n">
        <v>15.81</v>
      </c>
      <c r="Z4" s="31" t="n">
        <v>55.99</v>
      </c>
      <c r="AA4" s="31" t="n">
        <v>34.7</v>
      </c>
      <c r="AB4" s="31" t="n">
        <v>29.72</v>
      </c>
      <c r="AC4" s="30" t="inlineStr">
        <is>
          <t>Growing Industry</t>
        </is>
      </c>
      <c r="AD4" s="30">
        <f>IF(AC4="Growing Industry",10,IF(AC4="Cyclical in an Upturn",5,0))</f>
        <v/>
      </c>
      <c r="AE4" s="30" t="inlineStr">
        <is>
          <t>Too Many Players with High ROCE</t>
        </is>
      </c>
      <c r="AF4" s="30">
        <f>IF(AE4="Monopoly",10,IF(AE4="Oligopoly",5,IF(AE4="Duopoly that cooperate",10,IF(AE4="Duopoly that compete",5,IF(AE4="Too many players with High ROCE",5,0)))))</f>
        <v/>
      </c>
      <c r="AG4" s="30" t="inlineStr">
        <is>
          <t>No</t>
        </is>
      </c>
      <c r="AH4" s="30">
        <f>IF(AG4="No",5,0)</f>
        <v/>
      </c>
      <c r="AI4" s="30" t="inlineStr">
        <is>
          <t>Tailwind</t>
        </is>
      </c>
      <c r="AJ4" s="30">
        <f>IF(AI4="Tailwind",10,0)</f>
        <v/>
      </c>
      <c r="AK4" s="30" t="inlineStr">
        <is>
          <t>Structural (10 Years Consistency)</t>
        </is>
      </c>
      <c r="AL4" s="30">
        <f>IF(AK4="Structural (10 Years Consistency)",10,IF(AK4="Shallow Cyclical (2 to 3 years growth)",5,0))</f>
        <v/>
      </c>
      <c r="AM4" s="30" t="inlineStr">
        <is>
          <t>No</t>
        </is>
      </c>
      <c r="AN4" s="30">
        <f>IF(AM4="Yes due to Product Mix change or Operating Leverage",10,IF(AM4="Yes, these are peak margins",-5,IF(AM4="No",5,0)))</f>
        <v/>
      </c>
      <c r="AO4" s="30" t="inlineStr">
        <is>
          <t>Stable</t>
        </is>
      </c>
      <c r="AP4" s="30">
        <f>IF(AO4="Stable",10,0)</f>
        <v/>
      </c>
      <c r="AQ4" s="30" t="inlineStr">
        <is>
          <t>Yes</t>
        </is>
      </c>
      <c r="AR4" s="30">
        <f>IF(AQ4="Yes",10,0)</f>
        <v/>
      </c>
      <c r="AS4" s="30" t="inlineStr">
        <is>
          <t>B2B</t>
        </is>
      </c>
      <c r="AT4" s="30">
        <f>IF(AS4="B2C",10,IF(AS4="B2B",5,0))</f>
        <v/>
      </c>
      <c r="AU4" s="30" t="inlineStr">
        <is>
          <t>Yes</t>
        </is>
      </c>
      <c r="AV4" s="30">
        <f>IF(AU4="Yes",10,0)</f>
        <v/>
      </c>
      <c r="AW4" s="30" t="inlineStr">
        <is>
          <t>Higher One Time, Lower Annuity</t>
        </is>
      </c>
      <c r="AX4" s="30">
        <f>IF(AW4="Fully Annuity",10,IF(AW4="Higher Annuity, Lower One Time",5,IF(AW4="Higher One Time, Lower Annuity",3,0)))</f>
        <v/>
      </c>
      <c r="AY4" s="30" t="inlineStr">
        <is>
          <t>Good</t>
        </is>
      </c>
      <c r="AZ4" s="30">
        <f>IF(AY4="Good",10,0)</f>
        <v/>
      </c>
      <c r="BA4" s="30" t="inlineStr">
        <is>
          <t>Yes for more than 2 years</t>
        </is>
      </c>
      <c r="BB4" s="30">
        <f>IF(BA4="Yes for more than 2 years",10,IF(BA4="Yes only for next 1 to 2 years",5,0))</f>
        <v/>
      </c>
      <c r="BC4" s="30" t="inlineStr">
        <is>
          <t>Above 40</t>
        </is>
      </c>
      <c r="BD4" s="30">
        <f>IF(BC4="Above 40",20,IF(BC4="20 to 40",10,IF(BC4="0 to 20",-5,0)))</f>
        <v/>
      </c>
      <c r="BE4" s="30" t="inlineStr">
        <is>
          <t>Above 75</t>
        </is>
      </c>
      <c r="BF4" s="30">
        <f>IF(BE4="Between 50 to 75",10,IF(BE4="Above 75",0,0))</f>
        <v/>
      </c>
      <c r="BG4" s="30" t="inlineStr">
        <is>
          <t>Stage 2</t>
        </is>
      </c>
      <c r="BH4" s="30">
        <f>IF(BG4="Stage 2",20,IF(BG4="Stage 1",0,IF(BG4="Stage 3",5,IF(BG4="Stage 4",-5,0))))</f>
        <v/>
      </c>
      <c r="BI4" s="30" t="inlineStr">
        <is>
          <t>Positive Trend</t>
        </is>
      </c>
      <c r="BJ4" s="30">
        <f>IF(BI4="Positive Trend",20,IF(BI4="Negative Trend",-10,0))</f>
        <v/>
      </c>
      <c r="BK4" s="30" t="inlineStr">
        <is>
          <t>Uptrend</t>
        </is>
      </c>
      <c r="BL4" s="30">
        <f>IF(BK4="Uptrend",10,IF(BK4="Sideways",5,0))</f>
        <v/>
      </c>
      <c r="BM4" s="30" t="inlineStr">
        <is>
          <t>Uptrend</t>
        </is>
      </c>
      <c r="BN4" s="30">
        <f>IF(BM4="Uptrend",10,IF(BM4="Sideways",5,0))</f>
        <v/>
      </c>
      <c r="BO4" s="30" t="inlineStr">
        <is>
          <t>Blue sky scenario</t>
        </is>
      </c>
      <c r="BP4" s="30">
        <f>IF(BO4="Overhead supply in last 2 years in last 2 years",-5,IF(BO4="Close to 52 week high or retracement",5,IF(BO4="Blue sky scenario",10,IF(BO4="Long term Downtrend",-10,0))))</f>
        <v/>
      </c>
      <c r="BQ4" s="30" t="inlineStr">
        <is>
          <t>Yes</t>
        </is>
      </c>
      <c r="BR4" s="30">
        <f>IF(BQ4="Yes",10,0)</f>
        <v/>
      </c>
      <c r="BS4" s="30" t="inlineStr">
        <is>
          <t>More than 20%</t>
        </is>
      </c>
      <c r="BT4" s="30">
        <f>IF(BS4="More than 20%",10,IF(BS4="Between 12 to 20%",5,IF(BS4="Less than 12%",0,0)))</f>
        <v/>
      </c>
      <c r="BU4" s="30" t="inlineStr">
        <is>
          <t>No</t>
        </is>
      </c>
      <c r="BV4" s="30">
        <f>IF(BU4="No",10,0)</f>
        <v/>
      </c>
      <c r="BW4" s="30" t="inlineStr">
        <is>
          <t>No</t>
        </is>
      </c>
      <c r="BX4" s="30">
        <f>IF(BW4="NO",5,0)</f>
        <v/>
      </c>
      <c r="BY4" s="30" t="inlineStr">
        <is>
          <t>Less than 1.5</t>
        </is>
      </c>
      <c r="BZ4" s="30">
        <f>IF(BY4="Above 2",0,IF(BY4="Between 1.5 to 2",5,IF(BY4="Less than 1.5",10,0)))</f>
        <v/>
      </c>
      <c r="CA4" s="30" t="inlineStr">
        <is>
          <t>Above 70%</t>
        </is>
      </c>
      <c r="CB4" s="30">
        <f>IF(CA4="Above 70%",10,IF(CA4="Between 50% to 70%",5,IF(CA4="Less than 50%",0,IF(CA4="Negative",-10,IF(CA4="Less than 50% and Borrowings are increasing",-5,0)))))</f>
        <v/>
      </c>
      <c r="CC4" s="30" t="inlineStr">
        <is>
          <t>Less than 0.7</t>
        </is>
      </c>
      <c r="CD4" s="30">
        <f>IF(CC4="More than 1.2",-10,IF(CC4="Between 0.7 to 1.2",0,IF(CC4="Less than 0.7",10,0)))</f>
        <v/>
      </c>
      <c r="CE4" s="30" t="inlineStr">
        <is>
          <t>No</t>
        </is>
      </c>
      <c r="CF4" s="30">
        <f>IF(CE4="Yes",-10,0)</f>
        <v/>
      </c>
      <c r="CG4" s="30" t="inlineStr">
        <is>
          <t>Less than 15%</t>
        </is>
      </c>
      <c r="CH4" s="30">
        <f>IF(CG4="More than 15%",-10,IF(CG4="Less than 15%",10,0))</f>
        <v/>
      </c>
      <c r="CI4" s="30" t="inlineStr">
        <is>
          <t>No</t>
        </is>
      </c>
      <c r="CJ4" s="30">
        <f>IF(CI4="Yes, more than 10%",-10,IF(CI4="No",10,0))</f>
        <v/>
      </c>
    </row>
    <row r="5">
      <c r="A5" s="30">
        <f>IF(B5=0,"",RANK(B5,$B$2:$B$20,0))</f>
        <v/>
      </c>
      <c r="B5" s="31">
        <f>SUM(S5,AD5,AF5,AH5,AJ5,AL5,AN5,AP5,AR5,AT5,AV5,AX5,AZ5,BB5,BD5,BF5,BH5,BJ5,BL5,BN5,BP5,BR5,BT5,BV5,BX5,BZ5,CB5,CD5,CF5,CH5,CJ5)</f>
        <v/>
      </c>
      <c r="C5" s="30" t="inlineStr">
        <is>
          <t>52W Breakout</t>
        </is>
      </c>
      <c r="D5" s="31" t="n">
        <v>140</v>
      </c>
      <c r="E5" s="31" t="inlineStr">
        <is>
          <t>5%</t>
        </is>
      </c>
      <c r="F5" s="31" t="n">
        <v>50000</v>
      </c>
      <c r="G5" s="31" t="n">
        <v>112</v>
      </c>
      <c r="H5" s="30" t="inlineStr">
        <is>
          <t>SETL</t>
        </is>
      </c>
      <c r="I5" s="30" t="inlineStr">
        <is>
          <t>Standard Enginnering Technology Ltd</t>
        </is>
      </c>
      <c r="J5" s="30" t="inlineStr">
        <is>
          <t>industrials</t>
        </is>
      </c>
      <c r="K5" s="30" t="inlineStr">
        <is>
          <t>engineering</t>
        </is>
      </c>
      <c r="L5" s="30" t="inlineStr">
        <is>
          <t>midcap</t>
        </is>
      </c>
      <c r="M5" s="31" t="n">
        <v>8472.41</v>
      </c>
      <c r="N5" s="31" t="n">
        <v>445.9</v>
      </c>
      <c r="O5" s="31" t="n">
        <v>4.99</v>
      </c>
      <c r="P5" s="31" t="n">
        <v>344586</v>
      </c>
      <c r="Q5" s="30" t="n">
        <v>98</v>
      </c>
      <c r="R5" s="30" t="inlineStr">
        <is>
          <t>Outperforming</t>
        </is>
      </c>
      <c r="S5" s="31">
        <f>IF(R5="Underperforming",-5,IF(Q5&gt;=95,15,IF(Q5&gt;=90,10,IF(Q5&gt;=80,5,0))))</f>
        <v/>
      </c>
      <c r="T5" s="31" t="n">
        <v>91.03</v>
      </c>
      <c r="U5" s="31" t="n">
        <v>67.69</v>
      </c>
      <c r="V5" s="31" t="n">
        <v>350.16</v>
      </c>
      <c r="W5" s="30" t="inlineStr">
        <is>
          <t>Near 52W High Breakout</t>
        </is>
      </c>
      <c r="X5" s="30" t="inlineStr">
        <is>
          <t>Nifty 50</t>
        </is>
      </c>
      <c r="Y5" s="31" t="n">
        <v>-6.52</v>
      </c>
      <c r="Z5" s="31" t="n">
        <v>143.46</v>
      </c>
      <c r="AA5" s="31" t="n">
        <v>160.43</v>
      </c>
      <c r="AB5" s="31" t="n">
        <v>71.55</v>
      </c>
      <c r="AC5" s="30" t="inlineStr">
        <is>
          <t>Cyclical in an Upturn</t>
        </is>
      </c>
      <c r="AD5" s="30">
        <f>IF(AC5="Growing Industry",10,IF(AC5="Cyclical in an Upturn",5,0))</f>
        <v/>
      </c>
      <c r="AE5" s="30" t="inlineStr">
        <is>
          <t>Too Many Players with High ROCE</t>
        </is>
      </c>
      <c r="AF5" s="30">
        <f>IF(AE5="Monopoly",10,IF(AE5="Oligopoly",5,IF(AE5="Duopoly that cooperate",10,IF(AE5="Duopoly that compete",5,IF(AE5="Too many players with High ROCE",5,0)))))</f>
        <v/>
      </c>
      <c r="AG5" s="30" t="inlineStr">
        <is>
          <t>No</t>
        </is>
      </c>
      <c r="AH5" s="30">
        <f>IF(AG5="No",5,0)</f>
        <v/>
      </c>
      <c r="AI5" s="30" t="inlineStr">
        <is>
          <t>Tailwind</t>
        </is>
      </c>
      <c r="AJ5" s="30">
        <f>IF(AI5="Tailwind",10,0)</f>
        <v/>
      </c>
      <c r="AK5" s="30" t="inlineStr">
        <is>
          <t>Structural (10 Years Consistency)</t>
        </is>
      </c>
      <c r="AL5" s="30">
        <f>IF(AK5="Structural (10 Years Consistency)",10,IF(AK5="Shallow Cyclical (2 to 3 years growth)",5,0))</f>
        <v/>
      </c>
      <c r="AM5" s="30" t="inlineStr">
        <is>
          <t>No</t>
        </is>
      </c>
      <c r="AN5" s="30">
        <f>IF(AM5="Yes due to Product Mix change or Operating Leverage",10,IF(AM5="Yes, these are peak margins",-5,IF(AM5="No",5,0)))</f>
        <v/>
      </c>
      <c r="AO5" s="30" t="inlineStr">
        <is>
          <t>Stable</t>
        </is>
      </c>
      <c r="AP5" s="30">
        <f>IF(AO5="Stable",10,0)</f>
        <v/>
      </c>
      <c r="AQ5" s="30" t="inlineStr">
        <is>
          <t>Yes</t>
        </is>
      </c>
      <c r="AR5" s="30">
        <f>IF(AQ5="Yes",10,0)</f>
        <v/>
      </c>
      <c r="AS5" s="30" t="inlineStr">
        <is>
          <t>B2B</t>
        </is>
      </c>
      <c r="AT5" s="30">
        <f>IF(AS5="B2C",10,IF(AS5="B2B",5,0))</f>
        <v/>
      </c>
      <c r="AU5" s="30" t="inlineStr">
        <is>
          <t>Yes</t>
        </is>
      </c>
      <c r="AV5" s="30">
        <f>IF(AU5="Yes",10,0)</f>
        <v/>
      </c>
      <c r="AW5" s="30" t="inlineStr">
        <is>
          <t>Higher One Time, Lower Annuity</t>
        </is>
      </c>
      <c r="AX5" s="30">
        <f>IF(AW5="Fully Annuity",10,IF(AW5="Higher Annuity, Lower One Time",5,IF(AW5="Higher One Time, Lower Annuity",3,0)))</f>
        <v/>
      </c>
      <c r="AY5" s="30" t="inlineStr">
        <is>
          <t>Good</t>
        </is>
      </c>
      <c r="AZ5" s="30">
        <f>IF(AY5="Good",10,0)</f>
        <v/>
      </c>
      <c r="BA5" s="30" t="inlineStr">
        <is>
          <t>Yes for more than 2 years</t>
        </is>
      </c>
      <c r="BB5" s="30">
        <f>IF(BA5="Yes for more than 2 years",10,IF(BA5="Yes only for next 1 to 2 years",5,0))</f>
        <v/>
      </c>
      <c r="BC5" s="30" t="inlineStr">
        <is>
          <t>Above 40</t>
        </is>
      </c>
      <c r="BD5" s="30">
        <f>IF(BC5="Above 40",20,IF(BC5="20 to 40",10,IF(BC5="0 to 20",-5,0)))</f>
        <v/>
      </c>
      <c r="BE5" s="30" t="inlineStr">
        <is>
          <t>Above 75</t>
        </is>
      </c>
      <c r="BF5" s="30">
        <f>IF(BE5="Between 50 to 75",10,IF(BE5="Above 75",0,0))</f>
        <v/>
      </c>
      <c r="BG5" s="30" t="inlineStr">
        <is>
          <t>Stage 2</t>
        </is>
      </c>
      <c r="BH5" s="30">
        <f>IF(BG5="Stage 2",20,IF(BG5="Stage 1",0,IF(BG5="Stage 3",5,IF(BG5="Stage 4",-5,0))))</f>
        <v/>
      </c>
      <c r="BI5" s="30" t="inlineStr">
        <is>
          <t>Positive Trend</t>
        </is>
      </c>
      <c r="BJ5" s="30">
        <f>IF(BI5="Positive Trend",20,IF(BI5="Negative Trend",-10,0))</f>
        <v/>
      </c>
      <c r="BK5" s="30" t="inlineStr">
        <is>
          <t>Uptrend</t>
        </is>
      </c>
      <c r="BL5" s="30">
        <f>IF(BK5="Uptrend",10,IF(BK5="Sideways",5,0))</f>
        <v/>
      </c>
      <c r="BM5" s="30" t="inlineStr">
        <is>
          <t>Uptrend</t>
        </is>
      </c>
      <c r="BN5" s="30">
        <f>IF(BM5="Uptrend",10,IF(BM5="Sideways",5,0))</f>
        <v/>
      </c>
      <c r="BO5" s="30" t="inlineStr">
        <is>
          <t>Blue sky scenario</t>
        </is>
      </c>
      <c r="BP5" s="30">
        <f>IF(BO5="Overhead supply in last 2 years in last 2 years",-5,IF(BO5="Close to 52 week high or retracement",5,IF(BO5="Blue sky scenario",10,IF(BO5="Long term Downtrend",-10,0))))</f>
        <v/>
      </c>
      <c r="BQ5" s="30" t="inlineStr">
        <is>
          <t>Yes</t>
        </is>
      </c>
      <c r="BR5" s="30">
        <f>IF(BQ5="Yes",10,0)</f>
        <v/>
      </c>
      <c r="BS5" s="30" t="inlineStr">
        <is>
          <t>More than 20%</t>
        </is>
      </c>
      <c r="BT5" s="30">
        <f>IF(BS5="More than 20%",10,IF(BS5="Between 12 to 20%",5,IF(BS5="Less than 12%",0,0)))</f>
        <v/>
      </c>
      <c r="BU5" s="30" t="inlineStr">
        <is>
          <t>No</t>
        </is>
      </c>
      <c r="BV5" s="30">
        <f>IF(BU5="No",10,0)</f>
        <v/>
      </c>
      <c r="BW5" s="30" t="inlineStr">
        <is>
          <t>Yes</t>
        </is>
      </c>
      <c r="BX5" s="30">
        <f>IF(BW5="NO",5,0)</f>
        <v/>
      </c>
      <c r="BY5" s="30" t="inlineStr">
        <is>
          <t>Above 2</t>
        </is>
      </c>
      <c r="BZ5" s="30">
        <f>IF(BY5="Above 2",0,IF(BY5="Between 1.5 to 2",5,IF(BY5="Less than 1.5",10,0)))</f>
        <v/>
      </c>
      <c r="CA5" s="30" t="inlineStr">
        <is>
          <t>Above 70%</t>
        </is>
      </c>
      <c r="CB5" s="30">
        <f>IF(CA5="Above 70%",10,IF(CA5="Between 50% to 70%",5,IF(CA5="Less than 50%",0,IF(CA5="Negative",-10,IF(CA5="Less than 50% and Borrowings are increasing",-5,0)))))</f>
        <v/>
      </c>
      <c r="CC5" s="30" t="inlineStr">
        <is>
          <t>Less than 0.7</t>
        </is>
      </c>
      <c r="CD5" s="30">
        <f>IF(CC5="More than 1.2",-10,IF(CC5="Between 0.7 to 1.2",0,IF(CC5="Less than 0.7",10,0)))</f>
        <v/>
      </c>
      <c r="CE5" s="30" t="inlineStr">
        <is>
          <t>No</t>
        </is>
      </c>
      <c r="CF5" s="30">
        <f>IF(CE5="Yes",-10,0)</f>
        <v/>
      </c>
      <c r="CG5" s="30" t="inlineStr">
        <is>
          <t>Less than 15%</t>
        </is>
      </c>
      <c r="CH5" s="30">
        <f>IF(CG5="More than 15%",-10,IF(CG5="Less than 15%",10,0))</f>
        <v/>
      </c>
      <c r="CI5" s="30" t="inlineStr">
        <is>
          <t>No</t>
        </is>
      </c>
      <c r="CJ5" s="30">
        <f>IF(CI5="Yes, more than 10%",-10,IF(CI5="No",10,0))</f>
        <v/>
      </c>
    </row>
    <row r="6">
      <c r="A6" s="30">
        <f>IF(B6=0,"",RANK(B6,$B$2:$B$20,0))</f>
        <v/>
      </c>
      <c r="B6" s="31">
        <f>SUM(S6,AD6,AF6,AH6,AJ6,AL6,AN6,AP6,AR6,AT6,AV6,AX6,AZ6,BB6,BD6,BF6,BH6,BJ6,BL6,BN6,BP6,BR6,BT6,BV6,BX6,BZ6,CB6,CD6,CF6,CH6,CJ6)</f>
        <v/>
      </c>
      <c r="C6" s="30" t="inlineStr">
        <is>
          <t>52W Breakout</t>
        </is>
      </c>
      <c r="D6" s="31" t="n">
        <v>139</v>
      </c>
      <c r="E6" s="31" t="inlineStr">
        <is>
          <t>5%</t>
        </is>
      </c>
      <c r="F6" s="31" t="n">
        <v>50000</v>
      </c>
      <c r="G6" s="31" t="n">
        <v>285</v>
      </c>
      <c r="H6" s="30" t="inlineStr">
        <is>
          <t>KANORICHEM</t>
        </is>
      </c>
      <c r="I6" s="30" t="inlineStr">
        <is>
          <t>Kanoria Chemicals &amp; Industries Limited</t>
        </is>
      </c>
      <c r="J6" s="30" t="inlineStr">
        <is>
          <t>chemicals</t>
        </is>
      </c>
      <c r="K6" s="30" t="inlineStr">
        <is>
          <t>chemicals</t>
        </is>
      </c>
      <c r="L6" s="30" t="inlineStr">
        <is>
          <t>smallcap</t>
        </is>
      </c>
      <c r="M6" s="31" t="n">
        <v>728.8</v>
      </c>
      <c r="N6" s="31" t="n">
        <v>175.14</v>
      </c>
      <c r="O6" s="31" t="n">
        <v>5</v>
      </c>
      <c r="P6" s="31" t="n">
        <v>100439</v>
      </c>
      <c r="Q6" s="30" t="n">
        <v>89</v>
      </c>
      <c r="R6" s="30" t="inlineStr">
        <is>
          <t>Outperforming</t>
        </is>
      </c>
      <c r="S6" s="31">
        <f>IF(R6="Underperforming",-5,IF(Q6&gt;=95,15,IF(Q6&gt;=90,10,IF(Q6&gt;=80,5,0))))</f>
        <v/>
      </c>
      <c r="T6" s="31" t="n">
        <v>75.63</v>
      </c>
      <c r="U6" s="31" t="n">
        <v>66.03</v>
      </c>
      <c r="V6" s="31" t="n">
        <v>131.59</v>
      </c>
      <c r="W6" s="30" t="inlineStr">
        <is>
          <t>Near 52W High Breakout</t>
        </is>
      </c>
      <c r="X6" s="30" t="inlineStr">
        <is>
          <t>Nifty 50</t>
        </is>
      </c>
      <c r="Y6" s="31" t="n">
        <v>-6.52</v>
      </c>
      <c r="Z6" s="31" t="n">
        <v>107.17</v>
      </c>
      <c r="AA6" s="31" t="n">
        <v>121.61</v>
      </c>
      <c r="AB6" s="31" t="n">
        <v>38.29</v>
      </c>
      <c r="AC6" s="30" t="inlineStr">
        <is>
          <t>Growing Industry</t>
        </is>
      </c>
      <c r="AD6" s="30">
        <f>IF(AC6="Growing Industry",10,IF(AC6="Cyclical in an Upturn",5,0))</f>
        <v/>
      </c>
      <c r="AE6" s="30" t="inlineStr">
        <is>
          <t>Too Many Players with High ROCE</t>
        </is>
      </c>
      <c r="AF6" s="30">
        <f>IF(AE6="Monopoly",10,IF(AE6="Oligopoly",5,IF(AE6="Duopoly that cooperate",10,IF(AE6="Duopoly that compete",5,IF(AE6="Too many players with High ROCE",5,0)))))</f>
        <v/>
      </c>
      <c r="AG6" s="30" t="inlineStr">
        <is>
          <t>No</t>
        </is>
      </c>
      <c r="AH6" s="30">
        <f>IF(AG6="No",5,0)</f>
        <v/>
      </c>
      <c r="AI6" s="30" t="inlineStr">
        <is>
          <t>Tailwind</t>
        </is>
      </c>
      <c r="AJ6" s="30">
        <f>IF(AI6="Tailwind",10,0)</f>
        <v/>
      </c>
      <c r="AK6" s="30" t="inlineStr">
        <is>
          <t>Structural (10 Years Consistency)</t>
        </is>
      </c>
      <c r="AL6" s="30">
        <f>IF(AK6="Structural (10 Years Consistency)",10,IF(AK6="Shallow Cyclical (2 to 3 years growth)",5,0))</f>
        <v/>
      </c>
      <c r="AM6" s="30" t="inlineStr">
        <is>
          <t>No</t>
        </is>
      </c>
      <c r="AN6" s="30">
        <f>IF(AM6="Yes due to Product Mix change or Operating Leverage",10,IF(AM6="Yes, these are peak margins",-5,IF(AM6="No",5,0)))</f>
        <v/>
      </c>
      <c r="AO6" s="30" t="inlineStr">
        <is>
          <t>Stable</t>
        </is>
      </c>
      <c r="AP6" s="30">
        <f>IF(AO6="Stable",10,0)</f>
        <v/>
      </c>
      <c r="AQ6" s="30" t="inlineStr">
        <is>
          <t>Yes</t>
        </is>
      </c>
      <c r="AR6" s="30">
        <f>IF(AQ6="Yes",10,0)</f>
        <v/>
      </c>
      <c r="AS6" s="30" t="inlineStr">
        <is>
          <t>B2B</t>
        </is>
      </c>
      <c r="AT6" s="30">
        <f>IF(AS6="B2C",10,IF(AS6="B2B",5,0))</f>
        <v/>
      </c>
      <c r="AU6" s="30" t="inlineStr">
        <is>
          <t>Yes</t>
        </is>
      </c>
      <c r="AV6" s="30">
        <f>IF(AU6="Yes",10,0)</f>
        <v/>
      </c>
      <c r="AW6" s="30" t="inlineStr">
        <is>
          <t>Higher One Time, Lower Annuity</t>
        </is>
      </c>
      <c r="AX6" s="30">
        <f>IF(AW6="Fully Annuity",10,IF(AW6="Higher Annuity, Lower One Time",5,IF(AW6="Higher One Time, Lower Annuity",3,0)))</f>
        <v/>
      </c>
      <c r="AY6" s="30" t="inlineStr">
        <is>
          <t>Good</t>
        </is>
      </c>
      <c r="AZ6" s="30">
        <f>IF(AY6="Good",10,0)</f>
        <v/>
      </c>
      <c r="BA6" s="30" t="inlineStr">
        <is>
          <t>Yes for more than 2 years</t>
        </is>
      </c>
      <c r="BB6" s="30">
        <f>IF(BA6="Yes for more than 2 years",10,IF(BA6="Yes only for next 1 to 2 years",5,0))</f>
        <v/>
      </c>
      <c r="BC6" s="30" t="inlineStr">
        <is>
          <t>Above 40</t>
        </is>
      </c>
      <c r="BD6" s="30">
        <f>IF(BC6="Above 40",20,IF(BC6="20 to 40",10,IF(BC6="0 to 20",-5,0)))</f>
        <v/>
      </c>
      <c r="BE6" s="30" t="inlineStr">
        <is>
          <t>Above 75</t>
        </is>
      </c>
      <c r="BF6" s="30">
        <f>IF(BE6="Between 50 to 75",10,IF(BE6="Above 75",0,0))</f>
        <v/>
      </c>
      <c r="BG6" s="30" t="inlineStr">
        <is>
          <t>Stage 2</t>
        </is>
      </c>
      <c r="BH6" s="30">
        <f>IF(BG6="Stage 2",20,IF(BG6="Stage 1",0,IF(BG6="Stage 3",5,IF(BG6="Stage 4",-5,0))))</f>
        <v/>
      </c>
      <c r="BI6" s="30" t="inlineStr">
        <is>
          <t>Positive Trend</t>
        </is>
      </c>
      <c r="BJ6" s="30">
        <f>IF(BI6="Positive Trend",20,IF(BI6="Negative Trend",-10,0))</f>
        <v/>
      </c>
      <c r="BK6" s="30" t="inlineStr">
        <is>
          <t>Uptrend</t>
        </is>
      </c>
      <c r="BL6" s="30">
        <f>IF(BK6="Uptrend",10,IF(BK6="Sideways",5,0))</f>
        <v/>
      </c>
      <c r="BM6" s="30" t="inlineStr">
        <is>
          <t>Uptrend</t>
        </is>
      </c>
      <c r="BN6" s="30">
        <f>IF(BM6="Uptrend",10,IF(BM6="Sideways",5,0))</f>
        <v/>
      </c>
      <c r="BO6" s="30" t="inlineStr">
        <is>
          <t>Blue sky scenario</t>
        </is>
      </c>
      <c r="BP6" s="30">
        <f>IF(BO6="Overhead supply in last 2 years in last 2 years",-5,IF(BO6="Close to 52 week high or retracement",5,IF(BO6="Blue sky scenario",10,IF(BO6="Long term Downtrend",-10,0))))</f>
        <v/>
      </c>
      <c r="BQ6" s="30" t="inlineStr">
        <is>
          <t>Yes</t>
        </is>
      </c>
      <c r="BR6" s="30">
        <f>IF(BQ6="Yes",10,0)</f>
        <v/>
      </c>
      <c r="BS6" s="30" t="inlineStr">
        <is>
          <t>More than 20%</t>
        </is>
      </c>
      <c r="BT6" s="30">
        <f>IF(BS6="More than 20%",10,IF(BS6="Between 12 to 20%",5,IF(BS6="Less than 12%",0,0)))</f>
        <v/>
      </c>
      <c r="BU6" s="30" t="inlineStr">
        <is>
          <t>No</t>
        </is>
      </c>
      <c r="BV6" s="30">
        <f>IF(BU6="No",10,0)</f>
        <v/>
      </c>
      <c r="BW6" s="30" t="inlineStr">
        <is>
          <t>No</t>
        </is>
      </c>
      <c r="BX6" s="30">
        <f>IF(BW6="NO",5,0)</f>
        <v/>
      </c>
      <c r="BY6" s="30" t="inlineStr">
        <is>
          <t>Above 2</t>
        </is>
      </c>
      <c r="BZ6" s="30">
        <f>IF(BY6="Above 2",0,IF(BY6="Between 1.5 to 2",5,IF(BY6="Less than 1.5",10,0)))</f>
        <v/>
      </c>
      <c r="CA6" s="30" t="inlineStr">
        <is>
          <t>Above 70%</t>
        </is>
      </c>
      <c r="CB6" s="30">
        <f>IF(CA6="Above 70%",10,IF(CA6="Between 50% to 70%",5,IF(CA6="Less than 50%",0,IF(CA6="Negative",-10,IF(CA6="Less than 50% and Borrowings are increasing",-5,0)))))</f>
        <v/>
      </c>
      <c r="CC6" s="30" t="inlineStr">
        <is>
          <t>Less than 0.7</t>
        </is>
      </c>
      <c r="CD6" s="30">
        <f>IF(CC6="More than 1.2",-10,IF(CC6="Between 0.7 to 1.2",0,IF(CC6="Less than 0.7",10,0)))</f>
        <v/>
      </c>
      <c r="CE6" s="30" t="inlineStr">
        <is>
          <t>No</t>
        </is>
      </c>
      <c r="CF6" s="30">
        <f>IF(CE6="Yes",-10,0)</f>
        <v/>
      </c>
      <c r="CG6" s="30" t="inlineStr">
        <is>
          <t>Less than 15%</t>
        </is>
      </c>
      <c r="CH6" s="30">
        <f>IF(CG6="More than 15%",-10,IF(CG6="Less than 15%",10,0))</f>
        <v/>
      </c>
      <c r="CI6" s="30" t="inlineStr">
        <is>
          <t>No</t>
        </is>
      </c>
      <c r="CJ6" s="30">
        <f>IF(CI6="Yes, more than 10%",-10,IF(CI6="No",10,0))</f>
        <v/>
      </c>
    </row>
    <row r="7">
      <c r="A7" s="30">
        <f>IF(B7=0,"",RANK(B7,$B$2:$B$20,0))</f>
        <v/>
      </c>
      <c r="B7" s="31">
        <f>SUM(S7,AD7,AF7,AH7,AJ7,AL7,AN7,AP7,AR7,AT7,AV7,AX7,AZ7,BB7,BD7,BF7,BH7,BJ7,BL7,BN7,BP7,BR7,BT7,BV7,BX7,BZ7,CB7,CD7,CF7,CH7,CJ7)</f>
        <v/>
      </c>
      <c r="C7" s="30" t="inlineStr">
        <is>
          <t>52W Breakout</t>
        </is>
      </c>
      <c r="D7" s="31" t="n">
        <v>138.7</v>
      </c>
      <c r="E7" s="31" t="inlineStr">
        <is>
          <t>5%</t>
        </is>
      </c>
      <c r="F7" s="31" t="n">
        <v>50000</v>
      </c>
      <c r="G7" s="31" t="n">
        <v>70</v>
      </c>
      <c r="H7" s="30" t="inlineStr">
        <is>
          <t>KABRAEXTRU</t>
        </is>
      </c>
      <c r="I7" s="30" t="inlineStr">
        <is>
          <t>Kabra Extrusion Technik Limited</t>
        </is>
      </c>
      <c r="J7" s="30" t="inlineStr">
        <is>
          <t>industrials</t>
        </is>
      </c>
      <c r="K7" s="30" t="inlineStr">
        <is>
          <t>engineering</t>
        </is>
      </c>
      <c r="L7" s="30" t="inlineStr">
        <is>
          <t>smallcap</t>
        </is>
      </c>
      <c r="M7" s="31" t="n">
        <v>2318.52</v>
      </c>
      <c r="N7" s="31" t="n">
        <v>707.55</v>
      </c>
      <c r="O7" s="31" t="n">
        <v>6.73</v>
      </c>
      <c r="P7" s="31" t="n">
        <v>773333</v>
      </c>
      <c r="Q7" s="30" t="n">
        <v>98</v>
      </c>
      <c r="R7" s="30" t="inlineStr">
        <is>
          <t>Outperforming</t>
        </is>
      </c>
      <c r="S7" s="31">
        <f>IF(R7="Underperforming",-5,IF(Q7&gt;=95,15,IF(Q7&gt;=90,10,IF(Q7&gt;=80,5,0))))</f>
        <v/>
      </c>
      <c r="T7" s="31" t="n">
        <v>88.23999999999999</v>
      </c>
      <c r="U7" s="31" t="n">
        <v>55.69</v>
      </c>
      <c r="V7" s="31" t="n">
        <v>551.71</v>
      </c>
      <c r="W7" s="30" t="inlineStr">
        <is>
          <t>Near 52W High Breakout</t>
        </is>
      </c>
      <c r="X7" s="30" t="inlineStr">
        <is>
          <t>Nifty 50</t>
        </is>
      </c>
      <c r="Y7" s="31" t="n">
        <v>-6.52</v>
      </c>
      <c r="Z7" s="31" t="n">
        <v>150.64</v>
      </c>
      <c r="AA7" s="31" t="n">
        <v>168.1</v>
      </c>
      <c r="AB7" s="31" t="n">
        <v>76.40000000000001</v>
      </c>
      <c r="AC7" s="30" t="inlineStr">
        <is>
          <t>Cyclical in an Upturn</t>
        </is>
      </c>
      <c r="AD7" s="30">
        <f>IF(AC7="Growing Industry",10,IF(AC7="Cyclical in an Upturn",5,0))</f>
        <v/>
      </c>
      <c r="AE7" s="30" t="inlineStr">
        <is>
          <t>Too Many Players with High ROCE</t>
        </is>
      </c>
      <c r="AF7" s="30">
        <f>IF(AE7="Monopoly",10,IF(AE7="Oligopoly",5,IF(AE7="Duopoly that cooperate",10,IF(AE7="Duopoly that compete",5,IF(AE7="Too many players with High ROCE",5,0)))))</f>
        <v/>
      </c>
      <c r="AG7" s="30" t="inlineStr">
        <is>
          <t>No</t>
        </is>
      </c>
      <c r="AH7" s="30">
        <f>IF(AG7="No",5,0)</f>
        <v/>
      </c>
      <c r="AI7" s="30" t="inlineStr">
        <is>
          <t>Tailwind</t>
        </is>
      </c>
      <c r="AJ7" s="30">
        <f>IF(AI7="Tailwind",10,0)</f>
        <v/>
      </c>
      <c r="AK7" s="30" t="inlineStr">
        <is>
          <t>Structural (10 Years Consistency)</t>
        </is>
      </c>
      <c r="AL7" s="30">
        <f>IF(AK7="Structural (10 Years Consistency)",10,IF(AK7="Shallow Cyclical (2 to 3 years growth)",5,0))</f>
        <v/>
      </c>
      <c r="AM7" s="30" t="inlineStr">
        <is>
          <t>No</t>
        </is>
      </c>
      <c r="AN7" s="30">
        <f>IF(AM7="Yes due to Product Mix change or Operating Leverage",10,IF(AM7="Yes, these are peak margins",-5,IF(AM7="No",5,0)))</f>
        <v/>
      </c>
      <c r="AO7" s="30" t="inlineStr">
        <is>
          <t>Stable</t>
        </is>
      </c>
      <c r="AP7" s="30">
        <f>IF(AO7="Stable",10,0)</f>
        <v/>
      </c>
      <c r="AQ7" s="30" t="inlineStr">
        <is>
          <t>Yes</t>
        </is>
      </c>
      <c r="AR7" s="30">
        <f>IF(AQ7="Yes",10,0)</f>
        <v/>
      </c>
      <c r="AS7" s="30" t="inlineStr">
        <is>
          <t>B2B</t>
        </is>
      </c>
      <c r="AT7" s="30">
        <f>IF(AS7="B2C",10,IF(AS7="B2B",5,0))</f>
        <v/>
      </c>
      <c r="AU7" s="30" t="inlineStr">
        <is>
          <t>Yes</t>
        </is>
      </c>
      <c r="AV7" s="30">
        <f>IF(AU7="Yes",10,0)</f>
        <v/>
      </c>
      <c r="AW7" s="30" t="inlineStr">
        <is>
          <t>Higher One Time, Lower Annuity</t>
        </is>
      </c>
      <c r="AX7" s="30">
        <f>IF(AW7="Fully Annuity",10,IF(AW7="Higher Annuity, Lower One Time",5,IF(AW7="Higher One Time, Lower Annuity",3,0)))</f>
        <v/>
      </c>
      <c r="AY7" s="30" t="inlineStr">
        <is>
          <t>Good</t>
        </is>
      </c>
      <c r="AZ7" s="30">
        <f>IF(AY7="Good",10,0)</f>
        <v/>
      </c>
      <c r="BA7" s="30" t="inlineStr">
        <is>
          <t>Yes for more than 2 years</t>
        </is>
      </c>
      <c r="BB7" s="30">
        <f>IF(BA7="Yes for more than 2 years",10,IF(BA7="Yes only for next 1 to 2 years",5,0))</f>
        <v/>
      </c>
      <c r="BC7" s="30" t="inlineStr">
        <is>
          <t>Above 40</t>
        </is>
      </c>
      <c r="BD7" s="30">
        <f>IF(BC7="Above 40",20,IF(BC7="20 to 40",10,IF(BC7="0 to 20",-5,0)))</f>
        <v/>
      </c>
      <c r="BE7" s="30" t="inlineStr">
        <is>
          <t>Above 75</t>
        </is>
      </c>
      <c r="BF7" s="30">
        <f>IF(BE7="Between 50 to 75",10,IF(BE7="Above 75",0,0))</f>
        <v/>
      </c>
      <c r="BG7" s="30" t="inlineStr">
        <is>
          <t>Stage 2</t>
        </is>
      </c>
      <c r="BH7" s="30">
        <f>IF(BG7="Stage 2",20,IF(BG7="Stage 1",0,IF(BG7="Stage 3",5,IF(BG7="Stage 4",-5,0))))</f>
        <v/>
      </c>
      <c r="BI7" s="30" t="inlineStr">
        <is>
          <t>Positive Trend</t>
        </is>
      </c>
      <c r="BJ7" s="30">
        <f>IF(BI7="Positive Trend",20,IF(BI7="Negative Trend",-10,0))</f>
        <v/>
      </c>
      <c r="BK7" s="30" t="inlineStr">
        <is>
          <t>Uptrend</t>
        </is>
      </c>
      <c r="BL7" s="30">
        <f>IF(BK7="Uptrend",10,IF(BK7="Sideways",5,0))</f>
        <v/>
      </c>
      <c r="BM7" s="30" t="inlineStr">
        <is>
          <t>Uptrend</t>
        </is>
      </c>
      <c r="BN7" s="30">
        <f>IF(BM7="Uptrend",10,IF(BM7="Sideways",5,0))</f>
        <v/>
      </c>
      <c r="BO7" s="30" t="inlineStr">
        <is>
          <t>Blue sky scenario</t>
        </is>
      </c>
      <c r="BP7" s="30">
        <f>IF(BO7="Overhead supply in last 2 years in last 2 years",-5,IF(BO7="Close to 52 week high or retracement",5,IF(BO7="Blue sky scenario",10,IF(BO7="Long term Downtrend",-10,0))))</f>
        <v/>
      </c>
      <c r="BQ7" s="30" t="inlineStr">
        <is>
          <t>Yes</t>
        </is>
      </c>
      <c r="BR7" s="30">
        <f>IF(BQ7="Yes",10,0)</f>
        <v/>
      </c>
      <c r="BS7" s="30" t="inlineStr">
        <is>
          <t>More than 20%</t>
        </is>
      </c>
      <c r="BT7" s="30">
        <f>IF(BS7="More than 20%",10,IF(BS7="Between 12 to 20%",5,IF(BS7="Less than 12%",0,0)))</f>
        <v/>
      </c>
      <c r="BU7" s="30" t="inlineStr">
        <is>
          <t>No</t>
        </is>
      </c>
      <c r="BV7" s="30">
        <f>IF(BU7="No",10,0)</f>
        <v/>
      </c>
      <c r="BW7" s="30" t="inlineStr">
        <is>
          <t>Yes</t>
        </is>
      </c>
      <c r="BX7" s="30">
        <f>IF(BW7="NO",5,0)</f>
        <v/>
      </c>
      <c r="BY7" s="30" t="inlineStr">
        <is>
          <t>Above 2</t>
        </is>
      </c>
      <c r="BZ7" s="30">
        <f>IF(BY7="Above 2",0,IF(BY7="Between 1.5 to 2",5,IF(BY7="Less than 1.5",10,0)))</f>
        <v/>
      </c>
      <c r="CA7" s="30" t="inlineStr">
        <is>
          <t>Above 70%</t>
        </is>
      </c>
      <c r="CB7" s="30">
        <f>IF(CA7="Above 70%",10,IF(CA7="Between 50% to 70%",5,IF(CA7="Less than 50%",0,IF(CA7="Negative",-10,IF(CA7="Less than 50% and Borrowings are increasing",-5,0)))))</f>
        <v/>
      </c>
      <c r="CC7" s="30" t="inlineStr">
        <is>
          <t>Less than 0.7</t>
        </is>
      </c>
      <c r="CD7" s="30">
        <f>IF(CC7="More than 1.2",-10,IF(CC7="Between 0.7 to 1.2",0,IF(CC7="Less than 0.7",10,0)))</f>
        <v/>
      </c>
      <c r="CE7" s="30" t="inlineStr">
        <is>
          <t>No</t>
        </is>
      </c>
      <c r="CF7" s="30">
        <f>IF(CE7="Yes",-10,0)</f>
        <v/>
      </c>
      <c r="CG7" s="30" t="inlineStr">
        <is>
          <t>Less than 15%</t>
        </is>
      </c>
      <c r="CH7" s="30">
        <f>IF(CG7="More than 15%",-10,IF(CG7="Less than 15%",10,0))</f>
        <v/>
      </c>
      <c r="CI7" s="30" t="inlineStr">
        <is>
          <t>No</t>
        </is>
      </c>
      <c r="CJ7" s="30">
        <f>IF(CI7="Yes, more than 10%",-10,IF(CI7="No",10,0))</f>
        <v/>
      </c>
    </row>
    <row r="8">
      <c r="A8" s="30">
        <f>IF(B8=0,"",RANK(B8,$B$2:$B$20,0))</f>
        <v/>
      </c>
      <c r="B8" s="31">
        <f>SUM(S8,AD8,AF8,AH8,AJ8,AL8,AN8,AP8,AR8,AT8,AV8,AX8,AZ8,BB8,BD8,BF8,BH8,BJ8,BL8,BN8,BP8,BR8,BT8,BV8,BX8,BZ8,CB8,CD8,CF8,CH8,CJ8)</f>
        <v/>
      </c>
      <c r="C8" s="30" t="inlineStr">
        <is>
          <t>52W Breakout</t>
        </is>
      </c>
      <c r="D8" s="31" t="n">
        <v>139.6</v>
      </c>
      <c r="E8" s="31" t="inlineStr">
        <is>
          <t>5%</t>
        </is>
      </c>
      <c r="F8" s="31" t="n">
        <v>50000</v>
      </c>
      <c r="G8" s="31" t="n">
        <v>96</v>
      </c>
      <c r="H8" s="30" t="inlineStr">
        <is>
          <t>NRBBEARING</t>
        </is>
      </c>
      <c r="I8" s="30" t="inlineStr">
        <is>
          <t>Nrb Bearing Limited</t>
        </is>
      </c>
      <c r="J8" s="30" t="inlineStr">
        <is>
          <t>industrials</t>
        </is>
      </c>
      <c r="K8" s="30" t="inlineStr">
        <is>
          <t>bearings</t>
        </is>
      </c>
      <c r="L8" s="30" t="inlineStr">
        <is>
          <t>smallcap</t>
        </is>
      </c>
      <c r="M8" s="31" t="n">
        <v>4696.38</v>
      </c>
      <c r="N8" s="31" t="n">
        <v>515.95</v>
      </c>
      <c r="O8" s="31" t="n">
        <v>6.48</v>
      </c>
      <c r="P8" s="31" t="n">
        <v>1397242</v>
      </c>
      <c r="Q8" s="30" t="n">
        <v>66</v>
      </c>
      <c r="R8" s="30" t="inlineStr">
        <is>
          <t>Outperforming</t>
        </is>
      </c>
      <c r="S8" s="31">
        <f>IF(R8="Underperforming",-5,IF(Q8&gt;=95,15,IF(Q8&gt;=90,10,IF(Q8&gt;=80,5,0))))</f>
        <v/>
      </c>
      <c r="T8" s="31" t="n">
        <v>73.08</v>
      </c>
      <c r="U8" s="31" t="n">
        <v>50.75</v>
      </c>
      <c r="V8" s="31" t="n">
        <v>401.44</v>
      </c>
      <c r="W8" s="30" t="inlineStr">
        <is>
          <t>Near 52W High Breakout</t>
        </is>
      </c>
      <c r="X8" s="30" t="inlineStr">
        <is>
          <t>Nifty 50</t>
        </is>
      </c>
      <c r="Y8" s="31" t="n">
        <v>-6.52</v>
      </c>
      <c r="Z8" s="31" t="n">
        <v>88.59999999999999</v>
      </c>
      <c r="AA8" s="31" t="n">
        <v>101.74</v>
      </c>
      <c r="AB8" s="31" t="n">
        <v>20.72</v>
      </c>
      <c r="AC8" s="30" t="inlineStr">
        <is>
          <t>Cyclical in an Upturn</t>
        </is>
      </c>
      <c r="AD8" s="30">
        <f>IF(AC8="Growing Industry",10,IF(AC8="Cyclical in an Upturn",5,0))</f>
        <v/>
      </c>
      <c r="AE8" s="30" t="inlineStr">
        <is>
          <t>Too Many Players with High ROCE</t>
        </is>
      </c>
      <c r="AF8" s="30">
        <f>IF(AE8="Monopoly",10,IF(AE8="Oligopoly",5,IF(AE8="Duopoly that cooperate",10,IF(AE8="Duopoly that compete",5,IF(AE8="Too many players with High ROCE",5,0)))))</f>
        <v/>
      </c>
      <c r="AG8" s="30" t="inlineStr">
        <is>
          <t>No</t>
        </is>
      </c>
      <c r="AH8" s="30">
        <f>IF(AG8="No",5,0)</f>
        <v/>
      </c>
      <c r="AI8" s="30" t="inlineStr">
        <is>
          <t>Tailwind</t>
        </is>
      </c>
      <c r="AJ8" s="30">
        <f>IF(AI8="Tailwind",10,0)</f>
        <v/>
      </c>
      <c r="AK8" s="30" t="inlineStr">
        <is>
          <t>Structural (10 Years Consistency)</t>
        </is>
      </c>
      <c r="AL8" s="30">
        <f>IF(AK8="Structural (10 Years Consistency)",10,IF(AK8="Shallow Cyclical (2 to 3 years growth)",5,0))</f>
        <v/>
      </c>
      <c r="AM8" s="30" t="inlineStr">
        <is>
          <t>No</t>
        </is>
      </c>
      <c r="AN8" s="30">
        <f>IF(AM8="Yes due to Product Mix change or Operating Leverage",10,IF(AM8="Yes, these are peak margins",-5,IF(AM8="No",5,0)))</f>
        <v/>
      </c>
      <c r="AO8" s="30" t="inlineStr">
        <is>
          <t>Stable</t>
        </is>
      </c>
      <c r="AP8" s="30">
        <f>IF(AO8="Stable",10,0)</f>
        <v/>
      </c>
      <c r="AQ8" s="30" t="inlineStr">
        <is>
          <t>Yes</t>
        </is>
      </c>
      <c r="AR8" s="30">
        <f>IF(AQ8="Yes",10,0)</f>
        <v/>
      </c>
      <c r="AS8" s="30" t="inlineStr">
        <is>
          <t>B2B</t>
        </is>
      </c>
      <c r="AT8" s="30">
        <f>IF(AS8="B2C",10,IF(AS8="B2B",5,0))</f>
        <v/>
      </c>
      <c r="AU8" s="30" t="inlineStr">
        <is>
          <t>Yes</t>
        </is>
      </c>
      <c r="AV8" s="30">
        <f>IF(AU8="Yes",10,0)</f>
        <v/>
      </c>
      <c r="AW8" s="30" t="inlineStr">
        <is>
          <t>Higher One Time, Lower Annuity</t>
        </is>
      </c>
      <c r="AX8" s="30">
        <f>IF(AW8="Fully Annuity",10,IF(AW8="Higher Annuity, Lower One Time",5,IF(AW8="Higher One Time, Lower Annuity",3,0)))</f>
        <v/>
      </c>
      <c r="AY8" s="30" t="inlineStr">
        <is>
          <t>Good</t>
        </is>
      </c>
      <c r="AZ8" s="30">
        <f>IF(AY8="Good",10,0)</f>
        <v/>
      </c>
      <c r="BA8" s="30" t="inlineStr">
        <is>
          <t>Yes for more than 2 years</t>
        </is>
      </c>
      <c r="BB8" s="30">
        <f>IF(BA8="Yes for more than 2 years",10,IF(BA8="Yes only for next 1 to 2 years",5,0))</f>
        <v/>
      </c>
      <c r="BC8" s="30" t="inlineStr">
        <is>
          <t>Above 40</t>
        </is>
      </c>
      <c r="BD8" s="30">
        <f>IF(BC8="Above 40",20,IF(BC8="20 to 40",10,IF(BC8="0 to 20",-5,0)))</f>
        <v/>
      </c>
      <c r="BE8" s="30" t="inlineStr">
        <is>
          <t>Between 50 to 75</t>
        </is>
      </c>
      <c r="BF8" s="30">
        <f>IF(BE8="Between 50 to 75",10,IF(BE8="Above 75",0,0))</f>
        <v/>
      </c>
      <c r="BG8" s="30" t="inlineStr">
        <is>
          <t>Stage 2</t>
        </is>
      </c>
      <c r="BH8" s="30">
        <f>IF(BG8="Stage 2",20,IF(BG8="Stage 1",0,IF(BG8="Stage 3",5,IF(BG8="Stage 4",-5,0))))</f>
        <v/>
      </c>
      <c r="BI8" s="30" t="inlineStr">
        <is>
          <t>Positive Trend</t>
        </is>
      </c>
      <c r="BJ8" s="30">
        <f>IF(BI8="Positive Trend",20,IF(BI8="Negative Trend",-10,0))</f>
        <v/>
      </c>
      <c r="BK8" s="30" t="inlineStr">
        <is>
          <t>Uptrend</t>
        </is>
      </c>
      <c r="BL8" s="30">
        <f>IF(BK8="Uptrend",10,IF(BK8="Sideways",5,0))</f>
        <v/>
      </c>
      <c r="BM8" s="30" t="inlineStr">
        <is>
          <t>Uptrend</t>
        </is>
      </c>
      <c r="BN8" s="30">
        <f>IF(BM8="Uptrend",10,IF(BM8="Sideways",5,0))</f>
        <v/>
      </c>
      <c r="BO8" s="30" t="inlineStr">
        <is>
          <t>Blue sky scenario</t>
        </is>
      </c>
      <c r="BP8" s="30">
        <f>IF(BO8="Overhead supply in last 2 years in last 2 years",-5,IF(BO8="Close to 52 week high or retracement",5,IF(BO8="Blue sky scenario",10,IF(BO8="Long term Downtrend",-10,0))))</f>
        <v/>
      </c>
      <c r="BQ8" s="30" t="inlineStr">
        <is>
          <t>Yes</t>
        </is>
      </c>
      <c r="BR8" s="30">
        <f>IF(BQ8="Yes",10,0)</f>
        <v/>
      </c>
      <c r="BS8" s="30" t="inlineStr">
        <is>
          <t>Between 12 to 20%</t>
        </is>
      </c>
      <c r="BT8" s="30">
        <f>IF(BS8="More than 20%",10,IF(BS8="Between 12 to 20%",5,IF(BS8="Less than 12%",0,0)))</f>
        <v/>
      </c>
      <c r="BU8" s="30" t="inlineStr">
        <is>
          <t>No</t>
        </is>
      </c>
      <c r="BV8" s="30">
        <f>IF(BU8="No",10,0)</f>
        <v/>
      </c>
      <c r="BW8" s="30" t="inlineStr">
        <is>
          <t>No</t>
        </is>
      </c>
      <c r="BX8" s="30">
        <f>IF(BW8="NO",5,0)</f>
        <v/>
      </c>
      <c r="BY8" s="30" t="inlineStr">
        <is>
          <t>Above 2</t>
        </is>
      </c>
      <c r="BZ8" s="30">
        <f>IF(BY8="Above 2",0,IF(BY8="Between 1.5 to 2",5,IF(BY8="Less than 1.5",10,0)))</f>
        <v/>
      </c>
      <c r="CA8" s="30" t="inlineStr">
        <is>
          <t>Above 70%</t>
        </is>
      </c>
      <c r="CB8" s="30">
        <f>IF(CA8="Above 70%",10,IF(CA8="Between 50% to 70%",5,IF(CA8="Less than 50%",0,IF(CA8="Negative",-10,IF(CA8="Less than 50% and Borrowings are increasing",-5,0)))))</f>
        <v/>
      </c>
      <c r="CC8" s="30" t="inlineStr">
        <is>
          <t>Less than 0.7</t>
        </is>
      </c>
      <c r="CD8" s="30">
        <f>IF(CC8="More than 1.2",-10,IF(CC8="Between 0.7 to 1.2",0,IF(CC8="Less than 0.7",10,0)))</f>
        <v/>
      </c>
      <c r="CE8" s="30" t="inlineStr">
        <is>
          <t>No</t>
        </is>
      </c>
      <c r="CF8" s="30">
        <f>IF(CE8="Yes",-10,0)</f>
        <v/>
      </c>
      <c r="CG8" s="30" t="inlineStr">
        <is>
          <t>Less than 15%</t>
        </is>
      </c>
      <c r="CH8" s="30">
        <f>IF(CG8="More than 15%",-10,IF(CG8="Less than 15%",10,0))</f>
        <v/>
      </c>
      <c r="CI8" s="30" t="inlineStr">
        <is>
          <t>No</t>
        </is>
      </c>
      <c r="CJ8" s="30">
        <f>IF(CI8="Yes, more than 10%",-10,IF(CI8="No",10,0))</f>
        <v/>
      </c>
    </row>
    <row r="9">
      <c r="A9" s="30">
        <f>IF(B9=0,"",RANK(B9,$B$2:$B$20,0))</f>
        <v/>
      </c>
      <c r="B9" s="31">
        <f>SUM(S9,AD9,AF9,AH9,AJ9,AL9,AN9,AP9,AR9,AT9,AV9,AX9,AZ9,BB9,BD9,BF9,BH9,BJ9,BL9,BN9,BP9,BR9,BT9,BV9,BX9,BZ9,CB9,CD9,CF9,CH9,CJ9)</f>
        <v/>
      </c>
      <c r="C9" s="30" t="inlineStr">
        <is>
          <t>52W Breakout</t>
        </is>
      </c>
      <c r="D9" s="31" t="n">
        <v>139.3</v>
      </c>
      <c r="E9" s="31" t="inlineStr">
        <is>
          <t>5%</t>
        </is>
      </c>
      <c r="F9" s="31" t="n">
        <v>50000</v>
      </c>
      <c r="G9" s="31" t="n">
        <v>70</v>
      </c>
      <c r="H9" s="30" t="inlineStr">
        <is>
          <t>WSTCSTPAPR</t>
        </is>
      </c>
      <c r="I9" s="30" t="inlineStr">
        <is>
          <t>West Coast Paper Mills Limited</t>
        </is>
      </c>
      <c r="J9" s="30" t="inlineStr">
        <is>
          <t>building materials</t>
        </is>
      </c>
      <c r="K9" s="30" t="inlineStr">
        <is>
          <t>paper</t>
        </is>
      </c>
      <c r="L9" s="30" t="inlineStr">
        <is>
          <t>smallcap</t>
        </is>
      </c>
      <c r="M9" s="31" t="n">
        <v>4409.09</v>
      </c>
      <c r="N9" s="31" t="n">
        <v>710.1</v>
      </c>
      <c r="O9" s="31" t="n">
        <v>6.37</v>
      </c>
      <c r="P9" s="31" t="n">
        <v>528781</v>
      </c>
      <c r="Q9" s="30" t="n">
        <v>57</v>
      </c>
      <c r="R9" s="30" t="inlineStr">
        <is>
          <t>Outperforming</t>
        </is>
      </c>
      <c r="S9" s="31">
        <f>IF(R9="Underperforming",-5,IF(Q9&gt;=95,15,IF(Q9&gt;=90,10,IF(Q9&gt;=80,5,0))))</f>
        <v/>
      </c>
      <c r="T9" s="31" t="n">
        <v>75.87</v>
      </c>
      <c r="U9" s="31" t="n">
        <v>51.28</v>
      </c>
      <c r="V9" s="31" t="n">
        <v>569.02</v>
      </c>
      <c r="W9" s="30" t="inlineStr">
        <is>
          <t>Near 52W High Breakout</t>
        </is>
      </c>
      <c r="X9" s="30" t="inlineStr">
        <is>
          <t>Nifty Infra</t>
        </is>
      </c>
      <c r="Y9" s="31" t="n">
        <v>0.74</v>
      </c>
      <c r="Z9" s="31" t="n">
        <v>32.89</v>
      </c>
      <c r="AA9" s="31" t="n">
        <v>31.92</v>
      </c>
      <c r="AB9" s="31" t="n">
        <v>17.94</v>
      </c>
      <c r="AC9" s="30" t="inlineStr">
        <is>
          <t>Growing Industry</t>
        </is>
      </c>
      <c r="AD9" s="30">
        <f>IF(AC9="Growing Industry",10,IF(AC9="Cyclical in an Upturn",5,0))</f>
        <v/>
      </c>
      <c r="AE9" s="30" t="inlineStr">
        <is>
          <t>Too Many Players with High ROCE</t>
        </is>
      </c>
      <c r="AF9" s="30">
        <f>IF(AE9="Monopoly",10,IF(AE9="Oligopoly",5,IF(AE9="Duopoly that cooperate",10,IF(AE9="Duopoly that compete",5,IF(AE9="Too many players with High ROCE",5,0)))))</f>
        <v/>
      </c>
      <c r="AG9" s="30" t="inlineStr">
        <is>
          <t>No</t>
        </is>
      </c>
      <c r="AH9" s="30">
        <f>IF(AG9="No",5,0)</f>
        <v/>
      </c>
      <c r="AI9" s="30" t="inlineStr">
        <is>
          <t>Tailwind</t>
        </is>
      </c>
      <c r="AJ9" s="30">
        <f>IF(AI9="Tailwind",10,0)</f>
        <v/>
      </c>
      <c r="AK9" s="30" t="inlineStr">
        <is>
          <t>Structural (10 Years Consistency)</t>
        </is>
      </c>
      <c r="AL9" s="30">
        <f>IF(AK9="Structural (10 Years Consistency)",10,IF(AK9="Shallow Cyclical (2 to 3 years growth)",5,0))</f>
        <v/>
      </c>
      <c r="AM9" s="30" t="inlineStr">
        <is>
          <t>No</t>
        </is>
      </c>
      <c r="AN9" s="30">
        <f>IF(AM9="Yes due to Product Mix change or Operating Leverage",10,IF(AM9="Yes, these are peak margins",-5,IF(AM9="No",5,0)))</f>
        <v/>
      </c>
      <c r="AO9" s="30" t="inlineStr">
        <is>
          <t>Stable</t>
        </is>
      </c>
      <c r="AP9" s="30">
        <f>IF(AO9="Stable",10,0)</f>
        <v/>
      </c>
      <c r="AQ9" s="30" t="inlineStr">
        <is>
          <t>Yes</t>
        </is>
      </c>
      <c r="AR9" s="30">
        <f>IF(AQ9="Yes",10,0)</f>
        <v/>
      </c>
      <c r="AS9" s="30" t="inlineStr">
        <is>
          <t>B2B</t>
        </is>
      </c>
      <c r="AT9" s="30">
        <f>IF(AS9="B2C",10,IF(AS9="B2B",5,0))</f>
        <v/>
      </c>
      <c r="AU9" s="30" t="inlineStr">
        <is>
          <t>Yes</t>
        </is>
      </c>
      <c r="AV9" s="30">
        <f>IF(AU9="Yes",10,0)</f>
        <v/>
      </c>
      <c r="AW9" s="30" t="inlineStr">
        <is>
          <t>Higher One Time, Lower Annuity</t>
        </is>
      </c>
      <c r="AX9" s="30">
        <f>IF(AW9="Fully Annuity",10,IF(AW9="Higher Annuity, Lower One Time",5,IF(AW9="Higher One Time, Lower Annuity",3,0)))</f>
        <v/>
      </c>
      <c r="AY9" s="30" t="inlineStr">
        <is>
          <t>Good</t>
        </is>
      </c>
      <c r="AZ9" s="30">
        <f>IF(AY9="Good",10,0)</f>
        <v/>
      </c>
      <c r="BA9" s="30" t="inlineStr">
        <is>
          <t>Yes for more than 2 years</t>
        </is>
      </c>
      <c r="BB9" s="30">
        <f>IF(BA9="Yes for more than 2 years",10,IF(BA9="Yes only for next 1 to 2 years",5,0))</f>
        <v/>
      </c>
      <c r="BC9" s="30" t="inlineStr">
        <is>
          <t>Above 40</t>
        </is>
      </c>
      <c r="BD9" s="30">
        <f>IF(BC9="Above 40",20,IF(BC9="20 to 40",10,IF(BC9="0 to 20",-5,0)))</f>
        <v/>
      </c>
      <c r="BE9" s="30" t="inlineStr">
        <is>
          <t>Above 75</t>
        </is>
      </c>
      <c r="BF9" s="30">
        <f>IF(BE9="Between 50 to 75",10,IF(BE9="Above 75",0,0))</f>
        <v/>
      </c>
      <c r="BG9" s="30" t="inlineStr">
        <is>
          <t>Stage 2</t>
        </is>
      </c>
      <c r="BH9" s="30">
        <f>IF(BG9="Stage 2",20,IF(BG9="Stage 1",0,IF(BG9="Stage 3",5,IF(BG9="Stage 4",-5,0))))</f>
        <v/>
      </c>
      <c r="BI9" s="30" t="inlineStr">
        <is>
          <t>Positive Trend</t>
        </is>
      </c>
      <c r="BJ9" s="30">
        <f>IF(BI9="Positive Trend",20,IF(BI9="Negative Trend",-10,0))</f>
        <v/>
      </c>
      <c r="BK9" s="30" t="inlineStr">
        <is>
          <t>Uptrend</t>
        </is>
      </c>
      <c r="BL9" s="30">
        <f>IF(BK9="Uptrend",10,IF(BK9="Sideways",5,0))</f>
        <v/>
      </c>
      <c r="BM9" s="30" t="inlineStr">
        <is>
          <t>Uptrend</t>
        </is>
      </c>
      <c r="BN9" s="30">
        <f>IF(BM9="Uptrend",10,IF(BM9="Sideways",5,0))</f>
        <v/>
      </c>
      <c r="BO9" s="30" t="inlineStr">
        <is>
          <t>Blue sky scenario</t>
        </is>
      </c>
      <c r="BP9" s="30">
        <f>IF(BO9="Overhead supply in last 2 years in last 2 years",-5,IF(BO9="Close to 52 week high or retracement",5,IF(BO9="Blue sky scenario",10,IF(BO9="Long term Downtrend",-10,0))))</f>
        <v/>
      </c>
      <c r="BQ9" s="30" t="inlineStr">
        <is>
          <t>Yes</t>
        </is>
      </c>
      <c r="BR9" s="30">
        <f>IF(BQ9="Yes",10,0)</f>
        <v/>
      </c>
      <c r="BS9" s="30" t="inlineStr">
        <is>
          <t>More than 20%</t>
        </is>
      </c>
      <c r="BT9" s="30">
        <f>IF(BS9="More than 20%",10,IF(BS9="Between 12 to 20%",5,IF(BS9="Less than 12%",0,0)))</f>
        <v/>
      </c>
      <c r="BU9" s="30" t="inlineStr">
        <is>
          <t>No</t>
        </is>
      </c>
      <c r="BV9" s="30">
        <f>IF(BU9="No",10,0)</f>
        <v/>
      </c>
      <c r="BW9" s="30" t="inlineStr">
        <is>
          <t>No</t>
        </is>
      </c>
      <c r="BX9" s="30">
        <f>IF(BW9="NO",5,0)</f>
        <v/>
      </c>
      <c r="BY9" s="30" t="inlineStr">
        <is>
          <t>Above 2</t>
        </is>
      </c>
      <c r="BZ9" s="30">
        <f>IF(BY9="Above 2",0,IF(BY9="Between 1.5 to 2",5,IF(BY9="Less than 1.5",10,0)))</f>
        <v/>
      </c>
      <c r="CA9" s="30" t="inlineStr">
        <is>
          <t>Above 70%</t>
        </is>
      </c>
      <c r="CB9" s="30">
        <f>IF(CA9="Above 70%",10,IF(CA9="Between 50% to 70%",5,IF(CA9="Less than 50%",0,IF(CA9="Negative",-10,IF(CA9="Less than 50% and Borrowings are increasing",-5,0)))))</f>
        <v/>
      </c>
      <c r="CC9" s="30" t="inlineStr">
        <is>
          <t>Less than 0.7</t>
        </is>
      </c>
      <c r="CD9" s="30">
        <f>IF(CC9="More than 1.2",-10,IF(CC9="Between 0.7 to 1.2",0,IF(CC9="Less than 0.7",10,0)))</f>
        <v/>
      </c>
      <c r="CE9" s="30" t="inlineStr">
        <is>
          <t>No</t>
        </is>
      </c>
      <c r="CF9" s="30">
        <f>IF(CE9="Yes",-10,0)</f>
        <v/>
      </c>
      <c r="CG9" s="30" t="inlineStr">
        <is>
          <t>Less than 15%</t>
        </is>
      </c>
      <c r="CH9" s="30">
        <f>IF(CG9="More than 15%",-10,IF(CG9="Less than 15%",10,0))</f>
        <v/>
      </c>
      <c r="CI9" s="30" t="inlineStr">
        <is>
          <t>No</t>
        </is>
      </c>
      <c r="CJ9" s="30">
        <f>IF(CI9="Yes, more than 10%",-10,IF(CI9="No",10,0))</f>
        <v/>
      </c>
    </row>
    <row r="10">
      <c r="A10" s="30">
        <f>IF(B10=0,"",RANK(B10,$B$2:$B$20,0))</f>
        <v/>
      </c>
      <c r="B10" s="31">
        <f>SUM(S10,AD10,AF10,AH10,AJ10,AL10,AN10,AP10,AR10,AT10,AV10,AX10,AZ10,BB10,BD10,BF10,BH10,BJ10,BL10,BN10,BP10,BR10,BT10,BV10,BX10,BZ10,CB10,CD10,CF10,CH10,CJ10)</f>
        <v/>
      </c>
      <c r="C10" s="30" t="inlineStr">
        <is>
          <t>52W Breakout</t>
        </is>
      </c>
      <c r="D10" s="31" t="n">
        <v>138.6</v>
      </c>
      <c r="E10" s="31" t="inlineStr">
        <is>
          <t>5%</t>
        </is>
      </c>
      <c r="F10" s="31" t="n">
        <v>50000</v>
      </c>
      <c r="G10" s="31" t="n">
        <v>133</v>
      </c>
      <c r="H10" s="30" t="inlineStr">
        <is>
          <t>NAZARA</t>
        </is>
      </c>
      <c r="I10" s="30" t="inlineStr">
        <is>
          <t>Nazara Technologies Ltd</t>
        </is>
      </c>
      <c r="J10" s="30" t="inlineStr">
        <is>
          <t>i.t</t>
        </is>
      </c>
      <c r="K10" s="30" t="inlineStr">
        <is>
          <t>telecommunications - service provider</t>
        </is>
      </c>
      <c r="L10" s="30" t="inlineStr">
        <is>
          <t>midcap</t>
        </is>
      </c>
      <c r="M10" s="31" t="n">
        <v>14403.02</v>
      </c>
      <c r="N10" s="31" t="n">
        <v>374.65</v>
      </c>
      <c r="O10" s="31" t="n">
        <v>0.07000000000000001</v>
      </c>
      <c r="P10" s="31" t="n">
        <v>1606579</v>
      </c>
      <c r="Q10" s="30" t="n">
        <v>46</v>
      </c>
      <c r="R10" s="30" t="inlineStr">
        <is>
          <t>Outperforming</t>
        </is>
      </c>
      <c r="S10" s="31">
        <f>IF(R10="Underperforming",-5,IF(Q10&gt;=95,15,IF(Q10&gt;=90,10,IF(Q10&gt;=80,5,0))))</f>
        <v/>
      </c>
      <c r="T10" s="31" t="n">
        <v>73.81</v>
      </c>
      <c r="U10" s="31" t="n">
        <v>29.68</v>
      </c>
      <c r="V10" s="31" t="n">
        <v>307.31</v>
      </c>
      <c r="W10" s="30" t="inlineStr">
        <is>
          <t>Near 52W High Breakout</t>
        </is>
      </c>
      <c r="X10" s="30" t="inlineStr">
        <is>
          <t>Nifty IT</t>
        </is>
      </c>
      <c r="Y10" s="31" t="n">
        <v>-19.99</v>
      </c>
      <c r="Z10" s="31" t="n">
        <v>36.63</v>
      </c>
      <c r="AA10" s="31" t="n">
        <v>70.78</v>
      </c>
      <c r="AB10" s="31" t="n">
        <v>14.01</v>
      </c>
      <c r="AC10" s="30" t="inlineStr">
        <is>
          <t>Growing Industry</t>
        </is>
      </c>
      <c r="AD10" s="30">
        <f>IF(AC10="Growing Industry",10,IF(AC10="Cyclical in an Upturn",5,0))</f>
        <v/>
      </c>
      <c r="AE10" s="30" t="inlineStr">
        <is>
          <t>Oligopoly</t>
        </is>
      </c>
      <c r="AF10" s="30">
        <f>IF(AE10="Monopoly",10,IF(AE10="Oligopoly",5,IF(AE10="Duopoly that cooperate",10,IF(AE10="Duopoly that compete",5,IF(AE10="Too many players with High ROCE",5,0)))))</f>
        <v/>
      </c>
      <c r="AG10" s="30" t="inlineStr">
        <is>
          <t>Yes</t>
        </is>
      </c>
      <c r="AH10" s="30">
        <f>IF(AG10="No",5,0)</f>
        <v/>
      </c>
      <c r="AI10" s="30" t="inlineStr">
        <is>
          <t>Tailwind</t>
        </is>
      </c>
      <c r="AJ10" s="30">
        <f>IF(AI10="Tailwind",10,0)</f>
        <v/>
      </c>
      <c r="AK10" s="30" t="inlineStr">
        <is>
          <t>Structural (10 Years Consistency)</t>
        </is>
      </c>
      <c r="AL10" s="30">
        <f>IF(AK10="Structural (10 Years Consistency)",10,IF(AK10="Shallow Cyclical (2 to 3 years growth)",5,0))</f>
        <v/>
      </c>
      <c r="AM10" s="30" t="inlineStr">
        <is>
          <t>No</t>
        </is>
      </c>
      <c r="AN10" s="30">
        <f>IF(AM10="Yes due to Product Mix change or Operating Leverage",10,IF(AM10="Yes, these are peak margins",-5,IF(AM10="No",5,0)))</f>
        <v/>
      </c>
      <c r="AO10" s="30" t="inlineStr">
        <is>
          <t>Stable</t>
        </is>
      </c>
      <c r="AP10" s="30">
        <f>IF(AO10="Stable",10,0)</f>
        <v/>
      </c>
      <c r="AQ10" s="30" t="inlineStr">
        <is>
          <t>Yes</t>
        </is>
      </c>
      <c r="AR10" s="30">
        <f>IF(AQ10="Yes",10,0)</f>
        <v/>
      </c>
      <c r="AS10" s="30" t="inlineStr">
        <is>
          <t>B2B</t>
        </is>
      </c>
      <c r="AT10" s="30">
        <f>IF(AS10="B2C",10,IF(AS10="B2B",5,0))</f>
        <v/>
      </c>
      <c r="AU10" s="30" t="inlineStr">
        <is>
          <t>Yes</t>
        </is>
      </c>
      <c r="AV10" s="30">
        <f>IF(AU10="Yes",10,0)</f>
        <v/>
      </c>
      <c r="AW10" s="30" t="inlineStr">
        <is>
          <t>Higher One Time, Lower Annuity</t>
        </is>
      </c>
      <c r="AX10" s="30">
        <f>IF(AW10="Fully Annuity",10,IF(AW10="Higher Annuity, Lower One Time",5,IF(AW10="Higher One Time, Lower Annuity",3,0)))</f>
        <v/>
      </c>
      <c r="AY10" s="30" t="inlineStr">
        <is>
          <t>Good</t>
        </is>
      </c>
      <c r="AZ10" s="30">
        <f>IF(AY10="Good",10,0)</f>
        <v/>
      </c>
      <c r="BA10" s="30" t="inlineStr">
        <is>
          <t>Yes for more than 2 years</t>
        </is>
      </c>
      <c r="BB10" s="30">
        <f>IF(BA10="Yes for more than 2 years",10,IF(BA10="Yes only for next 1 to 2 years",5,0))</f>
        <v/>
      </c>
      <c r="BC10" s="30" t="inlineStr">
        <is>
          <t>20 to 40</t>
        </is>
      </c>
      <c r="BD10" s="30">
        <f>IF(BC10="Above 40",20,IF(BC10="20 to 40",10,IF(BC10="0 to 20",-5,0)))</f>
        <v/>
      </c>
      <c r="BE10" s="30" t="inlineStr">
        <is>
          <t>Between 50 to 75</t>
        </is>
      </c>
      <c r="BF10" s="30">
        <f>IF(BE10="Between 50 to 75",10,IF(BE10="Above 75",0,0))</f>
        <v/>
      </c>
      <c r="BG10" s="30" t="inlineStr">
        <is>
          <t>Stage 2</t>
        </is>
      </c>
      <c r="BH10" s="30">
        <f>IF(BG10="Stage 2",20,IF(BG10="Stage 1",0,IF(BG10="Stage 3",5,IF(BG10="Stage 4",-5,0))))</f>
        <v/>
      </c>
      <c r="BI10" s="30" t="inlineStr">
        <is>
          <t>Positive Trend</t>
        </is>
      </c>
      <c r="BJ10" s="30">
        <f>IF(BI10="Positive Trend",20,IF(BI10="Negative Trend",-10,0))</f>
        <v/>
      </c>
      <c r="BK10" s="30" t="inlineStr">
        <is>
          <t>Uptrend</t>
        </is>
      </c>
      <c r="BL10" s="30">
        <f>IF(BK10="Uptrend",10,IF(BK10="Sideways",5,0))</f>
        <v/>
      </c>
      <c r="BM10" s="30" t="inlineStr">
        <is>
          <t>Uptrend</t>
        </is>
      </c>
      <c r="BN10" s="30">
        <f>IF(BM10="Uptrend",10,IF(BM10="Sideways",5,0))</f>
        <v/>
      </c>
      <c r="BO10" s="30" t="inlineStr">
        <is>
          <t>Blue sky scenario</t>
        </is>
      </c>
      <c r="BP10" s="30">
        <f>IF(BO10="Overhead supply in last 2 years in last 2 years",-5,IF(BO10="Close to 52 week high or retracement",5,IF(BO10="Blue sky scenario",10,IF(BO10="Long term Downtrend",-10,0))))</f>
        <v/>
      </c>
      <c r="BQ10" s="30" t="inlineStr">
        <is>
          <t>Yes</t>
        </is>
      </c>
      <c r="BR10" s="30">
        <f>IF(BQ10="Yes",10,0)</f>
        <v/>
      </c>
      <c r="BS10" s="30" t="inlineStr">
        <is>
          <t>More than 20%</t>
        </is>
      </c>
      <c r="BT10" s="30">
        <f>IF(BS10="More than 20%",10,IF(BS10="Between 12 to 20%",5,IF(BS10="Less than 12%",0,0)))</f>
        <v/>
      </c>
      <c r="BU10" s="30" t="inlineStr">
        <is>
          <t>No</t>
        </is>
      </c>
      <c r="BV10" s="30">
        <f>IF(BU10="No",10,0)</f>
        <v/>
      </c>
      <c r="BW10" s="30" t="inlineStr">
        <is>
          <t>No</t>
        </is>
      </c>
      <c r="BX10" s="30">
        <f>IF(BW10="NO",5,0)</f>
        <v/>
      </c>
      <c r="BY10" s="30" t="inlineStr">
        <is>
          <t>Above 2</t>
        </is>
      </c>
      <c r="BZ10" s="30">
        <f>IF(BY10="Above 2",0,IF(BY10="Between 1.5 to 2",5,IF(BY10="Less than 1.5",10,0)))</f>
        <v/>
      </c>
      <c r="CA10" s="30" t="inlineStr">
        <is>
          <t>Above 70%</t>
        </is>
      </c>
      <c r="CB10" s="30">
        <f>IF(CA10="Above 70%",10,IF(CA10="Between 50% to 70%",5,IF(CA10="Less than 50%",0,IF(CA10="Negative",-10,IF(CA10="Less than 50% and Borrowings are increasing",-5,0)))))</f>
        <v/>
      </c>
      <c r="CC10" s="30" t="inlineStr">
        <is>
          <t>Less than 0.7</t>
        </is>
      </c>
      <c r="CD10" s="30">
        <f>IF(CC10="More than 1.2",-10,IF(CC10="Between 0.7 to 1.2",0,IF(CC10="Less than 0.7",10,0)))</f>
        <v/>
      </c>
      <c r="CE10" s="30" t="inlineStr">
        <is>
          <t>No</t>
        </is>
      </c>
      <c r="CF10" s="30">
        <f>IF(CE10="Yes",-10,0)</f>
        <v/>
      </c>
      <c r="CG10" s="30" t="inlineStr">
        <is>
          <t>Less than 15%</t>
        </is>
      </c>
      <c r="CH10" s="30">
        <f>IF(CG10="More than 15%",-10,IF(CG10="Less than 15%",10,0))</f>
        <v/>
      </c>
      <c r="CI10" s="30" t="inlineStr">
        <is>
          <t>No</t>
        </is>
      </c>
      <c r="CJ10" s="30">
        <f>IF(CI10="Yes, more than 10%",-10,IF(CI10="No",10,0))</f>
        <v/>
      </c>
    </row>
    <row r="11">
      <c r="A11" s="30">
        <f>IF(B11=0,"",RANK(B11,$B$2:$B$20,0))</f>
        <v/>
      </c>
      <c r="B11" s="31">
        <f>SUM(S11,AD11,AF11,AH11,AJ11,AL11,AN11,AP11,AR11,AT11,AV11,AX11,AZ11,BB11,BD11,BF11,BH11,BJ11,BL11,BN11,BP11,BR11,BT11,BV11,BX11,BZ11,CB11,CD11,CF11,CH11,CJ11)</f>
        <v/>
      </c>
      <c r="C11" s="30" t="inlineStr">
        <is>
          <t>52W Breakout</t>
        </is>
      </c>
      <c r="D11" s="31" t="n">
        <v>138.5</v>
      </c>
      <c r="E11" s="31" t="inlineStr">
        <is>
          <t>5%</t>
        </is>
      </c>
      <c r="F11" s="31" t="n">
        <v>50000</v>
      </c>
      <c r="G11" s="31" t="n">
        <v>1434</v>
      </c>
      <c r="H11" s="30" t="inlineStr">
        <is>
          <t>STLNETWORK</t>
        </is>
      </c>
      <c r="I11" s="30" t="inlineStr">
        <is>
          <t>STL Networks Ltd</t>
        </is>
      </c>
      <c r="J11" s="30" t="inlineStr">
        <is>
          <t>telecom-service</t>
        </is>
      </c>
      <c r="K11" s="30" t="inlineStr">
        <is>
          <t>telecommunications - service provider</t>
        </is>
      </c>
      <c r="L11" s="30" t="inlineStr">
        <is>
          <t>smallcap</t>
        </is>
      </c>
      <c r="M11" s="31" t="n">
        <v>1620.41</v>
      </c>
      <c r="N11" s="31" t="n">
        <v>34.86</v>
      </c>
      <c r="O11" s="31" t="n">
        <v>5</v>
      </c>
      <c r="P11" s="31" t="n">
        <v>8127111</v>
      </c>
      <c r="Q11" s="30" t="n">
        <v>55</v>
      </c>
      <c r="R11" s="30" t="inlineStr">
        <is>
          <t>Outperforming</t>
        </is>
      </c>
      <c r="S11" s="31">
        <f>IF(R11="Underperforming",-5,IF(Q11&gt;=95,15,IF(Q11&gt;=90,10,IF(Q11&gt;=80,5,0))))</f>
        <v/>
      </c>
      <c r="T11" s="31" t="n">
        <v>71.81</v>
      </c>
      <c r="U11" s="31" t="n">
        <v>26.44</v>
      </c>
      <c r="V11" s="31" t="n">
        <v>26.49</v>
      </c>
      <c r="W11" s="30" t="inlineStr">
        <is>
          <t>Volume Spike &amp; Near 52W High Breakout</t>
        </is>
      </c>
      <c r="X11" s="30" t="inlineStr">
        <is>
          <t>Nifty 50</t>
        </is>
      </c>
      <c r="Y11" s="31" t="n">
        <v>-6.52</v>
      </c>
      <c r="Z11" s="31" t="n">
        <v>59.69</v>
      </c>
      <c r="AA11" s="31" t="n">
        <v>70.81999999999999</v>
      </c>
      <c r="AB11" s="31" t="n">
        <v>17.43</v>
      </c>
      <c r="AC11" s="30" t="inlineStr">
        <is>
          <t>Growing Industry</t>
        </is>
      </c>
      <c r="AD11" s="30">
        <f>IF(AC11="Growing Industry",10,IF(AC11="Cyclical in an Upturn",5,0))</f>
        <v/>
      </c>
      <c r="AE11" s="30" t="inlineStr">
        <is>
          <t>Oligopoly</t>
        </is>
      </c>
      <c r="AF11" s="30">
        <f>IF(AE11="Monopoly",10,IF(AE11="Oligopoly",5,IF(AE11="Duopoly that cooperate",10,IF(AE11="Duopoly that compete",5,IF(AE11="Too many players with High ROCE",5,0)))))</f>
        <v/>
      </c>
      <c r="AG11" s="30" t="inlineStr">
        <is>
          <t>Yes</t>
        </is>
      </c>
      <c r="AH11" s="30">
        <f>IF(AG11="No",5,0)</f>
        <v/>
      </c>
      <c r="AI11" s="30" t="inlineStr">
        <is>
          <t>Tailwind</t>
        </is>
      </c>
      <c r="AJ11" s="30">
        <f>IF(AI11="Tailwind",10,0)</f>
        <v/>
      </c>
      <c r="AK11" s="30" t="inlineStr">
        <is>
          <t>Structural (10 Years Consistency)</t>
        </is>
      </c>
      <c r="AL11" s="30">
        <f>IF(AK11="Structural (10 Years Consistency)",10,IF(AK11="Shallow Cyclical (2 to 3 years growth)",5,0))</f>
        <v/>
      </c>
      <c r="AM11" s="30" t="inlineStr">
        <is>
          <t>No</t>
        </is>
      </c>
      <c r="AN11" s="30">
        <f>IF(AM11="Yes due to Product Mix change or Operating Leverage",10,IF(AM11="Yes, these are peak margins",-5,IF(AM11="No",5,0)))</f>
        <v/>
      </c>
      <c r="AO11" s="30" t="inlineStr">
        <is>
          <t>Stable</t>
        </is>
      </c>
      <c r="AP11" s="30">
        <f>IF(AO11="Stable",10,0)</f>
        <v/>
      </c>
      <c r="AQ11" s="30" t="inlineStr">
        <is>
          <t>Yes</t>
        </is>
      </c>
      <c r="AR11" s="30">
        <f>IF(AQ11="Yes",10,0)</f>
        <v/>
      </c>
      <c r="AS11" s="30" t="inlineStr">
        <is>
          <t>B2B</t>
        </is>
      </c>
      <c r="AT11" s="30">
        <f>IF(AS11="B2C",10,IF(AS11="B2B",5,0))</f>
        <v/>
      </c>
      <c r="AU11" s="30" t="inlineStr">
        <is>
          <t>Yes</t>
        </is>
      </c>
      <c r="AV11" s="30">
        <f>IF(AU11="Yes",10,0)</f>
        <v/>
      </c>
      <c r="AW11" s="30" t="inlineStr">
        <is>
          <t>Higher One Time, Lower Annuity</t>
        </is>
      </c>
      <c r="AX11" s="30">
        <f>IF(AW11="Fully Annuity",10,IF(AW11="Higher Annuity, Lower One Time",5,IF(AW11="Higher One Time, Lower Annuity",3,0)))</f>
        <v/>
      </c>
      <c r="AY11" s="30" t="inlineStr">
        <is>
          <t>Good</t>
        </is>
      </c>
      <c r="AZ11" s="30">
        <f>IF(AY11="Good",10,0)</f>
        <v/>
      </c>
      <c r="BA11" s="30" t="inlineStr">
        <is>
          <t>Yes for more than 2 years</t>
        </is>
      </c>
      <c r="BB11" s="30">
        <f>IF(BA11="Yes for more than 2 years",10,IF(BA11="Yes only for next 1 to 2 years",5,0))</f>
        <v/>
      </c>
      <c r="BC11" s="30" t="inlineStr">
        <is>
          <t>20 to 40</t>
        </is>
      </c>
      <c r="BD11" s="30">
        <f>IF(BC11="Above 40",20,IF(BC11="20 to 40",10,IF(BC11="0 to 20",-5,0)))</f>
        <v/>
      </c>
      <c r="BE11" s="30" t="inlineStr">
        <is>
          <t>Between 50 to 75</t>
        </is>
      </c>
      <c r="BF11" s="30">
        <f>IF(BE11="Between 50 to 75",10,IF(BE11="Above 75",0,0))</f>
        <v/>
      </c>
      <c r="BG11" s="30" t="inlineStr">
        <is>
          <t>Stage 2</t>
        </is>
      </c>
      <c r="BH11" s="30">
        <f>IF(BG11="Stage 2",20,IF(BG11="Stage 1",0,IF(BG11="Stage 3",5,IF(BG11="Stage 4",-5,0))))</f>
        <v/>
      </c>
      <c r="BI11" s="30" t="inlineStr">
        <is>
          <t>Positive Trend</t>
        </is>
      </c>
      <c r="BJ11" s="30">
        <f>IF(BI11="Positive Trend",20,IF(BI11="Negative Trend",-10,0))</f>
        <v/>
      </c>
      <c r="BK11" s="30" t="inlineStr">
        <is>
          <t>Uptrend</t>
        </is>
      </c>
      <c r="BL11" s="30">
        <f>IF(BK11="Uptrend",10,IF(BK11="Sideways",5,0))</f>
        <v/>
      </c>
      <c r="BM11" s="30" t="inlineStr">
        <is>
          <t>Uptrend</t>
        </is>
      </c>
      <c r="BN11" s="30">
        <f>IF(BM11="Uptrend",10,IF(BM11="Sideways",5,0))</f>
        <v/>
      </c>
      <c r="BO11" s="30" t="inlineStr">
        <is>
          <t>Blue sky scenario</t>
        </is>
      </c>
      <c r="BP11" s="30">
        <f>IF(BO11="Overhead supply in last 2 years in last 2 years",-5,IF(BO11="Close to 52 week high or retracement",5,IF(BO11="Blue sky scenario",10,IF(BO11="Long term Downtrend",-10,0))))</f>
        <v/>
      </c>
      <c r="BQ11" s="30" t="inlineStr">
        <is>
          <t>Yes</t>
        </is>
      </c>
      <c r="BR11" s="30">
        <f>IF(BQ11="Yes",10,0)</f>
        <v/>
      </c>
      <c r="BS11" s="30" t="inlineStr">
        <is>
          <t>More than 20%</t>
        </is>
      </c>
      <c r="BT11" s="30">
        <f>IF(BS11="More than 20%",10,IF(BS11="Between 12 to 20%",5,IF(BS11="Less than 12%",0,0)))</f>
        <v/>
      </c>
      <c r="BU11" s="30" t="inlineStr">
        <is>
          <t>No</t>
        </is>
      </c>
      <c r="BV11" s="30">
        <f>IF(BU11="No",10,0)</f>
        <v/>
      </c>
      <c r="BW11" s="30" t="inlineStr">
        <is>
          <t>No</t>
        </is>
      </c>
      <c r="BX11" s="30">
        <f>IF(BW11="NO",5,0)</f>
        <v/>
      </c>
      <c r="BY11" s="30" t="inlineStr">
        <is>
          <t>Less than 1.5</t>
        </is>
      </c>
      <c r="BZ11" s="30">
        <f>IF(BY11="Above 2",0,IF(BY11="Between 1.5 to 2",5,IF(BY11="Less than 1.5",10,0)))</f>
        <v/>
      </c>
      <c r="CA11" s="30" t="inlineStr">
        <is>
          <t>Above 70%</t>
        </is>
      </c>
      <c r="CB11" s="30">
        <f>IF(CA11="Above 70%",10,IF(CA11="Between 50% to 70%",5,IF(CA11="Less than 50%",0,IF(CA11="Negative",-10,IF(CA11="Less than 50% and Borrowings are increasing",-5,0)))))</f>
        <v/>
      </c>
      <c r="CC11" s="30" t="inlineStr">
        <is>
          <t>Between 0.7 to 1.2</t>
        </is>
      </c>
      <c r="CD11" s="30">
        <f>IF(CC11="More than 1.2",-10,IF(CC11="Between 0.7 to 1.2",0,IF(CC11="Less than 0.7",10,0)))</f>
        <v/>
      </c>
      <c r="CE11" s="30" t="inlineStr">
        <is>
          <t>No</t>
        </is>
      </c>
      <c r="CF11" s="30">
        <f>IF(CE11="Yes",-10,0)</f>
        <v/>
      </c>
      <c r="CG11" s="30" t="inlineStr">
        <is>
          <t>Less than 15%</t>
        </is>
      </c>
      <c r="CH11" s="30">
        <f>IF(CG11="More than 15%",-10,IF(CG11="Less than 15%",10,0))</f>
        <v/>
      </c>
      <c r="CI11" s="30" t="inlineStr">
        <is>
          <t>No</t>
        </is>
      </c>
      <c r="CJ11" s="30">
        <f>IF(CI11="Yes, more than 10%",-10,IF(CI11="No",10,0))</f>
        <v/>
      </c>
    </row>
    <row r="12">
      <c r="A12" s="30">
        <f>IF(B12=0,"",RANK(B12,$B$2:$B$20,0))</f>
        <v/>
      </c>
      <c r="B12" s="31">
        <f>SUM(S12,AD12,AF12,AH12,AJ12,AL12,AN12,AP12,AR12,AT12,AV12,AX12,AZ12,BB12,BD12,BF12,BH12,BJ12,BL12,BN12,BP12,BR12,BT12,BV12,BX12,BZ12,CB12,CD12,CF12,CH12,CJ12)</f>
        <v/>
      </c>
      <c r="C12" s="30" t="inlineStr">
        <is>
          <t>52W Breakout</t>
        </is>
      </c>
      <c r="D12" s="31" t="n">
        <v>137.9</v>
      </c>
      <c r="E12" s="31" t="inlineStr">
        <is>
          <t>5%</t>
        </is>
      </c>
      <c r="F12" s="31" t="n">
        <v>50000</v>
      </c>
      <c r="G12" s="31" t="n">
        <v>9</v>
      </c>
      <c r="H12" s="30" t="inlineStr">
        <is>
          <t>KENNAMET</t>
        </is>
      </c>
      <c r="I12" s="30" t="inlineStr">
        <is>
          <t>Kennametal India Ltd</t>
        </is>
      </c>
      <c r="J12" s="30" t="inlineStr">
        <is>
          <t>industrials</t>
        </is>
      </c>
      <c r="K12" s="30" t="inlineStr">
        <is>
          <t>castings &amp; forgings</t>
        </is>
      </c>
      <c r="L12" s="30" t="inlineStr">
        <is>
          <t>midcap</t>
        </is>
      </c>
      <c r="M12" s="31" t="n">
        <v>10432.41</v>
      </c>
      <c r="N12" s="31" t="n">
        <v>5027.9</v>
      </c>
      <c r="O12" s="31" t="n">
        <v>5.92</v>
      </c>
      <c r="P12" s="31" t="n">
        <v>72699</v>
      </c>
      <c r="Q12" s="30" t="n">
        <v>88</v>
      </c>
      <c r="R12" s="30" t="inlineStr">
        <is>
          <t>Outperforming</t>
        </is>
      </c>
      <c r="S12" s="31">
        <f>IF(R12="Underperforming",-5,IF(Q12&gt;=95,15,IF(Q12&gt;=90,10,IF(Q12&gt;=80,5,0))))</f>
        <v/>
      </c>
      <c r="T12" s="31" t="n">
        <v>87.02</v>
      </c>
      <c r="U12" s="31" t="n">
        <v>49.02</v>
      </c>
      <c r="V12" s="31" t="n">
        <v>3962.74</v>
      </c>
      <c r="W12" s="30" t="inlineStr">
        <is>
          <t>Near 52W High Breakout</t>
        </is>
      </c>
      <c r="X12" s="30" t="inlineStr">
        <is>
          <t>Nifty 50</t>
        </is>
      </c>
      <c r="Y12" s="31" t="n">
        <v>-6.52</v>
      </c>
      <c r="Z12" s="31" t="n">
        <v>133.85</v>
      </c>
      <c r="AA12" s="31" t="n">
        <v>150.15</v>
      </c>
      <c r="AB12" s="31" t="n">
        <v>37.97</v>
      </c>
      <c r="AC12" s="30" t="inlineStr">
        <is>
          <t>Cyclical in an Upturn</t>
        </is>
      </c>
      <c r="AD12" s="30">
        <f>IF(AC12="Growing Industry",10,IF(AC12="Cyclical in an Upturn",5,0))</f>
        <v/>
      </c>
      <c r="AE12" s="30" t="inlineStr">
        <is>
          <t>Too Many Players with High ROCE</t>
        </is>
      </c>
      <c r="AF12" s="30">
        <f>IF(AE12="Monopoly",10,IF(AE12="Oligopoly",5,IF(AE12="Duopoly that cooperate",10,IF(AE12="Duopoly that compete",5,IF(AE12="Too many players with High ROCE",5,0)))))</f>
        <v/>
      </c>
      <c r="AG12" s="30" t="inlineStr">
        <is>
          <t>No</t>
        </is>
      </c>
      <c r="AH12" s="30">
        <f>IF(AG12="No",5,0)</f>
        <v/>
      </c>
      <c r="AI12" s="30" t="inlineStr">
        <is>
          <t>Tailwind</t>
        </is>
      </c>
      <c r="AJ12" s="30">
        <f>IF(AI12="Tailwind",10,0)</f>
        <v/>
      </c>
      <c r="AK12" s="30" t="inlineStr">
        <is>
          <t>Structural (10 Years Consistency)</t>
        </is>
      </c>
      <c r="AL12" s="30">
        <f>IF(AK12="Structural (10 Years Consistency)",10,IF(AK12="Shallow Cyclical (2 to 3 years growth)",5,0))</f>
        <v/>
      </c>
      <c r="AM12" s="30" t="inlineStr">
        <is>
          <t>No</t>
        </is>
      </c>
      <c r="AN12" s="30">
        <f>IF(AM12="Yes due to Product Mix change or Operating Leverage",10,IF(AM12="Yes, these are peak margins",-5,IF(AM12="No",5,0)))</f>
        <v/>
      </c>
      <c r="AO12" s="30" t="inlineStr">
        <is>
          <t>Stable</t>
        </is>
      </c>
      <c r="AP12" s="30">
        <f>IF(AO12="Stable",10,0)</f>
        <v/>
      </c>
      <c r="AQ12" s="30" t="inlineStr">
        <is>
          <t>Yes</t>
        </is>
      </c>
      <c r="AR12" s="30">
        <f>IF(AQ12="Yes",10,0)</f>
        <v/>
      </c>
      <c r="AS12" s="30" t="inlineStr">
        <is>
          <t>B2B</t>
        </is>
      </c>
      <c r="AT12" s="30">
        <f>IF(AS12="B2C",10,IF(AS12="B2B",5,0))</f>
        <v/>
      </c>
      <c r="AU12" s="30" t="inlineStr">
        <is>
          <t>Yes</t>
        </is>
      </c>
      <c r="AV12" s="30">
        <f>IF(AU12="Yes",10,0)</f>
        <v/>
      </c>
      <c r="AW12" s="30" t="inlineStr">
        <is>
          <t>Higher One Time, Lower Annuity</t>
        </is>
      </c>
      <c r="AX12" s="30">
        <f>IF(AW12="Fully Annuity",10,IF(AW12="Higher Annuity, Lower One Time",5,IF(AW12="Higher One Time, Lower Annuity",3,0)))</f>
        <v/>
      </c>
      <c r="AY12" s="30" t="inlineStr">
        <is>
          <t>Good</t>
        </is>
      </c>
      <c r="AZ12" s="30">
        <f>IF(AY12="Good",10,0)</f>
        <v/>
      </c>
      <c r="BA12" s="30" t="inlineStr">
        <is>
          <t>Yes for more than 2 years</t>
        </is>
      </c>
      <c r="BB12" s="30">
        <f>IF(BA12="Yes for more than 2 years",10,IF(BA12="Yes only for next 1 to 2 years",5,0))</f>
        <v/>
      </c>
      <c r="BC12" s="30" t="inlineStr">
        <is>
          <t>Above 40</t>
        </is>
      </c>
      <c r="BD12" s="30">
        <f>IF(BC12="Above 40",20,IF(BC12="20 to 40",10,IF(BC12="0 to 20",-5,0)))</f>
        <v/>
      </c>
      <c r="BE12" s="30" t="inlineStr">
        <is>
          <t>Above 75</t>
        </is>
      </c>
      <c r="BF12" s="30">
        <f>IF(BE12="Between 50 to 75",10,IF(BE12="Above 75",0,0))</f>
        <v/>
      </c>
      <c r="BG12" s="30" t="inlineStr">
        <is>
          <t>Stage 2</t>
        </is>
      </c>
      <c r="BH12" s="30">
        <f>IF(BG12="Stage 2",20,IF(BG12="Stage 1",0,IF(BG12="Stage 3",5,IF(BG12="Stage 4",-5,0))))</f>
        <v/>
      </c>
      <c r="BI12" s="30" t="inlineStr">
        <is>
          <t>Positive Trend</t>
        </is>
      </c>
      <c r="BJ12" s="30">
        <f>IF(BI12="Positive Trend",20,IF(BI12="Negative Trend",-10,0))</f>
        <v/>
      </c>
      <c r="BK12" s="30" t="inlineStr">
        <is>
          <t>Uptrend</t>
        </is>
      </c>
      <c r="BL12" s="30">
        <f>IF(BK12="Uptrend",10,IF(BK12="Sideways",5,0))</f>
        <v/>
      </c>
      <c r="BM12" s="30" t="inlineStr">
        <is>
          <t>Uptrend</t>
        </is>
      </c>
      <c r="BN12" s="30">
        <f>IF(BM12="Uptrend",10,IF(BM12="Sideways",5,0))</f>
        <v/>
      </c>
      <c r="BO12" s="30" t="inlineStr">
        <is>
          <t>Blue sky scenario</t>
        </is>
      </c>
      <c r="BP12" s="30">
        <f>IF(BO12="Overhead supply in last 2 years in last 2 years",-5,IF(BO12="Close to 52 week high or retracement",5,IF(BO12="Blue sky scenario",10,IF(BO12="Long term Downtrend",-10,0))))</f>
        <v/>
      </c>
      <c r="BQ12" s="30" t="inlineStr">
        <is>
          <t>Yes</t>
        </is>
      </c>
      <c r="BR12" s="30">
        <f>IF(BQ12="Yes",10,0)</f>
        <v/>
      </c>
      <c r="BS12" s="30" t="inlineStr">
        <is>
          <t>More than 20%</t>
        </is>
      </c>
      <c r="BT12" s="30">
        <f>IF(BS12="More than 20%",10,IF(BS12="Between 12 to 20%",5,IF(BS12="Less than 12%",0,0)))</f>
        <v/>
      </c>
      <c r="BU12" s="30" t="inlineStr">
        <is>
          <t>No</t>
        </is>
      </c>
      <c r="BV12" s="30">
        <f>IF(BU12="No",10,0)</f>
        <v/>
      </c>
      <c r="BW12" s="30" t="inlineStr">
        <is>
          <t>Yes</t>
        </is>
      </c>
      <c r="BX12" s="30">
        <f>IF(BW12="NO",5,0)</f>
        <v/>
      </c>
      <c r="BY12" s="30" t="inlineStr">
        <is>
          <t>Above 2</t>
        </is>
      </c>
      <c r="BZ12" s="30">
        <f>IF(BY12="Above 2",0,IF(BY12="Between 1.5 to 2",5,IF(BY12="Less than 1.5",10,0)))</f>
        <v/>
      </c>
      <c r="CA12" s="30" t="inlineStr">
        <is>
          <t>Above 70%</t>
        </is>
      </c>
      <c r="CB12" s="30">
        <f>IF(CA12="Above 70%",10,IF(CA12="Between 50% to 70%",5,IF(CA12="Less than 50%",0,IF(CA12="Negative",-10,IF(CA12="Less than 50% and Borrowings are increasing",-5,0)))))</f>
        <v/>
      </c>
      <c r="CC12" s="30" t="inlineStr">
        <is>
          <t>Less than 0.7</t>
        </is>
      </c>
      <c r="CD12" s="30">
        <f>IF(CC12="More than 1.2",-10,IF(CC12="Between 0.7 to 1.2",0,IF(CC12="Less than 0.7",10,0)))</f>
        <v/>
      </c>
      <c r="CE12" s="30" t="inlineStr">
        <is>
          <t>No</t>
        </is>
      </c>
      <c r="CF12" s="30">
        <f>IF(CE12="Yes",-10,0)</f>
        <v/>
      </c>
      <c r="CG12" s="30" t="inlineStr">
        <is>
          <t>Less than 15%</t>
        </is>
      </c>
      <c r="CH12" s="30">
        <f>IF(CG12="More than 15%",-10,IF(CG12="Less than 15%",10,0))</f>
        <v/>
      </c>
      <c r="CI12" s="30" t="inlineStr">
        <is>
          <t>No</t>
        </is>
      </c>
      <c r="CJ12" s="30">
        <f>IF(CI12="Yes, more than 10%",-10,IF(CI12="No",10,0))</f>
        <v/>
      </c>
    </row>
    <row r="13">
      <c r="A13" s="30">
        <f>IF(B13=0,"",RANK(B13,$B$2:$B$20,0))</f>
        <v/>
      </c>
      <c r="B13" s="31">
        <f>SUM(S13,AD13,AF13,AH13,AJ13,AL13,AN13,AP13,AR13,AT13,AV13,AX13,AZ13,BB13,BD13,BF13,BH13,BJ13,BL13,BN13,BP13,BR13,BT13,BV13,BX13,BZ13,CB13,CD13,CF13,CH13,CJ13)</f>
        <v/>
      </c>
      <c r="C13" s="30" t="inlineStr">
        <is>
          <t>52W Breakout</t>
        </is>
      </c>
      <c r="D13" s="31" t="n">
        <v>139</v>
      </c>
      <c r="E13" s="31" t="inlineStr">
        <is>
          <t>5%</t>
        </is>
      </c>
      <c r="F13" s="31" t="n">
        <v>50000</v>
      </c>
      <c r="G13" s="31" t="n">
        <v>63</v>
      </c>
      <c r="H13" s="30" t="inlineStr">
        <is>
          <t>SIGMAADV</t>
        </is>
      </c>
      <c r="I13" s="30" t="inlineStr">
        <is>
          <t>Sigma Advanced System Ltd</t>
        </is>
      </c>
      <c r="J13" s="30" t="inlineStr">
        <is>
          <t>aerospace &amp; defence</t>
        </is>
      </c>
      <c r="K13" s="30" t="inlineStr">
        <is>
          <t>electronics - components</t>
        </is>
      </c>
      <c r="L13" s="30" t="inlineStr">
        <is>
          <t>midcap</t>
        </is>
      </c>
      <c r="M13" s="31" t="n">
        <v>14308.86</v>
      </c>
      <c r="N13" s="31" t="n">
        <v>792.85</v>
      </c>
      <c r="O13" s="31" t="n">
        <v>5</v>
      </c>
      <c r="P13" s="31" t="n">
        <v>250035</v>
      </c>
      <c r="Q13" s="30" t="n">
        <v>98</v>
      </c>
      <c r="R13" s="30" t="inlineStr">
        <is>
          <t>Outperforming</t>
        </is>
      </c>
      <c r="S13" s="31">
        <f>IF(R13="Underperforming",-5,IF(Q13&gt;=95,15,IF(Q13&gt;=90,10,IF(Q13&gt;=80,5,0))))</f>
        <v/>
      </c>
      <c r="T13" s="31" t="n">
        <v>77.18000000000001</v>
      </c>
      <c r="U13" s="31" t="n">
        <v>64.25</v>
      </c>
      <c r="V13" s="31" t="n">
        <v>588.17</v>
      </c>
      <c r="W13" s="30" t="inlineStr">
        <is>
          <t>Near 52W High Breakout</t>
        </is>
      </c>
      <c r="X13" s="30" t="inlineStr">
        <is>
          <t>Nifty 50</t>
        </is>
      </c>
      <c r="Y13" s="31" t="n">
        <v>-6.52</v>
      </c>
      <c r="Z13" s="31" t="n">
        <v>404.1</v>
      </c>
      <c r="AA13" s="31" t="n">
        <v>439.23</v>
      </c>
      <c r="AB13" s="31" t="n">
        <v>71.33</v>
      </c>
      <c r="AC13" s="30" t="inlineStr">
        <is>
          <t>Growing Industry</t>
        </is>
      </c>
      <c r="AD13" s="30">
        <f>IF(AC13="Growing Industry",10,IF(AC13="Cyclical in an Upturn",5,0))</f>
        <v/>
      </c>
      <c r="AE13" s="30" t="inlineStr">
        <is>
          <t>Too Many Players with High ROCE</t>
        </is>
      </c>
      <c r="AF13" s="30">
        <f>IF(AE13="Monopoly",10,IF(AE13="Oligopoly",5,IF(AE13="Duopoly that cooperate",10,IF(AE13="Duopoly that compete",5,IF(AE13="Too many players with High ROCE",5,0)))))</f>
        <v/>
      </c>
      <c r="AG13" s="30" t="inlineStr">
        <is>
          <t>No</t>
        </is>
      </c>
      <c r="AH13" s="30">
        <f>IF(AG13="No",5,0)</f>
        <v/>
      </c>
      <c r="AI13" s="30" t="inlineStr">
        <is>
          <t>Tailwind</t>
        </is>
      </c>
      <c r="AJ13" s="30">
        <f>IF(AI13="Tailwind",10,0)</f>
        <v/>
      </c>
      <c r="AK13" s="30" t="inlineStr">
        <is>
          <t>Structural (10 Years Consistency)</t>
        </is>
      </c>
      <c r="AL13" s="30">
        <f>IF(AK13="Structural (10 Years Consistency)",10,IF(AK13="Shallow Cyclical (2 to 3 years growth)",5,0))</f>
        <v/>
      </c>
      <c r="AM13" s="30" t="inlineStr">
        <is>
          <t>No</t>
        </is>
      </c>
      <c r="AN13" s="30">
        <f>IF(AM13="Yes due to Product Mix change or Operating Leverage",10,IF(AM13="Yes, these are peak margins",-5,IF(AM13="No",5,0)))</f>
        <v/>
      </c>
      <c r="AO13" s="30" t="inlineStr">
        <is>
          <t>Stable</t>
        </is>
      </c>
      <c r="AP13" s="30">
        <f>IF(AO13="Stable",10,0)</f>
        <v/>
      </c>
      <c r="AQ13" s="30" t="inlineStr">
        <is>
          <t>Yes</t>
        </is>
      </c>
      <c r="AR13" s="30">
        <f>IF(AQ13="Yes",10,0)</f>
        <v/>
      </c>
      <c r="AS13" s="30" t="inlineStr">
        <is>
          <t>B2B</t>
        </is>
      </c>
      <c r="AT13" s="30">
        <f>IF(AS13="B2C",10,IF(AS13="B2B",5,0))</f>
        <v/>
      </c>
      <c r="AU13" s="30" t="inlineStr">
        <is>
          <t>Yes</t>
        </is>
      </c>
      <c r="AV13" s="30">
        <f>IF(AU13="Yes",10,0)</f>
        <v/>
      </c>
      <c r="AW13" s="30" t="inlineStr">
        <is>
          <t>Higher One Time, Lower Annuity</t>
        </is>
      </c>
      <c r="AX13" s="30">
        <f>IF(AW13="Fully Annuity",10,IF(AW13="Higher Annuity, Lower One Time",5,IF(AW13="Higher One Time, Lower Annuity",3,0)))</f>
        <v/>
      </c>
      <c r="AY13" s="30" t="inlineStr">
        <is>
          <t>Good</t>
        </is>
      </c>
      <c r="AZ13" s="30">
        <f>IF(AY13="Good",10,0)</f>
        <v/>
      </c>
      <c r="BA13" s="30" t="inlineStr">
        <is>
          <t>Yes for more than 2 years</t>
        </is>
      </c>
      <c r="BB13" s="30">
        <f>IF(BA13="Yes for more than 2 years",10,IF(BA13="Yes only for next 1 to 2 years",5,0))</f>
        <v/>
      </c>
      <c r="BC13" s="30" t="inlineStr">
        <is>
          <t>Above 40</t>
        </is>
      </c>
      <c r="BD13" s="30">
        <f>IF(BC13="Above 40",20,IF(BC13="20 to 40",10,IF(BC13="0 to 20",-5,0)))</f>
        <v/>
      </c>
      <c r="BE13" s="30" t="inlineStr">
        <is>
          <t>Above 75</t>
        </is>
      </c>
      <c r="BF13" s="30">
        <f>IF(BE13="Between 50 to 75",10,IF(BE13="Above 75",0,0))</f>
        <v/>
      </c>
      <c r="BG13" s="30" t="inlineStr">
        <is>
          <t>Stage 2</t>
        </is>
      </c>
      <c r="BH13" s="30">
        <f>IF(BG13="Stage 2",20,IF(BG13="Stage 1",0,IF(BG13="Stage 3",5,IF(BG13="Stage 4",-5,0))))</f>
        <v/>
      </c>
      <c r="BI13" s="30" t="inlineStr">
        <is>
          <t>Positive Trend</t>
        </is>
      </c>
      <c r="BJ13" s="30">
        <f>IF(BI13="Positive Trend",20,IF(BI13="Negative Trend",-10,0))</f>
        <v/>
      </c>
      <c r="BK13" s="30" t="inlineStr">
        <is>
          <t>Uptrend</t>
        </is>
      </c>
      <c r="BL13" s="30">
        <f>IF(BK13="Uptrend",10,IF(BK13="Sideways",5,0))</f>
        <v/>
      </c>
      <c r="BM13" s="30" t="inlineStr">
        <is>
          <t>Uptrend</t>
        </is>
      </c>
      <c r="BN13" s="30">
        <f>IF(BM13="Uptrend",10,IF(BM13="Sideways",5,0))</f>
        <v/>
      </c>
      <c r="BO13" s="30" t="inlineStr">
        <is>
          <t>Blue sky scenario</t>
        </is>
      </c>
      <c r="BP13" s="30">
        <f>IF(BO13="Overhead supply in last 2 years in last 2 years",-5,IF(BO13="Close to 52 week high or retracement",5,IF(BO13="Blue sky scenario",10,IF(BO13="Long term Downtrend",-10,0))))</f>
        <v/>
      </c>
      <c r="BQ13" s="30" t="inlineStr">
        <is>
          <t>Yes</t>
        </is>
      </c>
      <c r="BR13" s="30">
        <f>IF(BQ13="Yes",10,0)</f>
        <v/>
      </c>
      <c r="BS13" s="30" t="inlineStr">
        <is>
          <t>Less than 12%</t>
        </is>
      </c>
      <c r="BT13" s="30">
        <f>IF(BS13="More than 20%",10,IF(BS13="Between 12 to 20%",5,IF(BS13="Less than 12%",0,0)))</f>
        <v/>
      </c>
      <c r="BU13" s="30" t="inlineStr">
        <is>
          <t>No</t>
        </is>
      </c>
      <c r="BV13" s="30">
        <f>IF(BU13="No",10,0)</f>
        <v/>
      </c>
      <c r="BW13" s="30" t="inlineStr">
        <is>
          <t>Yes</t>
        </is>
      </c>
      <c r="BX13" s="30">
        <f>IF(BW13="NO",5,0)</f>
        <v/>
      </c>
      <c r="BY13" s="30" t="inlineStr">
        <is>
          <t>Above 2</t>
        </is>
      </c>
      <c r="BZ13" s="30">
        <f>IF(BY13="Above 2",0,IF(BY13="Between 1.5 to 2",5,IF(BY13="Less than 1.5",10,0)))</f>
        <v/>
      </c>
      <c r="CA13" s="30" t="inlineStr">
        <is>
          <t>Above 70%</t>
        </is>
      </c>
      <c r="CB13" s="30">
        <f>IF(CA13="Above 70%",10,IF(CA13="Between 50% to 70%",5,IF(CA13="Less than 50%",0,IF(CA13="Negative",-10,IF(CA13="Less than 50% and Borrowings are increasing",-5,0)))))</f>
        <v/>
      </c>
      <c r="CC13" s="30" t="inlineStr">
        <is>
          <t>Between 0.7 to 1.2</t>
        </is>
      </c>
      <c r="CD13" s="30">
        <f>IF(CC13="More than 1.2",-10,IF(CC13="Between 0.7 to 1.2",0,IF(CC13="Less than 0.7",10,0)))</f>
        <v/>
      </c>
      <c r="CE13" s="30" t="inlineStr">
        <is>
          <t>No</t>
        </is>
      </c>
      <c r="CF13" s="30">
        <f>IF(CE13="Yes",-10,0)</f>
        <v/>
      </c>
      <c r="CG13" s="30" t="inlineStr">
        <is>
          <t>Less than 15%</t>
        </is>
      </c>
      <c r="CH13" s="30">
        <f>IF(CG13="More than 15%",-10,IF(CG13="Less than 15%",10,0))</f>
        <v/>
      </c>
      <c r="CI13" s="30" t="inlineStr">
        <is>
          <t>No</t>
        </is>
      </c>
      <c r="CJ13" s="30">
        <f>IF(CI13="Yes, more than 10%",-10,IF(CI13="No",10,0))</f>
        <v/>
      </c>
    </row>
    <row r="14">
      <c r="A14" s="30">
        <f>IF(B14=0,"",RANK(B14,$B$2:$B$20,0))</f>
        <v/>
      </c>
      <c r="B14" s="31">
        <f>SUM(S14,AD14,AF14,AH14,AJ14,AL14,AN14,AP14,AR14,AT14,AV14,AX14,AZ14,BB14,BD14,BF14,BH14,BJ14,BL14,BN14,BP14,BR14,BT14,BV14,BX14,BZ14,CB14,CD14,CF14,CH14,CJ14)</f>
        <v/>
      </c>
      <c r="C14" s="30" t="inlineStr">
        <is>
          <t>52W Breakout</t>
        </is>
      </c>
      <c r="D14" s="31" t="n">
        <v>138.8</v>
      </c>
      <c r="E14" s="31" t="inlineStr">
        <is>
          <t>5%</t>
        </is>
      </c>
      <c r="F14" s="31" t="n">
        <v>50000</v>
      </c>
      <c r="G14" s="31" t="n">
        <v>70</v>
      </c>
      <c r="H14" s="30" t="inlineStr">
        <is>
          <t>SHREEJISPG</t>
        </is>
      </c>
      <c r="I14" s="30" t="inlineStr">
        <is>
          <t>Shreeji Shipping Global Ltd</t>
        </is>
      </c>
      <c r="J14" s="30" t="inlineStr">
        <is>
          <t>transportation</t>
        </is>
      </c>
      <c r="K14" s="30" t="inlineStr">
        <is>
          <t>shipping</t>
        </is>
      </c>
      <c r="L14" s="30" t="inlineStr">
        <is>
          <t>midcap</t>
        </is>
      </c>
      <c r="M14" s="31" t="n">
        <v>11617.7</v>
      </c>
      <c r="N14" s="31" t="n">
        <v>713.1</v>
      </c>
      <c r="O14" s="31" t="n">
        <v>0</v>
      </c>
      <c r="P14" s="31" t="n">
        <v>1182838</v>
      </c>
      <c r="Q14" s="30" t="n">
        <v>85</v>
      </c>
      <c r="R14" s="30" t="inlineStr">
        <is>
          <t>Outperforming</t>
        </is>
      </c>
      <c r="S14" s="31">
        <f>IF(R14="Underperforming",-5,IF(Q14&gt;=95,15,IF(Q14&gt;=90,10,IF(Q14&gt;=80,5,0))))</f>
        <v/>
      </c>
      <c r="T14" s="31" t="n">
        <v>79.56</v>
      </c>
      <c r="U14" s="31" t="n">
        <v>56.54</v>
      </c>
      <c r="V14" s="31" t="n">
        <v>588.25</v>
      </c>
      <c r="W14" s="30" t="inlineStr">
        <is>
          <t>Near 52W High Breakout</t>
        </is>
      </c>
      <c r="X14" s="30" t="inlineStr">
        <is>
          <t>Nifty 50</t>
        </is>
      </c>
      <c r="Y14" s="31" t="n">
        <v>-6.52</v>
      </c>
      <c r="Z14" s="31" t="n">
        <v>179.96</v>
      </c>
      <c r="AA14" s="31" t="n">
        <v>199.47</v>
      </c>
      <c r="AB14" s="31" t="n">
        <v>33.6</v>
      </c>
      <c r="AC14" s="30" t="inlineStr">
        <is>
          <t>Growing Industry</t>
        </is>
      </c>
      <c r="AD14" s="30">
        <f>IF(AC14="Growing Industry",10,IF(AC14="Cyclical in an Upturn",5,0))</f>
        <v/>
      </c>
      <c r="AE14" s="30" t="inlineStr">
        <is>
          <t>Too Many Players with High ROCE</t>
        </is>
      </c>
      <c r="AF14" s="30">
        <f>IF(AE14="Monopoly",10,IF(AE14="Oligopoly",5,IF(AE14="Duopoly that cooperate",10,IF(AE14="Duopoly that compete",5,IF(AE14="Too many players with High ROCE",5,0)))))</f>
        <v/>
      </c>
      <c r="AG14" s="30" t="inlineStr">
        <is>
          <t>No</t>
        </is>
      </c>
      <c r="AH14" s="30">
        <f>IF(AG14="No",5,0)</f>
        <v/>
      </c>
      <c r="AI14" s="30" t="inlineStr">
        <is>
          <t>Tailwind</t>
        </is>
      </c>
      <c r="AJ14" s="30">
        <f>IF(AI14="Tailwind",10,0)</f>
        <v/>
      </c>
      <c r="AK14" s="30" t="inlineStr">
        <is>
          <t>Structural (10 Years Consistency)</t>
        </is>
      </c>
      <c r="AL14" s="30">
        <f>IF(AK14="Structural (10 Years Consistency)",10,IF(AK14="Shallow Cyclical (2 to 3 years growth)",5,0))</f>
        <v/>
      </c>
      <c r="AM14" s="30" t="inlineStr">
        <is>
          <t>No</t>
        </is>
      </c>
      <c r="AN14" s="30">
        <f>IF(AM14="Yes due to Product Mix change or Operating Leverage",10,IF(AM14="Yes, these are peak margins",-5,IF(AM14="No",5,0)))</f>
        <v/>
      </c>
      <c r="AO14" s="30" t="inlineStr">
        <is>
          <t>Stable</t>
        </is>
      </c>
      <c r="AP14" s="30">
        <f>IF(AO14="Stable",10,0)</f>
        <v/>
      </c>
      <c r="AQ14" s="30" t="inlineStr">
        <is>
          <t>Yes</t>
        </is>
      </c>
      <c r="AR14" s="30">
        <f>IF(AQ14="Yes",10,0)</f>
        <v/>
      </c>
      <c r="AS14" s="30" t="inlineStr">
        <is>
          <t>B2B</t>
        </is>
      </c>
      <c r="AT14" s="30">
        <f>IF(AS14="B2C",10,IF(AS14="B2B",5,0))</f>
        <v/>
      </c>
      <c r="AU14" s="30" t="inlineStr">
        <is>
          <t>Yes</t>
        </is>
      </c>
      <c r="AV14" s="30">
        <f>IF(AU14="Yes",10,0)</f>
        <v/>
      </c>
      <c r="AW14" s="30" t="inlineStr">
        <is>
          <t>Higher One Time, Lower Annuity</t>
        </is>
      </c>
      <c r="AX14" s="30">
        <f>IF(AW14="Fully Annuity",10,IF(AW14="Higher Annuity, Lower One Time",5,IF(AW14="Higher One Time, Lower Annuity",3,0)))</f>
        <v/>
      </c>
      <c r="AY14" s="30" t="inlineStr">
        <is>
          <t>Good</t>
        </is>
      </c>
      <c r="AZ14" s="30">
        <f>IF(AY14="Good",10,0)</f>
        <v/>
      </c>
      <c r="BA14" s="30" t="inlineStr">
        <is>
          <t>Yes for more than 2 years</t>
        </is>
      </c>
      <c r="BB14" s="30">
        <f>IF(BA14="Yes for more than 2 years",10,IF(BA14="Yes only for next 1 to 2 years",5,0))</f>
        <v/>
      </c>
      <c r="BC14" s="30" t="inlineStr">
        <is>
          <t>Above 40</t>
        </is>
      </c>
      <c r="BD14" s="30">
        <f>IF(BC14="Above 40",20,IF(BC14="20 to 40",10,IF(BC14="0 to 20",-5,0)))</f>
        <v/>
      </c>
      <c r="BE14" s="30" t="inlineStr">
        <is>
          <t>Above 75</t>
        </is>
      </c>
      <c r="BF14" s="30">
        <f>IF(BE14="Between 50 to 75",10,IF(BE14="Above 75",0,0))</f>
        <v/>
      </c>
      <c r="BG14" s="30" t="inlineStr">
        <is>
          <t>Stage 2</t>
        </is>
      </c>
      <c r="BH14" s="30">
        <f>IF(BG14="Stage 2",20,IF(BG14="Stage 1",0,IF(BG14="Stage 3",5,IF(BG14="Stage 4",-5,0))))</f>
        <v/>
      </c>
      <c r="BI14" s="30" t="inlineStr">
        <is>
          <t>Positive Trend</t>
        </is>
      </c>
      <c r="BJ14" s="30">
        <f>IF(BI14="Positive Trend",20,IF(BI14="Negative Trend",-10,0))</f>
        <v/>
      </c>
      <c r="BK14" s="30" t="inlineStr">
        <is>
          <t>Uptrend</t>
        </is>
      </c>
      <c r="BL14" s="30">
        <f>IF(BK14="Uptrend",10,IF(BK14="Sideways",5,0))</f>
        <v/>
      </c>
      <c r="BM14" s="30" t="inlineStr">
        <is>
          <t>Uptrend</t>
        </is>
      </c>
      <c r="BN14" s="30">
        <f>IF(BM14="Uptrend",10,IF(BM14="Sideways",5,0))</f>
        <v/>
      </c>
      <c r="BO14" s="30" t="inlineStr">
        <is>
          <t>Blue sky scenario</t>
        </is>
      </c>
      <c r="BP14" s="30">
        <f>IF(BO14="Overhead supply in last 2 years in last 2 years",-5,IF(BO14="Close to 52 week high or retracement",5,IF(BO14="Blue sky scenario",10,IF(BO14="Long term Downtrend",-10,0))))</f>
        <v/>
      </c>
      <c r="BQ14" s="30" t="inlineStr">
        <is>
          <t>Yes</t>
        </is>
      </c>
      <c r="BR14" s="30">
        <f>IF(BQ14="Yes",10,0)</f>
        <v/>
      </c>
      <c r="BS14" s="30" t="inlineStr">
        <is>
          <t>Less than 12%</t>
        </is>
      </c>
      <c r="BT14" s="30">
        <f>IF(BS14="More than 20%",10,IF(BS14="Between 12 to 20%",5,IF(BS14="Less than 12%",0,0)))</f>
        <v/>
      </c>
      <c r="BU14" s="30" t="inlineStr">
        <is>
          <t>No</t>
        </is>
      </c>
      <c r="BV14" s="30">
        <f>IF(BU14="No",10,0)</f>
        <v/>
      </c>
      <c r="BW14" s="30" t="inlineStr">
        <is>
          <t>Yes</t>
        </is>
      </c>
      <c r="BX14" s="30">
        <f>IF(BW14="NO",5,0)</f>
        <v/>
      </c>
      <c r="BY14" s="30" t="inlineStr">
        <is>
          <t>Above 2</t>
        </is>
      </c>
      <c r="BZ14" s="30">
        <f>IF(BY14="Above 2",0,IF(BY14="Between 1.5 to 2",5,IF(BY14="Less than 1.5",10,0)))</f>
        <v/>
      </c>
      <c r="CA14" s="30" t="inlineStr">
        <is>
          <t>Above 70%</t>
        </is>
      </c>
      <c r="CB14" s="30">
        <f>IF(CA14="Above 70%",10,IF(CA14="Between 50% to 70%",5,IF(CA14="Less than 50%",0,IF(CA14="Negative",-10,IF(CA14="Less than 50% and Borrowings are increasing",-5,0)))))</f>
        <v/>
      </c>
      <c r="CC14" s="30" t="inlineStr">
        <is>
          <t>Less than 0.7</t>
        </is>
      </c>
      <c r="CD14" s="30">
        <f>IF(CC14="More than 1.2",-10,IF(CC14="Between 0.7 to 1.2",0,IF(CC14="Less than 0.7",10,0)))</f>
        <v/>
      </c>
      <c r="CE14" s="30" t="inlineStr">
        <is>
          <t>No</t>
        </is>
      </c>
      <c r="CF14" s="30">
        <f>IF(CE14="Yes",-10,0)</f>
        <v/>
      </c>
      <c r="CG14" s="30" t="inlineStr">
        <is>
          <t>Less than 15%</t>
        </is>
      </c>
      <c r="CH14" s="30">
        <f>IF(CG14="More than 15%",-10,IF(CG14="Less than 15%",10,0))</f>
        <v/>
      </c>
      <c r="CI14" s="30" t="inlineStr">
        <is>
          <t>No</t>
        </is>
      </c>
      <c r="CJ14" s="30">
        <f>IF(CI14="Yes, more than 10%",-10,IF(CI14="No",10,0))</f>
        <v/>
      </c>
    </row>
    <row r="15">
      <c r="A15" s="30">
        <f>IF(B15=0,"",RANK(B15,$B$2:$B$20,0))</f>
        <v/>
      </c>
      <c r="B15" s="31">
        <f>SUM(S15,AD15,AF15,AH15,AJ15,AL15,AN15,AP15,AR15,AT15,AV15,AX15,AZ15,BB15,BD15,BF15,BH15,BJ15,BL15,BN15,BP15,BR15,BT15,BV15,BX15,BZ15,CB15,CD15,CF15,CH15,CJ15)</f>
        <v/>
      </c>
      <c r="C15" s="30" t="inlineStr">
        <is>
          <t>52W Breakout</t>
        </is>
      </c>
      <c r="D15" s="31" t="n">
        <v>137.6</v>
      </c>
      <c r="E15" s="31" t="inlineStr">
        <is>
          <t>5%</t>
        </is>
      </c>
      <c r="F15" s="31" t="n">
        <v>50000</v>
      </c>
      <c r="G15" s="31" t="n">
        <v>7</v>
      </c>
      <c r="H15" s="32" t="inlineStr">
        <is>
          <t>KOVAI</t>
        </is>
      </c>
      <c r="I15" s="32" t="inlineStr">
        <is>
          <t>Kovai Medical Center &amp; Hospital Ltd</t>
        </is>
      </c>
      <c r="J15" s="30" t="inlineStr">
        <is>
          <t>healthcare</t>
        </is>
      </c>
      <c r="K15" s="30" t="inlineStr">
        <is>
          <t>healthcare</t>
        </is>
      </c>
      <c r="L15" s="30" t="inlineStr">
        <is>
          <t>midcap</t>
        </is>
      </c>
      <c r="M15" s="31" t="n">
        <v>6728.94</v>
      </c>
      <c r="N15" s="31" t="n">
        <v>6292</v>
      </c>
      <c r="O15" s="31" t="n">
        <v>2.32</v>
      </c>
      <c r="P15" s="31" t="n">
        <v>15697</v>
      </c>
      <c r="Q15" s="30" t="n">
        <v>6</v>
      </c>
      <c r="R15" s="30" t="inlineStr">
        <is>
          <t>Underperforming</t>
        </is>
      </c>
      <c r="S15" s="31">
        <f>IF(R15="Underperforming",-5,IF(Q15&gt;=95,15,IF(Q15&gt;=90,10,IF(Q15&gt;=80,5,0))))</f>
        <v/>
      </c>
      <c r="T15" s="31" t="n">
        <v>69.39</v>
      </c>
      <c r="U15" s="31" t="n">
        <v>34.49</v>
      </c>
      <c r="V15" s="31" t="n">
        <v>5361.49</v>
      </c>
      <c r="W15" s="30" t="inlineStr">
        <is>
          <t>Earnings / Momentum Support</t>
        </is>
      </c>
      <c r="X15" s="30" t="inlineStr">
        <is>
          <t>Nifty Pharma</t>
        </is>
      </c>
      <c r="Y15" s="31" t="n">
        <v>18.86</v>
      </c>
      <c r="Z15" s="31" t="n">
        <v>-0</v>
      </c>
      <c r="AA15" s="31" t="n">
        <v>-15.87</v>
      </c>
      <c r="AB15" s="31" t="n">
        <v>2.21</v>
      </c>
      <c r="AC15" s="30" t="inlineStr">
        <is>
          <t>Growing Industry</t>
        </is>
      </c>
      <c r="AD15" s="30">
        <f>IF(AC15="Growing Industry",10,IF(AC15="Cyclical in an Upturn",5,0))</f>
        <v/>
      </c>
      <c r="AE15" s="30" t="inlineStr">
        <is>
          <t>Too Many Players with High ROCE</t>
        </is>
      </c>
      <c r="AF15" s="30">
        <f>IF(AE15="Monopoly",10,IF(AE15="Oligopoly",5,IF(AE15="Duopoly that cooperate",10,IF(AE15="Duopoly that compete",5,IF(AE15="Too many players with High ROCE",5,0)))))</f>
        <v/>
      </c>
      <c r="AG15" s="30" t="inlineStr">
        <is>
          <t>Yes</t>
        </is>
      </c>
      <c r="AH15" s="30">
        <f>IF(AG15="No",5,0)</f>
        <v/>
      </c>
      <c r="AI15" s="30" t="inlineStr">
        <is>
          <t>Tailwind</t>
        </is>
      </c>
      <c r="AJ15" s="30">
        <f>IF(AI15="Tailwind",10,0)</f>
        <v/>
      </c>
      <c r="AK15" s="30" t="inlineStr">
        <is>
          <t>Structural (10 Years Consistency)</t>
        </is>
      </c>
      <c r="AL15" s="30">
        <f>IF(AK15="Structural (10 Years Consistency)",10,IF(AK15="Shallow Cyclical (2 to 3 years growth)",5,0))</f>
        <v/>
      </c>
      <c r="AM15" s="30" t="inlineStr">
        <is>
          <t>No</t>
        </is>
      </c>
      <c r="AN15" s="30">
        <f>IF(AM15="Yes due to Product Mix change or Operating Leverage",10,IF(AM15="Yes, these are peak margins",-5,IF(AM15="No",5,0)))</f>
        <v/>
      </c>
      <c r="AO15" s="30" t="inlineStr">
        <is>
          <t>Stable</t>
        </is>
      </c>
      <c r="AP15" s="30">
        <f>IF(AO15="Stable",10,0)</f>
        <v/>
      </c>
      <c r="AQ15" s="30" t="inlineStr">
        <is>
          <t>Yes</t>
        </is>
      </c>
      <c r="AR15" s="30">
        <f>IF(AQ15="Yes",10,0)</f>
        <v/>
      </c>
      <c r="AS15" s="30" t="inlineStr">
        <is>
          <t>B2B</t>
        </is>
      </c>
      <c r="AT15" s="30">
        <f>IF(AS15="B2C",10,IF(AS15="B2B",5,0))</f>
        <v/>
      </c>
      <c r="AU15" s="30" t="inlineStr">
        <is>
          <t>No</t>
        </is>
      </c>
      <c r="AV15" s="30">
        <f>IF(AU15="Yes",10,0)</f>
        <v/>
      </c>
      <c r="AW15" s="30" t="inlineStr">
        <is>
          <t>Higher Annuity, Lower One Time</t>
        </is>
      </c>
      <c r="AX15" s="30">
        <f>IF(AW15="Fully Annuity",10,IF(AW15="Higher Annuity, Lower One Time",5,IF(AW15="Higher One Time, Lower Annuity",3,0)))</f>
        <v/>
      </c>
      <c r="AY15" s="30" t="inlineStr">
        <is>
          <t>Good</t>
        </is>
      </c>
      <c r="AZ15" s="30">
        <f>IF(AY15="Good",10,0)</f>
        <v/>
      </c>
      <c r="BA15" s="30" t="inlineStr">
        <is>
          <t>Yes for more than 2 years</t>
        </is>
      </c>
      <c r="BB15" s="30">
        <f>IF(BA15="Yes for more than 2 years",10,IF(BA15="Yes only for next 1 to 2 years",5,0))</f>
        <v/>
      </c>
      <c r="BC15" s="30" t="inlineStr">
        <is>
          <t>20 to 40</t>
        </is>
      </c>
      <c r="BD15" s="30">
        <f>IF(BC15="Above 40",20,IF(BC15="20 to 40",10,IF(BC15="0 to 20",-5,0)))</f>
        <v/>
      </c>
      <c r="BE15" s="30" t="inlineStr">
        <is>
          <t>Between 50 to 75</t>
        </is>
      </c>
      <c r="BF15" s="30">
        <f>IF(BE15="Between 50 to 75",10,IF(BE15="Above 75",0,0))</f>
        <v/>
      </c>
      <c r="BG15" s="30" t="inlineStr">
        <is>
          <t>Stage 2</t>
        </is>
      </c>
      <c r="BH15" s="30">
        <f>IF(BG15="Stage 2",20,IF(BG15="Stage 1",0,IF(BG15="Stage 3",5,IF(BG15="Stage 4",-5,0))))</f>
        <v/>
      </c>
      <c r="BI15" s="30" t="inlineStr">
        <is>
          <t>Positive Trend</t>
        </is>
      </c>
      <c r="BJ15" s="30">
        <f>IF(BI15="Positive Trend",20,IF(BI15="Negative Trend",-10,0))</f>
        <v/>
      </c>
      <c r="BK15" s="30" t="inlineStr">
        <is>
          <t>Uptrend</t>
        </is>
      </c>
      <c r="BL15" s="30">
        <f>IF(BK15="Uptrend",10,IF(BK15="Sideways",5,0))</f>
        <v/>
      </c>
      <c r="BM15" s="30" t="inlineStr">
        <is>
          <t>Uptrend</t>
        </is>
      </c>
      <c r="BN15" s="30">
        <f>IF(BM15="Uptrend",10,IF(BM15="Sideways",5,0))</f>
        <v/>
      </c>
      <c r="BO15" s="30" t="inlineStr">
        <is>
          <t>Close to 52 week high or retracement</t>
        </is>
      </c>
      <c r="BP15" s="30">
        <f>IF(BO15="Overhead supply in last 2 years in last 2 years",-5,IF(BO15="Close to 52 week high or retracement",5,IF(BO15="Blue sky scenario",10,IF(BO15="Long term Downtrend",-10,0))))</f>
        <v/>
      </c>
      <c r="BQ15" s="30" t="inlineStr">
        <is>
          <t>Yes</t>
        </is>
      </c>
      <c r="BR15" s="30">
        <f>IF(BQ15="Yes",10,0)</f>
        <v/>
      </c>
      <c r="BS15" s="30" t="inlineStr">
        <is>
          <t>More than 20%</t>
        </is>
      </c>
      <c r="BT15" s="30">
        <f>IF(BS15="More than 20%",10,IF(BS15="Between 12 to 20%",5,IF(BS15="Less than 12%",0,0)))</f>
        <v/>
      </c>
      <c r="BU15" s="30" t="inlineStr">
        <is>
          <t>No</t>
        </is>
      </c>
      <c r="BV15" s="30">
        <f>IF(BU15="No",10,0)</f>
        <v/>
      </c>
      <c r="BW15" s="30" t="inlineStr">
        <is>
          <t>No</t>
        </is>
      </c>
      <c r="BX15" s="30">
        <f>IF(BW15="NO",5,0)</f>
        <v/>
      </c>
      <c r="BY15" s="30" t="inlineStr">
        <is>
          <t>Less than 1.5</t>
        </is>
      </c>
      <c r="BZ15" s="30">
        <f>IF(BY15="Above 2",0,IF(BY15="Between 1.5 to 2",5,IF(BY15="Less than 1.5",10,0)))</f>
        <v/>
      </c>
      <c r="CA15" s="30" t="inlineStr">
        <is>
          <t>Above 70%</t>
        </is>
      </c>
      <c r="CB15" s="30">
        <f>IF(CA15="Above 70%",10,IF(CA15="Between 50% to 70%",5,IF(CA15="Less than 50%",0,IF(CA15="Negative",-10,IF(CA15="Less than 50% and Borrowings are increasing",-5,0)))))</f>
        <v/>
      </c>
      <c r="CC15" s="30" t="inlineStr">
        <is>
          <t>Less than 0.7</t>
        </is>
      </c>
      <c r="CD15" s="30">
        <f>IF(CC15="More than 1.2",-10,IF(CC15="Between 0.7 to 1.2",0,IF(CC15="Less than 0.7",10,0)))</f>
        <v/>
      </c>
      <c r="CE15" s="30" t="inlineStr">
        <is>
          <t>No</t>
        </is>
      </c>
      <c r="CF15" s="30">
        <f>IF(CE15="Yes",-10,0)</f>
        <v/>
      </c>
      <c r="CG15" s="30" t="inlineStr">
        <is>
          <t>Less than 15%</t>
        </is>
      </c>
      <c r="CH15" s="30">
        <f>IF(CG15="More than 15%",-10,IF(CG15="Less than 15%",10,0))</f>
        <v/>
      </c>
      <c r="CI15" s="30" t="inlineStr">
        <is>
          <t>No</t>
        </is>
      </c>
      <c r="CJ15" s="30">
        <f>IF(CI15="Yes, more than 10%",-10,IF(CI15="No",10,0))</f>
        <v/>
      </c>
    </row>
    <row r="16">
      <c r="A16" s="30">
        <f>IF(B16=0,"",RANK(B16,$B$2:$B$20,0))</f>
        <v/>
      </c>
      <c r="B16" s="31">
        <f>SUM(S16,AD16,AF16,AH16,AJ16,AL16,AN16,AP16,AR16,AT16,AV16,AX16,AZ16,BB16,BD16,BF16,BH16,BJ16,BL16,BN16,BP16,BR16,BT16,BV16,BX16,BZ16,CB16,CD16,CF16,CH16,CJ16)</f>
        <v/>
      </c>
      <c r="C16" s="30" t="inlineStr">
        <is>
          <t>52W Breakout</t>
        </is>
      </c>
      <c r="D16" s="31" t="n">
        <v>138.7</v>
      </c>
      <c r="E16" s="31" t="inlineStr">
        <is>
          <t>5%</t>
        </is>
      </c>
      <c r="F16" s="31" t="n">
        <v>50000</v>
      </c>
      <c r="G16" s="31" t="n">
        <v>56</v>
      </c>
      <c r="H16" s="30" t="inlineStr">
        <is>
          <t>VARROC</t>
        </is>
      </c>
      <c r="I16" s="30" t="inlineStr">
        <is>
          <t>Varroc Engineering Ltd</t>
        </is>
      </c>
      <c r="J16" s="30" t="inlineStr">
        <is>
          <t>auto</t>
        </is>
      </c>
      <c r="K16" s="30" t="inlineStr">
        <is>
          <t>auto ancillaries</t>
        </is>
      </c>
      <c r="L16" s="30" t="inlineStr">
        <is>
          <t>midcap</t>
        </is>
      </c>
      <c r="M16" s="31" t="n">
        <v>12824.89</v>
      </c>
      <c r="N16" s="31" t="n">
        <v>884.4</v>
      </c>
      <c r="O16" s="31" t="n">
        <v>5.36</v>
      </c>
      <c r="P16" s="31" t="n">
        <v>1468228</v>
      </c>
      <c r="Q16" s="30" t="n">
        <v>78</v>
      </c>
      <c r="R16" s="30" t="inlineStr">
        <is>
          <t>Outperforming</t>
        </is>
      </c>
      <c r="S16" s="31">
        <f>IF(R16="Underperforming",-5,IF(Q16&gt;=95,15,IF(Q16&gt;=90,10,IF(Q16&gt;=80,5,0))))</f>
        <v/>
      </c>
      <c r="T16" s="31" t="n">
        <v>79.02</v>
      </c>
      <c r="U16" s="31" t="n">
        <v>53.28</v>
      </c>
      <c r="V16" s="31" t="n">
        <v>714.17</v>
      </c>
      <c r="W16" s="30" t="inlineStr">
        <is>
          <t>Near 52W High Breakout</t>
        </is>
      </c>
      <c r="X16" s="30" t="inlineStr">
        <is>
          <t>Nifty Auto</t>
        </is>
      </c>
      <c r="Y16" s="31" t="n">
        <v>15.81</v>
      </c>
      <c r="Z16" s="31" t="n">
        <v>64.90000000000001</v>
      </c>
      <c r="AA16" s="31" t="n">
        <v>42.39</v>
      </c>
      <c r="AB16" s="31" t="n">
        <v>28.54</v>
      </c>
      <c r="AC16" s="30" t="inlineStr">
        <is>
          <t>Growing Industry</t>
        </is>
      </c>
      <c r="AD16" s="30">
        <f>IF(AC16="Growing Industry",10,IF(AC16="Cyclical in an Upturn",5,0))</f>
        <v/>
      </c>
      <c r="AE16" s="30" t="inlineStr">
        <is>
          <t>Too Many Players with High ROCE</t>
        </is>
      </c>
      <c r="AF16" s="30">
        <f>IF(AE16="Monopoly",10,IF(AE16="Oligopoly",5,IF(AE16="Duopoly that cooperate",10,IF(AE16="Duopoly that compete",5,IF(AE16="Too many players with High ROCE",5,0)))))</f>
        <v/>
      </c>
      <c r="AG16" s="30" t="inlineStr">
        <is>
          <t>No</t>
        </is>
      </c>
      <c r="AH16" s="30">
        <f>IF(AG16="No",5,0)</f>
        <v/>
      </c>
      <c r="AI16" s="30" t="inlineStr">
        <is>
          <t>Tailwind</t>
        </is>
      </c>
      <c r="AJ16" s="30">
        <f>IF(AI16="Tailwind",10,0)</f>
        <v/>
      </c>
      <c r="AK16" s="30" t="inlineStr">
        <is>
          <t>Structural (10 Years Consistency)</t>
        </is>
      </c>
      <c r="AL16" s="30">
        <f>IF(AK16="Structural (10 Years Consistency)",10,IF(AK16="Shallow Cyclical (2 to 3 years growth)",5,0))</f>
        <v/>
      </c>
      <c r="AM16" s="30" t="inlineStr">
        <is>
          <t>No</t>
        </is>
      </c>
      <c r="AN16" s="30">
        <f>IF(AM16="Yes due to Product Mix change or Operating Leverage",10,IF(AM16="Yes, these are peak margins",-5,IF(AM16="No",5,0)))</f>
        <v/>
      </c>
      <c r="AO16" s="30" t="inlineStr">
        <is>
          <t>Stable</t>
        </is>
      </c>
      <c r="AP16" s="30">
        <f>IF(AO16="Stable",10,0)</f>
        <v/>
      </c>
      <c r="AQ16" s="30" t="inlineStr">
        <is>
          <t>Yes</t>
        </is>
      </c>
      <c r="AR16" s="30">
        <f>IF(AQ16="Yes",10,0)</f>
        <v/>
      </c>
      <c r="AS16" s="30" t="inlineStr">
        <is>
          <t>B2B</t>
        </is>
      </c>
      <c r="AT16" s="30">
        <f>IF(AS16="B2C",10,IF(AS16="B2B",5,0))</f>
        <v/>
      </c>
      <c r="AU16" s="30" t="inlineStr">
        <is>
          <t>Yes</t>
        </is>
      </c>
      <c r="AV16" s="30">
        <f>IF(AU16="Yes",10,0)</f>
        <v/>
      </c>
      <c r="AW16" s="30" t="inlineStr">
        <is>
          <t>Higher One Time, Lower Annuity</t>
        </is>
      </c>
      <c r="AX16" s="30">
        <f>IF(AW16="Fully Annuity",10,IF(AW16="Higher Annuity, Lower One Time",5,IF(AW16="Higher One Time, Lower Annuity",3,0)))</f>
        <v/>
      </c>
      <c r="AY16" s="30" t="inlineStr">
        <is>
          <t>Good</t>
        </is>
      </c>
      <c r="AZ16" s="30">
        <f>IF(AY16="Good",10,0)</f>
        <v/>
      </c>
      <c r="BA16" s="30" t="inlineStr">
        <is>
          <t>Yes for more than 2 years</t>
        </is>
      </c>
      <c r="BB16" s="30">
        <f>IF(BA16="Yes for more than 2 years",10,IF(BA16="Yes only for next 1 to 2 years",5,0))</f>
        <v/>
      </c>
      <c r="BC16" s="30" t="inlineStr">
        <is>
          <t>Above 40</t>
        </is>
      </c>
      <c r="BD16" s="30">
        <f>IF(BC16="Above 40",20,IF(BC16="20 to 40",10,IF(BC16="0 to 20",-5,0)))</f>
        <v/>
      </c>
      <c r="BE16" s="30" t="inlineStr">
        <is>
          <t>Above 75</t>
        </is>
      </c>
      <c r="BF16" s="30">
        <f>IF(BE16="Between 50 to 75",10,IF(BE16="Above 75",0,0))</f>
        <v/>
      </c>
      <c r="BG16" s="30" t="inlineStr">
        <is>
          <t>Stage 2</t>
        </is>
      </c>
      <c r="BH16" s="30">
        <f>IF(BG16="Stage 2",20,IF(BG16="Stage 1",0,IF(BG16="Stage 3",5,IF(BG16="Stage 4",-5,0))))</f>
        <v/>
      </c>
      <c r="BI16" s="30" t="inlineStr">
        <is>
          <t>Positive Trend</t>
        </is>
      </c>
      <c r="BJ16" s="30">
        <f>IF(BI16="Positive Trend",20,IF(BI16="Negative Trend",-10,0))</f>
        <v/>
      </c>
      <c r="BK16" s="30" t="inlineStr">
        <is>
          <t>Uptrend</t>
        </is>
      </c>
      <c r="BL16" s="30">
        <f>IF(BK16="Uptrend",10,IF(BK16="Sideways",5,0))</f>
        <v/>
      </c>
      <c r="BM16" s="30" t="inlineStr">
        <is>
          <t>Uptrend</t>
        </is>
      </c>
      <c r="BN16" s="30">
        <f>IF(BM16="Uptrend",10,IF(BM16="Sideways",5,0))</f>
        <v/>
      </c>
      <c r="BO16" s="30" t="inlineStr">
        <is>
          <t>Blue sky scenario</t>
        </is>
      </c>
      <c r="BP16" s="30">
        <f>IF(BO16="Overhead supply in last 2 years in last 2 years",-5,IF(BO16="Close to 52 week high or retracement",5,IF(BO16="Blue sky scenario",10,IF(BO16="Long term Downtrend",-10,0))))</f>
        <v/>
      </c>
      <c r="BQ16" s="30" t="inlineStr">
        <is>
          <t>Yes</t>
        </is>
      </c>
      <c r="BR16" s="30">
        <f>IF(BQ16="Yes",10,0)</f>
        <v/>
      </c>
      <c r="BS16" s="30" t="inlineStr">
        <is>
          <t>Less than 12%</t>
        </is>
      </c>
      <c r="BT16" s="30">
        <f>IF(BS16="More than 20%",10,IF(BS16="Between 12 to 20%",5,IF(BS16="Less than 12%",0,0)))</f>
        <v/>
      </c>
      <c r="BU16" s="30" t="inlineStr">
        <is>
          <t>No</t>
        </is>
      </c>
      <c r="BV16" s="30">
        <f>IF(BU16="No",10,0)</f>
        <v/>
      </c>
      <c r="BW16" s="30" t="inlineStr">
        <is>
          <t>Yes</t>
        </is>
      </c>
      <c r="BX16" s="30">
        <f>IF(BW16="NO",5,0)</f>
        <v/>
      </c>
      <c r="BY16" s="30" t="inlineStr">
        <is>
          <t>Above 2</t>
        </is>
      </c>
      <c r="BZ16" s="30">
        <f>IF(BY16="Above 2",0,IF(BY16="Between 1.5 to 2",5,IF(BY16="Less than 1.5",10,0)))</f>
        <v/>
      </c>
      <c r="CA16" s="30" t="inlineStr">
        <is>
          <t>Above 70%</t>
        </is>
      </c>
      <c r="CB16" s="30">
        <f>IF(CA16="Above 70%",10,IF(CA16="Between 50% to 70%",5,IF(CA16="Less than 50%",0,IF(CA16="Negative",-10,IF(CA16="Less than 50% and Borrowings are increasing",-5,0)))))</f>
        <v/>
      </c>
      <c r="CC16" s="30" t="inlineStr">
        <is>
          <t>Less than 0.7</t>
        </is>
      </c>
      <c r="CD16" s="30">
        <f>IF(CC16="More than 1.2",-10,IF(CC16="Between 0.7 to 1.2",0,IF(CC16="Less than 0.7",10,0)))</f>
        <v/>
      </c>
      <c r="CE16" s="30" t="inlineStr">
        <is>
          <t>No</t>
        </is>
      </c>
      <c r="CF16" s="30">
        <f>IF(CE16="Yes",-10,0)</f>
        <v/>
      </c>
      <c r="CG16" s="30" t="inlineStr">
        <is>
          <t>Less than 15%</t>
        </is>
      </c>
      <c r="CH16" s="30">
        <f>IF(CG16="More than 15%",-10,IF(CG16="Less than 15%",10,0))</f>
        <v/>
      </c>
      <c r="CI16" s="30" t="inlineStr">
        <is>
          <t>No</t>
        </is>
      </c>
      <c r="CJ16" s="30">
        <f>IF(CI16="Yes, more than 10%",-10,IF(CI16="No",10,0))</f>
        <v/>
      </c>
    </row>
    <row r="17">
      <c r="A17" s="30">
        <f>IF(B17=0,"",RANK(B17,$B$2:$B$20,0))</f>
        <v/>
      </c>
      <c r="B17" s="31">
        <f>SUM(S17,AD17,AF17,AH17,AJ17,AL17,AN17,AP17,AR17,AT17,AV17,AX17,AZ17,BB17,BD17,BF17,BH17,BJ17,BL17,BN17,BP17,BR17,BT17,BV17,BX17,BZ17,CB17,CD17,CF17,CH17,CJ17)</f>
        <v/>
      </c>
      <c r="C17" s="30" t="inlineStr">
        <is>
          <t>52W Breakout</t>
        </is>
      </c>
      <c r="D17" s="31" t="n">
        <v>137.8</v>
      </c>
      <c r="E17" s="31" t="inlineStr">
        <is>
          <t>5%</t>
        </is>
      </c>
      <c r="F17" s="31" t="n">
        <v>50000</v>
      </c>
      <c r="G17" s="31" t="n">
        <v>30</v>
      </c>
      <c r="H17" s="30" t="inlineStr">
        <is>
          <t>CHENNPETRO</t>
        </is>
      </c>
      <c r="I17" s="30" t="inlineStr">
        <is>
          <t>Chennai Petroleum Corporation Limited</t>
        </is>
      </c>
      <c r="J17" s="30" t="inlineStr">
        <is>
          <t>energy</t>
        </is>
      </c>
      <c r="K17" s="30" t="inlineStr">
        <is>
          <t>refineries</t>
        </is>
      </c>
      <c r="L17" s="30" t="inlineStr">
        <is>
          <t>largecap</t>
        </is>
      </c>
      <c r="M17" s="31" t="n">
        <v>23891.35</v>
      </c>
      <c r="N17" s="31" t="n">
        <v>1626.4</v>
      </c>
      <c r="O17" s="31" t="n">
        <v>1.37</v>
      </c>
      <c r="P17" s="31" t="n">
        <v>3754568</v>
      </c>
      <c r="Q17" s="30" t="n">
        <v>86</v>
      </c>
      <c r="R17" s="30" t="inlineStr">
        <is>
          <t>Outperforming</t>
        </is>
      </c>
      <c r="S17" s="31">
        <f>IF(R17="Underperforming",-5,IF(Q17&gt;=95,15,IF(Q17&gt;=90,10,IF(Q17&gt;=80,5,0))))</f>
        <v/>
      </c>
      <c r="T17" s="31" t="n">
        <v>79.43000000000001</v>
      </c>
      <c r="U17" s="31" t="n">
        <v>58.38</v>
      </c>
      <c r="V17" s="31" t="n">
        <v>1228.7</v>
      </c>
      <c r="W17" s="30" t="inlineStr">
        <is>
          <t>Near 52W High Breakout</t>
        </is>
      </c>
      <c r="X17" s="30" t="inlineStr">
        <is>
          <t>Nifty Energy</t>
        </is>
      </c>
      <c r="Y17" s="31" t="n">
        <v>8.43</v>
      </c>
      <c r="Z17" s="31" t="n">
        <v>150.64</v>
      </c>
      <c r="AA17" s="31" t="n">
        <v>131.15</v>
      </c>
      <c r="AB17" s="31" t="n">
        <v>34.81</v>
      </c>
      <c r="AC17" s="30" t="inlineStr">
        <is>
          <t>Cyclical in an Upturn</t>
        </is>
      </c>
      <c r="AD17" s="30">
        <f>IF(AC17="Growing Industry",10,IF(AC17="Cyclical in an Upturn",5,0))</f>
        <v/>
      </c>
      <c r="AE17" s="30" t="inlineStr">
        <is>
          <t>Oligopoly</t>
        </is>
      </c>
      <c r="AF17" s="30">
        <f>IF(AE17="Monopoly",10,IF(AE17="Oligopoly",5,IF(AE17="Duopoly that cooperate",10,IF(AE17="Duopoly that compete",5,IF(AE17="Too many players with High ROCE",5,0)))))</f>
        <v/>
      </c>
      <c r="AG17" s="30" t="inlineStr">
        <is>
          <t>Yes</t>
        </is>
      </c>
      <c r="AH17" s="30">
        <f>IF(AG17="No",5,0)</f>
        <v/>
      </c>
      <c r="AI17" s="30" t="inlineStr">
        <is>
          <t>Tailwind</t>
        </is>
      </c>
      <c r="AJ17" s="30">
        <f>IF(AI17="Tailwind",10,0)</f>
        <v/>
      </c>
      <c r="AK17" s="30" t="inlineStr">
        <is>
          <t>Cyclical</t>
        </is>
      </c>
      <c r="AL17" s="30">
        <f>IF(AK17="Structural (10 Years Consistency)",10,IF(AK17="Shallow Cyclical (2 to 3 years growth)",5,0))</f>
        <v/>
      </c>
      <c r="AM17" s="30" t="inlineStr">
        <is>
          <t>No</t>
        </is>
      </c>
      <c r="AN17" s="30">
        <f>IF(AM17="Yes due to Product Mix change or Operating Leverage",10,IF(AM17="Yes, these are peak margins",-5,IF(AM17="No",5,0)))</f>
        <v/>
      </c>
      <c r="AO17" s="30" t="inlineStr">
        <is>
          <t>Volatile</t>
        </is>
      </c>
      <c r="AP17" s="30">
        <f>IF(AO17="Stable",10,0)</f>
        <v/>
      </c>
      <c r="AQ17" s="30" t="inlineStr">
        <is>
          <t>Yes</t>
        </is>
      </c>
      <c r="AR17" s="30">
        <f>IF(AQ17="Yes",10,0)</f>
        <v/>
      </c>
      <c r="AS17" s="30" t="inlineStr">
        <is>
          <t>B2B</t>
        </is>
      </c>
      <c r="AT17" s="30">
        <f>IF(AS17="B2C",10,IF(AS17="B2B",5,0))</f>
        <v/>
      </c>
      <c r="AU17" s="30" t="inlineStr">
        <is>
          <t>Yes</t>
        </is>
      </c>
      <c r="AV17" s="30">
        <f>IF(AU17="Yes",10,0)</f>
        <v/>
      </c>
      <c r="AW17" s="30" t="inlineStr">
        <is>
          <t>Higher One Time, Lower Annuity</t>
        </is>
      </c>
      <c r="AX17" s="30">
        <f>IF(AW17="Fully Annuity",10,IF(AW17="Higher Annuity, Lower One Time",5,IF(AW17="Higher One Time, Lower Annuity",3,0)))</f>
        <v/>
      </c>
      <c r="AY17" s="30" t="inlineStr">
        <is>
          <t>Good</t>
        </is>
      </c>
      <c r="AZ17" s="30">
        <f>IF(AY17="Good",10,0)</f>
        <v/>
      </c>
      <c r="BA17" s="30" t="inlineStr">
        <is>
          <t>Yes for more than 2 years</t>
        </is>
      </c>
      <c r="BB17" s="30">
        <f>IF(BA17="Yes for more than 2 years",10,IF(BA17="Yes only for next 1 to 2 years",5,0))</f>
        <v/>
      </c>
      <c r="BC17" s="30" t="inlineStr">
        <is>
          <t>Above 40</t>
        </is>
      </c>
      <c r="BD17" s="30">
        <f>IF(BC17="Above 40",20,IF(BC17="20 to 40",10,IF(BC17="0 to 20",-5,0)))</f>
        <v/>
      </c>
      <c r="BE17" s="30" t="inlineStr">
        <is>
          <t>Above 75</t>
        </is>
      </c>
      <c r="BF17" s="30">
        <f>IF(BE17="Between 50 to 75",10,IF(BE17="Above 75",0,0))</f>
        <v/>
      </c>
      <c r="BG17" s="30" t="inlineStr">
        <is>
          <t>Stage 2</t>
        </is>
      </c>
      <c r="BH17" s="30">
        <f>IF(BG17="Stage 2",20,IF(BG17="Stage 1",0,IF(BG17="Stage 3",5,IF(BG17="Stage 4",-5,0))))</f>
        <v/>
      </c>
      <c r="BI17" s="30" t="inlineStr">
        <is>
          <t>Positive Trend</t>
        </is>
      </c>
      <c r="BJ17" s="30">
        <f>IF(BI17="Positive Trend",20,IF(BI17="Negative Trend",-10,0))</f>
        <v/>
      </c>
      <c r="BK17" s="30" t="inlineStr">
        <is>
          <t>Uptrend</t>
        </is>
      </c>
      <c r="BL17" s="30">
        <f>IF(BK17="Uptrend",10,IF(BK17="Sideways",5,0))</f>
        <v/>
      </c>
      <c r="BM17" s="30" t="inlineStr">
        <is>
          <t>Uptrend</t>
        </is>
      </c>
      <c r="BN17" s="30">
        <f>IF(BM17="Uptrend",10,IF(BM17="Sideways",5,0))</f>
        <v/>
      </c>
      <c r="BO17" s="30" t="inlineStr">
        <is>
          <t>Blue sky scenario</t>
        </is>
      </c>
      <c r="BP17" s="30">
        <f>IF(BO17="Overhead supply in last 2 years in last 2 years",-5,IF(BO17="Close to 52 week high or retracement",5,IF(BO17="Blue sky scenario",10,IF(BO17="Long term Downtrend",-10,0))))</f>
        <v/>
      </c>
      <c r="BQ17" s="30" t="inlineStr">
        <is>
          <t>Yes</t>
        </is>
      </c>
      <c r="BR17" s="30">
        <f>IF(BQ17="Yes",10,0)</f>
        <v/>
      </c>
      <c r="BS17" s="30" t="inlineStr">
        <is>
          <t>More than 20%</t>
        </is>
      </c>
      <c r="BT17" s="30">
        <f>IF(BS17="More than 20%",10,IF(BS17="Between 12 to 20%",5,IF(BS17="Less than 12%",0,0)))</f>
        <v/>
      </c>
      <c r="BU17" s="30" t="inlineStr">
        <is>
          <t>No</t>
        </is>
      </c>
      <c r="BV17" s="30">
        <f>IF(BU17="No",10,0)</f>
        <v/>
      </c>
      <c r="BW17" s="30" t="inlineStr">
        <is>
          <t>No</t>
        </is>
      </c>
      <c r="BX17" s="30">
        <f>IF(BW17="NO",5,0)</f>
        <v/>
      </c>
      <c r="BY17" s="30" t="inlineStr">
        <is>
          <t>Less than 1.5</t>
        </is>
      </c>
      <c r="BZ17" s="30">
        <f>IF(BY17="Above 2",0,IF(BY17="Between 1.5 to 2",5,IF(BY17="Less than 1.5",10,0)))</f>
        <v/>
      </c>
      <c r="CA17" s="30" t="inlineStr">
        <is>
          <t>Above 70%</t>
        </is>
      </c>
      <c r="CB17" s="30">
        <f>IF(CA17="Above 70%",10,IF(CA17="Between 50% to 70%",5,IF(CA17="Less than 50%",0,IF(CA17="Negative",-10,IF(CA17="Less than 50% and Borrowings are increasing",-5,0)))))</f>
        <v/>
      </c>
      <c r="CC17" s="30" t="inlineStr">
        <is>
          <t>Less than 0.7</t>
        </is>
      </c>
      <c r="CD17" s="30">
        <f>IF(CC17="More than 1.2",-10,IF(CC17="Between 0.7 to 1.2",0,IF(CC17="Less than 0.7",10,0)))</f>
        <v/>
      </c>
      <c r="CE17" s="30" t="inlineStr">
        <is>
          <t>No</t>
        </is>
      </c>
      <c r="CF17" s="30">
        <f>IF(CE17="Yes",-10,0)</f>
        <v/>
      </c>
      <c r="CG17" s="30" t="inlineStr">
        <is>
          <t>Less than 15%</t>
        </is>
      </c>
      <c r="CH17" s="30">
        <f>IF(CG17="More than 15%",-10,IF(CG17="Less than 15%",10,0))</f>
        <v/>
      </c>
      <c r="CI17" s="30" t="inlineStr">
        <is>
          <t>No</t>
        </is>
      </c>
      <c r="CJ17" s="30">
        <f>IF(CI17="Yes, more than 10%",-10,IF(CI17="No",10,0))</f>
        <v/>
      </c>
    </row>
    <row r="18">
      <c r="A18" s="30">
        <f>IF(B18=0,"",RANK(B18,$B$2:$B$20,0))</f>
        <v/>
      </c>
      <c r="B18" s="31">
        <f>SUM(S18,AD18,AF18,AH18,AJ18,AL18,AN18,AP18,AR18,AT18,AV18,AX18,AZ18,BB18,BD18,BF18,BH18,BJ18,BL18,BN18,BP18,BR18,BT18,BV18,BX18,BZ18,CB18,CD18,CF18,CH18,CJ18)</f>
        <v/>
      </c>
      <c r="C18" s="30" t="inlineStr">
        <is>
          <t>52W Breakout</t>
        </is>
      </c>
      <c r="D18" s="31" t="n">
        <v>138.1</v>
      </c>
      <c r="E18" s="31" t="inlineStr">
        <is>
          <t>5%</t>
        </is>
      </c>
      <c r="F18" s="31" t="n">
        <v>50000</v>
      </c>
      <c r="G18" s="31" t="n">
        <v>21</v>
      </c>
      <c r="H18" s="30" t="inlineStr">
        <is>
          <t>INOXINDIA</t>
        </is>
      </c>
      <c r="I18" s="30" t="inlineStr">
        <is>
          <t>Inox India Ltd</t>
        </is>
      </c>
      <c r="J18" s="30" t="inlineStr">
        <is>
          <t>industrials</t>
        </is>
      </c>
      <c r="K18" s="30" t="inlineStr">
        <is>
          <t>packaging</t>
        </is>
      </c>
      <c r="L18" s="30" t="inlineStr">
        <is>
          <t>midcap</t>
        </is>
      </c>
      <c r="M18" s="31" t="n">
        <v>19836.36</v>
      </c>
      <c r="N18" s="31" t="n">
        <v>2295.8</v>
      </c>
      <c r="O18" s="31" t="n">
        <v>5.05</v>
      </c>
      <c r="P18" s="31" t="n">
        <v>853734</v>
      </c>
      <c r="Q18" s="30" t="n">
        <v>69</v>
      </c>
      <c r="R18" s="30" t="inlineStr">
        <is>
          <t>Outperforming</t>
        </is>
      </c>
      <c r="S18" s="31">
        <f>IF(R18="Underperforming",-5,IF(Q18&gt;=95,15,IF(Q18&gt;=90,10,IF(Q18&gt;=80,5,0))))</f>
        <v/>
      </c>
      <c r="T18" s="31" t="n">
        <v>82.15000000000001</v>
      </c>
      <c r="U18" s="31" t="n">
        <v>64.93000000000001</v>
      </c>
      <c r="V18" s="31" t="n">
        <v>1765.95</v>
      </c>
      <c r="W18" s="30" t="inlineStr">
        <is>
          <t>Near 52W High Breakout</t>
        </is>
      </c>
      <c r="X18" s="30" t="inlineStr">
        <is>
          <t>Nifty 50</t>
        </is>
      </c>
      <c r="Y18" s="31" t="n">
        <v>-6.52</v>
      </c>
      <c r="Z18" s="31" t="n">
        <v>96.51000000000001</v>
      </c>
      <c r="AA18" s="31" t="n">
        <v>110.2</v>
      </c>
      <c r="AB18" s="31" t="n">
        <v>22.08</v>
      </c>
      <c r="AC18" s="30" t="inlineStr">
        <is>
          <t>Cyclical in an Upturn</t>
        </is>
      </c>
      <c r="AD18" s="30">
        <f>IF(AC18="Growing Industry",10,IF(AC18="Cyclical in an Upturn",5,0))</f>
        <v/>
      </c>
      <c r="AE18" s="30" t="inlineStr">
        <is>
          <t>Too Many Players with High ROCE</t>
        </is>
      </c>
      <c r="AF18" s="30">
        <f>IF(AE18="Monopoly",10,IF(AE18="Oligopoly",5,IF(AE18="Duopoly that cooperate",10,IF(AE18="Duopoly that compete",5,IF(AE18="Too many players with High ROCE",5,0)))))</f>
        <v/>
      </c>
      <c r="AG18" s="30" t="inlineStr">
        <is>
          <t>No</t>
        </is>
      </c>
      <c r="AH18" s="30">
        <f>IF(AG18="No",5,0)</f>
        <v/>
      </c>
      <c r="AI18" s="30" t="inlineStr">
        <is>
          <t>Tailwind</t>
        </is>
      </c>
      <c r="AJ18" s="30">
        <f>IF(AI18="Tailwind",10,0)</f>
        <v/>
      </c>
      <c r="AK18" s="30" t="inlineStr">
        <is>
          <t>Structural (10 Years Consistency)</t>
        </is>
      </c>
      <c r="AL18" s="30">
        <f>IF(AK18="Structural (10 Years Consistency)",10,IF(AK18="Shallow Cyclical (2 to 3 years growth)",5,0))</f>
        <v/>
      </c>
      <c r="AM18" s="30" t="inlineStr">
        <is>
          <t>No</t>
        </is>
      </c>
      <c r="AN18" s="30">
        <f>IF(AM18="Yes due to Product Mix change or Operating Leverage",10,IF(AM18="Yes, these are peak margins",-5,IF(AM18="No",5,0)))</f>
        <v/>
      </c>
      <c r="AO18" s="30" t="inlineStr">
        <is>
          <t>Stable</t>
        </is>
      </c>
      <c r="AP18" s="30">
        <f>IF(AO18="Stable",10,0)</f>
        <v/>
      </c>
      <c r="AQ18" s="30" t="inlineStr">
        <is>
          <t>Yes</t>
        </is>
      </c>
      <c r="AR18" s="30">
        <f>IF(AQ18="Yes",10,0)</f>
        <v/>
      </c>
      <c r="AS18" s="30" t="inlineStr">
        <is>
          <t>B2B</t>
        </is>
      </c>
      <c r="AT18" s="30">
        <f>IF(AS18="B2C",10,IF(AS18="B2B",5,0))</f>
        <v/>
      </c>
      <c r="AU18" s="30" t="inlineStr">
        <is>
          <t>Yes</t>
        </is>
      </c>
      <c r="AV18" s="30">
        <f>IF(AU18="Yes",10,0)</f>
        <v/>
      </c>
      <c r="AW18" s="30" t="inlineStr">
        <is>
          <t>Higher One Time, Lower Annuity</t>
        </is>
      </c>
      <c r="AX18" s="30">
        <f>IF(AW18="Fully Annuity",10,IF(AW18="Higher Annuity, Lower One Time",5,IF(AW18="Higher One Time, Lower Annuity",3,0)))</f>
        <v/>
      </c>
      <c r="AY18" s="30" t="inlineStr">
        <is>
          <t>Good</t>
        </is>
      </c>
      <c r="AZ18" s="30">
        <f>IF(AY18="Good",10,0)</f>
        <v/>
      </c>
      <c r="BA18" s="30" t="inlineStr">
        <is>
          <t>Yes for more than 2 years</t>
        </is>
      </c>
      <c r="BB18" s="30">
        <f>IF(BA18="Yes for more than 2 years",10,IF(BA18="Yes only for next 1 to 2 years",5,0))</f>
        <v/>
      </c>
      <c r="BC18" s="30" t="inlineStr">
        <is>
          <t>Above 40</t>
        </is>
      </c>
      <c r="BD18" s="30">
        <f>IF(BC18="Above 40",20,IF(BC18="20 to 40",10,IF(BC18="0 to 20",-5,0)))</f>
        <v/>
      </c>
      <c r="BE18" s="30" t="inlineStr">
        <is>
          <t>Above 75</t>
        </is>
      </c>
      <c r="BF18" s="30">
        <f>IF(BE18="Between 50 to 75",10,IF(BE18="Above 75",0,0))</f>
        <v/>
      </c>
      <c r="BG18" s="30" t="inlineStr">
        <is>
          <t>Stage 2</t>
        </is>
      </c>
      <c r="BH18" s="30">
        <f>IF(BG18="Stage 2",20,IF(BG18="Stage 1",0,IF(BG18="Stage 3",5,IF(BG18="Stage 4",-5,0))))</f>
        <v/>
      </c>
      <c r="BI18" s="30" t="inlineStr">
        <is>
          <t>Positive Trend</t>
        </is>
      </c>
      <c r="BJ18" s="30">
        <f>IF(BI18="Positive Trend",20,IF(BI18="Negative Trend",-10,0))</f>
        <v/>
      </c>
      <c r="BK18" s="30" t="inlineStr">
        <is>
          <t>Uptrend</t>
        </is>
      </c>
      <c r="BL18" s="30">
        <f>IF(BK18="Uptrend",10,IF(BK18="Sideways",5,0))</f>
        <v/>
      </c>
      <c r="BM18" s="30" t="inlineStr">
        <is>
          <t>Uptrend</t>
        </is>
      </c>
      <c r="BN18" s="30">
        <f>IF(BM18="Uptrend",10,IF(BM18="Sideways",5,0))</f>
        <v/>
      </c>
      <c r="BO18" s="30" t="inlineStr">
        <is>
          <t>Blue sky scenario</t>
        </is>
      </c>
      <c r="BP18" s="30">
        <f>IF(BO18="Overhead supply in last 2 years in last 2 years",-5,IF(BO18="Close to 52 week high or retracement",5,IF(BO18="Blue sky scenario",10,IF(BO18="Long term Downtrend",-10,0))))</f>
        <v/>
      </c>
      <c r="BQ18" s="30" t="inlineStr">
        <is>
          <t>Yes</t>
        </is>
      </c>
      <c r="BR18" s="30">
        <f>IF(BQ18="Yes",10,0)</f>
        <v/>
      </c>
      <c r="BS18" s="30" t="inlineStr">
        <is>
          <t>Less than 12%</t>
        </is>
      </c>
      <c r="BT18" s="30">
        <f>IF(BS18="More than 20%",10,IF(BS18="Between 12 to 20%",5,IF(BS18="Less than 12%",0,0)))</f>
        <v/>
      </c>
      <c r="BU18" s="30" t="inlineStr">
        <is>
          <t>No</t>
        </is>
      </c>
      <c r="BV18" s="30">
        <f>IF(BU18="No",10,0)</f>
        <v/>
      </c>
      <c r="BW18" s="30" t="inlineStr">
        <is>
          <t>Yes</t>
        </is>
      </c>
      <c r="BX18" s="30">
        <f>IF(BW18="NO",5,0)</f>
        <v/>
      </c>
      <c r="BY18" s="30" t="inlineStr">
        <is>
          <t>Above 2</t>
        </is>
      </c>
      <c r="BZ18" s="30">
        <f>IF(BY18="Above 2",0,IF(BY18="Between 1.5 to 2",5,IF(BY18="Less than 1.5",10,0)))</f>
        <v/>
      </c>
      <c r="CA18" s="30" t="inlineStr">
        <is>
          <t>Above 70%</t>
        </is>
      </c>
      <c r="CB18" s="30">
        <f>IF(CA18="Above 70%",10,IF(CA18="Between 50% to 70%",5,IF(CA18="Less than 50%",0,IF(CA18="Negative",-10,IF(CA18="Less than 50% and Borrowings are increasing",-5,0)))))</f>
        <v/>
      </c>
      <c r="CC18" s="30" t="inlineStr">
        <is>
          <t>Less than 0.7</t>
        </is>
      </c>
      <c r="CD18" s="30">
        <f>IF(CC18="More than 1.2",-10,IF(CC18="Between 0.7 to 1.2",0,IF(CC18="Less than 0.7",10,0)))</f>
        <v/>
      </c>
      <c r="CE18" s="30" t="inlineStr">
        <is>
          <t>No</t>
        </is>
      </c>
      <c r="CF18" s="30">
        <f>IF(CE18="Yes",-10,0)</f>
        <v/>
      </c>
      <c r="CG18" s="30" t="inlineStr">
        <is>
          <t>Less than 15%</t>
        </is>
      </c>
      <c r="CH18" s="30">
        <f>IF(CG18="More than 15%",-10,IF(CG18="Less than 15%",10,0))</f>
        <v/>
      </c>
      <c r="CI18" s="30" t="inlineStr">
        <is>
          <t>No</t>
        </is>
      </c>
      <c r="CJ18" s="30">
        <f>IF(CI18="Yes, more than 10%",-10,IF(CI18="No",10,0))</f>
        <v/>
      </c>
    </row>
    <row r="19">
      <c r="A19" s="30">
        <f>IF(B19=0,"",RANK(B19,$B$2:$B$20,0))</f>
        <v/>
      </c>
      <c r="B19" s="31">
        <f>SUM(S19,AD19,AF19,AH19,AJ19,AL19,AN19,AP19,AR19,AT19,AV19,AX19,AZ19,BB19,BD19,BF19,BH19,BJ19,BL19,BN19,BP19,BR19,BT19,BV19,BX19,BZ19,CB19,CD19,CF19,CH19,CJ19)</f>
        <v/>
      </c>
      <c r="C19" s="30" t="inlineStr">
        <is>
          <t>52W Breakout</t>
        </is>
      </c>
      <c r="D19" s="31" t="n">
        <v>138.6</v>
      </c>
      <c r="E19" s="31" t="inlineStr">
        <is>
          <t>5%</t>
        </is>
      </c>
      <c r="F19" s="31" t="n">
        <v>50000</v>
      </c>
      <c r="G19" s="31" t="n">
        <v>160</v>
      </c>
      <c r="H19" s="30" t="inlineStr">
        <is>
          <t>RATNAVEER</t>
        </is>
      </c>
      <c r="I19" s="30" t="inlineStr">
        <is>
          <t>Ratnaveer Precision Engineering Ltd</t>
        </is>
      </c>
      <c r="J19" s="30" t="inlineStr">
        <is>
          <t>metals &amp; mining</t>
        </is>
      </c>
      <c r="K19" s="30" t="inlineStr">
        <is>
          <t>steel - medium / small</t>
        </is>
      </c>
      <c r="L19" s="30" t="inlineStr">
        <is>
          <t>smallcap</t>
        </is>
      </c>
      <c r="M19" s="31" t="n">
        <v>2142.09</v>
      </c>
      <c r="N19" s="31" t="n">
        <v>310.6</v>
      </c>
      <c r="O19" s="31" t="n">
        <v>3.57</v>
      </c>
      <c r="P19" s="31" t="n">
        <v>3836811</v>
      </c>
      <c r="Q19" s="30" t="n">
        <v>92</v>
      </c>
      <c r="R19" s="30" t="inlineStr">
        <is>
          <t>Outperforming</t>
        </is>
      </c>
      <c r="S19" s="31">
        <f>IF(R19="Underperforming",-5,IF(Q19&gt;=95,15,IF(Q19&gt;=90,10,IF(Q19&gt;=80,5,0))))</f>
        <v/>
      </c>
      <c r="T19" s="31" t="n">
        <v>83.72</v>
      </c>
      <c r="U19" s="31" t="n">
        <v>57.44</v>
      </c>
      <c r="V19" s="31" t="n">
        <v>233.17</v>
      </c>
      <c r="W19" s="30" t="inlineStr">
        <is>
          <t>Near 52W High Breakout</t>
        </is>
      </c>
      <c r="X19" s="30" t="inlineStr">
        <is>
          <t>Nifty Metal</t>
        </is>
      </c>
      <c r="Y19" s="31" t="n">
        <v>41.17</v>
      </c>
      <c r="Z19" s="31" t="n">
        <v>100.21</v>
      </c>
      <c r="AA19" s="31" t="n">
        <v>41.82</v>
      </c>
      <c r="AB19" s="31" t="n">
        <v>44.51</v>
      </c>
      <c r="AC19" s="30" t="inlineStr">
        <is>
          <t>Cyclical in an Upturn</t>
        </is>
      </c>
      <c r="AD19" s="30">
        <f>IF(AC19="Growing Industry",10,IF(AC19="Cyclical in an Upturn",5,0))</f>
        <v/>
      </c>
      <c r="AE19" s="30" t="inlineStr">
        <is>
          <t>Too Many Players with High ROCE</t>
        </is>
      </c>
      <c r="AF19" s="30">
        <f>IF(AE19="Monopoly",10,IF(AE19="Oligopoly",5,IF(AE19="Duopoly that cooperate",10,IF(AE19="Duopoly that compete",5,IF(AE19="Too many players with High ROCE",5,0)))))</f>
        <v/>
      </c>
      <c r="AG19" s="30" t="inlineStr">
        <is>
          <t>No</t>
        </is>
      </c>
      <c r="AH19" s="30">
        <f>IF(AG19="No",5,0)</f>
        <v/>
      </c>
      <c r="AI19" s="30" t="inlineStr">
        <is>
          <t>Tailwind</t>
        </is>
      </c>
      <c r="AJ19" s="30">
        <f>IF(AI19="Tailwind",10,0)</f>
        <v/>
      </c>
      <c r="AK19" s="30" t="inlineStr">
        <is>
          <t>Cyclical</t>
        </is>
      </c>
      <c r="AL19" s="30">
        <f>IF(AK19="Structural (10 Years Consistency)",10,IF(AK19="Shallow Cyclical (2 to 3 years growth)",5,0))</f>
        <v/>
      </c>
      <c r="AM19" s="30" t="inlineStr">
        <is>
          <t>No</t>
        </is>
      </c>
      <c r="AN19" s="30">
        <f>IF(AM19="Yes due to Product Mix change or Operating Leverage",10,IF(AM19="Yes, these are peak margins",-5,IF(AM19="No",5,0)))</f>
        <v/>
      </c>
      <c r="AO19" s="30" t="inlineStr">
        <is>
          <t>Volatile</t>
        </is>
      </c>
      <c r="AP19" s="30">
        <f>IF(AO19="Stable",10,0)</f>
        <v/>
      </c>
      <c r="AQ19" s="30" t="inlineStr">
        <is>
          <t>Yes</t>
        </is>
      </c>
      <c r="AR19" s="30">
        <f>IF(AQ19="Yes",10,0)</f>
        <v/>
      </c>
      <c r="AS19" s="30" t="inlineStr">
        <is>
          <t>B2B</t>
        </is>
      </c>
      <c r="AT19" s="30">
        <f>IF(AS19="B2C",10,IF(AS19="B2B",5,0))</f>
        <v/>
      </c>
      <c r="AU19" s="30" t="inlineStr">
        <is>
          <t>Yes</t>
        </is>
      </c>
      <c r="AV19" s="30">
        <f>IF(AU19="Yes",10,0)</f>
        <v/>
      </c>
      <c r="AW19" s="30" t="inlineStr">
        <is>
          <t>Higher One Time, Lower Annuity</t>
        </is>
      </c>
      <c r="AX19" s="30">
        <f>IF(AW19="Fully Annuity",10,IF(AW19="Higher Annuity, Lower One Time",5,IF(AW19="Higher One Time, Lower Annuity",3,0)))</f>
        <v/>
      </c>
      <c r="AY19" s="30" t="inlineStr">
        <is>
          <t>Good</t>
        </is>
      </c>
      <c r="AZ19" s="30">
        <f>IF(AY19="Good",10,0)</f>
        <v/>
      </c>
      <c r="BA19" s="30" t="inlineStr">
        <is>
          <t>Yes for more than 2 years</t>
        </is>
      </c>
      <c r="BB19" s="30">
        <f>IF(BA19="Yes for more than 2 years",10,IF(BA19="Yes only for next 1 to 2 years",5,0))</f>
        <v/>
      </c>
      <c r="BC19" s="30" t="inlineStr">
        <is>
          <t>Above 40</t>
        </is>
      </c>
      <c r="BD19" s="30">
        <f>IF(BC19="Above 40",20,IF(BC19="20 to 40",10,IF(BC19="0 to 20",-5,0)))</f>
        <v/>
      </c>
      <c r="BE19" s="30" t="inlineStr">
        <is>
          <t>Above 75</t>
        </is>
      </c>
      <c r="BF19" s="30">
        <f>IF(BE19="Between 50 to 75",10,IF(BE19="Above 75",0,0))</f>
        <v/>
      </c>
      <c r="BG19" s="30" t="inlineStr">
        <is>
          <t>Stage 2</t>
        </is>
      </c>
      <c r="BH19" s="30">
        <f>IF(BG19="Stage 2",20,IF(BG19="Stage 1",0,IF(BG19="Stage 3",5,IF(BG19="Stage 4",-5,0))))</f>
        <v/>
      </c>
      <c r="BI19" s="30" t="inlineStr">
        <is>
          <t>Positive Trend</t>
        </is>
      </c>
      <c r="BJ19" s="30">
        <f>IF(BI19="Positive Trend",20,IF(BI19="Negative Trend",-10,0))</f>
        <v/>
      </c>
      <c r="BK19" s="30" t="inlineStr">
        <is>
          <t>Uptrend</t>
        </is>
      </c>
      <c r="BL19" s="30">
        <f>IF(BK19="Uptrend",10,IF(BK19="Sideways",5,0))</f>
        <v/>
      </c>
      <c r="BM19" s="30" t="inlineStr">
        <is>
          <t>Uptrend</t>
        </is>
      </c>
      <c r="BN19" s="30">
        <f>IF(BM19="Uptrend",10,IF(BM19="Sideways",5,0))</f>
        <v/>
      </c>
      <c r="BO19" s="30" t="inlineStr">
        <is>
          <t>Blue sky scenario</t>
        </is>
      </c>
      <c r="BP19" s="30">
        <f>IF(BO19="Overhead supply in last 2 years in last 2 years",-5,IF(BO19="Close to 52 week high or retracement",5,IF(BO19="Blue sky scenario",10,IF(BO19="Long term Downtrend",-10,0))))</f>
        <v/>
      </c>
      <c r="BQ19" s="30" t="inlineStr">
        <is>
          <t>Yes</t>
        </is>
      </c>
      <c r="BR19" s="30">
        <f>IF(BQ19="Yes",10,0)</f>
        <v/>
      </c>
      <c r="BS19" s="30" t="inlineStr">
        <is>
          <t>Less than 12%</t>
        </is>
      </c>
      <c r="BT19" s="30">
        <f>IF(BS19="More than 20%",10,IF(BS19="Between 12 to 20%",5,IF(BS19="Less than 12%",0,0)))</f>
        <v/>
      </c>
      <c r="BU19" s="30" t="inlineStr">
        <is>
          <t>No</t>
        </is>
      </c>
      <c r="BV19" s="30">
        <f>IF(BU19="No",10,0)</f>
        <v/>
      </c>
      <c r="BW19" s="30" t="inlineStr">
        <is>
          <t>No</t>
        </is>
      </c>
      <c r="BX19" s="30">
        <f>IF(BW19="NO",5,0)</f>
        <v/>
      </c>
      <c r="BY19" s="30" t="inlineStr">
        <is>
          <t>Above 2</t>
        </is>
      </c>
      <c r="BZ19" s="30">
        <f>IF(BY19="Above 2",0,IF(BY19="Between 1.5 to 2",5,IF(BY19="Less than 1.5",10,0)))</f>
        <v/>
      </c>
      <c r="CA19" s="30" t="inlineStr">
        <is>
          <t>Above 70%</t>
        </is>
      </c>
      <c r="CB19" s="30">
        <f>IF(CA19="Above 70%",10,IF(CA19="Between 50% to 70%",5,IF(CA19="Less than 50%",0,IF(CA19="Negative",-10,IF(CA19="Less than 50% and Borrowings are increasing",-5,0)))))</f>
        <v/>
      </c>
      <c r="CC19" s="30" t="inlineStr">
        <is>
          <t>Less than 0.7</t>
        </is>
      </c>
      <c r="CD19" s="30">
        <f>IF(CC19="More than 1.2",-10,IF(CC19="Between 0.7 to 1.2",0,IF(CC19="Less than 0.7",10,0)))</f>
        <v/>
      </c>
      <c r="CE19" s="30" t="inlineStr">
        <is>
          <t>No</t>
        </is>
      </c>
      <c r="CF19" s="30">
        <f>IF(CE19="Yes",-10,0)</f>
        <v/>
      </c>
      <c r="CG19" s="30" t="inlineStr">
        <is>
          <t>Less than 15%</t>
        </is>
      </c>
      <c r="CH19" s="30">
        <f>IF(CG19="More than 15%",-10,IF(CG19="Less than 15%",10,0))</f>
        <v/>
      </c>
      <c r="CI19" s="30" t="inlineStr">
        <is>
          <t>No</t>
        </is>
      </c>
      <c r="CJ19" s="30">
        <f>IF(CI19="Yes, more than 10%",-10,IF(CI19="No",10,0))</f>
        <v/>
      </c>
    </row>
    <row r="20">
      <c r="A20" s="30">
        <f>IF(B20=0,"",RANK(B20,$B$2:$B$20,0))</f>
        <v/>
      </c>
      <c r="B20" s="31">
        <f>SUM(S20,AD20,AF20,AH20,AJ20,AL20,AN20,AP20,AR20,AT20,AV20,AX20,AZ20,BB20,BD20,BF20,BH20,BJ20,BL20,BN20,BP20,BR20,BT20,BV20,BX20,BZ20,CB20,CD20,CF20,CH20,CJ20)</f>
        <v/>
      </c>
      <c r="C20" s="30" t="inlineStr">
        <is>
          <t>EMA Crossover</t>
        </is>
      </c>
      <c r="D20" s="31" t="n">
        <v>144.1</v>
      </c>
      <c r="E20" s="31" t="inlineStr">
        <is>
          <t>7%</t>
        </is>
      </c>
      <c r="F20" s="31" t="n">
        <v>70000</v>
      </c>
      <c r="G20" s="31" t="n">
        <v>21</v>
      </c>
      <c r="H20" s="30" t="inlineStr">
        <is>
          <t>TIMKEN</t>
        </is>
      </c>
      <c r="I20" s="30" t="inlineStr">
        <is>
          <t>Timken India Limited</t>
        </is>
      </c>
      <c r="J20" s="30" t="inlineStr">
        <is>
          <t>industrials</t>
        </is>
      </c>
      <c r="K20" s="30" t="inlineStr">
        <is>
          <t>bearings</t>
        </is>
      </c>
      <c r="L20" s="30" t="inlineStr">
        <is>
          <t>largecap</t>
        </is>
      </c>
      <c r="M20" s="31" t="n">
        <v>23869.91</v>
      </c>
      <c r="N20" s="31" t="n">
        <v>3297.2</v>
      </c>
      <c r="O20" s="31" t="n">
        <v>3.9</v>
      </c>
      <c r="P20" s="31" t="n">
        <v>72555</v>
      </c>
      <c r="Q20" s="30" t="n">
        <v>4</v>
      </c>
      <c r="R20" s="30" t="inlineStr">
        <is>
          <t>Outperforming</t>
        </is>
      </c>
      <c r="S20" s="31">
        <f>IF(R20="Underperforming",-5,IF(Q20&gt;=95,15,IF(Q20&gt;=90,10,IF(Q20&gt;=80,5,0))))</f>
        <v/>
      </c>
      <c r="T20" s="31" t="n">
        <v>49.92</v>
      </c>
      <c r="U20" s="31" t="n">
        <v>12.89</v>
      </c>
      <c r="V20" s="31" t="n">
        <v>3056.07</v>
      </c>
      <c r="W20" s="30" t="inlineStr">
        <is>
          <t>Earnings / Momentum Support</t>
        </is>
      </c>
      <c r="X20" s="30" t="inlineStr">
        <is>
          <t>Nifty 50</t>
        </is>
      </c>
      <c r="Y20" s="31" t="n">
        <v>-6.52</v>
      </c>
      <c r="Z20" s="31" t="n">
        <v>9.050000000000001</v>
      </c>
      <c r="AA20" s="31" t="n">
        <v>16.65</v>
      </c>
      <c r="AB20" s="31" t="n">
        <v>0.63</v>
      </c>
      <c r="AC20" s="30" t="inlineStr">
        <is>
          <t>Cyclical in an Upturn</t>
        </is>
      </c>
      <c r="AD20" s="30">
        <f>IF(AC20="Growing Industry",10,IF(AC20="Cyclical in an Upturn",5,0))</f>
        <v/>
      </c>
      <c r="AE20" s="30" t="inlineStr">
        <is>
          <t>Too Many Players with High ROCE</t>
        </is>
      </c>
      <c r="AF20" s="30">
        <f>IF(AE20="Monopoly",10,IF(AE20="Oligopoly",5,IF(AE20="Duopoly that cooperate",10,IF(AE20="Duopoly that compete",5,IF(AE20="Too many players with High ROCE",5,0)))))</f>
        <v/>
      </c>
      <c r="AG20" s="30" t="inlineStr">
        <is>
          <t>No</t>
        </is>
      </c>
      <c r="AH20" s="30">
        <f>IF(AG20="No",5,0)</f>
        <v/>
      </c>
      <c r="AI20" s="30" t="inlineStr">
        <is>
          <t>Tailwind</t>
        </is>
      </c>
      <c r="AJ20" s="30">
        <f>IF(AI20="Tailwind",10,0)</f>
        <v/>
      </c>
      <c r="AK20" s="30" t="inlineStr">
        <is>
          <t>Structural (10 Years Consistency)</t>
        </is>
      </c>
      <c r="AL20" s="30">
        <f>IF(AK20="Structural (10 Years Consistency)",10,IF(AK20="Shallow Cyclical (2 to 3 years growth)",5,0))</f>
        <v/>
      </c>
      <c r="AM20" s="30" t="inlineStr">
        <is>
          <t>No</t>
        </is>
      </c>
      <c r="AN20" s="30">
        <f>IF(AM20="Yes due to Product Mix change or Operating Leverage",10,IF(AM20="Yes, these are peak margins",-5,IF(AM20="No",5,0)))</f>
        <v/>
      </c>
      <c r="AO20" s="30" t="inlineStr">
        <is>
          <t>Stable</t>
        </is>
      </c>
      <c r="AP20" s="30">
        <f>IF(AO20="Stable",10,0)</f>
        <v/>
      </c>
      <c r="AQ20" s="30" t="inlineStr">
        <is>
          <t>Yes</t>
        </is>
      </c>
      <c r="AR20" s="30">
        <f>IF(AQ20="Yes",10,0)</f>
        <v/>
      </c>
      <c r="AS20" s="30" t="inlineStr">
        <is>
          <t>B2B</t>
        </is>
      </c>
      <c r="AT20" s="30">
        <f>IF(AS20="B2C",10,IF(AS20="B2B",5,0))</f>
        <v/>
      </c>
      <c r="AU20" s="30" t="inlineStr">
        <is>
          <t>No</t>
        </is>
      </c>
      <c r="AV20" s="30">
        <f>IF(AU20="Yes",10,0)</f>
        <v/>
      </c>
      <c r="AW20" s="30" t="inlineStr">
        <is>
          <t>Higher One Time, Lower Annuity</t>
        </is>
      </c>
      <c r="AX20" s="30">
        <f>IF(AW20="Fully Annuity",10,IF(AW20="Higher Annuity, Lower One Time",5,IF(AW20="Higher One Time, Lower Annuity",3,0)))</f>
        <v/>
      </c>
      <c r="AY20" s="30" t="inlineStr">
        <is>
          <t>Good</t>
        </is>
      </c>
      <c r="AZ20" s="30">
        <f>IF(AY20="Good",10,0)</f>
        <v/>
      </c>
      <c r="BA20" s="30" t="inlineStr">
        <is>
          <t>Yes for more than 2 years</t>
        </is>
      </c>
      <c r="BB20" s="30">
        <f>IF(BA20="Yes for more than 2 years",10,IF(BA20="Yes only for next 1 to 2 years",5,0))</f>
        <v/>
      </c>
      <c r="BC20" s="30" t="inlineStr">
        <is>
          <t>0 to 20</t>
        </is>
      </c>
      <c r="BD20" s="30">
        <f>IF(BC20="Above 40",20,IF(BC20="20 to 40",10,IF(BC20="0 to 20",-5,0)))</f>
        <v/>
      </c>
      <c r="BE20" s="30" t="inlineStr">
        <is>
          <t>Below 45</t>
        </is>
      </c>
      <c r="BF20" s="30">
        <f>IF(BE20="Between 50 to 75",10,IF(BE20="Above 75",0,0))</f>
        <v/>
      </c>
      <c r="BG20" s="30" t="inlineStr">
        <is>
          <t>Stage 4</t>
        </is>
      </c>
      <c r="BH20" s="30">
        <f>IF(BG20="Stage 2",20,IF(BG20="Stage 1",0,IF(BG20="Stage 3",5,IF(BG20="Stage 4",-5,0))))</f>
        <v/>
      </c>
      <c r="BI20" s="30" t="inlineStr">
        <is>
          <t>Positive Trend</t>
        </is>
      </c>
      <c r="BJ20" s="30">
        <f>IF(BI20="Positive Trend",20,IF(BI20="Negative Trend",-10,0))</f>
        <v/>
      </c>
      <c r="BK20" s="30" t="inlineStr">
        <is>
          <t>Uptrend</t>
        </is>
      </c>
      <c r="BL20" s="30">
        <f>IF(BK20="Uptrend",10,IF(BK20="Sideways",5,0))</f>
        <v/>
      </c>
      <c r="BM20" s="30" t="inlineStr">
        <is>
          <t>Uptrend</t>
        </is>
      </c>
      <c r="BN20" s="30">
        <f>IF(BM20="Uptrend",10,IF(BM20="Sideways",5,0))</f>
        <v/>
      </c>
      <c r="BO20" s="30" t="inlineStr">
        <is>
          <t>Close to 52 week high or retracement</t>
        </is>
      </c>
      <c r="BP20" s="30">
        <f>IF(BO20="Overhead supply in last 2 years in last 2 years",-5,IF(BO20="Close to 52 week high or retracement",5,IF(BO20="Blue sky scenario",10,IF(BO20="Long term Downtrend",-10,0))))</f>
        <v/>
      </c>
      <c r="BQ20" s="30" t="inlineStr">
        <is>
          <t>Yes</t>
        </is>
      </c>
      <c r="BR20" s="30">
        <f>IF(BQ20="Yes",10,0)</f>
        <v/>
      </c>
      <c r="BS20" s="30" t="inlineStr">
        <is>
          <t>Between 12 to 20%</t>
        </is>
      </c>
      <c r="BT20" s="30">
        <f>IF(BS20="More than 20%",10,IF(BS20="Between 12 to 20%",5,IF(BS20="Less than 12%",0,0)))</f>
        <v/>
      </c>
      <c r="BU20" s="30" t="inlineStr">
        <is>
          <t>No</t>
        </is>
      </c>
      <c r="BV20" s="30">
        <f>IF(BU20="No",10,0)</f>
        <v/>
      </c>
      <c r="BW20" s="30" t="inlineStr">
        <is>
          <t>Yes</t>
        </is>
      </c>
      <c r="BX20" s="30">
        <f>IF(BW20="NO",5,0)</f>
        <v/>
      </c>
      <c r="BY20" s="30" t="inlineStr">
        <is>
          <t>Above 2</t>
        </is>
      </c>
      <c r="BZ20" s="30">
        <f>IF(BY20="Above 2",0,IF(BY20="Between 1.5 to 2",5,IF(BY20="Less than 1.5",10,0)))</f>
        <v/>
      </c>
      <c r="CA20" s="30" t="inlineStr">
        <is>
          <t>Above 70%</t>
        </is>
      </c>
      <c r="CB20" s="30">
        <f>IF(CA20="Above 70%",10,IF(CA20="Between 50% to 70%",5,IF(CA20="Less than 50%",0,IF(CA20="Negative",-10,IF(CA20="Less than 50% and Borrowings are increasing",-5,0)))))</f>
        <v/>
      </c>
      <c r="CC20" s="30" t="inlineStr">
        <is>
          <t>Less than 0.7</t>
        </is>
      </c>
      <c r="CD20" s="30">
        <f>IF(CC20="More than 1.2",-10,IF(CC20="Between 0.7 to 1.2",0,IF(CC20="Less than 0.7",10,0)))</f>
        <v/>
      </c>
      <c r="CE20" s="30" t="inlineStr">
        <is>
          <t>No</t>
        </is>
      </c>
      <c r="CF20" s="30">
        <f>IF(CE20="Yes",-10,0)</f>
        <v/>
      </c>
      <c r="CG20" s="30" t="inlineStr">
        <is>
          <t>Less than 15%</t>
        </is>
      </c>
      <c r="CH20" s="30">
        <f>IF(CG20="More than 15%",-10,IF(CG20="Less than 15%",10,0))</f>
        <v/>
      </c>
      <c r="CI20" s="30" t="inlineStr">
        <is>
          <t>No</t>
        </is>
      </c>
      <c r="CJ20" s="30">
        <f>IF(CI20="Yes, more than 10%",-10,IF(CI20="No",10,0))</f>
        <v/>
      </c>
    </row>
  </sheetData>
  <autoFilter ref="A1:CJ20"/>
  <conditionalFormatting sqref="B2:B20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0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0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0">
    <cfRule type="cellIs" priority="36" operator="equal" dxfId="3" stopIfTrue="1">
      <formula>"Underperforming"</formula>
    </cfRule>
  </conditionalFormatting>
  <conditionalFormatting sqref="S2:S20">
    <cfRule type="cellIs" priority="37" operator="equal" dxfId="3" stopIfTrue="1">
      <formula>-5</formula>
    </cfRule>
  </conditionalFormatting>
  <conditionalFormatting sqref="V2:V20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0" showDropDown="0" showInputMessage="0" showErrorMessage="0" allowBlank="1" type="list">
      <formula1>"Growing Industry,Stagnant Industry,Cyclical in an Upturn"</formula1>
    </dataValidation>
    <dataValidation sqref="AE2:AE20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0" showDropDown="0" showInputMessage="0" showErrorMessage="0" allowBlank="1" type="list">
      <formula1>"Yes,No"</formula1>
    </dataValidation>
    <dataValidation sqref="AI2:AI20" showDropDown="0" showInputMessage="0" showErrorMessage="0" allowBlank="1" type="list">
      <formula1>"Tailwind,Headwind"</formula1>
    </dataValidation>
    <dataValidation sqref="AK2:AK20" showDropDown="0" showInputMessage="0" showErrorMessage="0" allowBlank="1" type="list">
      <formula1>"Structural (10 Years Consistency),Shallow Cyclical (2 to 3 Years Growth),Cyclical"</formula1>
    </dataValidation>
    <dataValidation sqref="AM2:AM20" showDropDown="0" showInputMessage="0" showErrorMessage="0" allowBlank="1" type="list">
      <formula1>"Yes due to Product Mix change or Operating Leverage,Yes, these are peak margins,No"</formula1>
    </dataValidation>
    <dataValidation sqref="AO2:AO20" showDropDown="0" showInputMessage="0" showErrorMessage="0" allowBlank="1" type="list">
      <formula1>"Stable,Volatile"</formula1>
    </dataValidation>
    <dataValidation sqref="AQ2:AQ20" showDropDown="0" showInputMessage="0" showErrorMessage="0" allowBlank="1" type="list">
      <formula1>"Yes,No"</formula1>
    </dataValidation>
    <dataValidation sqref="AS2:AS20" showDropDown="0" showInputMessage="0" showErrorMessage="0" allowBlank="1" type="list">
      <formula1>"B2C,B2B,B2G"</formula1>
    </dataValidation>
    <dataValidation sqref="AU2:AU20" showDropDown="0" showInputMessage="0" showErrorMessage="0" allowBlank="1" type="list">
      <formula1>"Yes,No"</formula1>
    </dataValidation>
    <dataValidation sqref="AW2:AW20" showDropDown="0" showInputMessage="0" showErrorMessage="0" allowBlank="1" type="list">
      <formula1>"Fully Annuity,Higher Annuity, Lower One time,Higher One Time, Lower Annuity,Fully One Time"</formula1>
    </dataValidation>
    <dataValidation sqref="AY2:AY20" showDropDown="0" showInputMessage="0" showErrorMessage="0" allowBlank="1" type="list">
      <formula1>"Good,Allocated capital in Non-core Areas"</formula1>
    </dataValidation>
    <dataValidation sqref="BA2:BA20" showDropDown="0" showInputMessage="0" showErrorMessage="0" allowBlank="1" type="list">
      <formula1>"Yes for more than 2 years,Yes only for next 1 to 2 years,No"</formula1>
    </dataValidation>
    <dataValidation sqref="BC2:BC20" showDropDown="0" showInputMessage="0" showErrorMessage="0" allowBlank="1" type="list">
      <formula1>"Above 40,20 to 40,0 to 20"</formula1>
    </dataValidation>
    <dataValidation sqref="BE2:BE20" showDropDown="0" showInputMessage="0" showErrorMessage="0" allowBlank="1" type="list">
      <formula1>"Between 50 to 75,Above 75,Below 45"</formula1>
    </dataValidation>
    <dataValidation sqref="BG2:BG20" showDropDown="0" showInputMessage="0" showErrorMessage="0" allowBlank="1" type="list">
      <formula1>"Stage 1,Stage 2,Stage 3,Stage 4"</formula1>
    </dataValidation>
    <dataValidation sqref="BI2:BI20" showDropDown="0" showInputMessage="0" showErrorMessage="0" allowBlank="1" type="list">
      <formula1>"Positive Trend,Negative Trend"</formula1>
    </dataValidation>
    <dataValidation sqref="BK2:BK20" showDropDown="0" showInputMessage="0" showErrorMessage="0" allowBlank="1" type="list">
      <formula1>"Uptrend,Sideways,Downtrend"</formula1>
    </dataValidation>
    <dataValidation sqref="BM2:BM20" showDropDown="0" showInputMessage="0" showErrorMessage="0" allowBlank="1" type="list">
      <formula1>"Uptrend,Sideways,Downtrend"</formula1>
    </dataValidation>
    <dataValidation sqref="BO2:BO20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0" showDropDown="0" showInputMessage="0" showErrorMessage="0" allowBlank="1" type="list">
      <formula1>"Yes,No"</formula1>
    </dataValidation>
    <dataValidation sqref="BS2:BS20" showDropDown="0" showInputMessage="0" showErrorMessage="0" allowBlank="1" type="list">
      <formula1>"More than 20%,Between 12 to 20%,Less than 12%"</formula1>
    </dataValidation>
    <dataValidation sqref="BU2:BU20" showDropDown="0" showInputMessage="0" showErrorMessage="0" allowBlank="1" type="list">
      <formula1>"Yes,No"</formula1>
    </dataValidation>
    <dataValidation sqref="BW2:BW20" showDropDown="0" showInputMessage="0" showErrorMessage="0" allowBlank="1" type="list">
      <formula1>"Yes,No"</formula1>
    </dataValidation>
    <dataValidation sqref="BY2:BY20" showDropDown="0" showInputMessage="0" showErrorMessage="0" allowBlank="1" type="list">
      <formula1>"Above 2,Between 1.5 to 2,Less than 1.5"</formula1>
    </dataValidation>
    <dataValidation sqref="CA2:CA20" showDropDown="0" showInputMessage="0" showErrorMessage="0" allowBlank="1" type="list">
      <formula1>"Above 70%,Between 50% to 70%,Less than 50%,Less than 50% and Borrowings are increasing,Negative"</formula1>
    </dataValidation>
    <dataValidation sqref="CC2:CC20" showDropDown="0" showInputMessage="0" showErrorMessage="0" allowBlank="1" type="list">
      <formula1>"More than 1.2,Between 0.7 to 1.2,Less than 0.7"</formula1>
    </dataValidation>
    <dataValidation sqref="CE2:CE20" showDropDown="0" showInputMessage="0" showErrorMessage="0" allowBlank="1" type="list">
      <formula1>"Yes,No"</formula1>
    </dataValidation>
    <dataValidation sqref="CG2:CG20" showDropDown="0" showInputMessage="0" showErrorMessage="0" allowBlank="1" type="list">
      <formula1>"More than 15%,Less than 15%"</formula1>
    </dataValidation>
    <dataValidation sqref="CI2:CI20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4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NIM</t>
        </is>
      </c>
      <c r="AN1" s="29" t="inlineStr">
        <is>
          <t>NIM Score</t>
        </is>
      </c>
      <c r="AO1" s="29" t="inlineStr">
        <is>
          <t>CASA Ratio</t>
        </is>
      </c>
      <c r="AP1" s="29" t="inlineStr">
        <is>
          <t>CASA Ratio Score</t>
        </is>
      </c>
      <c r="AQ1" s="29" t="inlineStr">
        <is>
          <t>Profit cyclicality</t>
        </is>
      </c>
      <c r="AR1" s="29" t="inlineStr">
        <is>
          <t>Profit cyclicality Score</t>
        </is>
      </c>
      <c r="AS1" s="29" t="inlineStr">
        <is>
          <t>CAR Ratio</t>
        </is>
      </c>
      <c r="AT1" s="29" t="inlineStr">
        <is>
          <t>CAR Ratio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High P/BV</t>
        </is>
      </c>
      <c r="AX1" s="29" t="inlineStr">
        <is>
          <t>High P/BV Score</t>
        </is>
      </c>
      <c r="AY1" s="29" t="inlineStr">
        <is>
          <t>Asset Quality Divergence</t>
        </is>
      </c>
      <c r="AZ1" s="29" t="inlineStr">
        <is>
          <t>Asset Quality Divergence Score</t>
        </is>
      </c>
      <c r="BA1" s="29" t="inlineStr">
        <is>
          <t>Reported loss</t>
        </is>
      </c>
      <c r="BB1" s="29" t="inlineStr">
        <is>
          <t>Reported loss Score</t>
        </is>
      </c>
      <c r="BC1" s="29" t="inlineStr">
        <is>
          <t>CEO Resignation</t>
        </is>
      </c>
      <c r="BD1" s="29" t="inlineStr">
        <is>
          <t>CEO Resignation Score</t>
        </is>
      </c>
      <c r="BE1" s="29" t="inlineStr">
        <is>
          <t>GNPA</t>
        </is>
      </c>
      <c r="BF1" s="29" t="inlineStr">
        <is>
          <t>GNPA Score</t>
        </is>
      </c>
      <c r="BG1" s="29" t="inlineStr">
        <is>
          <t>KMP Resignation</t>
        </is>
      </c>
      <c r="BH1" s="29" t="inlineStr">
        <is>
          <t>KMP Resignation Score</t>
        </is>
      </c>
      <c r="BI1" s="29" t="inlineStr">
        <is>
          <t>Return on Assets</t>
        </is>
      </c>
      <c r="BJ1" s="29" t="inlineStr">
        <is>
          <t>Return on Assets Score</t>
        </is>
      </c>
      <c r="BK1" s="29" t="inlineStr">
        <is>
          <t>Return on Equity</t>
        </is>
      </c>
      <c r="BL1" s="29" t="inlineStr">
        <is>
          <t>Return on Equity Score</t>
        </is>
      </c>
      <c r="BM1" s="29" t="inlineStr">
        <is>
          <t>AUM Growth</t>
        </is>
      </c>
      <c r="BN1" s="29" t="inlineStr">
        <is>
          <t>AUM Growth Score</t>
        </is>
      </c>
      <c r="BO1" s="29" t="inlineStr">
        <is>
          <t>Price to Book Value</t>
        </is>
      </c>
      <c r="BP1" s="29" t="inlineStr">
        <is>
          <t>Price to Book Value Score</t>
        </is>
      </c>
      <c r="BQ1" s="29" t="inlineStr">
        <is>
          <t>ADX</t>
        </is>
      </c>
      <c r="BR1" s="29" t="inlineStr">
        <is>
          <t>ADX Score</t>
        </is>
      </c>
      <c r="BS1" s="29" t="inlineStr">
        <is>
          <t>RSI</t>
        </is>
      </c>
      <c r="BT1" s="29" t="inlineStr">
        <is>
          <t>RSI Score</t>
        </is>
      </c>
      <c r="BU1" s="29" t="inlineStr">
        <is>
          <t>Stage Analysis</t>
        </is>
      </c>
      <c r="BV1" s="29" t="inlineStr">
        <is>
          <t>Stage Analysis Score</t>
        </is>
      </c>
      <c r="BW1" s="29" t="inlineStr">
        <is>
          <t>Price Volume Action</t>
        </is>
      </c>
      <c r="BX1" s="29" t="inlineStr">
        <is>
          <t>Price Volume Action Score</t>
        </is>
      </c>
      <c r="BY1" s="29" t="inlineStr">
        <is>
          <t>Secondary Trend</t>
        </is>
      </c>
      <c r="BZ1" s="29" t="inlineStr">
        <is>
          <t>Secondary Trend Score</t>
        </is>
      </c>
      <c r="CA1" s="29" t="inlineStr">
        <is>
          <t>Primary Trend</t>
        </is>
      </c>
      <c r="CB1" s="29" t="inlineStr">
        <is>
          <t>Primary Trend Score</t>
        </is>
      </c>
      <c r="CC1" s="29" t="inlineStr">
        <is>
          <t>Resistance</t>
        </is>
      </c>
      <c r="CD1" s="29" t="inlineStr">
        <is>
          <t>Resistance Score</t>
        </is>
      </c>
      <c r="CE1" s="29" t="inlineStr">
        <is>
          <t>V-stop</t>
        </is>
      </c>
      <c r="CF1" s="29" t="inlineStr">
        <is>
          <t>V-stop Score</t>
        </is>
      </c>
    </row>
    <row r="2">
      <c r="A2" s="30">
        <f>IF(B2=0,"",RANK(B2,$B$2:$B$4,0))</f>
        <v/>
      </c>
      <c r="B2" s="31">
        <f>SUM(S2,AD2,AF2,AH2,AJ2,AL2,AN2,AP2,AR2,AT2,AV2,AX2,AZ2,BB2,BD2,BF2,BH2,BJ2,BL2,BN2,BP2,BR2,BT2,BV2,BX2,BZ2,CB2,CD2,CF2)</f>
        <v/>
      </c>
      <c r="C2" s="30" t="inlineStr">
        <is>
          <t>52W Breakout</t>
        </is>
      </c>
      <c r="D2" s="31" t="n">
        <v>139.1</v>
      </c>
      <c r="E2" s="31" t="inlineStr">
        <is>
          <t>5%</t>
        </is>
      </c>
      <c r="F2" s="31" t="n">
        <v>50000</v>
      </c>
      <c r="G2" s="31" t="n">
        <v>21</v>
      </c>
      <c r="H2" s="30" t="inlineStr">
        <is>
          <t>WELINV</t>
        </is>
      </c>
      <c r="I2" s="30" t="inlineStr">
        <is>
          <t>Welspun Investments And Commercials Limited</t>
        </is>
      </c>
      <c r="J2" s="30" t="inlineStr">
        <is>
          <t>financials</t>
        </is>
      </c>
      <c r="K2" s="30" t="inlineStr">
        <is>
          <t>finance &amp; investments</t>
        </is>
      </c>
      <c r="L2" s="30" t="inlineStr">
        <is>
          <t>smallcap</t>
        </is>
      </c>
      <c r="M2" s="31" t="n">
        <v>854.78</v>
      </c>
      <c r="N2" s="31" t="n">
        <v>2345</v>
      </c>
      <c r="O2" s="31" t="n">
        <v>0.26</v>
      </c>
      <c r="P2" s="31" t="n">
        <v>278</v>
      </c>
      <c r="Q2" s="30" t="n">
        <v>76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82.72</v>
      </c>
      <c r="U2" s="31" t="n">
        <v>57.07</v>
      </c>
      <c r="V2" s="31" t="n">
        <v>1827.8</v>
      </c>
      <c r="W2" s="30" t="inlineStr">
        <is>
          <t>Near 52W High Breakout</t>
        </is>
      </c>
      <c r="X2" s="30" t="inlineStr">
        <is>
          <t>Nifty Bank</t>
        </is>
      </c>
      <c r="Y2" s="31" t="n">
        <v>3.03</v>
      </c>
      <c r="Z2" s="31" t="n">
        <v>134.5</v>
      </c>
      <c r="AA2" s="31" t="n">
        <v>127.6</v>
      </c>
      <c r="AB2" s="31" t="n">
        <v>26.79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Fragmented with High ROE</t>
        </is>
      </c>
      <c r="AF2" s="30">
        <f>IF(AE2="Fragmented with Low ROE",-5,IF(AE2="Fragmented with High ROE",10,IF(AE2= "highly cyclical",5,0)))</f>
        <v/>
      </c>
      <c r="AG2" s="30" t="inlineStr">
        <is>
          <t>Yes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Consistency)",15,IF(AK2="Shallow Cyclical (2 to 3 years growth)",10,IF(AK2 = "Cyclical in an Uptick",5,IF(AK2 = "Cyclical in an Downtick",-10,0))))</f>
        <v/>
      </c>
      <c r="AM2" s="30" t="inlineStr">
        <is>
          <t>Yes</t>
        </is>
      </c>
      <c r="AN2" s="30">
        <f>IF(AM2="Yes",10,0)</f>
        <v/>
      </c>
      <c r="AO2" s="30" t="inlineStr">
        <is>
          <t>Yes</t>
        </is>
      </c>
      <c r="AP2" s="30">
        <f>IF(AO2="Yes",10,0)</f>
        <v/>
      </c>
      <c r="AQ2" s="30" t="n"/>
      <c r="AR2" s="30">
        <f>IF(AQ2="No",10,0)</f>
        <v/>
      </c>
      <c r="AS2" s="30" t="inlineStr">
        <is>
          <t>Yes</t>
        </is>
      </c>
      <c r="AT2" s="30">
        <f>IF(AS2="Yes",10,0)</f>
        <v/>
      </c>
      <c r="AU2" s="30" t="inlineStr">
        <is>
          <t>Yes</t>
        </is>
      </c>
      <c r="AV2" s="30">
        <f>IF(AU2="Yes",10,0)</f>
        <v/>
      </c>
      <c r="AW2" s="30" t="inlineStr">
        <is>
          <t>Yes</t>
        </is>
      </c>
      <c r="AX2" s="30">
        <f>IF(AW2="Yes",5,0)</f>
        <v/>
      </c>
      <c r="AY2" s="30" t="inlineStr">
        <is>
          <t>No</t>
        </is>
      </c>
      <c r="AZ2" s="30">
        <f>IF(AY2="No",10,IF(AY2="Yes",-10,0))</f>
        <v/>
      </c>
      <c r="BA2" s="30" t="inlineStr">
        <is>
          <t>No</t>
        </is>
      </c>
      <c r="BB2" s="30">
        <f>IF(BA2="No",10,0)</f>
        <v/>
      </c>
      <c r="BC2" s="30" t="inlineStr">
        <is>
          <t>No</t>
        </is>
      </c>
      <c r="BD2" s="30">
        <f>IF(BC2="No",10,IF(BC2= "Yes CEO Resignation",-5,0))</f>
        <v/>
      </c>
      <c r="BE2" s="30" t="inlineStr">
        <is>
          <t>No</t>
        </is>
      </c>
      <c r="BF2" s="30">
        <f>IF(BE2="No",10,IF(BE2="Yes",-5,0))</f>
        <v/>
      </c>
      <c r="BG2" s="30" t="inlineStr">
        <is>
          <t>No</t>
        </is>
      </c>
      <c r="BH2" s="30">
        <f>IF(BG2="No",5,IF(BG2="Yes",-5,0))</f>
        <v/>
      </c>
      <c r="BI2" s="30" t="inlineStr">
        <is>
          <t>Yes</t>
        </is>
      </c>
      <c r="BJ2" s="30">
        <f>IF(BI2="Yes",10,0)</f>
        <v/>
      </c>
      <c r="BK2" s="30" t="inlineStr">
        <is>
          <t>Yes</t>
        </is>
      </c>
      <c r="BL2" s="30">
        <f>IF(BK2="Yes",10,0)</f>
        <v/>
      </c>
      <c r="BM2" s="30" t="inlineStr">
        <is>
          <t>Yes</t>
        </is>
      </c>
      <c r="BN2" s="30">
        <f>IF(BM2="Yes",10,0)</f>
        <v/>
      </c>
      <c r="BO2" s="30" t="inlineStr">
        <is>
          <t>P/BV less than 2.5x and Growth more than 20%</t>
        </is>
      </c>
      <c r="BP2" s="30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0" t="inlineStr">
        <is>
          <t>Above 40</t>
        </is>
      </c>
      <c r="BR2" s="30">
        <f>IF(BQ2="Above 40",20,IF(BQ2="20 to 40",10,IF(BQ2="0 to 20",-5,0)))</f>
        <v/>
      </c>
      <c r="BS2" s="30" t="inlineStr">
        <is>
          <t>Above 75</t>
        </is>
      </c>
      <c r="BT2" s="30">
        <f>IF(BS2="Between 50 to 75",10,IF(BS2="Above 75",0,0))</f>
        <v/>
      </c>
      <c r="BU2" s="30" t="inlineStr">
        <is>
          <t>Stage 2</t>
        </is>
      </c>
      <c r="BV2" s="30">
        <f>IF(BU2="Stage 2",20,IF(BU2="Stage 1",0,IF(BU2="Stage 3",5,IF(BU2="Stage 4",-5,0))))</f>
        <v/>
      </c>
      <c r="BW2" s="30" t="inlineStr">
        <is>
          <t>Positive Trend</t>
        </is>
      </c>
      <c r="BX2" s="30">
        <f>IF(BW2="Positive Trend",20,IF(BW2="Negative Trend",-10,0))</f>
        <v/>
      </c>
      <c r="BY2" s="30" t="inlineStr">
        <is>
          <t>Uptrend</t>
        </is>
      </c>
      <c r="BZ2" s="30">
        <f>IF(BY2="Uptrend",10,IF(BY2="Sideways",5,0))</f>
        <v/>
      </c>
      <c r="CA2" s="30" t="inlineStr">
        <is>
          <t>Uptrend</t>
        </is>
      </c>
      <c r="CB2" s="30">
        <f>IF(CA2="Uptrend",10,IF(CA2="Sideways",5,0))</f>
        <v/>
      </c>
      <c r="CC2" s="30" t="inlineStr">
        <is>
          <t>Blue sky scenario</t>
        </is>
      </c>
      <c r="CD2" s="30">
        <f>IF(CC2="Overhead supply in last 2 years in last 2 years",-5,IF(CC2="Close to 52 week high or retracement",5,IF(CC2="Blue sky scenario",10,IF(CC2="Long term Downtrend",-10,0))))</f>
        <v/>
      </c>
      <c r="CE2" s="30" t="inlineStr">
        <is>
          <t>Yes</t>
        </is>
      </c>
      <c r="CF2" s="30">
        <f>IF(CE2="Yes",10,0)</f>
        <v/>
      </c>
    </row>
    <row r="3">
      <c r="A3" s="30">
        <f>IF(B3=0,"",RANK(B3,$B$2:$B$4,0))</f>
        <v/>
      </c>
      <c r="B3" s="31">
        <f>SUM(S3,AD3,AF3,AH3,AJ3,AL3,AN3,AP3,AR3,AT3,AV3,AX3,AZ3,BB3,BD3,BF3,BH3,BJ3,BL3,BN3,BP3,BR3,BT3,BV3,BX3,BZ3,CB3,CD3,CF3)</f>
        <v/>
      </c>
      <c r="C3" s="30" t="inlineStr">
        <is>
          <t>52W Breakout</t>
        </is>
      </c>
      <c r="D3" s="31" t="n">
        <v>139.5</v>
      </c>
      <c r="E3" s="31" t="inlineStr">
        <is>
          <t>5%</t>
        </is>
      </c>
      <c r="F3" s="31" t="n">
        <v>50000</v>
      </c>
      <c r="G3" s="31" t="n">
        <v>602</v>
      </c>
      <c r="H3" s="30" t="inlineStr">
        <is>
          <t>PAISALO</t>
        </is>
      </c>
      <c r="I3" s="30" t="inlineStr">
        <is>
          <t>Paisalo Digital Ltd</t>
        </is>
      </c>
      <c r="J3" s="30" t="inlineStr">
        <is>
          <t>financials</t>
        </is>
      </c>
      <c r="K3" s="30" t="inlineStr">
        <is>
          <t>finance &amp; investments</t>
        </is>
      </c>
      <c r="L3" s="30" t="inlineStr">
        <is>
          <t>midcap</t>
        </is>
      </c>
      <c r="M3" s="31" t="n">
        <v>7268.9</v>
      </c>
      <c r="N3" s="31" t="n">
        <v>83.05</v>
      </c>
      <c r="O3" s="31" t="n">
        <v>3.92</v>
      </c>
      <c r="P3" s="31" t="n">
        <v>21159038</v>
      </c>
      <c r="Q3" s="30" t="n">
        <v>80</v>
      </c>
      <c r="R3" s="30" t="inlineStr">
        <is>
          <t>Outperforming</t>
        </is>
      </c>
      <c r="S3" s="31">
        <f>IF(R3="Underperforming",-5,IF(Q3&gt;=95,15,IF(Q3&gt;=90,10,IF(Q3&gt;=80,5,0))))</f>
        <v/>
      </c>
      <c r="T3" s="31" t="n">
        <v>79.67</v>
      </c>
      <c r="U3" s="31" t="n">
        <v>67.28</v>
      </c>
      <c r="V3" s="31" t="n">
        <v>66.01000000000001</v>
      </c>
      <c r="W3" s="30" t="inlineStr">
        <is>
          <t>Near 52W High Breakout</t>
        </is>
      </c>
      <c r="X3" s="30" t="inlineStr">
        <is>
          <t>Nifty Bank</t>
        </is>
      </c>
      <c r="Y3" s="31" t="n">
        <v>3.03</v>
      </c>
      <c r="Z3" s="31" t="n">
        <v>118.88</v>
      </c>
      <c r="AA3" s="31" t="n">
        <v>112.44</v>
      </c>
      <c r="AB3" s="31" t="n">
        <v>30.63</v>
      </c>
      <c r="AC3" s="30" t="inlineStr">
        <is>
          <t>Growing Industry</t>
        </is>
      </c>
      <c r="AD3" s="30">
        <f>IF(AC3="Growing Industry",10,IF(AC3="Cyclical in an Upturn",5,0))</f>
        <v/>
      </c>
      <c r="AE3" s="30" t="inlineStr">
        <is>
          <t>Fragmented with High ROE</t>
        </is>
      </c>
      <c r="AF3" s="30">
        <f>IF(AE3="Fragmented with Low ROE",-5,IF(AE3="Fragmented with High ROE",10,IF(AE3= "highly cyclical",5,0)))</f>
        <v/>
      </c>
      <c r="AG3" s="30" t="inlineStr">
        <is>
          <t>Yes</t>
        </is>
      </c>
      <c r="AH3" s="30">
        <f>IF(AG3="No",5,0)</f>
        <v/>
      </c>
      <c r="AI3" s="30" t="inlineStr">
        <is>
          <t>Tailwind</t>
        </is>
      </c>
      <c r="AJ3" s="30">
        <f>IF(AI3="Tailwind",10,0)</f>
        <v/>
      </c>
      <c r="AK3" s="30" t="inlineStr">
        <is>
          <t>Structural (10 Years Consistency)</t>
        </is>
      </c>
      <c r="AL3" s="30">
        <f>IF(AK3="Structural (10 Years Consistency)",15,IF(AK3="Shallow Cyclical (2 to 3 years growth)",10,IF(AK3 = "Cyclical in an Uptick",5,IF(AK3 = "Cyclical in an Downtick",-10,0))))</f>
        <v/>
      </c>
      <c r="AM3" s="30" t="inlineStr">
        <is>
          <t>Yes</t>
        </is>
      </c>
      <c r="AN3" s="30">
        <f>IF(AM3="Yes",10,0)</f>
        <v/>
      </c>
      <c r="AO3" s="30" t="inlineStr">
        <is>
          <t>Yes</t>
        </is>
      </c>
      <c r="AP3" s="30">
        <f>IF(AO3="Yes",10,0)</f>
        <v/>
      </c>
      <c r="AQ3" s="30" t="n"/>
      <c r="AR3" s="30">
        <f>IF(AQ3="No",10,0)</f>
        <v/>
      </c>
      <c r="AS3" s="30" t="inlineStr">
        <is>
          <t>Yes</t>
        </is>
      </c>
      <c r="AT3" s="30">
        <f>IF(AS3="Yes",10,0)</f>
        <v/>
      </c>
      <c r="AU3" s="30" t="inlineStr">
        <is>
          <t>Yes</t>
        </is>
      </c>
      <c r="AV3" s="30">
        <f>IF(AU3="Yes",10,0)</f>
        <v/>
      </c>
      <c r="AW3" s="30" t="inlineStr">
        <is>
          <t>Yes</t>
        </is>
      </c>
      <c r="AX3" s="30">
        <f>IF(AW3="Yes",5,0)</f>
        <v/>
      </c>
      <c r="AY3" s="30" t="inlineStr">
        <is>
          <t>No</t>
        </is>
      </c>
      <c r="AZ3" s="30">
        <f>IF(AY3="No",10,IF(AY3="Yes",-10,0))</f>
        <v/>
      </c>
      <c r="BA3" s="30" t="inlineStr">
        <is>
          <t>No</t>
        </is>
      </c>
      <c r="BB3" s="30">
        <f>IF(BA3="No",10,0)</f>
        <v/>
      </c>
      <c r="BC3" s="30" t="inlineStr">
        <is>
          <t>No</t>
        </is>
      </c>
      <c r="BD3" s="30">
        <f>IF(BC3="No",10,IF(BC3= "Yes CEO Resignation",-5,0))</f>
        <v/>
      </c>
      <c r="BE3" s="30" t="inlineStr">
        <is>
          <t>No</t>
        </is>
      </c>
      <c r="BF3" s="30">
        <f>IF(BE3="No",10,IF(BE3="Yes",-5,0))</f>
        <v/>
      </c>
      <c r="BG3" s="30" t="inlineStr">
        <is>
          <t>No</t>
        </is>
      </c>
      <c r="BH3" s="30">
        <f>IF(BG3="No",5,IF(BG3="Yes",-5,0))</f>
        <v/>
      </c>
      <c r="BI3" s="30" t="inlineStr">
        <is>
          <t>Yes</t>
        </is>
      </c>
      <c r="BJ3" s="30">
        <f>IF(BI3="Yes",10,0)</f>
        <v/>
      </c>
      <c r="BK3" s="30" t="inlineStr">
        <is>
          <t>Yes</t>
        </is>
      </c>
      <c r="BL3" s="30">
        <f>IF(BK3="Yes",10,0)</f>
        <v/>
      </c>
      <c r="BM3" s="30" t="inlineStr">
        <is>
          <t>Yes</t>
        </is>
      </c>
      <c r="BN3" s="30">
        <f>IF(BM3="Yes",10,0)</f>
        <v/>
      </c>
      <c r="BO3" s="30" t="inlineStr">
        <is>
          <t>P/BV between 2.5x to 5x and Growth more than 20%</t>
        </is>
      </c>
      <c r="BP3" s="30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0" t="inlineStr">
        <is>
          <t>Above 40</t>
        </is>
      </c>
      <c r="BR3" s="30">
        <f>IF(BQ3="Above 40",20,IF(BQ3="20 to 40",10,IF(BQ3="0 to 20",-5,0)))</f>
        <v/>
      </c>
      <c r="BS3" s="30" t="inlineStr">
        <is>
          <t>Above 75</t>
        </is>
      </c>
      <c r="BT3" s="30">
        <f>IF(BS3="Between 50 to 75",10,IF(BS3="Above 75",0,0))</f>
        <v/>
      </c>
      <c r="BU3" s="30" t="inlineStr">
        <is>
          <t>Stage 2</t>
        </is>
      </c>
      <c r="BV3" s="30">
        <f>IF(BU3="Stage 2",20,IF(BU3="Stage 1",0,IF(BU3="Stage 3",5,IF(BU3="Stage 4",-5,0))))</f>
        <v/>
      </c>
      <c r="BW3" s="30" t="inlineStr">
        <is>
          <t>Positive Trend</t>
        </is>
      </c>
      <c r="BX3" s="30">
        <f>IF(BW3="Positive Trend",20,IF(BW3="Negative Trend",-10,0))</f>
        <v/>
      </c>
      <c r="BY3" s="30" t="inlineStr">
        <is>
          <t>Uptrend</t>
        </is>
      </c>
      <c r="BZ3" s="30">
        <f>IF(BY3="Uptrend",10,IF(BY3="Sideways",5,0))</f>
        <v/>
      </c>
      <c r="CA3" s="30" t="inlineStr">
        <is>
          <t>Uptrend</t>
        </is>
      </c>
      <c r="CB3" s="30">
        <f>IF(CA3="Uptrend",10,IF(CA3="Sideways",5,0))</f>
        <v/>
      </c>
      <c r="CC3" s="30" t="inlineStr">
        <is>
          <t>Blue sky scenario</t>
        </is>
      </c>
      <c r="CD3" s="30">
        <f>IF(CC3="Overhead supply in last 2 years in last 2 years",-5,IF(CC3="Close to 52 week high or retracement",5,IF(CC3="Blue sky scenario",10,IF(CC3="Long term Downtrend",-10,0))))</f>
        <v/>
      </c>
      <c r="CE3" s="30" t="inlineStr">
        <is>
          <t>Yes</t>
        </is>
      </c>
      <c r="CF3" s="30">
        <f>IF(CE3="Yes",10,0)</f>
        <v/>
      </c>
    </row>
    <row r="4">
      <c r="A4" s="30">
        <f>IF(B4=0,"",RANK(B4,$B$2:$B$4,0))</f>
        <v/>
      </c>
      <c r="B4" s="31">
        <f>SUM(S4,AD4,AF4,AH4,AJ4,AL4,AN4,AP4,AR4,AT4,AV4,AX4,AZ4,BB4,BD4,BF4,BH4,BJ4,BL4,BN4,BP4,BR4,BT4,BV4,BX4,BZ4,CB4,CD4,CF4)</f>
        <v/>
      </c>
      <c r="C4" s="30" t="inlineStr">
        <is>
          <t>52W Breakout</t>
        </is>
      </c>
      <c r="D4" s="31" t="n">
        <v>139.7</v>
      </c>
      <c r="E4" s="31" t="inlineStr">
        <is>
          <t>5%</t>
        </is>
      </c>
      <c r="F4" s="31" t="n">
        <v>50000</v>
      </c>
      <c r="G4" s="31" t="n">
        <v>81</v>
      </c>
      <c r="H4" s="30" t="inlineStr">
        <is>
          <t>GCSL</t>
        </is>
      </c>
      <c r="I4" s="30" t="inlineStr">
        <is>
          <t>Gretex Corporate Services Ltd</t>
        </is>
      </c>
      <c r="J4" s="30" t="inlineStr">
        <is>
          <t>financials</t>
        </is>
      </c>
      <c r="K4" s="30" t="inlineStr">
        <is>
          <t>finance &amp; investments</t>
        </is>
      </c>
      <c r="L4" s="30" t="inlineStr">
        <is>
          <t>smallcap</t>
        </is>
      </c>
      <c r="M4" s="31" t="n">
        <v>1454.15</v>
      </c>
      <c r="N4" s="31" t="n">
        <v>614.8</v>
      </c>
      <c r="O4" s="31" t="n">
        <v>2.14</v>
      </c>
      <c r="P4" s="31" t="n">
        <v>241437</v>
      </c>
      <c r="Q4" s="30" t="n">
        <v>75</v>
      </c>
      <c r="R4" s="30" t="inlineStr">
        <is>
          <t>Outperforming</t>
        </is>
      </c>
      <c r="S4" s="31">
        <f>IF(R4="Underperforming",-5,IF(Q4&gt;=95,15,IF(Q4&gt;=90,10,IF(Q4&gt;=80,5,0))))</f>
        <v/>
      </c>
      <c r="T4" s="31" t="n">
        <v>75.55</v>
      </c>
      <c r="U4" s="31" t="n">
        <v>34.17</v>
      </c>
      <c r="V4" s="31" t="n">
        <v>480.57</v>
      </c>
      <c r="W4" s="30" t="inlineStr">
        <is>
          <t>Near 52W High Breakout</t>
        </is>
      </c>
      <c r="X4" s="30" t="inlineStr">
        <is>
          <t>Nifty Bank</t>
        </is>
      </c>
      <c r="Y4" s="31" t="n">
        <v>3.03</v>
      </c>
      <c r="Z4" s="31" t="n">
        <v>119.56</v>
      </c>
      <c r="AA4" s="31" t="n">
        <v>113.09</v>
      </c>
      <c r="AB4" s="31" t="n">
        <v>26.5</v>
      </c>
      <c r="AC4" s="30" t="inlineStr">
        <is>
          <t>Growing Industry</t>
        </is>
      </c>
      <c r="AD4" s="30">
        <f>IF(AC4="Growing Industry",10,IF(AC4="Cyclical in an Upturn",5,0))</f>
        <v/>
      </c>
      <c r="AE4" s="30" t="inlineStr">
        <is>
          <t>Fragmented with High ROE</t>
        </is>
      </c>
      <c r="AF4" s="30">
        <f>IF(AE4="Fragmented with Low ROE",-5,IF(AE4="Fragmented with High ROE",10,IF(AE4= "highly cyclical",5,0)))</f>
        <v/>
      </c>
      <c r="AG4" s="30" t="inlineStr">
        <is>
          <t>Yes</t>
        </is>
      </c>
      <c r="AH4" s="30">
        <f>IF(AG4="No",5,0)</f>
        <v/>
      </c>
      <c r="AI4" s="30" t="inlineStr">
        <is>
          <t>Tailwind</t>
        </is>
      </c>
      <c r="AJ4" s="30">
        <f>IF(AI4="Tailwind",10,0)</f>
        <v/>
      </c>
      <c r="AK4" s="30" t="inlineStr">
        <is>
          <t>Structural (10 Years Consistency)</t>
        </is>
      </c>
      <c r="AL4" s="30">
        <f>IF(AK4="Structural (10 Years Consistency)",15,IF(AK4="Shallow Cyclical (2 to 3 years growth)",10,IF(AK4 = "Cyclical in an Uptick",5,IF(AK4 = "Cyclical in an Downtick",-10,0))))</f>
        <v/>
      </c>
      <c r="AM4" s="30" t="inlineStr">
        <is>
          <t>Yes</t>
        </is>
      </c>
      <c r="AN4" s="30">
        <f>IF(AM4="Yes",10,0)</f>
        <v/>
      </c>
      <c r="AO4" s="30" t="inlineStr">
        <is>
          <t>Yes</t>
        </is>
      </c>
      <c r="AP4" s="30">
        <f>IF(AO4="Yes",10,0)</f>
        <v/>
      </c>
      <c r="AQ4" s="30" t="n"/>
      <c r="AR4" s="30">
        <f>IF(AQ4="No",10,0)</f>
        <v/>
      </c>
      <c r="AS4" s="30" t="inlineStr">
        <is>
          <t>Yes</t>
        </is>
      </c>
      <c r="AT4" s="30">
        <f>IF(AS4="Yes",10,0)</f>
        <v/>
      </c>
      <c r="AU4" s="30" t="inlineStr">
        <is>
          <t>Yes</t>
        </is>
      </c>
      <c r="AV4" s="30">
        <f>IF(AU4="Yes",10,0)</f>
        <v/>
      </c>
      <c r="AW4" s="30" t="inlineStr">
        <is>
          <t>Yes</t>
        </is>
      </c>
      <c r="AX4" s="30">
        <f>IF(AW4="Yes",5,0)</f>
        <v/>
      </c>
      <c r="AY4" s="30" t="inlineStr">
        <is>
          <t>No</t>
        </is>
      </c>
      <c r="AZ4" s="30">
        <f>IF(AY4="No",10,IF(AY4="Yes",-10,0))</f>
        <v/>
      </c>
      <c r="BA4" s="30" t="inlineStr">
        <is>
          <t>No</t>
        </is>
      </c>
      <c r="BB4" s="30">
        <f>IF(BA4="No",10,0)</f>
        <v/>
      </c>
      <c r="BC4" s="30" t="inlineStr">
        <is>
          <t>No</t>
        </is>
      </c>
      <c r="BD4" s="30">
        <f>IF(BC4="No",10,IF(BC4= "Yes CEO Resignation",-5,0))</f>
        <v/>
      </c>
      <c r="BE4" s="30" t="inlineStr">
        <is>
          <t>No</t>
        </is>
      </c>
      <c r="BF4" s="30">
        <f>IF(BE4="No",10,IF(BE4="Yes",-5,0))</f>
        <v/>
      </c>
      <c r="BG4" s="30" t="inlineStr">
        <is>
          <t>No</t>
        </is>
      </c>
      <c r="BH4" s="30">
        <f>IF(BG4="No",5,IF(BG4="Yes",-5,0))</f>
        <v/>
      </c>
      <c r="BI4" s="30" t="inlineStr">
        <is>
          <t>Yes</t>
        </is>
      </c>
      <c r="BJ4" s="30">
        <f>IF(BI4="Yes",10,0)</f>
        <v/>
      </c>
      <c r="BK4" s="30" t="inlineStr">
        <is>
          <t>Yes</t>
        </is>
      </c>
      <c r="BL4" s="30">
        <f>IF(BK4="Yes",10,0)</f>
        <v/>
      </c>
      <c r="BM4" s="30" t="inlineStr">
        <is>
          <t>Yes</t>
        </is>
      </c>
      <c r="BN4" s="30">
        <f>IF(BM4="Yes",10,0)</f>
        <v/>
      </c>
      <c r="BO4" s="30" t="inlineStr">
        <is>
          <t>P/BV above 5x</t>
        </is>
      </c>
      <c r="BP4" s="30">
        <f>IF(BO4="P/BV less than 2.5x and Growth more than 20%",20,IF(BO4 = "P/BV less than 2.5x and Growth less than 20%",5,IF(BO4="P/BV between 2.5x to 5x and Growth more than 20%",10,IF(BO4= "P/BV between 2.5x to 5x and Growth less than 20%",-5,IF(BO4= "P/BV above 5x",-5,0)))))</f>
        <v/>
      </c>
      <c r="BQ4" s="30" t="inlineStr">
        <is>
          <t>20 to 40</t>
        </is>
      </c>
      <c r="BR4" s="30">
        <f>IF(BQ4="Above 40",20,IF(BQ4="20 to 40",10,IF(BQ4="0 to 20",-5,0)))</f>
        <v/>
      </c>
      <c r="BS4" s="30" t="inlineStr">
        <is>
          <t>Above 75</t>
        </is>
      </c>
      <c r="BT4" s="30">
        <f>IF(BS4="Between 50 to 75",10,IF(BS4="Above 75",0,0))</f>
        <v/>
      </c>
      <c r="BU4" s="30" t="inlineStr">
        <is>
          <t>Stage 2</t>
        </is>
      </c>
      <c r="BV4" s="30">
        <f>IF(BU4="Stage 2",20,IF(BU4="Stage 1",0,IF(BU4="Stage 3",5,IF(BU4="Stage 4",-5,0))))</f>
        <v/>
      </c>
      <c r="BW4" s="30" t="inlineStr">
        <is>
          <t>Positive Trend</t>
        </is>
      </c>
      <c r="BX4" s="30">
        <f>IF(BW4="Positive Trend",20,IF(BW4="Negative Trend",-10,0))</f>
        <v/>
      </c>
      <c r="BY4" s="30" t="inlineStr">
        <is>
          <t>Uptrend</t>
        </is>
      </c>
      <c r="BZ4" s="30">
        <f>IF(BY4="Uptrend",10,IF(BY4="Sideways",5,0))</f>
        <v/>
      </c>
      <c r="CA4" s="30" t="inlineStr">
        <is>
          <t>Uptrend</t>
        </is>
      </c>
      <c r="CB4" s="30">
        <f>IF(CA4="Uptrend",10,IF(CA4="Sideways",5,0))</f>
        <v/>
      </c>
      <c r="CC4" s="30" t="inlineStr">
        <is>
          <t>Blue sky scenario</t>
        </is>
      </c>
      <c r="CD4" s="30">
        <f>IF(CC4="Overhead supply in last 2 years in last 2 years",-5,IF(CC4="Close to 52 week high or retracement",5,IF(CC4="Blue sky scenario",10,IF(CC4="Long term Downtrend",-10,0))))</f>
        <v/>
      </c>
      <c r="CE4" s="30" t="inlineStr">
        <is>
          <t>Yes</t>
        </is>
      </c>
      <c r="CF4" s="30">
        <f>IF(CE4="Yes",10,0)</f>
        <v/>
      </c>
    </row>
  </sheetData>
  <autoFilter ref="A1:CF4"/>
  <conditionalFormatting sqref="B2:B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4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4">
    <cfRule type="cellIs" priority="34" operator="equal" dxfId="3" stopIfTrue="1">
      <formula>"Underperforming"</formula>
    </cfRule>
  </conditionalFormatting>
  <conditionalFormatting sqref="S2:S4">
    <cfRule type="cellIs" priority="35" operator="equal" dxfId="3" stopIfTrue="1">
      <formula>-5</formula>
    </cfRule>
  </conditionalFormatting>
  <conditionalFormatting sqref="V2:V4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4" showDropDown="0" showInputMessage="0" showErrorMessage="0" allowBlank="1" type="list">
      <formula1>"Growing Industry,Stagnant Industry,Cyclical in an Upturn"</formula1>
    </dataValidation>
    <dataValidation sqref="AE2:AE4" showDropDown="0" showInputMessage="0" showErrorMessage="0" allowBlank="1" type="list">
      <formula1>"Fragmented with Low ROE,Fragmented with High ROE,Highly Cyclical"</formula1>
    </dataValidation>
    <dataValidation sqref="AG2:AG4" showDropDown="0" showInputMessage="0" showErrorMessage="0" allowBlank="1" type="list">
      <formula1>"Yes,No"</formula1>
    </dataValidation>
    <dataValidation sqref="AI2:AI4" showDropDown="0" showInputMessage="0" showErrorMessage="0" allowBlank="1" type="list">
      <formula1>"Tailwind,Headwind"</formula1>
    </dataValidation>
    <dataValidation sqref="AK2:AK4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4" showDropDown="0" showInputMessage="0" showErrorMessage="0" allowBlank="1" type="list">
      <formula1>"Yes,No"</formula1>
    </dataValidation>
    <dataValidation sqref="AO2:AO4" showDropDown="0" showInputMessage="0" showErrorMessage="0" allowBlank="1" type="list">
      <formula1>"Yes,No,Not Applicable"</formula1>
    </dataValidation>
    <dataValidation sqref="AQ2:AQ4" showDropDown="0" showInputMessage="0" showErrorMessage="0" allowBlank="1" type="list">
      <formula1>"Yes,No"</formula1>
    </dataValidation>
    <dataValidation sqref="AS2:AS4" showDropDown="0" showInputMessage="0" showErrorMessage="0" allowBlank="1" type="list">
      <formula1>"Yes,No"</formula1>
    </dataValidation>
    <dataValidation sqref="AU2:AU4" showDropDown="0" showInputMessage="0" showErrorMessage="0" allowBlank="1" type="list">
      <formula1>"Yes,No"</formula1>
    </dataValidation>
    <dataValidation sqref="AW2:AW4" showDropDown="0" showInputMessage="0" showErrorMessage="0" allowBlank="1" type="list">
      <formula1>"Yes,No"</formula1>
    </dataValidation>
    <dataValidation sqref="AY2:AY4" showDropDown="0" showInputMessage="0" showErrorMessage="0" allowBlank="1" type="list">
      <formula1>"No,Yes"</formula1>
    </dataValidation>
    <dataValidation sqref="BA2:BA4" showDropDown="0" showInputMessage="0" showErrorMessage="0" allowBlank="1" type="list">
      <formula1>"No,Yes"</formula1>
    </dataValidation>
    <dataValidation sqref="BC2:BC4" showDropDown="0" showInputMessage="0" showErrorMessage="0" allowBlank="1" type="list">
      <formula1>"No,Yes CEO Resignation,Yes CEO Retirement"</formula1>
    </dataValidation>
    <dataValidation sqref="BE2:BE4" showDropDown="0" showInputMessage="0" showErrorMessage="0" allowBlank="1" type="list">
      <formula1>"No,Yes"</formula1>
    </dataValidation>
    <dataValidation sqref="BG2:BG4" showDropDown="0" showInputMessage="0" showErrorMessage="0" allowBlank="1" type="list">
      <formula1>"No,Yes"</formula1>
    </dataValidation>
    <dataValidation sqref="BI2:BI4" showDropDown="0" showInputMessage="0" showErrorMessage="0" allowBlank="1" type="list">
      <formula1>"Yes,No"</formula1>
    </dataValidation>
    <dataValidation sqref="BK2:BK4" showDropDown="0" showInputMessage="0" showErrorMessage="0" allowBlank="1" type="list">
      <formula1>"Yes,No"</formula1>
    </dataValidation>
    <dataValidation sqref="BM2:BM4" showDropDown="0" showInputMessage="0" showErrorMessage="0" allowBlank="1" type="list">
      <formula1>"Yes,No"</formula1>
    </dataValidation>
    <dataValidation sqref="BO2:BO4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4" showDropDown="0" showInputMessage="0" showErrorMessage="0" allowBlank="1" type="list">
      <formula1>"Above 40,20 to 40,0 to 20"</formula1>
    </dataValidation>
    <dataValidation sqref="BS2:BS4" showDropDown="0" showInputMessage="0" showErrorMessage="0" allowBlank="1" type="list">
      <formula1>"Between 50 to 75,Above 75,Below 45"</formula1>
    </dataValidation>
    <dataValidation sqref="BU2:BU4" showDropDown="0" showInputMessage="0" showErrorMessage="0" allowBlank="1" type="list">
      <formula1>"Stage 1,Stage 2,Stage 3,Stage 4"</formula1>
    </dataValidation>
    <dataValidation sqref="BW2:BW4" showDropDown="0" showInputMessage="0" showErrorMessage="0" allowBlank="1" type="list">
      <formula1>"Positive Trend,Negative Trend"</formula1>
    </dataValidation>
    <dataValidation sqref="BY2:BY4" showDropDown="0" showInputMessage="0" showErrorMessage="0" allowBlank="1" type="list">
      <formula1>"Uptrend,Sideways,Downtrend"</formula1>
    </dataValidation>
    <dataValidation sqref="CA2:CA4" showDropDown="0" showInputMessage="0" showErrorMessage="0" allowBlank="1" type="list">
      <formula1>"Uptrend,Sideways,Downtrend"</formula1>
    </dataValidation>
    <dataValidation sqref="CC2:CC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40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  <c r="CF1" s="29" t="inlineStr">
        <is>
          <t>Scan Matches</t>
        </is>
      </c>
      <c r="CG1" s="29" t="inlineStr">
        <is>
          <t>Scan Matches Score</t>
        </is>
      </c>
    </row>
    <row r="2">
      <c r="A2" s="30">
        <f>IF(B2=0,"",RANK(B2,$B$2:$B$95,0))</f>
        <v/>
      </c>
      <c r="B2" s="31">
        <f>SUM(N2,Y2,AA2,AC2,AE2,AG2,AI2,AK2,AM2,AO2,AQ2,AS2,AU2,AW2,AY2,BA2,BC2,BE2,BG2,BI2,BK2,BM2,BO2,BQ2,BS2,BU2,BW2,BY2,CA2,CC2,CE2,CG2)</f>
        <v/>
      </c>
      <c r="C2" s="33" t="inlineStr">
        <is>
          <t>INDNIPPON</t>
        </is>
      </c>
      <c r="D2" s="33" t="inlineStr">
        <is>
          <t>India Nippon Electricals Ltd</t>
        </is>
      </c>
      <c r="E2" s="30" t="inlineStr">
        <is>
          <t>auto</t>
        </is>
      </c>
      <c r="F2" s="30" t="inlineStr">
        <is>
          <t>Auto Ancillaries - Engine Parts</t>
        </is>
      </c>
      <c r="G2" s="30" t="inlineStr">
        <is>
          <t>smallcap</t>
        </is>
      </c>
      <c r="H2" s="31" t="n">
        <v>3031.27</v>
      </c>
      <c r="I2" s="31" t="n">
        <v>1340</v>
      </c>
      <c r="J2" s="31" t="n">
        <v>2.03</v>
      </c>
      <c r="K2" s="31" t="n">
        <v>0</v>
      </c>
      <c r="L2" s="30" t="n">
        <v>82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74.95</v>
      </c>
      <c r="P2" s="31" t="n">
        <v>46.15</v>
      </c>
      <c r="Q2" s="31" t="n">
        <v>1027.76</v>
      </c>
      <c r="R2" s="30" t="inlineStr">
        <is>
          <t>Volume Spike &amp; Near 52W High Breakout</t>
        </is>
      </c>
      <c r="S2" s="30" t="inlineStr">
        <is>
          <t>Nifty Auto</t>
        </is>
      </c>
      <c r="T2" s="31" t="n">
        <v>15.81</v>
      </c>
      <c r="U2" s="31" t="n">
        <v>80.14</v>
      </c>
      <c r="V2" s="31" t="n">
        <v>55.55</v>
      </c>
      <c r="W2" s="31" t="n">
        <v>32.59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B2B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One Time, Lower Annuity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Between 50 to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Less than 1.5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  <c r="CF2" s="30" t="inlineStr">
        <is>
          <t>21</t>
        </is>
      </c>
      <c r="CG2" s="30">
        <f>IF(CF2&gt;20,10,IF(CF2&gt;=10,5,2))</f>
        <v/>
      </c>
    </row>
    <row r="3">
      <c r="A3" s="30">
        <f>IF(B3=0,"",RANK(B3,$B$2:$B$95,0))</f>
        <v/>
      </c>
      <c r="B3" s="31">
        <f>SUM(N3,Y3,AA3,AC3,AE3,AG3,AI3,AK3,AM3,AO3,AQ3,AS3,AU3,AW3,AY3,BA3,BC3,BE3,BG3,BI3,BK3,BM3,BO3,BQ3,BS3,BU3,BW3,BY3,CA3,CC3,CE3,CG3)</f>
        <v/>
      </c>
      <c r="C3" s="33" t="inlineStr">
        <is>
          <t>REDINGTON</t>
        </is>
      </c>
      <c r="D3" s="33" t="inlineStr">
        <is>
          <t>Redington Ltd</t>
        </is>
      </c>
      <c r="E3" s="30" t="inlineStr">
        <is>
          <t>services</t>
        </is>
      </c>
      <c r="F3" s="30" t="inlineStr">
        <is>
          <t>Computer - Hardware</t>
        </is>
      </c>
      <c r="G3" s="30" t="inlineStr">
        <is>
          <t>largecap</t>
        </is>
      </c>
      <c r="H3" s="31" t="n">
        <v>30880.09</v>
      </c>
      <c r="I3" s="31" t="n">
        <v>395</v>
      </c>
      <c r="J3" s="31" t="n">
        <v>4.48</v>
      </c>
      <c r="K3" s="31" t="n">
        <v>0</v>
      </c>
      <c r="L3" s="30" t="n">
        <v>77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74.11</v>
      </c>
      <c r="P3" s="31" t="n">
        <v>44.86</v>
      </c>
      <c r="Q3" s="31" t="n">
        <v>305.54</v>
      </c>
      <c r="R3" s="30" t="inlineStr">
        <is>
          <t>Near 52W High Breakout</t>
        </is>
      </c>
      <c r="S3" s="30" t="inlineStr">
        <is>
          <t>Nifty 50</t>
        </is>
      </c>
      <c r="T3" s="31" t="n">
        <v>-6.52</v>
      </c>
      <c r="U3" s="31" t="n">
        <v>64.31999999999999</v>
      </c>
      <c r="V3" s="31" t="n">
        <v>75.77</v>
      </c>
      <c r="W3" s="31" t="n">
        <v>27.73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B2B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One Time, Lower Annuity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Above 40</t>
        </is>
      </c>
      <c r="AY3" s="30">
        <f>IF(AX3="Above 40",20,IF(AX3="20 to 40",10,IF(AX3="0 to 20",-5,0)))</f>
        <v/>
      </c>
      <c r="AZ3" s="30" t="inlineStr">
        <is>
          <t>Between 50 to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No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Above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  <c r="CF3" s="30" t="inlineStr">
        <is>
          <t>19</t>
        </is>
      </c>
      <c r="CG3" s="30">
        <f>IF(CF3&gt;20,10,IF(CF3&gt;=10,5,2))</f>
        <v/>
      </c>
    </row>
    <row r="4">
      <c r="A4" s="30">
        <f>IF(B4=0,"",RANK(B4,$B$2:$B$95,0))</f>
        <v/>
      </c>
      <c r="B4" s="31">
        <f>SUM(N4,Y4,AA4,AC4,AE4,AG4,AI4,AK4,AM4,AO4,AQ4,AS4,AU4,AW4,AY4,BA4,BC4,BE4,BG4,BI4,BK4,BM4,BO4,BQ4,BS4,BU4,BW4,BY4,CA4,CC4,CE4,CG4)</f>
        <v/>
      </c>
      <c r="C4" s="33" t="inlineStr">
        <is>
          <t>VISHNU</t>
        </is>
      </c>
      <c r="D4" s="33" t="inlineStr">
        <is>
          <t>Vishnu Chemicals Ltd</t>
        </is>
      </c>
      <c r="E4" s="30" t="inlineStr">
        <is>
          <t>chemicals</t>
        </is>
      </c>
      <c r="F4" s="30" t="inlineStr">
        <is>
          <t>Speciality Chemicals</t>
        </is>
      </c>
      <c r="G4" s="30" t="inlineStr">
        <is>
          <t>smallcap</t>
        </is>
      </c>
      <c r="H4" s="31" t="n">
        <v>4861.51</v>
      </c>
      <c r="I4" s="31" t="n">
        <v>722.2</v>
      </c>
      <c r="J4" s="31" t="n">
        <v>1.85</v>
      </c>
      <c r="K4" s="31" t="n">
        <v>0</v>
      </c>
      <c r="L4" s="30" t="n">
        <v>42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72.3</v>
      </c>
      <c r="P4" s="31" t="n">
        <v>45.03</v>
      </c>
      <c r="Q4" s="31" t="n">
        <v>586.6900000000001</v>
      </c>
      <c r="R4" s="30" t="inlineStr">
        <is>
          <t>Near 52W High Breakout</t>
        </is>
      </c>
      <c r="S4" s="30" t="inlineStr">
        <is>
          <t>Nifty IT</t>
        </is>
      </c>
      <c r="T4" s="31" t="n">
        <v>-19.99</v>
      </c>
      <c r="U4" s="31" t="n">
        <v>46.17</v>
      </c>
      <c r="V4" s="31" t="n">
        <v>82.7</v>
      </c>
      <c r="W4" s="31" t="n">
        <v>12.83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B2B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One Time, Lower Annuity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Between 50 to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Blue sky scenario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Less than 1.5</t>
        </is>
      </c>
      <c r="BU4" s="30">
        <f>IF(BT4="Above 2",0,IF(BT4="Between 1.5 to 2",5,IF(BT4="Less than 1.5",10,0)))</f>
        <v/>
      </c>
      <c r="BV4" s="30" t="inlineStr">
        <is>
          <t>Above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  <c r="CF4" s="30" t="inlineStr">
        <is>
          <t>19</t>
        </is>
      </c>
      <c r="CG4" s="30">
        <f>IF(CF4&gt;20,10,IF(CF4&gt;=10,5,2))</f>
        <v/>
      </c>
    </row>
    <row r="5">
      <c r="A5" s="30">
        <f>IF(B5=0,"",RANK(B5,$B$2:$B$95,0))</f>
        <v/>
      </c>
      <c r="B5" s="31">
        <f>SUM(N5,Y5,AA5,AC5,AE5,AG5,AI5,AK5,AM5,AO5,AQ5,AS5,AU5,AW5,AY5,BA5,BC5,BE5,BG5,BI5,BK5,BM5,BO5,BQ5,BS5,BU5,BW5,BY5,CA5,CC5,CE5,CG5)</f>
        <v/>
      </c>
      <c r="C5" s="30" t="inlineStr">
        <is>
          <t>VINCOFE</t>
        </is>
      </c>
      <c r="D5" s="30" t="inlineStr">
        <is>
          <t>Vintage Coffee &amp; Beverages Ltd</t>
        </is>
      </c>
      <c r="E5" s="30" t="inlineStr">
        <is>
          <t>consumer discretionary</t>
        </is>
      </c>
      <c r="F5" s="30" t="inlineStr">
        <is>
          <t>FMCG - Coffee</t>
        </is>
      </c>
      <c r="G5" s="30" t="inlineStr">
        <is>
          <t>smallcap</t>
        </is>
      </c>
      <c r="H5" s="31" t="n">
        <v>2589.18</v>
      </c>
      <c r="I5" s="31" t="n">
        <v>176.75</v>
      </c>
      <c r="J5" s="31" t="n">
        <v>-0.7</v>
      </c>
      <c r="K5" s="31" t="n">
        <v>0</v>
      </c>
      <c r="L5" s="30" t="n">
        <v>24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64.16</v>
      </c>
      <c r="P5" s="31" t="n">
        <v>29.4</v>
      </c>
      <c r="Q5" s="31" t="n">
        <v>132.63</v>
      </c>
      <c r="R5" s="30" t="inlineStr">
        <is>
          <t>Near 52W High Breakout</t>
        </is>
      </c>
      <c r="S5" s="30" t="inlineStr">
        <is>
          <t>Nifty 50</t>
        </is>
      </c>
      <c r="T5" s="31" t="n">
        <v>-6.52</v>
      </c>
      <c r="U5" s="31" t="n">
        <v>17.59</v>
      </c>
      <c r="V5" s="31" t="n">
        <v>25.79</v>
      </c>
      <c r="W5" s="31" t="n">
        <v>7.18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No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B2C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Annuity, Lower One Time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20 to 40</t>
        </is>
      </c>
      <c r="AY5" s="30">
        <f>IF(AX5="Above 40",20,IF(AX5="20 to 40",10,IF(AX5="0 to 20",-5,0)))</f>
        <v/>
      </c>
      <c r="AZ5" s="30" t="inlineStr">
        <is>
          <t>Between 50 to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No</t>
        </is>
      </c>
      <c r="BS5" s="30">
        <f>IF(BR5="NO",5,0)</f>
        <v/>
      </c>
      <c r="BT5" s="30" t="inlineStr">
        <is>
          <t>Less than 1.5</t>
        </is>
      </c>
      <c r="BU5" s="30">
        <f>IF(BT5="Above 2",0,IF(BT5="Between 1.5 to 2",5,IF(BT5="Less than 1.5",10,0)))</f>
        <v/>
      </c>
      <c r="BV5" s="30" t="inlineStr">
        <is>
          <t>Above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  <c r="CF5" s="30" t="inlineStr">
        <is>
          <t>24</t>
        </is>
      </c>
      <c r="CG5" s="30">
        <f>IF(CF5&gt;20,10,IF(CF5&gt;=10,5,2))</f>
        <v/>
      </c>
    </row>
    <row r="6">
      <c r="A6" s="30">
        <f>IF(B6=0,"",RANK(B6,$B$2:$B$95,0))</f>
        <v/>
      </c>
      <c r="B6" s="31">
        <f>SUM(N6,Y6,AA6,AC6,AE6,AG6,AI6,AK6,AM6,AO6,AQ6,AS6,AU6,AW6,AY6,BA6,BC6,BE6,BG6,BI6,BK6,BM6,BO6,BQ6,BS6,BU6,BW6,BY6,CA6,CC6,CE6,CG6)</f>
        <v/>
      </c>
      <c r="C6" s="30" t="inlineStr">
        <is>
          <t>AVTNPL</t>
        </is>
      </c>
      <c r="D6" s="30" t="inlineStr">
        <is>
          <t>AVT Natural Products Ltd</t>
        </is>
      </c>
      <c r="E6" s="30" t="inlineStr">
        <is>
          <t>fmcg</t>
        </is>
      </c>
      <c r="F6" s="30" t="inlineStr">
        <is>
          <t>Agricultural Processing - Maize</t>
        </is>
      </c>
      <c r="G6" s="30" t="inlineStr">
        <is>
          <t>smallcap</t>
        </is>
      </c>
      <c r="H6" s="31" t="n">
        <v>1375.12</v>
      </c>
      <c r="I6" s="31" t="n">
        <v>90.3</v>
      </c>
      <c r="J6" s="31" t="n">
        <v>-2.29</v>
      </c>
      <c r="K6" s="31" t="n">
        <v>0</v>
      </c>
      <c r="L6" s="30" t="n">
        <v>39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74.87</v>
      </c>
      <c r="P6" s="31" t="n">
        <v>42.71</v>
      </c>
      <c r="Q6" s="31" t="n">
        <v>72.70999999999999</v>
      </c>
      <c r="R6" s="30" t="inlineStr">
        <is>
          <t>Near 52W High Breakout</t>
        </is>
      </c>
      <c r="S6" s="30" t="inlineStr">
        <is>
          <t>Nifty FMCG</t>
        </is>
      </c>
      <c r="T6" s="31" t="n">
        <v>-17.21</v>
      </c>
      <c r="U6" s="31" t="n">
        <v>20.57</v>
      </c>
      <c r="V6" s="31" t="n">
        <v>45.63</v>
      </c>
      <c r="W6" s="31" t="n">
        <v>12.12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B2C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Annuity, Lower One Time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Between 50 to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Blue sky scenario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No</t>
        </is>
      </c>
      <c r="BS6" s="30">
        <f>IF(BR6="NO",5,0)</f>
        <v/>
      </c>
      <c r="BT6" s="30" t="inlineStr">
        <is>
          <t>Above 2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  <c r="CF6" s="30" t="inlineStr">
        <is>
          <t>24</t>
        </is>
      </c>
      <c r="CG6" s="30">
        <f>IF(CF6&gt;20,10,IF(CF6&gt;=10,5,2))</f>
        <v/>
      </c>
    </row>
    <row r="7">
      <c r="A7" s="30">
        <f>IF(B7=0,"",RANK(B7,$B$2:$B$95,0))</f>
        <v/>
      </c>
      <c r="B7" s="31">
        <f>SUM(N7,Y7,AA7,AC7,AE7,AG7,AI7,AK7,AM7,AO7,AQ7,AS7,AU7,AW7,AY7,BA7,BC7,BE7,BG7,BI7,BK7,BM7,BO7,BQ7,BS7,BU7,BW7,BY7,CA7,CC7,CE7,CG7)</f>
        <v/>
      </c>
      <c r="C7" s="30" t="inlineStr">
        <is>
          <t>BIRLACABLE</t>
        </is>
      </c>
      <c r="D7" s="30" t="inlineStr">
        <is>
          <t>Birla Cable Ltd</t>
        </is>
      </c>
      <c r="E7" s="30" t="inlineStr">
        <is>
          <t>industrials</t>
        </is>
      </c>
      <c r="F7" s="30" t="inlineStr">
        <is>
          <t>Cables - Telecom</t>
        </is>
      </c>
      <c r="G7" s="30" t="inlineStr">
        <is>
          <t>smallcap</t>
        </is>
      </c>
      <c r="H7" s="31" t="n">
        <v>1123.95</v>
      </c>
      <c r="I7" s="31" t="n">
        <v>374.65</v>
      </c>
      <c r="J7" s="31" t="n">
        <v>4.99</v>
      </c>
      <c r="K7" s="31" t="n">
        <v>0</v>
      </c>
      <c r="L7" s="30" t="n">
        <v>95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79</v>
      </c>
      <c r="P7" s="31" t="n">
        <v>51.02</v>
      </c>
      <c r="Q7" s="31" t="n">
        <v>277.5</v>
      </c>
      <c r="R7" s="30" t="inlineStr">
        <is>
          <t>Volume Spike &amp; Near 52W High Breakout</t>
        </is>
      </c>
      <c r="S7" s="30" t="inlineStr">
        <is>
          <t>Nifty Infra</t>
        </is>
      </c>
      <c r="T7" s="31" t="n">
        <v>0.74</v>
      </c>
      <c r="U7" s="31" t="n">
        <v>120.21</v>
      </c>
      <c r="V7" s="31" t="n">
        <v>118.59</v>
      </c>
      <c r="W7" s="31" t="n">
        <v>55.65</v>
      </c>
      <c r="X7" s="30" t="inlineStr">
        <is>
          <t>Cyclical in an Upturn</t>
        </is>
      </c>
      <c r="Y7" s="30">
        <f>IF(X7="Growing Industry",10,IF(X7="Cyclical in an Upturn",5,0))</f>
        <v/>
      </c>
      <c r="Z7" s="30" t="inlineStr">
        <is>
          <t>Oligopoly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One Time, Lower Annuity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Above 40</t>
        </is>
      </c>
      <c r="AY7" s="30">
        <f>IF(AX7="Above 40",20,IF(AX7="20 to 40",10,IF(AX7="0 to 20",-5,0)))</f>
        <v/>
      </c>
      <c r="AZ7" s="30" t="inlineStr">
        <is>
          <t>Above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Blue sky scenario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No</t>
        </is>
      </c>
      <c r="BS7" s="30">
        <f>IF(BR7="NO",5,0)</f>
        <v/>
      </c>
      <c r="BT7" s="30" t="inlineStr">
        <is>
          <t>Less than 1.5</t>
        </is>
      </c>
      <c r="BU7" s="30">
        <f>IF(BT7="Above 2",0,IF(BT7="Between 1.5 to 2",5,IF(BT7="Less than 1.5",10,0)))</f>
        <v/>
      </c>
      <c r="BV7" s="30" t="inlineStr">
        <is>
          <t>Above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  <c r="CF7" s="30" t="inlineStr">
        <is>
          <t>30</t>
        </is>
      </c>
      <c r="CG7" s="30">
        <f>IF(CF7&gt;20,10,IF(CF7&gt;=10,5,2))</f>
        <v/>
      </c>
    </row>
    <row r="8">
      <c r="A8" s="30">
        <f>IF(B8=0,"",RANK(B8,$B$2:$B$95,0))</f>
        <v/>
      </c>
      <c r="B8" s="31">
        <f>SUM(N8,Y8,AA8,AC8,AE8,AG8,AI8,AK8,AM8,AO8,AQ8,AS8,AU8,AW8,AY8,BA8,BC8,BE8,BG8,BI8,BK8,BM8,BO8,BQ8,BS8,BU8,BW8,BY8,CA8,CC8,CE8,CG8)</f>
        <v/>
      </c>
      <c r="C8" s="30" t="inlineStr">
        <is>
          <t>GAYAPROJ</t>
        </is>
      </c>
      <c r="D8" s="30" t="inlineStr">
        <is>
          <t>Gayatri Projects Ltd</t>
        </is>
      </c>
      <c r="E8" s="30" t="inlineStr">
        <is>
          <t>realty</t>
        </is>
      </c>
      <c r="F8" s="30" t="inlineStr">
        <is>
          <t>Construction - Civil/Turnkey</t>
        </is>
      </c>
      <c r="G8" s="30" t="inlineStr">
        <is>
          <t>smallcap</t>
        </is>
      </c>
      <c r="H8" s="31" t="n">
        <v>1152.39</v>
      </c>
      <c r="I8" s="31" t="n">
        <v>24.82</v>
      </c>
      <c r="J8" s="31" t="n">
        <v>4.99</v>
      </c>
      <c r="K8" s="31" t="n">
        <v>0</v>
      </c>
      <c r="L8" s="30" t="n">
        <v>80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70.66</v>
      </c>
      <c r="P8" s="31" t="n">
        <v>28.93</v>
      </c>
      <c r="Q8" s="31" t="n">
        <v>18.51</v>
      </c>
      <c r="R8" s="30" t="inlineStr">
        <is>
          <t>Volume Spike &amp; Near 52W High Breakout</t>
        </is>
      </c>
      <c r="S8" s="30" t="inlineStr">
        <is>
          <t>Nifty Realty</t>
        </is>
      </c>
      <c r="T8" s="31" t="n">
        <v>-8.26</v>
      </c>
      <c r="U8" s="31" t="n">
        <v>191.76</v>
      </c>
      <c r="V8" s="31" t="n">
        <v>218.05</v>
      </c>
      <c r="W8" s="31" t="n">
        <v>31.17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No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B2B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One Time, Lower Annuity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20 to 40</t>
        </is>
      </c>
      <c r="AY8" s="30">
        <f>IF(AX8="Above 40",20,IF(AX8="20 to 40",10,IF(AX8="0 to 20",-5,0)))</f>
        <v/>
      </c>
      <c r="AZ8" s="30" t="inlineStr">
        <is>
          <t>Between 50 to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No</t>
        </is>
      </c>
      <c r="BS8" s="30">
        <f>IF(BR8="NO",5,0)</f>
        <v/>
      </c>
      <c r="BT8" s="30" t="inlineStr">
        <is>
          <t>Less than 1.5</t>
        </is>
      </c>
      <c r="BU8" s="30">
        <f>IF(BT8="Above 2",0,IF(BT8="Between 1.5 to 2",5,IF(BT8="Less than 1.5",10,0)))</f>
        <v/>
      </c>
      <c r="BV8" s="30" t="inlineStr">
        <is>
          <t>Above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  <c r="CF8" s="30" t="inlineStr">
        <is>
          <t>29</t>
        </is>
      </c>
      <c r="CG8" s="30">
        <f>IF(CF8&gt;20,10,IF(CF8&gt;=10,5,2))</f>
        <v/>
      </c>
    </row>
    <row r="9">
      <c r="A9" s="30">
        <f>IF(B9=0,"",RANK(B9,$B$2:$B$95,0))</f>
        <v/>
      </c>
      <c r="B9" s="31">
        <f>SUM(N9,Y9,AA9,AC9,AE9,AG9,AI9,AK9,AM9,AO9,AQ9,AS9,AU9,AW9,AY9,BA9,BC9,BE9,BG9,BI9,BK9,BM9,BO9,BQ9,BS9,BU9,BW9,BY9,CA9,CC9,CE9,CG9)</f>
        <v/>
      </c>
      <c r="C9" s="30" t="inlineStr">
        <is>
          <t>RML</t>
        </is>
      </c>
      <c r="D9" s="30" t="inlineStr">
        <is>
          <t>Rane (Madras) Ltd</t>
        </is>
      </c>
      <c r="E9" s="30" t="inlineStr">
        <is>
          <t>auto</t>
        </is>
      </c>
      <c r="F9" s="30" t="inlineStr">
        <is>
          <t>Auto Ancillaries - Gears</t>
        </is>
      </c>
      <c r="G9" s="30" t="inlineStr">
        <is>
          <t>smallcap</t>
        </is>
      </c>
      <c r="H9" s="31" t="n">
        <v>3912.04</v>
      </c>
      <c r="I9" s="31" t="n">
        <v>1415.5</v>
      </c>
      <c r="J9" s="31" t="n">
        <v>3.75</v>
      </c>
      <c r="K9" s="31" t="n">
        <v>0</v>
      </c>
      <c r="L9" s="30" t="n">
        <v>85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70.95</v>
      </c>
      <c r="P9" s="31" t="n">
        <v>53.01</v>
      </c>
      <c r="Q9" s="31" t="n">
        <v>1070.59</v>
      </c>
      <c r="R9" s="30" t="inlineStr">
        <is>
          <t>Near 52W High Breakout</t>
        </is>
      </c>
      <c r="S9" s="30" t="inlineStr">
        <is>
          <t>Nifty Auto</t>
        </is>
      </c>
      <c r="T9" s="31" t="n">
        <v>15.81</v>
      </c>
      <c r="U9" s="31" t="n">
        <v>69.2</v>
      </c>
      <c r="V9" s="31" t="n">
        <v>46.11</v>
      </c>
      <c r="W9" s="31" t="n">
        <v>34.15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No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One Time, Lower Annuity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Between 50 to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No</t>
        </is>
      </c>
      <c r="BS9" s="30">
        <f>IF(BR9="NO",5,0)</f>
        <v/>
      </c>
      <c r="BT9" s="30" t="inlineStr">
        <is>
          <t>Less than 1.5</t>
        </is>
      </c>
      <c r="BU9" s="30">
        <f>IF(BT9="Above 2",0,IF(BT9="Between 1.5 to 2",5,IF(BT9="Less than 1.5",10,0)))</f>
        <v/>
      </c>
      <c r="BV9" s="30" t="inlineStr">
        <is>
          <t>Above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Between 0.7 to 1.2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  <c r="CF9" s="30" t="inlineStr">
        <is>
          <t>26</t>
        </is>
      </c>
      <c r="CG9" s="30">
        <f>IF(CF9&gt;20,10,IF(CF9&gt;=10,5,2))</f>
        <v/>
      </c>
    </row>
    <row r="10">
      <c r="A10" s="30">
        <f>IF(B10=0,"",RANK(B10,$B$2:$B$95,0))</f>
        <v/>
      </c>
      <c r="B10" s="31">
        <f>SUM(N10,Y10,AA10,AC10,AE10,AG10,AI10,AK10,AM10,AO10,AQ10,AS10,AU10,AW10,AY10,BA10,BC10,BE10,BG10,BI10,BK10,BM10,BO10,BQ10,BS10,BU10,BW10,BY10,CA10,CC10,CE10,CG10)</f>
        <v/>
      </c>
      <c r="C10" s="30" t="inlineStr">
        <is>
          <t>TBZ</t>
        </is>
      </c>
      <c r="D10" s="30" t="inlineStr">
        <is>
          <t>Tribhovandas Bhimji Zaveri Ltd</t>
        </is>
      </c>
      <c r="E10" s="30" t="inlineStr">
        <is>
          <t>consumer discretionary</t>
        </is>
      </c>
      <c r="F10" s="30" t="inlineStr">
        <is>
          <t>Diamond, Gems &amp; Jewellery</t>
        </is>
      </c>
      <c r="G10" s="30" t="inlineStr">
        <is>
          <t>smallcap</t>
        </is>
      </c>
      <c r="H10" s="31" t="n">
        <v>3344.87</v>
      </c>
      <c r="I10" s="31" t="n">
        <v>501.25</v>
      </c>
      <c r="J10" s="31" t="n">
        <v>-4.99</v>
      </c>
      <c r="K10" s="31" t="n">
        <v>0</v>
      </c>
      <c r="L10" s="30" t="n">
        <v>98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89.09</v>
      </c>
      <c r="P10" s="31" t="n">
        <v>52.68</v>
      </c>
      <c r="Q10" s="31" t="n">
        <v>368.28</v>
      </c>
      <c r="R10" s="30" t="inlineStr">
        <is>
          <t>Near 52W High Breakout</t>
        </is>
      </c>
      <c r="S10" s="30" t="inlineStr">
        <is>
          <t>Nifty 50</t>
        </is>
      </c>
      <c r="T10" s="31" t="n">
        <v>-6.52</v>
      </c>
      <c r="U10" s="31" t="n">
        <v>170.1</v>
      </c>
      <c r="V10" s="31" t="n">
        <v>188.93</v>
      </c>
      <c r="W10" s="31" t="n">
        <v>71.38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No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One Time, Lower Annuity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Above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No</t>
        </is>
      </c>
      <c r="BS10" s="30">
        <f>IF(BR10="NO",5,0)</f>
        <v/>
      </c>
      <c r="BT10" s="30" t="inlineStr">
        <is>
          <t>Less than 1.5</t>
        </is>
      </c>
      <c r="BU10" s="30">
        <f>IF(BT10="Above 2",0,IF(BT10="Between 1.5 to 2",5,IF(BT10="Less than 1.5",10,0)))</f>
        <v/>
      </c>
      <c r="BV10" s="30" t="inlineStr">
        <is>
          <t>Above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Between 0.7 to 1.2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  <c r="CF10" s="30" t="inlineStr">
        <is>
          <t>23</t>
        </is>
      </c>
      <c r="CG10" s="30">
        <f>IF(CF10&gt;20,10,IF(CF10&gt;=10,5,2))</f>
        <v/>
      </c>
    </row>
    <row r="11">
      <c r="A11" s="30">
        <f>IF(B11=0,"",RANK(B11,$B$2:$B$95,0))</f>
        <v/>
      </c>
      <c r="B11" s="31">
        <f>SUM(N11,Y11,AA11,AC11,AE11,AG11,AI11,AK11,AM11,AO11,AQ11,AS11,AU11,AW11,AY11,BA11,BC11,BE11,BG11,BI11,BK11,BM11,BO11,BQ11,BS11,BU11,BW11,BY11,CA11,CC11,CE11,CG11)</f>
        <v/>
      </c>
      <c r="C11" s="30" t="inlineStr">
        <is>
          <t>SYRMA</t>
        </is>
      </c>
      <c r="D11" s="30" t="inlineStr">
        <is>
          <t>Syrma SGS Technology Ltd</t>
        </is>
      </c>
      <c r="E11" s="30" t="inlineStr">
        <is>
          <t>consumer discretionary</t>
        </is>
      </c>
      <c r="F11" s="30" t="inlineStr">
        <is>
          <t>Consumer Electronics - EMS</t>
        </is>
      </c>
      <c r="G11" s="30" t="inlineStr">
        <is>
          <t>largecap</t>
        </is>
      </c>
      <c r="H11" s="31" t="n">
        <v>30852.88</v>
      </c>
      <c r="I11" s="31" t="n">
        <v>1600</v>
      </c>
      <c r="J11" s="31" t="n">
        <v>-1.38</v>
      </c>
      <c r="K11" s="31" t="n">
        <v>0</v>
      </c>
      <c r="L11" s="30" t="n">
        <v>71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72.67</v>
      </c>
      <c r="P11" s="31" t="n">
        <v>60.74</v>
      </c>
      <c r="Q11" s="31" t="n">
        <v>1257.51</v>
      </c>
      <c r="R11" s="30" t="inlineStr">
        <is>
          <t>Near 52W High Breakout</t>
        </is>
      </c>
      <c r="S11" s="30" t="inlineStr">
        <is>
          <t>Nifty 50</t>
        </is>
      </c>
      <c r="T11" s="31" t="n">
        <v>-6.52</v>
      </c>
      <c r="U11" s="31" t="n">
        <v>94.27</v>
      </c>
      <c r="V11" s="31" t="n">
        <v>107.81</v>
      </c>
      <c r="W11" s="31" t="n">
        <v>23.05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One Time, Lower Annuity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Between 50 to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Blue sky scenario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Yes</t>
        </is>
      </c>
      <c r="BS11" s="30">
        <f>IF(BR11="NO",5,0)</f>
        <v/>
      </c>
      <c r="BT11" s="30" t="inlineStr">
        <is>
          <t>Less than 1.5</t>
        </is>
      </c>
      <c r="BU11" s="30">
        <f>IF(BT11="Above 2",0,IF(BT11="Between 1.5 to 2",5,IF(BT11="Less than 1.5",10,0)))</f>
        <v/>
      </c>
      <c r="BV11" s="30" t="inlineStr">
        <is>
          <t>Above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  <c r="CF11" s="30" t="inlineStr">
        <is>
          <t>22</t>
        </is>
      </c>
      <c r="CG11" s="30">
        <f>IF(CF11&gt;20,10,IF(CF11&gt;=10,5,2))</f>
        <v/>
      </c>
    </row>
    <row r="12">
      <c r="A12" s="30">
        <f>IF(B12=0,"",RANK(B12,$B$2:$B$95,0))</f>
        <v/>
      </c>
      <c r="B12" s="31">
        <f>SUM(N12,Y12,AA12,AC12,AE12,AG12,AI12,AK12,AM12,AO12,AQ12,AS12,AU12,AW12,AY12,BA12,BC12,BE12,BG12,BI12,BK12,BM12,BO12,BQ12,BS12,BU12,BW12,BY12,CA12,CC12,CE12,CG12)</f>
        <v/>
      </c>
      <c r="C12" s="33" t="inlineStr">
        <is>
          <t>ATHERENERG</t>
        </is>
      </c>
      <c r="D12" s="33" t="inlineStr">
        <is>
          <t>Ather Energy Ltd</t>
        </is>
      </c>
      <c r="E12" s="30" t="inlineStr">
        <is>
          <t>auto</t>
        </is>
      </c>
      <c r="F12" s="30" t="inlineStr">
        <is>
          <t>Auto - 2 &amp; 3 Wheelers</t>
        </is>
      </c>
      <c r="G12" s="30" t="inlineStr">
        <is>
          <t>largecap</t>
        </is>
      </c>
      <c r="H12" s="31" t="n">
        <v>65768.8</v>
      </c>
      <c r="I12" s="31" t="n">
        <v>1658.3</v>
      </c>
      <c r="J12" s="31" t="n">
        <v>4.96</v>
      </c>
      <c r="K12" s="31" t="n">
        <v>0</v>
      </c>
      <c r="L12" s="30" t="n">
        <v>97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78.97</v>
      </c>
      <c r="P12" s="31" t="n">
        <v>67.47</v>
      </c>
      <c r="Q12" s="31" t="n">
        <v>1290.62</v>
      </c>
      <c r="R12" s="30" t="inlineStr">
        <is>
          <t>Near 52W High Breakout</t>
        </is>
      </c>
      <c r="S12" s="30" t="inlineStr">
        <is>
          <t>Nifty Auto</t>
        </is>
      </c>
      <c r="T12" s="31" t="n">
        <v>15.81</v>
      </c>
      <c r="U12" s="31" t="n">
        <v>396.05</v>
      </c>
      <c r="V12" s="31" t="n">
        <v>328.34</v>
      </c>
      <c r="W12" s="31" t="n">
        <v>63.4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No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One Time, Lower Annuity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Above 40</t>
        </is>
      </c>
      <c r="AY12" s="30">
        <f>IF(AX12="Above 40",20,IF(AX12="20 to 40",10,IF(AX12="0 to 20",-5,0)))</f>
        <v/>
      </c>
      <c r="AZ12" s="30" t="inlineStr">
        <is>
          <t>Above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Blue sky scenario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No</t>
        </is>
      </c>
      <c r="BS12" s="30">
        <f>IF(BR12="NO",5,0)</f>
        <v/>
      </c>
      <c r="BT12" s="30" t="inlineStr">
        <is>
          <t>Above 2</t>
        </is>
      </c>
      <c r="BU12" s="30">
        <f>IF(BT12="Above 2",0,IF(BT12="Between 1.5 to 2",5,IF(BT12="Less than 1.5",10,0)))</f>
        <v/>
      </c>
      <c r="BV12" s="30" t="inlineStr">
        <is>
          <t>Above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  <c r="CF12" s="30" t="inlineStr">
        <is>
          <t>21</t>
        </is>
      </c>
      <c r="CG12" s="30">
        <f>IF(CF12&gt;20,10,IF(CF12&gt;=10,5,2))</f>
        <v/>
      </c>
    </row>
    <row r="13">
      <c r="A13" s="30">
        <f>IF(B13=0,"",RANK(B13,$B$2:$B$95,0))</f>
        <v/>
      </c>
      <c r="B13" s="31">
        <f>SUM(N13,Y13,AA13,AC13,AE13,AG13,AI13,AK13,AM13,AO13,AQ13,AS13,AU13,AW13,AY13,BA13,BC13,BE13,BG13,BI13,BK13,BM13,BO13,BQ13,BS13,BU13,BW13,BY13,CA13,CC13,CE13,CG13)</f>
        <v/>
      </c>
      <c r="C13" s="30" t="inlineStr">
        <is>
          <t>ASMTEC</t>
        </is>
      </c>
      <c r="D13" s="30" t="inlineStr">
        <is>
          <t>ASM Technologies Ltd</t>
        </is>
      </c>
      <c r="E13" s="30" t="inlineStr">
        <is>
          <t>Technology</t>
        </is>
      </c>
      <c r="F13" s="30" t="inlineStr">
        <is>
          <t>IT - Software</t>
        </is>
      </c>
      <c r="G13" s="30" t="inlineStr">
        <is>
          <t>midcap</t>
        </is>
      </c>
      <c r="H13" s="31" t="n">
        <v>10140.65</v>
      </c>
      <c r="I13" s="31" t="n">
        <v>6952</v>
      </c>
      <c r="J13" s="31" t="n">
        <v>6.6</v>
      </c>
      <c r="K13" s="31" t="n">
        <v>0</v>
      </c>
      <c r="L13" s="30" t="n">
        <v>91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83.63</v>
      </c>
      <c r="P13" s="31" t="n">
        <v>50.84</v>
      </c>
      <c r="Q13" s="31" t="n">
        <v>5294.12</v>
      </c>
      <c r="R13" s="30" t="inlineStr">
        <is>
          <t>Volume Spike &amp; Near 52W High Breakout</t>
        </is>
      </c>
      <c r="S13" s="30" t="inlineStr">
        <is>
          <t>Nifty 50</t>
        </is>
      </c>
      <c r="T13" s="31" t="n">
        <v>-6.52</v>
      </c>
      <c r="U13" s="31" t="n">
        <v>60.76</v>
      </c>
      <c r="V13" s="31" t="n">
        <v>71.95999999999999</v>
      </c>
      <c r="W13" s="31" t="n">
        <v>41.3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No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Higher Annuity, Lower One Time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Above 40</t>
        </is>
      </c>
      <c r="AY13" s="30">
        <f>IF(AX13="Above 40",20,IF(AX13="20 to 40",10,IF(AX13="0 to 20",-5,0)))</f>
        <v/>
      </c>
      <c r="AZ13" s="30" t="inlineStr">
        <is>
          <t>Above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Blue sky scenario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Yes</t>
        </is>
      </c>
      <c r="BS13" s="30">
        <f>IF(BR13="NO",5,0)</f>
        <v/>
      </c>
      <c r="BT13" s="30" t="inlineStr">
        <is>
          <t>Between 1.5 to 2</t>
        </is>
      </c>
      <c r="BU13" s="30">
        <f>IF(BT13="Above 2",0,IF(BT13="Between 1.5 to 2",5,IF(BT13="Less than 1.5",10,0)))</f>
        <v/>
      </c>
      <c r="BV13" s="30" t="inlineStr">
        <is>
          <t>Above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  <c r="CF13" s="30" t="inlineStr">
        <is>
          <t>26</t>
        </is>
      </c>
      <c r="CG13" s="30">
        <f>IF(CF13&gt;20,10,IF(CF13&gt;=10,5,2))</f>
        <v/>
      </c>
    </row>
    <row r="14">
      <c r="A14" s="30">
        <f>IF(B14=0,"",RANK(B14,$B$2:$B$95,0))</f>
        <v/>
      </c>
      <c r="B14" s="31">
        <f>SUM(N14,Y14,AA14,AC14,AE14,AG14,AI14,AK14,AM14,AO14,AQ14,AS14,AU14,AW14,AY14,BA14,BC14,BE14,BG14,BI14,BK14,BM14,BO14,BQ14,BS14,BU14,BW14,BY14,CA14,CC14,CE14,CG14)</f>
        <v/>
      </c>
      <c r="C14" s="30" t="inlineStr">
        <is>
          <t>IOLCP</t>
        </is>
      </c>
      <c r="D14" s="30" t="inlineStr">
        <is>
          <t>IOL Chemicals &amp; Pharmaceuticals Ltd</t>
        </is>
      </c>
      <c r="E14" s="30" t="inlineStr">
        <is>
          <t>healthcare</t>
        </is>
      </c>
      <c r="F14" s="30" t="inlineStr">
        <is>
          <t>Pharma - API &amp; CRAMS</t>
        </is>
      </c>
      <c r="G14" s="30" t="inlineStr">
        <is>
          <t>midcap</t>
        </is>
      </c>
      <c r="H14" s="31" t="n">
        <v>6222.78</v>
      </c>
      <c r="I14" s="31" t="n">
        <v>212</v>
      </c>
      <c r="J14" s="31" t="n">
        <v>1.29</v>
      </c>
      <c r="K14" s="31" t="n">
        <v>0</v>
      </c>
      <c r="L14" s="30" t="n">
        <v>83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81.22</v>
      </c>
      <c r="P14" s="31" t="n">
        <v>81.87</v>
      </c>
      <c r="Q14" s="31" t="n">
        <v>158.91</v>
      </c>
      <c r="R14" s="30" t="inlineStr">
        <is>
          <t>Near 52W High Breakout</t>
        </is>
      </c>
      <c r="S14" s="30" t="inlineStr">
        <is>
          <t>Nifty Pharma</t>
        </is>
      </c>
      <c r="T14" s="31" t="n">
        <v>18.86</v>
      </c>
      <c r="U14" s="31" t="n">
        <v>85.12</v>
      </c>
      <c r="V14" s="31" t="n">
        <v>55.74</v>
      </c>
      <c r="W14" s="31" t="n">
        <v>33.16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Yes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Annuity, Lower One Time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Above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Blue sky scenario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No</t>
        </is>
      </c>
      <c r="BS14" s="30">
        <f>IF(BR14="NO",5,0)</f>
        <v/>
      </c>
      <c r="BT14" s="30" t="inlineStr">
        <is>
          <t>Less than 1.5</t>
        </is>
      </c>
      <c r="BU14" s="30">
        <f>IF(BT14="Above 2",0,IF(BT14="Between 1.5 to 2",5,IF(BT14="Less than 1.5",10,0)))</f>
        <v/>
      </c>
      <c r="BV14" s="30" t="inlineStr">
        <is>
          <t>Above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  <c r="CF14" s="30" t="inlineStr">
        <is>
          <t>21</t>
        </is>
      </c>
      <c r="CG14" s="30">
        <f>IF(CF14&gt;20,10,IF(CF14&gt;=10,5,2))</f>
        <v/>
      </c>
    </row>
    <row r="15">
      <c r="A15" s="30">
        <f>IF(B15=0,"",RANK(B15,$B$2:$B$95,0))</f>
        <v/>
      </c>
      <c r="B15" s="31">
        <f>SUM(N15,Y15,AA15,AC15,AE15,AG15,AI15,AK15,AM15,AO15,AQ15,AS15,AU15,AW15,AY15,BA15,BC15,BE15,BG15,BI15,BK15,BM15,BO15,BQ15,BS15,BU15,BW15,BY15,CA15,CC15,CE15,CG15)</f>
        <v/>
      </c>
      <c r="C15" s="33" t="inlineStr">
        <is>
          <t>VENKEYS</t>
        </is>
      </c>
      <c r="D15" s="33" t="inlineStr">
        <is>
          <t>Venkys (India) Ltd</t>
        </is>
      </c>
      <c r="E15" s="30" t="inlineStr">
        <is>
          <t>fmcg</t>
        </is>
      </c>
      <c r="F15" s="30" t="inlineStr">
        <is>
          <t>FMCG - Animal/Polutry</t>
        </is>
      </c>
      <c r="G15" s="30" t="inlineStr">
        <is>
          <t>smallcap</t>
        </is>
      </c>
      <c r="H15" s="31" t="n">
        <v>2400.48</v>
      </c>
      <c r="I15" s="31" t="n">
        <v>1704</v>
      </c>
      <c r="J15" s="31" t="n">
        <v>0.55</v>
      </c>
      <c r="K15" s="31" t="n">
        <v>0</v>
      </c>
      <c r="L15" s="30" t="n">
        <v>14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64.59</v>
      </c>
      <c r="P15" s="31" t="n">
        <v>41.06</v>
      </c>
      <c r="Q15" s="31" t="n">
        <v>1358.93</v>
      </c>
      <c r="R15" s="30" t="inlineStr">
        <is>
          <t>Near 52W High Breakout</t>
        </is>
      </c>
      <c r="S15" s="30" t="inlineStr">
        <is>
          <t>Nifty FMCG</t>
        </is>
      </c>
      <c r="T15" s="31" t="n">
        <v>-17.21</v>
      </c>
      <c r="U15" s="31" t="n">
        <v>11.19</v>
      </c>
      <c r="V15" s="31" t="n">
        <v>34.31</v>
      </c>
      <c r="W15" s="31" t="n">
        <v>4.77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B2C</t>
        </is>
      </c>
      <c r="AO15" s="30">
        <f>IF(AN15="B2C",10,IF(AN15="B2B",5,0))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Higher Annuity, Lower One Time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Above 40</t>
        </is>
      </c>
      <c r="AY15" s="30">
        <f>IF(AX15="Above 40",20,IF(AX15="20 to 40",10,IF(AX15="0 to 20",-5,0)))</f>
        <v/>
      </c>
      <c r="AZ15" s="30" t="inlineStr">
        <is>
          <t>Between 50 to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Close to 52 week high or retracement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No</t>
        </is>
      </c>
      <c r="BS15" s="30">
        <f>IF(BR15="NO",5,0)</f>
        <v/>
      </c>
      <c r="BT15" s="30" t="inlineStr">
        <is>
          <t>Above 2</t>
        </is>
      </c>
      <c r="BU15" s="30">
        <f>IF(BT15="Above 2",0,IF(BT15="Between 1.5 to 2",5,IF(BT15="Less than 1.5",10,0)))</f>
        <v/>
      </c>
      <c r="BV15" s="30" t="inlineStr">
        <is>
          <t>Above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  <c r="CF15" s="30" t="inlineStr">
        <is>
          <t>20</t>
        </is>
      </c>
      <c r="CG15" s="30">
        <f>IF(CF15&gt;20,10,IF(CF15&gt;=10,5,2))</f>
        <v/>
      </c>
    </row>
    <row r="16">
      <c r="A16" s="30">
        <f>IF(B16=0,"",RANK(B16,$B$2:$B$95,0))</f>
        <v/>
      </c>
      <c r="B16" s="31">
        <f>SUM(N16,Y16,AA16,AC16,AE16,AG16,AI16,AK16,AM16,AO16,AQ16,AS16,AU16,AW16,AY16,BA16,BC16,BE16,BG16,BI16,BK16,BM16,BO16,BQ16,BS16,BU16,BW16,BY16,CA16,CC16,CE16,CG16)</f>
        <v/>
      </c>
      <c r="C16" s="33" t="inlineStr">
        <is>
          <t>INNOVACAP</t>
        </is>
      </c>
      <c r="D16" s="33" t="inlineStr">
        <is>
          <t>Innova Captab Ltd</t>
        </is>
      </c>
      <c r="E16" s="30" t="inlineStr">
        <is>
          <t>healthcare</t>
        </is>
      </c>
      <c r="F16" s="30" t="inlineStr">
        <is>
          <t>Pharma - API</t>
        </is>
      </c>
      <c r="G16" s="30" t="inlineStr">
        <is>
          <t>midcap</t>
        </is>
      </c>
      <c r="H16" s="31" t="n">
        <v>6666.7</v>
      </c>
      <c r="I16" s="31" t="n">
        <v>1165</v>
      </c>
      <c r="J16" s="31" t="n">
        <v>-1.99</v>
      </c>
      <c r="K16" s="31" t="n">
        <v>0</v>
      </c>
      <c r="L16" s="30" t="n">
        <v>41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74.65000000000001</v>
      </c>
      <c r="P16" s="31" t="n">
        <v>63.62</v>
      </c>
      <c r="Q16" s="31" t="n">
        <v>932.6</v>
      </c>
      <c r="R16" s="30" t="inlineStr">
        <is>
          <t>Near 52W High Breakout</t>
        </is>
      </c>
      <c r="S16" s="30" t="inlineStr">
        <is>
          <t>Nifty Pharma</t>
        </is>
      </c>
      <c r="T16" s="31" t="n">
        <v>18.86</v>
      </c>
      <c r="U16" s="31" t="n">
        <v>36.21</v>
      </c>
      <c r="V16" s="31" t="n">
        <v>14.59</v>
      </c>
      <c r="W16" s="31" t="n">
        <v>12.59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Yes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B2B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Higher Annuity, Lower One Time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Between 50 to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Blue sky scenario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Yes</t>
        </is>
      </c>
      <c r="BS16" s="30">
        <f>IF(BR16="NO",5,0)</f>
        <v/>
      </c>
      <c r="BT16" s="30" t="inlineStr">
        <is>
          <t>Less than 1.5</t>
        </is>
      </c>
      <c r="BU16" s="30">
        <f>IF(BT16="Above 2",0,IF(BT16="Between 1.5 to 2",5,IF(BT16="Less than 1.5",10,0)))</f>
        <v/>
      </c>
      <c r="BV16" s="30" t="inlineStr">
        <is>
          <t>Above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  <c r="CF16" s="30" t="inlineStr">
        <is>
          <t>19</t>
        </is>
      </c>
      <c r="CG16" s="30">
        <f>IF(CF16&gt;20,10,IF(CF16&gt;=10,5,2))</f>
        <v/>
      </c>
    </row>
    <row r="17">
      <c r="A17" s="30">
        <f>IF(B17=0,"",RANK(B17,$B$2:$B$95,0))</f>
        <v/>
      </c>
      <c r="B17" s="31">
        <f>SUM(N17,Y17,AA17,AC17,AE17,AG17,AI17,AK17,AM17,AO17,AQ17,AS17,AU17,AW17,AY17,BA17,BC17,BE17,BG17,BI17,BK17,BM17,BO17,BQ17,BS17,BU17,BW17,BY17,CA17,CC17,CE17,CG17)</f>
        <v/>
      </c>
      <c r="C17" s="30" t="inlineStr">
        <is>
          <t>MODISONLTD</t>
        </is>
      </c>
      <c r="D17" s="30" t="inlineStr">
        <is>
          <t>Modison Ltd</t>
        </is>
      </c>
      <c r="E17" s="30" t="inlineStr">
        <is>
          <t>industrials</t>
        </is>
      </c>
      <c r="F17" s="30" t="inlineStr">
        <is>
          <t>Capital Goods - Electric General</t>
        </is>
      </c>
      <c r="G17" s="30" t="inlineStr">
        <is>
          <t>smallcap</t>
        </is>
      </c>
      <c r="H17" s="31" t="n">
        <v>1670.53</v>
      </c>
      <c r="I17" s="31" t="n">
        <v>514.8</v>
      </c>
      <c r="J17" s="31" t="n">
        <v>5</v>
      </c>
      <c r="K17" s="31" t="n">
        <v>0</v>
      </c>
      <c r="L17" s="30" t="n">
        <v>95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83.02</v>
      </c>
      <c r="P17" s="31" t="n">
        <v>59.16</v>
      </c>
      <c r="Q17" s="31" t="n">
        <v>379.48</v>
      </c>
      <c r="R17" s="30" t="inlineStr">
        <is>
          <t>Near 52W High Breakout</t>
        </is>
      </c>
      <c r="S17" s="30" t="inlineStr">
        <is>
          <t>Nifty 50</t>
        </is>
      </c>
      <c r="T17" s="31" t="n">
        <v>-6.52</v>
      </c>
      <c r="U17" s="31" t="n">
        <v>228.3</v>
      </c>
      <c r="V17" s="31" t="n">
        <v>251.18</v>
      </c>
      <c r="W17" s="31" t="n">
        <v>54.43</v>
      </c>
      <c r="X17" s="30" t="inlineStr">
        <is>
          <t>Cyclical in an Upturn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Higher One Time, Lower Annuity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Above 40</t>
        </is>
      </c>
      <c r="AY17" s="30">
        <f>IF(AX17="Above 40",20,IF(AX17="20 to 40",10,IF(AX17="0 to 20",-5,0)))</f>
        <v/>
      </c>
      <c r="AZ17" s="30" t="inlineStr">
        <is>
          <t>Above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Blue sky scenario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No</t>
        </is>
      </c>
      <c r="BS17" s="30">
        <f>IF(BR17="NO",5,0)</f>
        <v/>
      </c>
      <c r="BT17" s="30" t="inlineStr">
        <is>
          <t>Above 2</t>
        </is>
      </c>
      <c r="BU17" s="30">
        <f>IF(BT17="Above 2",0,IF(BT17="Between 1.5 to 2",5,IF(BT17="Less than 1.5",10,0)))</f>
        <v/>
      </c>
      <c r="BV17" s="30" t="inlineStr">
        <is>
          <t>Above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  <c r="CF17" s="30" t="inlineStr">
        <is>
          <t>27</t>
        </is>
      </c>
      <c r="CG17" s="30">
        <f>IF(CF17&gt;20,10,IF(CF17&gt;=10,5,2))</f>
        <v/>
      </c>
    </row>
    <row r="18">
      <c r="A18" s="30">
        <f>IF(B18=0,"",RANK(B18,$B$2:$B$95,0))</f>
        <v/>
      </c>
      <c r="B18" s="31">
        <f>SUM(N18,Y18,AA18,AC18,AE18,AG18,AI18,AK18,AM18,AO18,AQ18,AS18,AU18,AW18,AY18,BA18,BC18,BE18,BG18,BI18,BK18,BM18,BO18,BQ18,BS18,BU18,BW18,BY18,CA18,CC18,CE18,CG18)</f>
        <v/>
      </c>
      <c r="C18" s="33" t="inlineStr">
        <is>
          <t>BHAGYANGR</t>
        </is>
      </c>
      <c r="D18" s="33" t="inlineStr">
        <is>
          <t>Bhagyanagar India Ltd</t>
        </is>
      </c>
      <c r="E18" s="30" t="inlineStr">
        <is>
          <t>power &amp; utilities</t>
        </is>
      </c>
      <c r="F18" s="30" t="inlineStr">
        <is>
          <t>Recycling</t>
        </is>
      </c>
      <c r="G18" s="30" t="inlineStr">
        <is>
          <t>smallcap</t>
        </is>
      </c>
      <c r="H18" s="31" t="n">
        <v>1447.72</v>
      </c>
      <c r="I18" s="31" t="n">
        <v>432.2</v>
      </c>
      <c r="J18" s="31" t="n">
        <v>4.99</v>
      </c>
      <c r="K18" s="31" t="n">
        <v>0</v>
      </c>
      <c r="L18" s="30" t="n">
        <v>93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69.39</v>
      </c>
      <c r="P18" s="31" t="n">
        <v>66.76000000000001</v>
      </c>
      <c r="Q18" s="31" t="n">
        <v>308.39</v>
      </c>
      <c r="R18" s="30" t="inlineStr">
        <is>
          <t>Volume Spike &amp; Near 52W High Breakout</t>
        </is>
      </c>
      <c r="S18" s="30" t="inlineStr">
        <is>
          <t>Nifty IT</t>
        </is>
      </c>
      <c r="T18" s="31" t="n">
        <v>-19.99</v>
      </c>
      <c r="U18" s="31" t="n">
        <v>363.24</v>
      </c>
      <c r="V18" s="31" t="n">
        <v>479</v>
      </c>
      <c r="W18" s="31" t="n">
        <v>48.85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No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Higher One Time, Lower Annuity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Above 40</t>
        </is>
      </c>
      <c r="AY18" s="30">
        <f>IF(AX18="Above 40",20,IF(AX18="20 to 40",10,IF(AX18="0 to 20",-5,0)))</f>
        <v/>
      </c>
      <c r="AZ18" s="30" t="inlineStr">
        <is>
          <t>Between 50 to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Blue sky scenario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No</t>
        </is>
      </c>
      <c r="BS18" s="30">
        <f>IF(BR18="NO",5,0)</f>
        <v/>
      </c>
      <c r="BT18" s="30" t="inlineStr">
        <is>
          <t>Above 2</t>
        </is>
      </c>
      <c r="BU18" s="30">
        <f>IF(BT18="Above 2",0,IF(BT18="Between 1.5 to 2",5,IF(BT18="Less than 1.5",10,0)))</f>
        <v/>
      </c>
      <c r="BV18" s="30" t="inlineStr">
        <is>
          <t>Above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Between 0.7 to 1.2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  <c r="CF18" s="30" t="inlineStr">
        <is>
          <t>23</t>
        </is>
      </c>
      <c r="CG18" s="30">
        <f>IF(CF18&gt;20,10,IF(CF18&gt;=10,5,2))</f>
        <v/>
      </c>
    </row>
    <row r="19">
      <c r="A19" s="30">
        <f>IF(B19=0,"",RANK(B19,$B$2:$B$95,0))</f>
        <v/>
      </c>
      <c r="B19" s="31">
        <f>SUM(N19,Y19,AA19,AC19,AE19,AG19,AI19,AK19,AM19,AO19,AQ19,AS19,AU19,AW19,AY19,BA19,BC19,BE19,BG19,BI19,BK19,BM19,BO19,BQ19,BS19,BU19,BW19,BY19,CA19,CC19,CE19,CG19)</f>
        <v/>
      </c>
      <c r="C19" s="30" t="inlineStr">
        <is>
          <t>KMEW</t>
        </is>
      </c>
      <c r="D19" s="30" t="inlineStr">
        <is>
          <t>Knowledge Marine &amp; Engineering Works Ltd</t>
        </is>
      </c>
      <c r="E19" s="30" t="inlineStr">
        <is>
          <t>transportation</t>
        </is>
      </c>
      <c r="F19" s="30" t="inlineStr">
        <is>
          <t>Shipping</t>
        </is>
      </c>
      <c r="G19" s="30" t="inlineStr">
        <is>
          <t>midcap</t>
        </is>
      </c>
      <c r="H19" s="31" t="n">
        <v>7375.94</v>
      </c>
      <c r="I19" s="31" t="n">
        <v>2908</v>
      </c>
      <c r="J19" s="31" t="n">
        <v>-1.8</v>
      </c>
      <c r="K19" s="31" t="n">
        <v>0</v>
      </c>
      <c r="L19" s="30" t="n">
        <v>86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74.18000000000001</v>
      </c>
      <c r="P19" s="31" t="n">
        <v>57.75</v>
      </c>
      <c r="Q19" s="31" t="n">
        <v>2262.6</v>
      </c>
      <c r="R19" s="30" t="inlineStr">
        <is>
          <t>Near 52W High Breakout</t>
        </is>
      </c>
      <c r="S19" s="30" t="inlineStr">
        <is>
          <t>Nifty 50</t>
        </is>
      </c>
      <c r="T19" s="31" t="n">
        <v>-6.52</v>
      </c>
      <c r="U19" s="31" t="n">
        <v>167.35</v>
      </c>
      <c r="V19" s="31" t="n">
        <v>185.98</v>
      </c>
      <c r="W19" s="31" t="n">
        <v>34.56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No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B2B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One Time, Lower Annuity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Above 40</t>
        </is>
      </c>
      <c r="AY19" s="30">
        <f>IF(AX19="Above 40",20,IF(AX19="20 to 40",10,IF(AX19="0 to 20",-5,0)))</f>
        <v/>
      </c>
      <c r="AZ19" s="30" t="inlineStr">
        <is>
          <t>Between 50 to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Blue sky scenario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Yes</t>
        </is>
      </c>
      <c r="BS19" s="30">
        <f>IF(BR19="NO",5,0)</f>
        <v/>
      </c>
      <c r="BT19" s="30" t="inlineStr">
        <is>
          <t>Above 2</t>
        </is>
      </c>
      <c r="BU19" s="30">
        <f>IF(BT19="Above 2",0,IF(BT19="Between 1.5 to 2",5,IF(BT19="Less than 1.5",10,0)))</f>
        <v/>
      </c>
      <c r="BV19" s="30" t="inlineStr">
        <is>
          <t>Above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  <c r="CF19" s="30" t="inlineStr">
        <is>
          <t>22</t>
        </is>
      </c>
      <c r="CG19" s="30">
        <f>IF(CF19&gt;20,10,IF(CF19&gt;=10,5,2))</f>
        <v/>
      </c>
    </row>
    <row r="20">
      <c r="A20" s="30">
        <f>IF(B20=0,"",RANK(B20,$B$2:$B$95,0))</f>
        <v/>
      </c>
      <c r="B20" s="31">
        <f>SUM(N20,Y20,AA20,AC20,AE20,AG20,AI20,AK20,AM20,AO20,AQ20,AS20,AU20,AW20,AY20,BA20,BC20,BE20,BG20,BI20,BK20,BM20,BO20,BQ20,BS20,BU20,BW20,BY20,CA20,CC20,CE20,CG20)</f>
        <v/>
      </c>
      <c r="C20" s="33" t="inlineStr">
        <is>
          <t>KINGFA</t>
        </is>
      </c>
      <c r="D20" s="33" t="inlineStr">
        <is>
          <t>Kingfa Science &amp; Technology (India) Ltd</t>
        </is>
      </c>
      <c r="E20" s="30" t="inlineStr">
        <is>
          <t>plastic products</t>
        </is>
      </c>
      <c r="F20" s="30" t="inlineStr">
        <is>
          <t>Plastics - Plastic &amp; Plastic Products</t>
        </is>
      </c>
      <c r="G20" s="30" t="inlineStr">
        <is>
          <t>midcap</t>
        </is>
      </c>
      <c r="H20" s="31" t="n">
        <v>8382.209999999999</v>
      </c>
      <c r="I20" s="31" t="n">
        <v>6185.5</v>
      </c>
      <c r="J20" s="31" t="n">
        <v>0.45</v>
      </c>
      <c r="K20" s="31" t="n">
        <v>0</v>
      </c>
      <c r="L20" s="30" t="n">
        <v>58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73.16</v>
      </c>
      <c r="P20" s="31" t="n">
        <v>36.44</v>
      </c>
      <c r="Q20" s="31" t="n">
        <v>5031.73</v>
      </c>
      <c r="R20" s="30" t="inlineStr">
        <is>
          <t>Near 52W High Breakout</t>
        </is>
      </c>
      <c r="S20" s="30" t="inlineStr">
        <is>
          <t>Nifty Infra</t>
        </is>
      </c>
      <c r="T20" s="31" t="n">
        <v>0.74</v>
      </c>
      <c r="U20" s="31" t="n">
        <v>72.39</v>
      </c>
      <c r="V20" s="31" t="n">
        <v>71.13</v>
      </c>
      <c r="W20" s="31" t="n">
        <v>18.3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No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B2B</t>
        </is>
      </c>
      <c r="AO20" s="30">
        <f>IF(AN20="B2C",10,IF(AN20="B2B",5,0))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Higher One Time, Lower Annuity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20 to 40</t>
        </is>
      </c>
      <c r="AY20" s="30">
        <f>IF(AX20="Above 40",20,IF(AX20="20 to 40",10,IF(AX20="0 to 20",-5,0)))</f>
        <v/>
      </c>
      <c r="AZ20" s="30" t="inlineStr">
        <is>
          <t>Between 50 to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Blue sky scenario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No</t>
        </is>
      </c>
      <c r="BS20" s="30">
        <f>IF(BR20="NO",5,0)</f>
        <v/>
      </c>
      <c r="BT20" s="30" t="inlineStr">
        <is>
          <t>Less than 1.5</t>
        </is>
      </c>
      <c r="BU20" s="30">
        <f>IF(BT20="Above 2",0,IF(BT20="Between 1.5 to 2",5,IF(BT20="Less than 1.5",10,0)))</f>
        <v/>
      </c>
      <c r="BV20" s="30" t="inlineStr">
        <is>
          <t>Above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  <c r="CF20" s="30" t="inlineStr">
        <is>
          <t>21</t>
        </is>
      </c>
      <c r="CG20" s="30">
        <f>IF(CF20&gt;20,10,IF(CF20&gt;=10,5,2))</f>
        <v/>
      </c>
    </row>
    <row r="21">
      <c r="A21" s="30">
        <f>IF(B21=0,"",RANK(B21,$B$2:$B$95,0))</f>
        <v/>
      </c>
      <c r="B21" s="31">
        <f>SUM(N21,Y21,AA21,AC21,AE21,AG21,AI21,AK21,AM21,AO21,AQ21,AS21,AU21,AW21,AY21,BA21,BC21,BE21,BG21,BI21,BK21,BM21,BO21,BQ21,BS21,BU21,BW21,BY21,CA21,CC21,CE21,CG21)</f>
        <v/>
      </c>
      <c r="C21" s="30" t="inlineStr">
        <is>
          <t>MENONBE</t>
        </is>
      </c>
      <c r="D21" s="30" t="inlineStr">
        <is>
          <t>Menon Bearings Ltd</t>
        </is>
      </c>
      <c r="E21" s="30" t="inlineStr">
        <is>
          <t>auto</t>
        </is>
      </c>
      <c r="F21" s="30" t="inlineStr">
        <is>
          <t>Auto Ancillaries - Bearings</t>
        </is>
      </c>
      <c r="G21" s="30" t="inlineStr">
        <is>
          <t>smallcap</t>
        </is>
      </c>
      <c r="H21" s="31" t="n">
        <v>1708.94</v>
      </c>
      <c r="I21" s="31" t="n">
        <v>304.95</v>
      </c>
      <c r="J21" s="31" t="n">
        <v>-0.18</v>
      </c>
      <c r="K21" s="31" t="n">
        <v>0</v>
      </c>
      <c r="L21" s="30" t="n">
        <v>96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77.56999999999999</v>
      </c>
      <c r="P21" s="31" t="n">
        <v>63.59</v>
      </c>
      <c r="Q21" s="31" t="n">
        <v>240.7</v>
      </c>
      <c r="R21" s="30" t="inlineStr">
        <is>
          <t>Earnings / Momentum Support</t>
        </is>
      </c>
      <c r="S21" s="30" t="inlineStr">
        <is>
          <t>Nifty Auto</t>
        </is>
      </c>
      <c r="T21" s="31" t="n">
        <v>15.81</v>
      </c>
      <c r="U21" s="31" t="n">
        <v>137.35</v>
      </c>
      <c r="V21" s="31" t="n">
        <v>104.95</v>
      </c>
      <c r="W21" s="31" t="n">
        <v>61.03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No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B2B</t>
        </is>
      </c>
      <c r="AO21" s="30">
        <f>IF(AN21="B2C",10,IF(AN21="B2B",5,0))</f>
        <v/>
      </c>
      <c r="AP21" s="30" t="inlineStr">
        <is>
          <t>No</t>
        </is>
      </c>
      <c r="AQ21" s="30">
        <f>IF(AP21="Yes",10,0)</f>
        <v/>
      </c>
      <c r="AR21" s="30" t="inlineStr">
        <is>
          <t>Higher One Time, Lower Annuity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Above 40</t>
        </is>
      </c>
      <c r="AY21" s="30">
        <f>IF(AX21="Above 40",20,IF(AX21="20 to 40",10,IF(AX21="0 to 20",-5,0)))</f>
        <v/>
      </c>
      <c r="AZ21" s="30" t="inlineStr">
        <is>
          <t>Above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Close to 52 week high or retracement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No</t>
        </is>
      </c>
      <c r="BS21" s="30">
        <f>IF(BR21="NO",5,0)</f>
        <v/>
      </c>
      <c r="BT21" s="30" t="inlineStr">
        <is>
          <t>Less than 1.5</t>
        </is>
      </c>
      <c r="BU21" s="30">
        <f>IF(BT21="Above 2",0,IF(BT21="Between 1.5 to 2",5,IF(BT21="Less than 1.5",10,0)))</f>
        <v/>
      </c>
      <c r="BV21" s="30" t="inlineStr">
        <is>
          <t>Above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  <c r="CF21" s="30" t="inlineStr">
        <is>
          <t>20</t>
        </is>
      </c>
      <c r="CG21" s="30">
        <f>IF(CF21&gt;20,10,IF(CF21&gt;=10,5,2))</f>
        <v/>
      </c>
    </row>
    <row r="22">
      <c r="A22" s="30">
        <f>IF(B22=0,"",RANK(B22,$B$2:$B$95,0))</f>
        <v/>
      </c>
      <c r="B22" s="31">
        <f>SUM(N22,Y22,AA22,AC22,AE22,AG22,AI22,AK22,AM22,AO22,AQ22,AS22,AU22,AW22,AY22,BA22,BC22,BE22,BG22,BI22,BK22,BM22,BO22,BQ22,BS22,BU22,BW22,BY22,CA22,CC22,CE22,CG22)</f>
        <v/>
      </c>
      <c r="C22" s="33" t="inlineStr">
        <is>
          <t>CONFIPET</t>
        </is>
      </c>
      <c r="D22" s="33" t="inlineStr">
        <is>
          <t>Confidence Petroleum India Ltd</t>
        </is>
      </c>
      <c r="E22" s="30" t="inlineStr">
        <is>
          <t>miscellaneous</t>
        </is>
      </c>
      <c r="F22" s="30" t="inlineStr">
        <is>
          <t>LPG Bottling</t>
        </is>
      </c>
      <c r="G22" s="30" t="inlineStr">
        <is>
          <t>smallcap</t>
        </is>
      </c>
      <c r="H22" s="31" t="n">
        <v>2923.72</v>
      </c>
      <c r="I22" s="31" t="n">
        <v>88</v>
      </c>
      <c r="J22" s="31" t="n">
        <v>-2.93</v>
      </c>
      <c r="K22" s="31" t="n">
        <v>0</v>
      </c>
      <c r="L22" s="30" t="n">
        <v>79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70.61</v>
      </c>
      <c r="P22" s="31" t="n">
        <v>61.02</v>
      </c>
      <c r="Q22" s="31" t="n">
        <v>61.49</v>
      </c>
      <c r="R22" s="30" t="inlineStr">
        <is>
          <t>Near 52W High Breakout</t>
        </is>
      </c>
      <c r="S22" s="30" t="inlineStr">
        <is>
          <t>Nifty Energy</t>
        </is>
      </c>
      <c r="T22" s="31" t="n">
        <v>8.43</v>
      </c>
      <c r="U22" s="31" t="n">
        <v>68.64</v>
      </c>
      <c r="V22" s="31" t="n">
        <v>55.52</v>
      </c>
      <c r="W22" s="31" t="n">
        <v>29.72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No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One Time, Lower Annuity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Above 40</t>
        </is>
      </c>
      <c r="AY22" s="30">
        <f>IF(AX22="Above 40",20,IF(AX22="20 to 40",10,IF(AX22="0 to 20",-5,0)))</f>
        <v/>
      </c>
      <c r="AZ22" s="30" t="inlineStr">
        <is>
          <t>Between 50 to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Blue sky scenario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No</t>
        </is>
      </c>
      <c r="BS22" s="30">
        <f>IF(BR22="NO",5,0)</f>
        <v/>
      </c>
      <c r="BT22" s="30" t="inlineStr">
        <is>
          <t>Above 2</t>
        </is>
      </c>
      <c r="BU22" s="30">
        <f>IF(BT22="Above 2",0,IF(BT22="Between 1.5 to 2",5,IF(BT22="Less than 1.5",10,0)))</f>
        <v/>
      </c>
      <c r="BV22" s="30" t="inlineStr">
        <is>
          <t>Above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  <c r="CF22" s="30" t="inlineStr">
        <is>
          <t>20</t>
        </is>
      </c>
      <c r="CG22" s="30">
        <f>IF(CF22&gt;20,10,IF(CF22&gt;=10,5,2))</f>
        <v/>
      </c>
    </row>
    <row r="23">
      <c r="A23" s="30">
        <f>IF(B23=0,"",RANK(B23,$B$2:$B$95,0))</f>
        <v/>
      </c>
      <c r="B23" s="31">
        <f>SUM(N23,Y23,AA23,AC23,AE23,AG23,AI23,AK23,AM23,AO23,AQ23,AS23,AU23,AW23,AY23,BA23,BC23,BE23,BG23,BI23,BK23,BM23,BO23,BQ23,BS23,BU23,BW23,BY23,CA23,CC23,CE23,CG23)</f>
        <v/>
      </c>
      <c r="C23" s="30" t="inlineStr">
        <is>
          <t>SSWL</t>
        </is>
      </c>
      <c r="D23" s="30" t="inlineStr">
        <is>
          <t>Steel Strips Wheels Ltd</t>
        </is>
      </c>
      <c r="E23" s="30" t="inlineStr">
        <is>
          <t>auto</t>
        </is>
      </c>
      <c r="F23" s="30" t="inlineStr">
        <is>
          <t>Auto Ancillaries - Wheels</t>
        </is>
      </c>
      <c r="G23" s="30" t="inlineStr">
        <is>
          <t>midcap</t>
        </is>
      </c>
      <c r="H23" s="31" t="n">
        <v>5880.14</v>
      </c>
      <c r="I23" s="31" t="n">
        <v>373.9</v>
      </c>
      <c r="J23" s="31" t="n">
        <v>0.66</v>
      </c>
      <c r="K23" s="31" t="n">
        <v>0</v>
      </c>
      <c r="L23" s="30" t="n">
        <v>79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79.58</v>
      </c>
      <c r="P23" s="31" t="n">
        <v>41.9</v>
      </c>
      <c r="Q23" s="31" t="n">
        <v>299.76</v>
      </c>
      <c r="R23" s="30" t="inlineStr">
        <is>
          <t>Near 52W High Breakout</t>
        </is>
      </c>
      <c r="S23" s="30" t="inlineStr">
        <is>
          <t>Nifty Auto</t>
        </is>
      </c>
      <c r="T23" s="31" t="n">
        <v>15.81</v>
      </c>
      <c r="U23" s="31" t="n">
        <v>55.99</v>
      </c>
      <c r="V23" s="31" t="n">
        <v>34.7</v>
      </c>
      <c r="W23" s="31" t="n">
        <v>29.72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No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Higher One Time, Lower Annuity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Above 40</t>
        </is>
      </c>
      <c r="AY23" s="30">
        <f>IF(AX23="Above 40",20,IF(AX23="20 to 40",10,IF(AX23="0 to 20",-5,0)))</f>
        <v/>
      </c>
      <c r="AZ23" s="30" t="inlineStr">
        <is>
          <t>Above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Blue sky scenario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No</t>
        </is>
      </c>
      <c r="BS23" s="30">
        <f>IF(BR23="NO",5,0)</f>
        <v/>
      </c>
      <c r="BT23" s="30" t="inlineStr">
        <is>
          <t>Less than 1.5</t>
        </is>
      </c>
      <c r="BU23" s="30">
        <f>IF(BT23="Above 2",0,IF(BT23="Between 1.5 to 2",5,IF(BT23="Less than 1.5",10,0)))</f>
        <v/>
      </c>
      <c r="BV23" s="30" t="inlineStr">
        <is>
          <t>Above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  <c r="CF23" s="30" t="inlineStr">
        <is>
          <t>19</t>
        </is>
      </c>
      <c r="CG23" s="30">
        <f>IF(CF23&gt;20,10,IF(CF23&gt;=10,5,2))</f>
        <v/>
      </c>
    </row>
    <row r="24">
      <c r="A24" s="30">
        <f>IF(B24=0,"",RANK(B24,$B$2:$B$95,0))</f>
        <v/>
      </c>
      <c r="B24" s="31">
        <f>SUM(N24,Y24,AA24,AC24,AE24,AG24,AI24,AK24,AM24,AO24,AQ24,AS24,AU24,AW24,AY24,BA24,BC24,BE24,BG24,BI24,BK24,BM24,BO24,BQ24,BS24,BU24,BW24,BY24,CA24,CC24,CE24,CG24)</f>
        <v/>
      </c>
      <c r="C24" s="30" t="inlineStr">
        <is>
          <t>ACCENTMIC</t>
        </is>
      </c>
      <c r="D24" s="30" t="inlineStr">
        <is>
          <t>Accent Microcell Ltd</t>
        </is>
      </c>
      <c r="E24" s="30" t="inlineStr">
        <is>
          <t>unknown</t>
        </is>
      </c>
      <c r="F24" s="30" t="inlineStr">
        <is>
          <t>Pharma - Formulators</t>
        </is>
      </c>
      <c r="G24" s="30" t="inlineStr">
        <is>
          <t>smallcap</t>
        </is>
      </c>
      <c r="H24" s="31" t="n">
        <v>1710.42</v>
      </c>
      <c r="I24" s="31" t="n">
        <v>713</v>
      </c>
      <c r="J24" s="31" t="n">
        <v>2.73</v>
      </c>
      <c r="K24" s="31" t="n">
        <v>0</v>
      </c>
      <c r="L24" s="30" t="n">
        <v>84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85.87</v>
      </c>
      <c r="P24" s="31" t="n">
        <v>65.01000000000001</v>
      </c>
      <c r="Q24" s="31" t="n">
        <v>572.9</v>
      </c>
      <c r="R24" s="30" t="inlineStr">
        <is>
          <t>Near 52W High Breakout</t>
        </is>
      </c>
      <c r="S24" s="30" t="inlineStr">
        <is>
          <t>Nifty 50</t>
        </is>
      </c>
      <c r="T24" s="31" t="n">
        <v>-6.52</v>
      </c>
      <c r="U24" s="31" t="n">
        <v>164.03</v>
      </c>
      <c r="V24" s="31" t="n">
        <v>182.44</v>
      </c>
      <c r="W24" s="31" t="n">
        <v>33.28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Yes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B2B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Higher One Time, Lower Annuity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Above 40</t>
        </is>
      </c>
      <c r="AY24" s="30">
        <f>IF(AX24="Above 40",20,IF(AX24="20 to 40",10,IF(AX24="0 to 20",-5,0)))</f>
        <v/>
      </c>
      <c r="AZ24" s="30" t="inlineStr">
        <is>
          <t>Above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Blue sky scenario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No</t>
        </is>
      </c>
      <c r="BS24" s="30">
        <f>IF(BR24="NO",5,0)</f>
        <v/>
      </c>
      <c r="BT24" s="30" t="inlineStr">
        <is>
          <t>Less than 1.5</t>
        </is>
      </c>
      <c r="BU24" s="30">
        <f>IF(BT24="Above 2",0,IF(BT24="Between 1.5 to 2",5,IF(BT24="Less than 1.5",10,0)))</f>
        <v/>
      </c>
      <c r="BV24" s="30" t="inlineStr">
        <is>
          <t>Above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  <c r="CF24" s="30" t="inlineStr">
        <is>
          <t>19</t>
        </is>
      </c>
      <c r="CG24" s="30">
        <f>IF(CF24&gt;20,10,IF(CF24&gt;=10,5,2))</f>
        <v/>
      </c>
    </row>
    <row r="25">
      <c r="A25" s="30">
        <f>IF(B25=0,"",RANK(B25,$B$2:$B$95,0))</f>
        <v/>
      </c>
      <c r="B25" s="31">
        <f>SUM(N25,Y25,AA25,AC25,AE25,AG25,AI25,AK25,AM25,AO25,AQ25,AS25,AU25,AW25,AY25,BA25,BC25,BE25,BG25,BI25,BK25,BM25,BO25,BQ25,BS25,BU25,BW25,BY25,CA25,CC25,CE25,CG25)</f>
        <v/>
      </c>
      <c r="C25" s="30" t="inlineStr">
        <is>
          <t>LENSKART</t>
        </is>
      </c>
      <c r="D25" s="30" t="inlineStr">
        <is>
          <t>Lenskart Solutions Ltd</t>
        </is>
      </c>
      <c r="E25" s="30" t="inlineStr">
        <is>
          <t>Healthcare</t>
        </is>
      </c>
      <c r="F25" s="30" t="inlineStr">
        <is>
          <t>New age - Platform - E-Retail</t>
        </is>
      </c>
      <c r="G25" s="30" t="inlineStr">
        <is>
          <t>largecap</t>
        </is>
      </c>
      <c r="H25" s="31" t="n">
        <v>120186.06</v>
      </c>
      <c r="I25" s="31" t="n">
        <v>691</v>
      </c>
      <c r="J25" s="31" t="n">
        <v>-0.42</v>
      </c>
      <c r="K25" s="31" t="n">
        <v>0</v>
      </c>
      <c r="L25" s="30" t="n">
        <v>56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74.75</v>
      </c>
      <c r="P25" s="31" t="n">
        <v>47.44</v>
      </c>
      <c r="Q25" s="31" t="n">
        <v>568.48</v>
      </c>
      <c r="R25" s="30" t="inlineStr">
        <is>
          <t>Near 52W High Breakout</t>
        </is>
      </c>
      <c r="S25" s="30" t="inlineStr">
        <is>
          <t>Nifty Pharma</t>
        </is>
      </c>
      <c r="T25" s="31" t="n">
        <v>16.37</v>
      </c>
      <c r="U25" s="31" t="n">
        <v>69.48999999999999</v>
      </c>
      <c r="V25" s="31" t="n">
        <v>45.65</v>
      </c>
      <c r="W25" s="31" t="n">
        <v>17.8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Yes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B2C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Annuity, Lower One Time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Above 40</t>
        </is>
      </c>
      <c r="AY25" s="30">
        <f>IF(AX25="Above 40",20,IF(AX25="20 to 40",10,IF(AX25="0 to 20",-5,0)))</f>
        <v/>
      </c>
      <c r="AZ25" s="30" t="inlineStr">
        <is>
          <t>Between 50 to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Blue sky scenario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Yes</t>
        </is>
      </c>
      <c r="BS25" s="30">
        <f>IF(BR25="NO",5,0)</f>
        <v/>
      </c>
      <c r="BT25" s="30" t="inlineStr">
        <is>
          <t>Above 2</t>
        </is>
      </c>
      <c r="BU25" s="30">
        <f>IF(BT25="Above 2",0,IF(BT25="Between 1.5 to 2",5,IF(BT25="Less than 1.5",10,0)))</f>
        <v/>
      </c>
      <c r="BV25" s="30" t="inlineStr">
        <is>
          <t>Above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  <c r="CF25" s="30" t="inlineStr">
        <is>
          <t>20</t>
        </is>
      </c>
      <c r="CG25" s="30">
        <f>IF(CF25&gt;20,10,IF(CF25&gt;=10,5,2))</f>
        <v/>
      </c>
    </row>
    <row r="26">
      <c r="A26" s="30">
        <f>IF(B26=0,"",RANK(B26,$B$2:$B$95,0))</f>
        <v/>
      </c>
      <c r="B26" s="31">
        <f>SUM(N26,Y26,AA26,AC26,AE26,AG26,AI26,AK26,AM26,AO26,AQ26,AS26,AU26,AW26,AY26,BA26,BC26,BE26,BG26,BI26,BK26,BM26,BO26,BQ26,BS26,BU26,BW26,BY26,CA26,CC26,CE26,CG26)</f>
        <v/>
      </c>
      <c r="C26" s="30" t="inlineStr">
        <is>
          <t>KMCSHIL</t>
        </is>
      </c>
      <c r="D26" s="30" t="inlineStr">
        <is>
          <t>KMC Speciality Hospitals (India) Ltd</t>
        </is>
      </c>
      <c r="E26" s="30" t="inlineStr">
        <is>
          <t>Healthcare</t>
        </is>
      </c>
      <c r="F26" s="30" t="inlineStr">
        <is>
          <t>Hospitals</t>
        </is>
      </c>
      <c r="G26" s="30" t="inlineStr">
        <is>
          <t>smallcap</t>
        </is>
      </c>
      <c r="H26" s="31" t="n">
        <v>2239.16</v>
      </c>
      <c r="I26" s="31" t="n">
        <v>137.3</v>
      </c>
      <c r="J26" s="31" t="n">
        <v>-0.65</v>
      </c>
      <c r="K26" s="31" t="n">
        <v>0</v>
      </c>
      <c r="L26" s="30" t="n">
        <v>63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68.69</v>
      </c>
      <c r="P26" s="31" t="n">
        <v>57.7</v>
      </c>
      <c r="Q26" s="31" t="n">
        <v>110.89</v>
      </c>
      <c r="R26" s="30" t="inlineStr">
        <is>
          <t>Near 52W High Breakout</t>
        </is>
      </c>
      <c r="S26" s="30" t="inlineStr">
        <is>
          <t>Nifty Pharma</t>
        </is>
      </c>
      <c r="T26" s="31" t="n">
        <v>18.86</v>
      </c>
      <c r="U26" s="31" t="n">
        <v>104.29</v>
      </c>
      <c r="V26" s="31" t="n">
        <v>71.87</v>
      </c>
      <c r="W26" s="31" t="n">
        <v>19.36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Yes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Higher Annuity, Lower One Time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Above 40</t>
        </is>
      </c>
      <c r="AY26" s="30">
        <f>IF(AX26="Above 40",20,IF(AX26="20 to 40",10,IF(AX26="0 to 20",-5,0)))</f>
        <v/>
      </c>
      <c r="AZ26" s="30" t="inlineStr">
        <is>
          <t>Between 50 to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Blue sky scenario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No</t>
        </is>
      </c>
      <c r="BS26" s="30">
        <f>IF(BR26="NO",5,0)</f>
        <v/>
      </c>
      <c r="BT26" s="30" t="inlineStr">
        <is>
          <t>Above 2</t>
        </is>
      </c>
      <c r="BU26" s="30">
        <f>IF(BT26="Above 2",0,IF(BT26="Between 1.5 to 2",5,IF(BT26="Less than 1.5",10,0)))</f>
        <v/>
      </c>
      <c r="BV26" s="30" t="inlineStr">
        <is>
          <t>Above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  <c r="CF26" s="30" t="inlineStr">
        <is>
          <t>20</t>
        </is>
      </c>
      <c r="CG26" s="30">
        <f>IF(CF26&gt;20,10,IF(CF26&gt;=10,5,2))</f>
        <v/>
      </c>
    </row>
    <row r="27">
      <c r="A27" s="30">
        <f>IF(B27=0,"",RANK(B27,$B$2:$B$95,0))</f>
        <v/>
      </c>
      <c r="B27" s="31">
        <f>SUM(N27,Y27,AA27,AC27,AE27,AG27,AI27,AK27,AM27,AO27,AQ27,AS27,AU27,AW27,AY27,BA27,BC27,BE27,BG27,BI27,BK27,BM27,BO27,BQ27,BS27,BU27,BW27,BY27,CA27,CC27,CE27,CG27)</f>
        <v/>
      </c>
      <c r="C27" s="30" t="inlineStr">
        <is>
          <t>INDSWFTLAB</t>
        </is>
      </c>
      <c r="D27" s="30" t="inlineStr">
        <is>
          <t>Ind-Swift Laboratories Ltd</t>
        </is>
      </c>
      <c r="E27" s="30" t="inlineStr">
        <is>
          <t>healthcare</t>
        </is>
      </c>
      <c r="F27" s="30" t="inlineStr">
        <is>
          <t>Pharma - API</t>
        </is>
      </c>
      <c r="G27" s="30" t="inlineStr">
        <is>
          <t>smallcap</t>
        </is>
      </c>
      <c r="H27" s="31" t="n">
        <v>3295.84</v>
      </c>
      <c r="I27" s="31" t="n">
        <v>379</v>
      </c>
      <c r="J27" s="31" t="n">
        <v>-2.46</v>
      </c>
      <c r="K27" s="31" t="n">
        <v>0</v>
      </c>
      <c r="L27" s="30" t="n">
        <v>97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87.63</v>
      </c>
      <c r="P27" s="31" t="n">
        <v>74.59999999999999</v>
      </c>
      <c r="Q27" s="31" t="n">
        <v>284.5</v>
      </c>
      <c r="R27" s="30" t="inlineStr">
        <is>
          <t>Near 52W High Breakout</t>
        </is>
      </c>
      <c r="S27" s="30" t="inlineStr">
        <is>
          <t>Nifty Pharma</t>
        </is>
      </c>
      <c r="T27" s="31" t="n">
        <v>18.86</v>
      </c>
      <c r="U27" s="31" t="n">
        <v>257.24</v>
      </c>
      <c r="V27" s="31" t="n">
        <v>200.55</v>
      </c>
      <c r="W27" s="31" t="n">
        <v>62.95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Yes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Higher Annuity, Lower One Time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Above 40</t>
        </is>
      </c>
      <c r="AY27" s="30">
        <f>IF(AX27="Above 40",20,IF(AX27="20 to 40",10,IF(AX27="0 to 20",-5,0)))</f>
        <v/>
      </c>
      <c r="AZ27" s="30" t="inlineStr">
        <is>
          <t>Above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Blue sky scenario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Yes</t>
        </is>
      </c>
      <c r="BS27" s="30">
        <f>IF(BR27="NO",5,0)</f>
        <v/>
      </c>
      <c r="BT27" s="30" t="inlineStr">
        <is>
          <t>Above 2</t>
        </is>
      </c>
      <c r="BU27" s="30">
        <f>IF(BT27="Above 2",0,IF(BT27="Between 1.5 to 2",5,IF(BT27="Less than 1.5",10,0)))</f>
        <v/>
      </c>
      <c r="BV27" s="30" t="inlineStr">
        <is>
          <t>Above 70%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  <c r="CF27" s="30" t="inlineStr">
        <is>
          <t>19</t>
        </is>
      </c>
      <c r="CG27" s="30">
        <f>IF(CF27&gt;20,10,IF(CF27&gt;=10,5,2))</f>
        <v/>
      </c>
    </row>
    <row r="28">
      <c r="A28" s="30">
        <f>IF(B28=0,"",RANK(B28,$B$2:$B$95,0))</f>
        <v/>
      </c>
      <c r="B28" s="31">
        <f>SUM(N28,Y28,AA28,AC28,AE28,AG28,AI28,AK28,AM28,AO28,AQ28,AS28,AU28,AW28,AY28,BA28,BC28,BE28,BG28,BI28,BK28,BM28,BO28,BQ28,BS28,BU28,BW28,BY28,CA28,CC28,CE28,CG28)</f>
        <v/>
      </c>
      <c r="C28" s="30" t="inlineStr">
        <is>
          <t>PCJEWELLER</t>
        </is>
      </c>
      <c r="D28" s="30" t="inlineStr">
        <is>
          <t>PC Jeweller Ltd</t>
        </is>
      </c>
      <c r="E28" s="30" t="inlineStr">
        <is>
          <t>consumer discretionary</t>
        </is>
      </c>
      <c r="F28" s="30" t="inlineStr">
        <is>
          <t>Diamond, Gems &amp; Jewellery</t>
        </is>
      </c>
      <c r="G28" s="30" t="inlineStr">
        <is>
          <t>midcap</t>
        </is>
      </c>
      <c r="H28" s="31" t="n">
        <v>13438.44</v>
      </c>
      <c r="I28" s="31" t="n">
        <v>13.78</v>
      </c>
      <c r="J28" s="31" t="n">
        <v>-0.65</v>
      </c>
      <c r="K28" s="31" t="n">
        <v>0</v>
      </c>
      <c r="L28" s="30" t="n">
        <v>48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73.20999999999999</v>
      </c>
      <c r="P28" s="31" t="n">
        <v>22.76</v>
      </c>
      <c r="Q28" s="31" t="n">
        <v>10.13</v>
      </c>
      <c r="R28" s="30" t="inlineStr">
        <is>
          <t>Near 52W High Breakout</t>
        </is>
      </c>
      <c r="S28" s="30" t="inlineStr">
        <is>
          <t>Nifty 50</t>
        </is>
      </c>
      <c r="T28" s="31" t="n">
        <v>-6.52</v>
      </c>
      <c r="U28" s="31" t="n">
        <v>5.33</v>
      </c>
      <c r="V28" s="31" t="n">
        <v>12.67</v>
      </c>
      <c r="W28" s="31" t="n">
        <v>15.18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No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Higher One Time, Lower Annuity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20 to 40</t>
        </is>
      </c>
      <c r="AY28" s="30">
        <f>IF(AX28="Above 40",20,IF(AX28="20 to 40",10,IF(AX28="0 to 20",-5,0)))</f>
        <v/>
      </c>
      <c r="AZ28" s="30" t="inlineStr">
        <is>
          <t>Between 50 to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Close to 52 week high or retracement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No</t>
        </is>
      </c>
      <c r="BS28" s="30">
        <f>IF(BR28="NO",5,0)</f>
        <v/>
      </c>
      <c r="BT28" s="30" t="inlineStr">
        <is>
          <t>Less than 1.5</t>
        </is>
      </c>
      <c r="BU28" s="30">
        <f>IF(BT28="Above 2",0,IF(BT28="Between 1.5 to 2",5,IF(BT28="Less than 1.5",10,0)))</f>
        <v/>
      </c>
      <c r="BV28" s="30" t="inlineStr">
        <is>
          <t>Above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  <c r="CF28" s="30" t="inlineStr">
        <is>
          <t>24</t>
        </is>
      </c>
      <c r="CG28" s="30">
        <f>IF(CF28&gt;20,10,IF(CF28&gt;=10,5,2))</f>
        <v/>
      </c>
    </row>
    <row r="29">
      <c r="A29" s="30">
        <f>IF(B29=0,"",RANK(B29,$B$2:$B$95,0))</f>
        <v/>
      </c>
      <c r="B29" s="31">
        <f>SUM(N29,Y29,AA29,AC29,AE29,AG29,AI29,AK29,AM29,AO29,AQ29,AS29,AU29,AW29,AY29,BA29,BC29,BE29,BG29,BI29,BK29,BM29,BO29,BQ29,BS29,BU29,BW29,BY29,CA29,CC29,CE29,CG29)</f>
        <v/>
      </c>
      <c r="C29" s="30" t="inlineStr">
        <is>
          <t>UNIPARTS</t>
        </is>
      </c>
      <c r="D29" s="30" t="inlineStr">
        <is>
          <t>Uniparts India Ltd</t>
        </is>
      </c>
      <c r="E29" s="30" t="inlineStr">
        <is>
          <t>industrials</t>
        </is>
      </c>
      <c r="F29" s="30" t="inlineStr">
        <is>
          <t>Castings, Forgings &amp; Fastners</t>
        </is>
      </c>
      <c r="G29" s="30" t="inlineStr">
        <is>
          <t>smallcap</t>
        </is>
      </c>
      <c r="H29" s="31" t="n">
        <v>4030.62</v>
      </c>
      <c r="I29" s="31" t="n">
        <v>892.5</v>
      </c>
      <c r="J29" s="31" t="n">
        <v>-0.17</v>
      </c>
      <c r="K29" s="31" t="n">
        <v>0</v>
      </c>
      <c r="L29" s="30" t="n">
        <v>77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83.44</v>
      </c>
      <c r="P29" s="31" t="n">
        <v>69.7</v>
      </c>
      <c r="Q29" s="31" t="n">
        <v>730.23</v>
      </c>
      <c r="R29" s="30" t="inlineStr">
        <is>
          <t>Near 52W High Breakout</t>
        </is>
      </c>
      <c r="S29" s="30" t="inlineStr">
        <is>
          <t>Nifty 50</t>
        </is>
      </c>
      <c r="T29" s="31" t="n">
        <v>-6.52</v>
      </c>
      <c r="U29" s="31" t="n">
        <v>132.35</v>
      </c>
      <c r="V29" s="31" t="n">
        <v>148.55</v>
      </c>
      <c r="W29" s="31" t="n">
        <v>27.83</v>
      </c>
      <c r="X29" s="30" t="inlineStr">
        <is>
          <t>Cyclical in an Upturn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No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One Time, Lower Annuity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Above 40</t>
        </is>
      </c>
      <c r="AY29" s="30">
        <f>IF(AX29="Above 40",20,IF(AX29="20 to 40",10,IF(AX29="0 to 20",-5,0)))</f>
        <v/>
      </c>
      <c r="AZ29" s="30" t="inlineStr">
        <is>
          <t>Above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Blue sky scenario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No</t>
        </is>
      </c>
      <c r="BS29" s="30">
        <f>IF(BR29="NO",5,0)</f>
        <v/>
      </c>
      <c r="BT29" s="30" t="inlineStr">
        <is>
          <t>Less than 1.5</t>
        </is>
      </c>
      <c r="BU29" s="30">
        <f>IF(BT29="Above 2",0,IF(BT29="Between 1.5 to 2",5,IF(BT29="Less than 1.5",10,0)))</f>
        <v/>
      </c>
      <c r="BV29" s="30" t="inlineStr">
        <is>
          <t>Above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  <c r="CF29" s="30" t="inlineStr">
        <is>
          <t>23</t>
        </is>
      </c>
      <c r="CG29" s="30">
        <f>IF(CF29&gt;20,10,IF(CF29&gt;=10,5,2))</f>
        <v/>
      </c>
    </row>
    <row r="30">
      <c r="A30" s="30">
        <f>IF(B30=0,"",RANK(B30,$B$2:$B$95,0))</f>
        <v/>
      </c>
      <c r="B30" s="31">
        <f>SUM(N30,Y30,AA30,AC30,AE30,AG30,AI30,AK30,AM30,AO30,AQ30,AS30,AU30,AW30,AY30,BA30,BC30,BE30,BG30,BI30,BK30,BM30,BO30,BQ30,BS30,BU30,BW30,BY30,CA30,CC30,CE30,CG30)</f>
        <v/>
      </c>
      <c r="C30" s="33" t="inlineStr">
        <is>
          <t>WHEELS</t>
        </is>
      </c>
      <c r="D30" s="33" t="inlineStr">
        <is>
          <t>Wheels India Ltd</t>
        </is>
      </c>
      <c r="E30" s="30" t="inlineStr">
        <is>
          <t>auto</t>
        </is>
      </c>
      <c r="F30" s="30" t="inlineStr">
        <is>
          <t>Auto Ancillaries - Wheels</t>
        </is>
      </c>
      <c r="G30" s="30" t="inlineStr">
        <is>
          <t>midcap</t>
        </is>
      </c>
      <c r="H30" s="31" t="n">
        <v>5538.96</v>
      </c>
      <c r="I30" s="31" t="n">
        <v>2267</v>
      </c>
      <c r="J30" s="31" t="n">
        <v>-5.57</v>
      </c>
      <c r="K30" s="31" t="n">
        <v>0</v>
      </c>
      <c r="L30" s="30" t="n">
        <v>96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80.26000000000001</v>
      </c>
      <c r="P30" s="31" t="n">
        <v>55.99</v>
      </c>
      <c r="Q30" s="31" t="n">
        <v>1744.37</v>
      </c>
      <c r="R30" s="30" t="inlineStr">
        <is>
          <t>Volume Spike &amp; Near 52W High Breakout</t>
        </is>
      </c>
      <c r="S30" s="30" t="inlineStr">
        <is>
          <t>Nifty Auto</t>
        </is>
      </c>
      <c r="T30" s="31" t="n">
        <v>15.81</v>
      </c>
      <c r="U30" s="31" t="n">
        <v>193.56</v>
      </c>
      <c r="V30" s="31" t="n">
        <v>153.49</v>
      </c>
      <c r="W30" s="31" t="n">
        <v>56.83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Higher One Time, Lower Annuity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Above 40</t>
        </is>
      </c>
      <c r="AY30" s="30">
        <f>IF(AX30="Above 40",20,IF(AX30="20 to 40",10,IF(AX30="0 to 20",-5,0)))</f>
        <v/>
      </c>
      <c r="AZ30" s="30" t="inlineStr">
        <is>
          <t>Above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Blue sky scenario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Less than 12%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No</t>
        </is>
      </c>
      <c r="BS30" s="30">
        <f>IF(BR30="NO",5,0)</f>
        <v/>
      </c>
      <c r="BT30" s="30" t="inlineStr">
        <is>
          <t>Above 2</t>
        </is>
      </c>
      <c r="BU30" s="30">
        <f>IF(BT30="Above 2",0,IF(BT30="Between 1.5 to 2",5,IF(BT30="Less than 1.5",10,0)))</f>
        <v/>
      </c>
      <c r="BV30" s="30" t="inlineStr">
        <is>
          <t>Above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  <c r="CF30" s="30" t="inlineStr">
        <is>
          <t>23</t>
        </is>
      </c>
      <c r="CG30" s="30">
        <f>IF(CF30&gt;20,10,IF(CF30&gt;=10,5,2))</f>
        <v/>
      </c>
    </row>
    <row r="31">
      <c r="A31" s="30">
        <f>IF(B31=0,"",RANK(B31,$B$2:$B$95,0))</f>
        <v/>
      </c>
      <c r="B31" s="31">
        <f>SUM(N31,Y31,AA31,AC31,AE31,AG31,AI31,AK31,AM31,AO31,AQ31,AS31,AU31,AW31,AY31,BA31,BC31,BE31,BG31,BI31,BK31,BM31,BO31,BQ31,BS31,BU31,BW31,BY31,CA31,CC31,CE31,CG31)</f>
        <v/>
      </c>
      <c r="C31" s="30" t="inlineStr">
        <is>
          <t>KABRAEXTRU</t>
        </is>
      </c>
      <c r="D31" s="30" t="inlineStr">
        <is>
          <t>Kabra Extrusion Technik Ltd</t>
        </is>
      </c>
      <c r="E31" s="30" t="inlineStr">
        <is>
          <t>industrials</t>
        </is>
      </c>
      <c r="F31" s="30" t="inlineStr">
        <is>
          <t>Capital Goods - Engineering Heavy</t>
        </is>
      </c>
      <c r="G31" s="30" t="inlineStr">
        <is>
          <t>smallcap</t>
        </is>
      </c>
      <c r="H31" s="31" t="n">
        <v>2472.58</v>
      </c>
      <c r="I31" s="31" t="n">
        <v>707</v>
      </c>
      <c r="J31" s="31" t="n">
        <v>6.64</v>
      </c>
      <c r="K31" s="31" t="n">
        <v>0</v>
      </c>
      <c r="L31" s="30" t="n">
        <v>98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88.23999999999999</v>
      </c>
      <c r="P31" s="31" t="n">
        <v>55.69</v>
      </c>
      <c r="Q31" s="31" t="n">
        <v>551.71</v>
      </c>
      <c r="R31" s="30" t="inlineStr">
        <is>
          <t>Near 52W High Breakout</t>
        </is>
      </c>
      <c r="S31" s="30" t="inlineStr">
        <is>
          <t>Nifty 50</t>
        </is>
      </c>
      <c r="T31" s="31" t="n">
        <v>-6.52</v>
      </c>
      <c r="U31" s="31" t="n">
        <v>150.64</v>
      </c>
      <c r="V31" s="31" t="n">
        <v>168.1</v>
      </c>
      <c r="W31" s="31" t="n">
        <v>76.40000000000001</v>
      </c>
      <c r="X31" s="30" t="inlineStr">
        <is>
          <t>Cyclical in an Upturn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No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Higher One Time, Lower Annuity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Above 40</t>
        </is>
      </c>
      <c r="AY31" s="30">
        <f>IF(AX31="Above 40",20,IF(AX31="20 to 40",10,IF(AX31="0 to 20",-5,0)))</f>
        <v/>
      </c>
      <c r="AZ31" s="30" t="inlineStr">
        <is>
          <t>Above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Blue sky scenario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Yes</t>
        </is>
      </c>
      <c r="BS31" s="30">
        <f>IF(BR31="NO",5,0)</f>
        <v/>
      </c>
      <c r="BT31" s="30" t="inlineStr">
        <is>
          <t>Above 2</t>
        </is>
      </c>
      <c r="BU31" s="30">
        <f>IF(BT31="Above 2",0,IF(BT31="Between 1.5 to 2",5,IF(BT31="Less than 1.5",10,0)))</f>
        <v/>
      </c>
      <c r="BV31" s="30" t="inlineStr">
        <is>
          <t>Above 70%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  <c r="CF31" s="30" t="inlineStr">
        <is>
          <t>22</t>
        </is>
      </c>
      <c r="CG31" s="30">
        <f>IF(CF31&gt;20,10,IF(CF31&gt;=10,5,2))</f>
        <v/>
      </c>
    </row>
    <row r="32">
      <c r="A32" s="30">
        <f>IF(B32=0,"",RANK(B32,$B$2:$B$95,0))</f>
        <v/>
      </c>
      <c r="B32" s="31">
        <f>SUM(N32,Y32,AA32,AC32,AE32,AG32,AI32,AK32,AM32,AO32,AQ32,AS32,AU32,AW32,AY32,BA32,BC32,BE32,BG32,BI32,BK32,BM32,BO32,BQ32,BS32,BU32,BW32,BY32,CA32,CC32,CE32,CG32)</f>
        <v/>
      </c>
      <c r="C32" s="33" t="inlineStr">
        <is>
          <t>TAALTECH</t>
        </is>
      </c>
      <c r="D32" s="33" t="inlineStr">
        <is>
          <t>TAAL Tech Ltd</t>
        </is>
      </c>
      <c r="E32" s="30" t="inlineStr">
        <is>
          <t>Industrials</t>
        </is>
      </c>
      <c r="F32" s="30" t="inlineStr">
        <is>
          <t>Air Transport Service</t>
        </is>
      </c>
      <c r="G32" s="30" t="inlineStr">
        <is>
          <t>smallcap</t>
        </is>
      </c>
      <c r="H32" s="31" t="n">
        <v>1631.41</v>
      </c>
      <c r="I32" s="31" t="n">
        <v>5235</v>
      </c>
      <c r="J32" s="31" t="n">
        <v>7.08</v>
      </c>
      <c r="K32" s="31" t="n">
        <v>0</v>
      </c>
      <c r="L32" s="30" t="n">
        <v>72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75.70999999999999</v>
      </c>
      <c r="P32" s="31" t="n">
        <v>52.52</v>
      </c>
      <c r="Q32" s="31" t="n">
        <v>3981.81</v>
      </c>
      <c r="R32" s="30" t="inlineStr">
        <is>
          <t>Volume Spike &amp; Near 52W High Breakout</t>
        </is>
      </c>
      <c r="S32" s="30" t="inlineStr">
        <is>
          <t>Nifty 50</t>
        </is>
      </c>
      <c r="T32" s="31" t="n">
        <v>-6.52</v>
      </c>
      <c r="U32" s="31" t="n">
        <v>71.91</v>
      </c>
      <c r="V32" s="31" t="n">
        <v>83.89</v>
      </c>
      <c r="W32" s="31" t="n">
        <v>24.41</v>
      </c>
      <c r="X32" s="30" t="inlineStr">
        <is>
          <t>Cyclical in an Upturn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Higher One Time, Lower Annuity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Above 40</t>
        </is>
      </c>
      <c r="AY32" s="30">
        <f>IF(AX32="Above 40",20,IF(AX32="20 to 40",10,IF(AX32="0 to 20",-5,0)))</f>
        <v/>
      </c>
      <c r="AZ32" s="30" t="inlineStr">
        <is>
          <t>Above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Blue sky scenario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No</t>
        </is>
      </c>
      <c r="BS32" s="30">
        <f>IF(BR32="NO",5,0)</f>
        <v/>
      </c>
      <c r="BT32" s="30" t="inlineStr">
        <is>
          <t>Less than 1.5</t>
        </is>
      </c>
      <c r="BU32" s="30">
        <f>IF(BT32="Above 2",0,IF(BT32="Between 1.5 to 2",5,IF(BT32="Less than 1.5",10,0)))</f>
        <v/>
      </c>
      <c r="BV32" s="30" t="inlineStr">
        <is>
          <t>Above 70%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  <c r="CF32" s="30" t="inlineStr">
        <is>
          <t>21</t>
        </is>
      </c>
      <c r="CG32" s="30">
        <f>IF(CF32&gt;20,10,IF(CF32&gt;=10,5,2))</f>
        <v/>
      </c>
    </row>
    <row r="33">
      <c r="A33" s="30">
        <f>IF(B33=0,"",RANK(B33,$B$2:$B$95,0))</f>
        <v/>
      </c>
      <c r="B33" s="31">
        <f>SUM(N33,Y33,AA33,AC33,AE33,AG33,AI33,AK33,AM33,AO33,AQ33,AS33,AU33,AW33,AY33,BA33,BC33,BE33,BG33,BI33,BK33,BM33,BO33,BQ33,BS33,BU33,BW33,BY33,CA33,CC33,CE33,CG33)</f>
        <v/>
      </c>
      <c r="C33" s="33" t="inlineStr">
        <is>
          <t>SOLARINDS</t>
        </is>
      </c>
      <c r="D33" s="33" t="inlineStr">
        <is>
          <t>Solar Industries India Ltd</t>
        </is>
      </c>
      <c r="E33" s="30" t="inlineStr">
        <is>
          <t>aerospace &amp; defence</t>
        </is>
      </c>
      <c r="F33" s="30" t="inlineStr">
        <is>
          <t>Industrial Explosives</t>
        </is>
      </c>
      <c r="G33" s="30" t="inlineStr">
        <is>
          <t>largecap</t>
        </is>
      </c>
      <c r="H33" s="31" t="n">
        <v>202426.25</v>
      </c>
      <c r="I33" s="31" t="n">
        <v>22370</v>
      </c>
      <c r="J33" s="31" t="n">
        <v>0.07000000000000001</v>
      </c>
      <c r="K33" s="31" t="n">
        <v>0</v>
      </c>
      <c r="L33" s="30" t="n">
        <v>53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78.93000000000001</v>
      </c>
      <c r="P33" s="31" t="n">
        <v>40.15</v>
      </c>
      <c r="Q33" s="31" t="n">
        <v>18627.94</v>
      </c>
      <c r="R33" s="30" t="inlineStr">
        <is>
          <t>Near 52W High Breakout</t>
        </is>
      </c>
      <c r="S33" s="30" t="inlineStr">
        <is>
          <t>Nifty 500</t>
        </is>
      </c>
      <c r="T33" s="31" t="n">
        <v>-1.03</v>
      </c>
      <c r="U33" s="31" t="n">
        <v>55.41</v>
      </c>
      <c r="V33" s="31" t="n">
        <v>57.02</v>
      </c>
      <c r="W33" s="31" t="n">
        <v>16.54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No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One Time, Lower Annuity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Above 40</t>
        </is>
      </c>
      <c r="AY33" s="30">
        <f>IF(AX33="Above 40",20,IF(AX33="20 to 40",10,IF(AX33="0 to 20",-5,0)))</f>
        <v/>
      </c>
      <c r="AZ33" s="30" t="inlineStr">
        <is>
          <t>Above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Blue sky scenario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Yes</t>
        </is>
      </c>
      <c r="BS33" s="30">
        <f>IF(BR33="NO",5,0)</f>
        <v/>
      </c>
      <c r="BT33" s="30" t="inlineStr">
        <is>
          <t>Less than 1.5</t>
        </is>
      </c>
      <c r="BU33" s="30">
        <f>IF(BT33="Above 2",0,IF(BT33="Between 1.5 to 2",5,IF(BT33="Less than 1.5",10,0)))</f>
        <v/>
      </c>
      <c r="BV33" s="30" t="inlineStr">
        <is>
          <t>Above 70%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  <c r="CF33" s="30" t="inlineStr">
        <is>
          <t>20</t>
        </is>
      </c>
      <c r="CG33" s="30">
        <f>IF(CF33&gt;20,10,IF(CF33&gt;=10,5,2))</f>
        <v/>
      </c>
    </row>
    <row r="34">
      <c r="A34" s="30">
        <f>IF(B34=0,"",RANK(B34,$B$2:$B$95,0))</f>
        <v/>
      </c>
      <c r="B34" s="31">
        <f>SUM(N34,Y34,AA34,AC34,AE34,AG34,AI34,AK34,AM34,AO34,AQ34,AS34,AU34,AW34,AY34,BA34,BC34,BE34,BG34,BI34,BK34,BM34,BO34,BQ34,BS34,BU34,BW34,BY34,CA34,CC34,CE34,CG34)</f>
        <v/>
      </c>
      <c r="C34" s="30" t="inlineStr">
        <is>
          <t>AFCOM</t>
        </is>
      </c>
      <c r="D34" s="30" t="inlineStr">
        <is>
          <t>Afcom Holdings Ltd</t>
        </is>
      </c>
      <c r="E34" s="30" t="inlineStr">
        <is>
          <t>Industrials</t>
        </is>
      </c>
      <c r="F34" s="30" t="inlineStr">
        <is>
          <t>Air Transport Service</t>
        </is>
      </c>
      <c r="G34" s="30" t="inlineStr">
        <is>
          <t>smallcap</t>
        </is>
      </c>
      <c r="H34" s="31" t="n">
        <v>4620.11</v>
      </c>
      <c r="I34" s="31" t="n">
        <v>1597.9</v>
      </c>
      <c r="J34" s="31" t="n">
        <v>-2.3</v>
      </c>
      <c r="K34" s="31" t="n">
        <v>0</v>
      </c>
      <c r="L34" s="30" t="n">
        <v>77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70.84999999999999</v>
      </c>
      <c r="P34" s="31" t="n">
        <v>47.95</v>
      </c>
      <c r="Q34" s="31" t="n">
        <v>1223.26</v>
      </c>
      <c r="R34" s="30" t="inlineStr">
        <is>
          <t>Near 52W High Breakout</t>
        </is>
      </c>
      <c r="S34" s="30" t="inlineStr">
        <is>
          <t>Nifty 50</t>
        </is>
      </c>
      <c r="T34" s="31" t="n">
        <v>-6.52</v>
      </c>
      <c r="U34" s="31" t="n">
        <v>70.91</v>
      </c>
      <c r="V34" s="31" t="n">
        <v>82.81999999999999</v>
      </c>
      <c r="W34" s="31" t="n">
        <v>28.24</v>
      </c>
      <c r="X34" s="30" t="inlineStr">
        <is>
          <t>Cyclical in an Upturn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No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Higher One Time, Lower Annuity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Above 40</t>
        </is>
      </c>
      <c r="AY34" s="30">
        <f>IF(AX34="Above 40",20,IF(AX34="20 to 40",10,IF(AX34="0 to 20",-5,0)))</f>
        <v/>
      </c>
      <c r="AZ34" s="30" t="inlineStr">
        <is>
          <t>Between 50 to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Blue sky scenario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No</t>
        </is>
      </c>
      <c r="BS34" s="30">
        <f>IF(BR34="NO",5,0)</f>
        <v/>
      </c>
      <c r="BT34" s="30" t="inlineStr">
        <is>
          <t>Less than 1.5</t>
        </is>
      </c>
      <c r="BU34" s="30">
        <f>IF(BT34="Above 2",0,IF(BT34="Between 1.5 to 2",5,IF(BT34="Less than 1.5",10,0)))</f>
        <v/>
      </c>
      <c r="BV34" s="30" t="inlineStr">
        <is>
          <t>Less than 50%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  <c r="CF34" s="30" t="inlineStr">
        <is>
          <t>20</t>
        </is>
      </c>
      <c r="CG34" s="30">
        <f>IF(CF34&gt;20,10,IF(CF34&gt;=10,5,2))</f>
        <v/>
      </c>
    </row>
    <row r="35">
      <c r="A35" s="30">
        <f>IF(B35=0,"",RANK(B35,$B$2:$B$95,0))</f>
        <v/>
      </c>
      <c r="B35" s="31">
        <f>SUM(N35,Y35,AA35,AC35,AE35,AG35,AI35,AK35,AM35,AO35,AQ35,AS35,AU35,AW35,AY35,BA35,BC35,BE35,BG35,BI35,BK35,BM35,BO35,BQ35,BS35,BU35,BW35,BY35,CA35,CC35,CE35,CG35)</f>
        <v/>
      </c>
      <c r="C35" s="33" t="inlineStr">
        <is>
          <t>IKIO</t>
        </is>
      </c>
      <c r="D35" s="33" t="inlineStr">
        <is>
          <t>IKIO Technologies Ltd</t>
        </is>
      </c>
      <c r="E35" s="30" t="inlineStr">
        <is>
          <t>consumer discretionary</t>
        </is>
      </c>
      <c r="F35" s="30" t="inlineStr">
        <is>
          <t>Capital Goods - Electric General</t>
        </is>
      </c>
      <c r="G35" s="30" t="inlineStr">
        <is>
          <t>smallcap</t>
        </is>
      </c>
      <c r="H35" s="31" t="n">
        <v>1796.78</v>
      </c>
      <c r="I35" s="31" t="n">
        <v>232.5</v>
      </c>
      <c r="J35" s="31" t="n">
        <v>5.71</v>
      </c>
      <c r="K35" s="31" t="n">
        <v>0</v>
      </c>
      <c r="L35" s="30" t="n">
        <v>47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66.89</v>
      </c>
      <c r="P35" s="31" t="n">
        <v>43.1</v>
      </c>
      <c r="Q35" s="31" t="n">
        <v>166.18</v>
      </c>
      <c r="R35" s="30" t="inlineStr">
        <is>
          <t>Near 52W High Breakout</t>
        </is>
      </c>
      <c r="S35" s="30" t="inlineStr">
        <is>
          <t>Nifty 50</t>
        </is>
      </c>
      <c r="T35" s="31" t="n">
        <v>-6.52</v>
      </c>
      <c r="U35" s="31" t="n">
        <v>3.17</v>
      </c>
      <c r="V35" s="31" t="n">
        <v>10.36</v>
      </c>
      <c r="W35" s="31" t="n">
        <v>14.21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No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Higher One Time, Lower Annuity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Above 40</t>
        </is>
      </c>
      <c r="AY35" s="30">
        <f>IF(AX35="Above 40",20,IF(AX35="20 to 40",10,IF(AX35="0 to 20",-5,0)))</f>
        <v/>
      </c>
      <c r="AZ35" s="30" t="inlineStr">
        <is>
          <t>Between 50 to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Close to 52 week high or retracement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No</t>
        </is>
      </c>
      <c r="BS35" s="30">
        <f>IF(BR35="NO",5,0)</f>
        <v/>
      </c>
      <c r="BT35" s="30" t="inlineStr">
        <is>
          <t>Above 2</t>
        </is>
      </c>
      <c r="BU35" s="30">
        <f>IF(BT35="Above 2",0,IF(BT35="Between 1.5 to 2",5,IF(BT35="Less than 1.5",10,0)))</f>
        <v/>
      </c>
      <c r="BV35" s="30" t="inlineStr">
        <is>
          <t>Above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  <c r="CF35" s="30" t="inlineStr">
        <is>
          <t>20</t>
        </is>
      </c>
      <c r="CG35" s="30">
        <f>IF(CF35&gt;20,10,IF(CF35&gt;=10,5,2))</f>
        <v/>
      </c>
    </row>
    <row r="36">
      <c r="A36" s="30">
        <f>IF(B36=0,"",RANK(B36,$B$2:$B$95,0))</f>
        <v/>
      </c>
      <c r="B36" s="31">
        <f>SUM(N36,Y36,AA36,AC36,AE36,AG36,AI36,AK36,AM36,AO36,AQ36,AS36,AU36,AW36,AY36,BA36,BC36,BE36,BG36,BI36,BK36,BM36,BO36,BQ36,BS36,BU36,BW36,BY36,CA36,CC36,CE36,CG36)</f>
        <v/>
      </c>
      <c r="C36" s="30" t="inlineStr">
        <is>
          <t>TIMEX</t>
        </is>
      </c>
      <c r="D36" s="30" t="inlineStr">
        <is>
          <t>Timex Group India Ltd</t>
        </is>
      </c>
      <c r="E36" s="30" t="inlineStr">
        <is>
          <t>Consumer Cyclical</t>
        </is>
      </c>
      <c r="F36" s="30" t="inlineStr">
        <is>
          <t>Watches</t>
        </is>
      </c>
      <c r="G36" s="30" t="inlineStr">
        <is>
          <t>midcap</t>
        </is>
      </c>
      <c r="H36" s="31" t="n">
        <v>6284.64</v>
      </c>
      <c r="I36" s="31" t="n">
        <v>622.55</v>
      </c>
      <c r="J36" s="31" t="n">
        <v>-0.26</v>
      </c>
      <c r="K36" s="31" t="n">
        <v>0</v>
      </c>
      <c r="L36" s="30" t="n">
        <v>72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66.22</v>
      </c>
      <c r="P36" s="31" t="n">
        <v>61.07</v>
      </c>
      <c r="Q36" s="31" t="n">
        <v>508.54</v>
      </c>
      <c r="R36" s="30" t="inlineStr">
        <is>
          <t>Earnings / Momentum Support</t>
        </is>
      </c>
      <c r="S36" s="30" t="inlineStr">
        <is>
          <t>Nifty 50</t>
        </is>
      </c>
      <c r="T36" s="31" t="n">
        <v>-6.52</v>
      </c>
      <c r="U36" s="31" t="n">
        <v>95.48</v>
      </c>
      <c r="V36" s="31" t="n">
        <v>109.1</v>
      </c>
      <c r="W36" s="31" t="n">
        <v>23.99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No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B2C</t>
        </is>
      </c>
      <c r="AO36" s="30">
        <f>IF(AN36="B2C",10,IF(AN36="B2B",5,0))</f>
        <v/>
      </c>
      <c r="AP36" s="30" t="inlineStr">
        <is>
          <t>No</t>
        </is>
      </c>
      <c r="AQ36" s="30">
        <f>IF(AP36="Yes",10,0)</f>
        <v/>
      </c>
      <c r="AR36" s="30" t="inlineStr">
        <is>
          <t>Higher One Time, Lower Annuity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Above 40</t>
        </is>
      </c>
      <c r="AY36" s="30">
        <f>IF(AX36="Above 40",20,IF(AX36="20 to 40",10,IF(AX36="0 to 20",-5,0)))</f>
        <v/>
      </c>
      <c r="AZ36" s="30" t="inlineStr">
        <is>
          <t>Between 50 to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Close to 52 week high or retracement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Yes</t>
        </is>
      </c>
      <c r="BS36" s="30">
        <f>IF(BR36="NO",5,0)</f>
        <v/>
      </c>
      <c r="BT36" s="30" t="inlineStr">
        <is>
          <t>Less than 1.5</t>
        </is>
      </c>
      <c r="BU36" s="30">
        <f>IF(BT36="Above 2",0,IF(BT36="Between 1.5 to 2",5,IF(BT36="Less than 1.5",10,0)))</f>
        <v/>
      </c>
      <c r="BV36" s="30" t="inlineStr">
        <is>
          <t>Above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  <c r="CF36" s="30" t="inlineStr">
        <is>
          <t>19</t>
        </is>
      </c>
      <c r="CG36" s="30">
        <f>IF(CF36&gt;20,10,IF(CF36&gt;=10,5,2))</f>
        <v/>
      </c>
    </row>
    <row r="37">
      <c r="A37" s="30">
        <f>IF(B37=0,"",RANK(B37,$B$2:$B$95,0))</f>
        <v/>
      </c>
      <c r="B37" s="31">
        <f>SUM(N37,Y37,AA37,AC37,AE37,AG37,AI37,AK37,AM37,AO37,AQ37,AS37,AU37,AW37,AY37,BA37,BC37,BE37,BG37,BI37,BK37,BM37,BO37,BQ37,BS37,BU37,BW37,BY37,CA37,CC37,CE37,CG37)</f>
        <v/>
      </c>
      <c r="C37" s="30" t="inlineStr">
        <is>
          <t>KPL</t>
        </is>
      </c>
      <c r="D37" s="30" t="inlineStr">
        <is>
          <t>Kwality Pharmaceuticals Ltd</t>
        </is>
      </c>
      <c r="E37" s="30" t="inlineStr">
        <is>
          <t>Healthcare</t>
        </is>
      </c>
      <c r="F37" s="30" t="inlineStr">
        <is>
          <t>Pharma - Formulators</t>
        </is>
      </c>
      <c r="G37" s="30" t="inlineStr">
        <is>
          <t>smallcap</t>
        </is>
      </c>
      <c r="H37" s="31" t="n">
        <v>3645.47</v>
      </c>
      <c r="I37" s="31" t="n">
        <v>3513.3</v>
      </c>
      <c r="J37" s="31" t="n">
        <v>-1.86</v>
      </c>
      <c r="K37" s="31" t="n">
        <v>0</v>
      </c>
      <c r="L37" s="30" t="n">
        <v>91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77.44</v>
      </c>
      <c r="P37" s="31" t="n">
        <v>70.73999999999999</v>
      </c>
      <c r="Q37" s="31" t="n">
        <v>2592.27</v>
      </c>
      <c r="R37" s="30" t="inlineStr">
        <is>
          <t>Near 52W High Breakout</t>
        </is>
      </c>
      <c r="S37" s="30" t="inlineStr">
        <is>
          <t>Nifty Pharma</t>
        </is>
      </c>
      <c r="T37" s="31" t="n">
        <v>18.86</v>
      </c>
      <c r="U37" s="31" t="n">
        <v>255.69</v>
      </c>
      <c r="V37" s="31" t="n">
        <v>199.24</v>
      </c>
      <c r="W37" s="31" t="n">
        <v>40.18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Yes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Higher Annuity, Lower One Time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Above 40</t>
        </is>
      </c>
      <c r="AY37" s="30">
        <f>IF(AX37="Above 40",20,IF(AX37="20 to 40",10,IF(AX37="0 to 20",-5,0)))</f>
        <v/>
      </c>
      <c r="AZ37" s="30" t="inlineStr">
        <is>
          <t>Above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Blue sky scenario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Yes</t>
        </is>
      </c>
      <c r="BS37" s="30">
        <f>IF(BR37="NO",5,0)</f>
        <v/>
      </c>
      <c r="BT37" s="30" t="inlineStr">
        <is>
          <t>Above 2</t>
        </is>
      </c>
      <c r="BU37" s="30">
        <f>IF(BT37="Above 2",0,IF(BT37="Between 1.5 to 2",5,IF(BT37="Less than 1.5",10,0)))</f>
        <v/>
      </c>
      <c r="BV37" s="30" t="inlineStr">
        <is>
          <t>Above 70%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  <c r="CF37" s="30" t="inlineStr">
        <is>
          <t>24</t>
        </is>
      </c>
      <c r="CG37" s="30">
        <f>IF(CF37&gt;20,10,IF(CF37&gt;=10,5,2))</f>
        <v/>
      </c>
    </row>
    <row r="38">
      <c r="A38" s="30">
        <f>IF(B38=0,"",RANK(B38,$B$2:$B$95,0))</f>
        <v/>
      </c>
      <c r="B38" s="31">
        <f>SUM(N38,Y38,AA38,AC38,AE38,AG38,AI38,AK38,AM38,AO38,AQ38,AS38,AU38,AW38,AY38,BA38,BC38,BE38,BG38,BI38,BK38,BM38,BO38,BQ38,BS38,BU38,BW38,BY38,CA38,CC38,CE38,CG38)</f>
        <v/>
      </c>
      <c r="C38" s="33" t="inlineStr">
        <is>
          <t>VIKRAMTH</t>
        </is>
      </c>
      <c r="D38" s="33" t="inlineStr">
        <is>
          <t>Vikram Thermo (India) Ltd</t>
        </is>
      </c>
      <c r="E38" s="30" t="inlineStr">
        <is>
          <t>Healthcare</t>
        </is>
      </c>
      <c r="F38" s="30" t="inlineStr">
        <is>
          <t>Speciality Chemicals</t>
        </is>
      </c>
      <c r="G38" s="30" t="inlineStr">
        <is>
          <t>smallcap</t>
        </is>
      </c>
      <c r="H38" s="31" t="n">
        <v>1014.11</v>
      </c>
      <c r="I38" s="31" t="n">
        <v>323.4</v>
      </c>
      <c r="J38" s="31" t="n">
        <v>5</v>
      </c>
      <c r="K38" s="31" t="n">
        <v>0</v>
      </c>
      <c r="L38" s="30" t="n">
        <v>81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86.98999999999999</v>
      </c>
      <c r="P38" s="31" t="n">
        <v>63.91</v>
      </c>
      <c r="Q38" s="31" t="n">
        <v>254.14</v>
      </c>
      <c r="R38" s="30" t="inlineStr">
        <is>
          <t>Near 52W High Breakout</t>
        </is>
      </c>
      <c r="S38" s="30" t="inlineStr">
        <is>
          <t>Nifty Pharma</t>
        </is>
      </c>
      <c r="T38" s="31" t="n">
        <v>18.86</v>
      </c>
      <c r="U38" s="31" t="n">
        <v>95.42</v>
      </c>
      <c r="V38" s="31" t="n">
        <v>64.41</v>
      </c>
      <c r="W38" s="31" t="n">
        <v>31.37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Yes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Higher Annuity, Lower One Time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Above 40</t>
        </is>
      </c>
      <c r="AY38" s="30">
        <f>IF(AX38="Above 40",20,IF(AX38="20 to 40",10,IF(AX38="0 to 20",-5,0)))</f>
        <v/>
      </c>
      <c r="AZ38" s="30" t="inlineStr">
        <is>
          <t>Above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Blue sky scenario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No</t>
        </is>
      </c>
      <c r="BS38" s="30">
        <f>IF(BR38="NO",5,0)</f>
        <v/>
      </c>
      <c r="BT38" s="30" t="inlineStr">
        <is>
          <t>Above 2</t>
        </is>
      </c>
      <c r="BU38" s="30">
        <f>IF(BT38="Above 2",0,IF(BT38="Between 1.5 to 2",5,IF(BT38="Less than 1.5",10,0)))</f>
        <v/>
      </c>
      <c r="BV38" s="30" t="inlineStr">
        <is>
          <t>Above 70%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  <c r="CF38" s="30" t="inlineStr">
        <is>
          <t>22</t>
        </is>
      </c>
      <c r="CG38" s="30">
        <f>IF(CF38&gt;20,10,IF(CF38&gt;=10,5,2))</f>
        <v/>
      </c>
    </row>
    <row r="39">
      <c r="A39" s="30">
        <f>IF(B39=0,"",RANK(B39,$B$2:$B$95,0))</f>
        <v/>
      </c>
      <c r="B39" s="31">
        <f>SUM(N39,Y39,AA39,AC39,AE39,AG39,AI39,AK39,AM39,AO39,AQ39,AS39,AU39,AW39,AY39,BA39,BC39,BE39,BG39,BI39,BK39,BM39,BO39,BQ39,BS39,BU39,BW39,BY39,CA39,CC39,CE39,CG39)</f>
        <v/>
      </c>
      <c r="C39" s="30" t="inlineStr">
        <is>
          <t>MOREPENLAB</t>
        </is>
      </c>
      <c r="D39" s="30" t="inlineStr">
        <is>
          <t>Morepen Laboratories Ltd</t>
        </is>
      </c>
      <c r="E39" s="30" t="inlineStr">
        <is>
          <t>healthcare</t>
        </is>
      </c>
      <c r="F39" s="30" t="inlineStr">
        <is>
          <t>Pharma - API &amp; CRAMS</t>
        </is>
      </c>
      <c r="G39" s="30" t="inlineStr">
        <is>
          <t>midcap</t>
        </is>
      </c>
      <c r="H39" s="31" t="n">
        <v>6328.87</v>
      </c>
      <c r="I39" s="31" t="n">
        <v>115.5</v>
      </c>
      <c r="J39" s="31" t="n">
        <v>-0.89</v>
      </c>
      <c r="K39" s="31" t="n">
        <v>0</v>
      </c>
      <c r="L39" s="30" t="n">
        <v>94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87.56</v>
      </c>
      <c r="P39" s="31" t="n">
        <v>52.57</v>
      </c>
      <c r="Q39" s="31" t="n">
        <v>88.29000000000001</v>
      </c>
      <c r="R39" s="30" t="inlineStr">
        <is>
          <t>Near 52W High Breakout</t>
        </is>
      </c>
      <c r="S39" s="30" t="inlineStr">
        <is>
          <t>Nifty Pharma</t>
        </is>
      </c>
      <c r="T39" s="31" t="n">
        <v>18.86</v>
      </c>
      <c r="U39" s="31" t="n">
        <v>113.88</v>
      </c>
      <c r="V39" s="31" t="n">
        <v>79.93000000000001</v>
      </c>
      <c r="W39" s="31" t="n">
        <v>52.07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Yes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Higher Annuity, Lower One Time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Above 40</t>
        </is>
      </c>
      <c r="AY39" s="30">
        <f>IF(AX39="Above 40",20,IF(AX39="20 to 40",10,IF(AX39="0 to 20",-5,0)))</f>
        <v/>
      </c>
      <c r="AZ39" s="30" t="inlineStr">
        <is>
          <t>Above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Blue sky scenario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Yes</t>
        </is>
      </c>
      <c r="BS39" s="30">
        <f>IF(BR39="NO",5,0)</f>
        <v/>
      </c>
      <c r="BT39" s="30" t="inlineStr">
        <is>
          <t>Above 2</t>
        </is>
      </c>
      <c r="BU39" s="30">
        <f>IF(BT39="Above 2",0,IF(BT39="Between 1.5 to 2",5,IF(BT39="Less than 1.5",10,0)))</f>
        <v/>
      </c>
      <c r="BV39" s="30" t="inlineStr">
        <is>
          <t>Above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  <c r="CF39" s="30" t="inlineStr">
        <is>
          <t>22</t>
        </is>
      </c>
      <c r="CG39" s="30">
        <f>IF(CF39&gt;20,10,IF(CF39&gt;=10,5,2))</f>
        <v/>
      </c>
    </row>
    <row r="40">
      <c r="A40" s="30">
        <f>IF(B40=0,"",RANK(B40,$B$2:$B$95,0))</f>
        <v/>
      </c>
      <c r="B40" s="31">
        <f>SUM(N40,Y40,AA40,AC40,AE40,AG40,AI40,AK40,AM40,AO40,AQ40,AS40,AU40,AW40,AY40,BA40,BC40,BE40,BG40,BI40,BK40,BM40,BO40,BQ40,BS40,BU40,BW40,BY40,CA40,CC40,CE40,CG40)</f>
        <v/>
      </c>
      <c r="C40" s="30" t="inlineStr">
        <is>
          <t>VALIANT</t>
        </is>
      </c>
      <c r="D40" s="30" t="inlineStr">
        <is>
          <t>Valiant Communications Ltd</t>
        </is>
      </c>
      <c r="E40" s="30" t="inlineStr">
        <is>
          <t>Technology</t>
        </is>
      </c>
      <c r="F40" s="30" t="inlineStr">
        <is>
          <t>Telecom Services</t>
        </is>
      </c>
      <c r="G40" s="30" t="inlineStr">
        <is>
          <t>smallcap</t>
        </is>
      </c>
      <c r="H40" s="31" t="n">
        <v>1576.09</v>
      </c>
      <c r="I40" s="31" t="n">
        <v>1348</v>
      </c>
      <c r="J40" s="31" t="n">
        <v>2.02</v>
      </c>
      <c r="K40" s="31" t="n">
        <v>0</v>
      </c>
      <c r="L40" s="30" t="n">
        <v>65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66.70999999999999</v>
      </c>
      <c r="P40" s="31" t="n">
        <v>22.93</v>
      </c>
      <c r="Q40" s="31" t="n">
        <v>913.02</v>
      </c>
      <c r="R40" s="30" t="inlineStr">
        <is>
          <t>Near 52W High Breakout</t>
        </is>
      </c>
      <c r="S40" s="30" t="inlineStr">
        <is>
          <t>Nifty 50</t>
        </is>
      </c>
      <c r="T40" s="31" t="n">
        <v>-6.52</v>
      </c>
      <c r="U40" s="31" t="n">
        <v>126.82</v>
      </c>
      <c r="V40" s="31" t="n">
        <v>142.62</v>
      </c>
      <c r="W40" s="31" t="n">
        <v>20.69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Oligopoly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Yes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Higher Annuity, Lower One Time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20 to 40</t>
        </is>
      </c>
      <c r="AY40" s="30">
        <f>IF(AX40="Above 40",20,IF(AX40="20 to 40",10,IF(AX40="0 to 20",-5,0)))</f>
        <v/>
      </c>
      <c r="AZ40" s="30" t="inlineStr">
        <is>
          <t>Between 50 to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Blue sky scenario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Yes</t>
        </is>
      </c>
      <c r="BS40" s="30">
        <f>IF(BR40="NO",5,0)</f>
        <v/>
      </c>
      <c r="BT40" s="30" t="inlineStr">
        <is>
          <t>Less than 1.5</t>
        </is>
      </c>
      <c r="BU40" s="30">
        <f>IF(BT40="Above 2",0,IF(BT40="Between 1.5 to 2",5,IF(BT40="Less than 1.5",10,0)))</f>
        <v/>
      </c>
      <c r="BV40" s="30" t="inlineStr">
        <is>
          <t>Above 70%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  <c r="CF40" s="30" t="inlineStr">
        <is>
          <t>19</t>
        </is>
      </c>
      <c r="CG40" s="30">
        <f>IF(CF40&gt;20,10,IF(CF40&gt;=10,5,2))</f>
        <v/>
      </c>
    </row>
    <row r="41">
      <c r="A41" s="30">
        <f>IF(B41=0,"",RANK(B41,$B$2:$B$95,0))</f>
        <v/>
      </c>
      <c r="B41" s="31">
        <f>SUM(N41,Y41,AA41,AC41,AE41,AG41,AI41,AK41,AM41,AO41,AQ41,AS41,AU41,AW41,AY41,BA41,BC41,BE41,BG41,BI41,BK41,BM41,BO41,BQ41,BS41,BU41,BW41,BY41,CA41,CC41,CE41,CG41)</f>
        <v/>
      </c>
      <c r="C41" s="30" t="inlineStr">
        <is>
          <t>MANORAMA</t>
        </is>
      </c>
      <c r="D41" s="30" t="inlineStr">
        <is>
          <t>Manorama Industries Ltd</t>
        </is>
      </c>
      <c r="E41" s="30" t="inlineStr">
        <is>
          <t>fmcg</t>
        </is>
      </c>
      <c r="F41" s="30" t="inlineStr">
        <is>
          <t>FMCG - Chocolate</t>
        </is>
      </c>
      <c r="G41" s="30" t="inlineStr">
        <is>
          <t>midcap</t>
        </is>
      </c>
      <c r="H41" s="31" t="n">
        <v>13167.33</v>
      </c>
      <c r="I41" s="31" t="n">
        <v>2086</v>
      </c>
      <c r="J41" s="31" t="n">
        <v>-0.35</v>
      </c>
      <c r="K41" s="31" t="n">
        <v>0</v>
      </c>
      <c r="L41" s="30" t="n">
        <v>59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77.42</v>
      </c>
      <c r="P41" s="31" t="n">
        <v>27.65</v>
      </c>
      <c r="Q41" s="31" t="n">
        <v>1651.41</v>
      </c>
      <c r="R41" s="30" t="inlineStr">
        <is>
          <t>Near 52W High Breakout</t>
        </is>
      </c>
      <c r="S41" s="30" t="inlineStr">
        <is>
          <t>Nifty FMCG</t>
        </is>
      </c>
      <c r="T41" s="31" t="n">
        <v>-17.21</v>
      </c>
      <c r="U41" s="31" t="n">
        <v>32.29</v>
      </c>
      <c r="V41" s="31" t="n">
        <v>59.79</v>
      </c>
      <c r="W41" s="31" t="n">
        <v>18.38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No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B2C</t>
        </is>
      </c>
      <c r="AO41" s="30">
        <f>IF(AN41="B2C",10,IF(AN41="B2B",5,0))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Higher Annuity, Lower One Time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20 to 40</t>
        </is>
      </c>
      <c r="AY41" s="30">
        <f>IF(AX41="Above 40",20,IF(AX41="20 to 40",10,IF(AX41="0 to 20",-5,0)))</f>
        <v/>
      </c>
      <c r="AZ41" s="30" t="inlineStr">
        <is>
          <t>Above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Blue sky scenario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Yes</t>
        </is>
      </c>
      <c r="BS41" s="30">
        <f>IF(BR41="NO",5,0)</f>
        <v/>
      </c>
      <c r="BT41" s="30" t="inlineStr">
        <is>
          <t>Less than 1.5</t>
        </is>
      </c>
      <c r="BU41" s="30">
        <f>IF(BT41="Above 2",0,IF(BT41="Between 1.5 to 2",5,IF(BT41="Less than 1.5",10,0)))</f>
        <v/>
      </c>
      <c r="BV41" s="30" t="inlineStr">
        <is>
          <t>Above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  <c r="CF41" s="30" t="inlineStr">
        <is>
          <t>19</t>
        </is>
      </c>
      <c r="CG41" s="30">
        <f>IF(CF41&gt;20,10,IF(CF41&gt;=10,5,2))</f>
        <v/>
      </c>
    </row>
    <row r="42">
      <c r="A42" s="30">
        <f>IF(B42=0,"",RANK(B42,$B$2:$B$95,0))</f>
        <v/>
      </c>
      <c r="B42" s="31">
        <f>SUM(N42,Y42,AA42,AC42,AE42,AG42,AI42,AK42,AM42,AO42,AQ42,AS42,AU42,AW42,AY42,BA42,BC42,BE42,BG42,BI42,BK42,BM42,BO42,BQ42,BS42,BU42,BW42,BY42,CA42,CC42,CE42,CG42)</f>
        <v/>
      </c>
      <c r="C42" s="30" t="inlineStr">
        <is>
          <t>SKYGOLD</t>
        </is>
      </c>
      <c r="D42" s="30" t="inlineStr">
        <is>
          <t>Sky Gold &amp; Diamonds Ltd</t>
        </is>
      </c>
      <c r="E42" s="30" t="inlineStr">
        <is>
          <t>consumer discretionary</t>
        </is>
      </c>
      <c r="F42" s="30" t="inlineStr">
        <is>
          <t>Diamond, Gems &amp; Jewellery</t>
        </is>
      </c>
      <c r="G42" s="30" t="inlineStr">
        <is>
          <t>midcap</t>
        </is>
      </c>
      <c r="H42" s="31" t="n">
        <v>12808.07</v>
      </c>
      <c r="I42" s="31" t="n">
        <v>827</v>
      </c>
      <c r="J42" s="31" t="n">
        <v>-0.62</v>
      </c>
      <c r="K42" s="31" t="n">
        <v>0</v>
      </c>
      <c r="L42" s="30" t="n">
        <v>90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78.65000000000001</v>
      </c>
      <c r="P42" s="31" t="n">
        <v>66.13</v>
      </c>
      <c r="Q42" s="31" t="n">
        <v>630.59</v>
      </c>
      <c r="R42" s="30" t="inlineStr">
        <is>
          <t>Near 52W High Breakout</t>
        </is>
      </c>
      <c r="S42" s="30" t="inlineStr">
        <is>
          <t>Nifty 50</t>
        </is>
      </c>
      <c r="T42" s="31" t="n">
        <v>-6.52</v>
      </c>
      <c r="U42" s="31" t="n">
        <v>194.17</v>
      </c>
      <c r="V42" s="31" t="n">
        <v>214.67</v>
      </c>
      <c r="W42" s="31" t="n">
        <v>39.29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No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Higher One Time, Lower Annuity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Above 40</t>
        </is>
      </c>
      <c r="AY42" s="30">
        <f>IF(AX42="Above 40",20,IF(AX42="20 to 40",10,IF(AX42="0 to 20",-5,0)))</f>
        <v/>
      </c>
      <c r="AZ42" s="30" t="inlineStr">
        <is>
          <t>Above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Blue sky scenario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No</t>
        </is>
      </c>
      <c r="BS42" s="30">
        <f>IF(BR42="NO",5,0)</f>
        <v/>
      </c>
      <c r="BT42" s="30" t="inlineStr">
        <is>
          <t>Above 2</t>
        </is>
      </c>
      <c r="BU42" s="30">
        <f>IF(BT42="Above 2",0,IF(BT42="Between 1.5 to 2",5,IF(BT42="Less than 1.5",10,0)))</f>
        <v/>
      </c>
      <c r="BV42" s="30" t="inlineStr">
        <is>
          <t>Above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Between 0.7 to 1.2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  <c r="CF42" s="30" t="inlineStr">
        <is>
          <t>28</t>
        </is>
      </c>
      <c r="CG42" s="30">
        <f>IF(CF42&gt;20,10,IF(CF42&gt;=10,5,2))</f>
        <v/>
      </c>
    </row>
    <row r="43">
      <c r="A43" s="30">
        <f>IF(B43=0,"",RANK(B43,$B$2:$B$95,0))</f>
        <v/>
      </c>
      <c r="B43" s="31">
        <f>SUM(N43,Y43,AA43,AC43,AE43,AG43,AI43,AK43,AM43,AO43,AQ43,AS43,AU43,AW43,AY43,BA43,BC43,BE43,BG43,BI43,BK43,BM43,BO43,BQ43,BS43,BU43,BW43,BY43,CA43,CC43,CE43,CG43)</f>
        <v/>
      </c>
      <c r="C43" s="33" t="inlineStr">
        <is>
          <t>FINCABLES</t>
        </is>
      </c>
      <c r="D43" s="33" t="inlineStr">
        <is>
          <t>Finolex Cables Ltd</t>
        </is>
      </c>
      <c r="E43" s="30" t="inlineStr">
        <is>
          <t>industrials</t>
        </is>
      </c>
      <c r="F43" s="30" t="inlineStr">
        <is>
          <t>Cables - Telecom</t>
        </is>
      </c>
      <c r="G43" s="30" t="inlineStr">
        <is>
          <t>largecap</t>
        </is>
      </c>
      <c r="H43" s="31" t="n">
        <v>21686.8</v>
      </c>
      <c r="I43" s="31" t="n">
        <v>1418</v>
      </c>
      <c r="J43" s="31" t="n">
        <v>4.77</v>
      </c>
      <c r="K43" s="31" t="n">
        <v>0</v>
      </c>
      <c r="L43" s="30" t="n">
        <v>68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70.33</v>
      </c>
      <c r="P43" s="31" t="n">
        <v>35.87</v>
      </c>
      <c r="Q43" s="31" t="n">
        <v>1081.49</v>
      </c>
      <c r="R43" s="30" t="inlineStr">
        <is>
          <t>Near 52W High Breakout</t>
        </is>
      </c>
      <c r="S43" s="30" t="inlineStr">
        <is>
          <t>Nifty Energy</t>
        </is>
      </c>
      <c r="T43" s="31" t="n">
        <v>8.43</v>
      </c>
      <c r="U43" s="31" t="n">
        <v>60.49</v>
      </c>
      <c r="V43" s="31" t="n">
        <v>48.01</v>
      </c>
      <c r="W43" s="31" t="n">
        <v>21.73</v>
      </c>
      <c r="X43" s="30" t="inlineStr">
        <is>
          <t>Cyclical in an Upturn</t>
        </is>
      </c>
      <c r="Y43" s="30">
        <f>IF(X43="Growing Industry",10,IF(X43="Cyclical in an Upturn",5,0))</f>
        <v/>
      </c>
      <c r="Z43" s="30" t="inlineStr">
        <is>
          <t>Oligopoly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Yes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One Time, Lower Annuity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20 to 40</t>
        </is>
      </c>
      <c r="AY43" s="30">
        <f>IF(AX43="Above 40",20,IF(AX43="20 to 40",10,IF(AX43="0 to 20",-5,0)))</f>
        <v/>
      </c>
      <c r="AZ43" s="30" t="inlineStr">
        <is>
          <t>Between 50 to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Blue sky scenario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No</t>
        </is>
      </c>
      <c r="BS43" s="30">
        <f>IF(BR43="NO",5,0)</f>
        <v/>
      </c>
      <c r="BT43" s="30" t="inlineStr">
        <is>
          <t>Less than 1.5</t>
        </is>
      </c>
      <c r="BU43" s="30">
        <f>IF(BT43="Above 2",0,IF(BT43="Between 1.5 to 2",5,IF(BT43="Less than 1.5",10,0)))</f>
        <v/>
      </c>
      <c r="BV43" s="30" t="inlineStr">
        <is>
          <t>Above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  <c r="CF43" s="30" t="inlineStr">
        <is>
          <t>25</t>
        </is>
      </c>
      <c r="CG43" s="30">
        <f>IF(CF43&gt;20,10,IF(CF43&gt;=10,5,2))</f>
        <v/>
      </c>
    </row>
    <row r="44">
      <c r="A44" s="30">
        <f>IF(B44=0,"",RANK(B44,$B$2:$B$95,0))</f>
        <v/>
      </c>
      <c r="B44" s="31">
        <f>SUM(N44,Y44,AA44,AC44,AE44,AG44,AI44,AK44,AM44,AO44,AQ44,AS44,AU44,AW44,AY44,BA44,BC44,BE44,BG44,BI44,BK44,BM44,BO44,BQ44,BS44,BU44,BW44,BY44,CA44,CC44,CE44,CG44)</f>
        <v/>
      </c>
      <c r="C44" s="33" t="inlineStr">
        <is>
          <t>EBGNG</t>
        </is>
      </c>
      <c r="D44" s="33" t="inlineStr">
        <is>
          <t>GNG Electronics Ltd</t>
        </is>
      </c>
      <c r="E44" s="30" t="inlineStr">
        <is>
          <t>services</t>
        </is>
      </c>
      <c r="F44" s="30" t="inlineStr">
        <is>
          <t>New age - Platform - E-Retail</t>
        </is>
      </c>
      <c r="G44" s="30" t="inlineStr">
        <is>
          <t>midcap</t>
        </is>
      </c>
      <c r="H44" s="31" t="n">
        <v>7764.18</v>
      </c>
      <c r="I44" s="31" t="n">
        <v>681</v>
      </c>
      <c r="J44" s="31" t="n">
        <v>0.77</v>
      </c>
      <c r="K44" s="31" t="n">
        <v>0</v>
      </c>
      <c r="L44" s="30" t="n">
        <v>78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68.42</v>
      </c>
      <c r="P44" s="31" t="n">
        <v>35.31</v>
      </c>
      <c r="Q44" s="31" t="n">
        <v>480.13</v>
      </c>
      <c r="R44" s="30" t="inlineStr">
        <is>
          <t>Near 52W High Breakout</t>
        </is>
      </c>
      <c r="S44" s="30" t="inlineStr">
        <is>
          <t>Nifty 50</t>
        </is>
      </c>
      <c r="T44" s="31" t="n">
        <v>-6.52</v>
      </c>
      <c r="U44" s="31" t="n">
        <v>90.92</v>
      </c>
      <c r="V44" s="31" t="n">
        <v>104.22</v>
      </c>
      <c r="W44" s="31" t="n">
        <v>28.5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No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B2C</t>
        </is>
      </c>
      <c r="AO44" s="30">
        <f>IF(AN44="B2C",10,IF(AN44="B2B",5,0))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Higher One Time, Lower Annuity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20 to 40</t>
        </is>
      </c>
      <c r="AY44" s="30">
        <f>IF(AX44="Above 40",20,IF(AX44="20 to 40",10,IF(AX44="0 to 20",-5,0)))</f>
        <v/>
      </c>
      <c r="AZ44" s="30" t="inlineStr">
        <is>
          <t>Between 50 to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Blue sky scenario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Yes</t>
        </is>
      </c>
      <c r="BS44" s="30">
        <f>IF(BR44="NO",5,0)</f>
        <v/>
      </c>
      <c r="BT44" s="30" t="inlineStr">
        <is>
          <t>Above 2</t>
        </is>
      </c>
      <c r="BU44" s="30">
        <f>IF(BT44="Above 2",0,IF(BT44="Between 1.5 to 2",5,IF(BT44="Less than 1.5",10,0)))</f>
        <v/>
      </c>
      <c r="BV44" s="30" t="inlineStr">
        <is>
          <t>Above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  <c r="CF44" s="30" t="inlineStr">
        <is>
          <t>24</t>
        </is>
      </c>
      <c r="CG44" s="30">
        <f>IF(CF44&gt;20,10,IF(CF44&gt;=10,5,2))</f>
        <v/>
      </c>
    </row>
    <row r="45">
      <c r="A45" s="30">
        <f>IF(B45=0,"",RANK(B45,$B$2:$B$95,0))</f>
        <v/>
      </c>
      <c r="B45" s="31">
        <f>SUM(N45,Y45,AA45,AC45,AE45,AG45,AI45,AK45,AM45,AO45,AQ45,AS45,AU45,AW45,AY45,BA45,BC45,BE45,BG45,BI45,BK45,BM45,BO45,BQ45,BS45,BU45,BW45,BY45,CA45,CC45,CE45,CG45)</f>
        <v/>
      </c>
      <c r="C45" s="33" t="inlineStr">
        <is>
          <t>LOTUSDEV</t>
        </is>
      </c>
      <c r="D45" s="33" t="inlineStr">
        <is>
          <t>Sri Lotus Developers &amp; Realty Ltd</t>
        </is>
      </c>
      <c r="E45" s="30" t="inlineStr">
        <is>
          <t>realty</t>
        </is>
      </c>
      <c r="F45" s="30" t="inlineStr">
        <is>
          <t>Construction - Factories/Offices/Commercial</t>
        </is>
      </c>
      <c r="G45" s="30" t="inlineStr">
        <is>
          <t>midcap</t>
        </is>
      </c>
      <c r="H45" s="31" t="n">
        <v>10159.59</v>
      </c>
      <c r="I45" s="31" t="n">
        <v>207.88</v>
      </c>
      <c r="J45" s="31" t="n">
        <v>5</v>
      </c>
      <c r="K45" s="31" t="n">
        <v>0</v>
      </c>
      <c r="L45" s="30" t="n">
        <v>38</v>
      </c>
      <c r="M45" s="30" t="inlineStr">
        <is>
          <t>Underperforming</t>
        </is>
      </c>
      <c r="N45" s="31">
        <f>IF(M45="Underperforming",-5,IF(L45&gt;=95,15,IF(L45&gt;=90,10,IF(L45&gt;=80,5,0))))</f>
        <v/>
      </c>
      <c r="O45" s="31" t="n">
        <v>65.01000000000001</v>
      </c>
      <c r="P45" s="31" t="n">
        <v>21.53</v>
      </c>
      <c r="Q45" s="31" t="n">
        <v>157.27</v>
      </c>
      <c r="R45" s="30" t="inlineStr">
        <is>
          <t>Near 52W High Breakout</t>
        </is>
      </c>
      <c r="S45" s="30" t="inlineStr">
        <is>
          <t>Nifty Realty</t>
        </is>
      </c>
      <c r="T45" s="31" t="n">
        <v>-0.24</v>
      </c>
      <c r="U45" s="31" t="n">
        <v>-0.9</v>
      </c>
      <c r="V45" s="31" t="n">
        <v>-0.66</v>
      </c>
      <c r="W45" s="31" t="n">
        <v>11.89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No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One Time, Lower Annuity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20 to 40</t>
        </is>
      </c>
      <c r="AY45" s="30">
        <f>IF(AX45="Above 40",20,IF(AX45="20 to 40",10,IF(AX45="0 to 20",-5,0)))</f>
        <v/>
      </c>
      <c r="AZ45" s="30" t="inlineStr">
        <is>
          <t>Between 50 to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Blue sky scenario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Yes</t>
        </is>
      </c>
      <c r="BS45" s="30">
        <f>IF(BR45="NO",5,0)</f>
        <v/>
      </c>
      <c r="BT45" s="30" t="inlineStr">
        <is>
          <t>Less than 1.5</t>
        </is>
      </c>
      <c r="BU45" s="30">
        <f>IF(BT45="Above 2",0,IF(BT45="Between 1.5 to 2",5,IF(BT45="Less than 1.5",10,0)))</f>
        <v/>
      </c>
      <c r="BV45" s="30" t="inlineStr">
        <is>
          <t>Above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  <c r="CF45" s="30" t="inlineStr">
        <is>
          <t>24</t>
        </is>
      </c>
      <c r="CG45" s="30">
        <f>IF(CF45&gt;20,10,IF(CF45&gt;=10,5,2))</f>
        <v/>
      </c>
    </row>
    <row r="46">
      <c r="A46" s="30">
        <f>IF(B46=0,"",RANK(B46,$B$2:$B$95,0))</f>
        <v/>
      </c>
      <c r="B46" s="31">
        <f>SUM(N46,Y46,AA46,AC46,AE46,AG46,AI46,AK46,AM46,AO46,AQ46,AS46,AU46,AW46,AY46,BA46,BC46,BE46,BG46,BI46,BK46,BM46,BO46,BQ46,BS46,BU46,BW46,BY46,CA46,CC46,CE46,CG46)</f>
        <v/>
      </c>
      <c r="C46" s="30" t="inlineStr">
        <is>
          <t>FCL</t>
        </is>
      </c>
      <c r="D46" s="30" t="inlineStr">
        <is>
          <t>Fineotex Chemical Ltd</t>
        </is>
      </c>
      <c r="E46" s="30" t="inlineStr">
        <is>
          <t>chemicals</t>
        </is>
      </c>
      <c r="F46" s="30" t="inlineStr">
        <is>
          <t>Speciality Chemicals</t>
        </is>
      </c>
      <c r="G46" s="30" t="inlineStr">
        <is>
          <t>midcap</t>
        </is>
      </c>
      <c r="H46" s="31" t="n">
        <v>6823.98</v>
      </c>
      <c r="I46" s="31" t="n">
        <v>58.6</v>
      </c>
      <c r="J46" s="31" t="n">
        <v>0.29</v>
      </c>
      <c r="K46" s="31" t="n">
        <v>0</v>
      </c>
      <c r="L46" s="30" t="n">
        <v>85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81.81</v>
      </c>
      <c r="P46" s="31" t="n">
        <v>48.77</v>
      </c>
      <c r="Q46" s="31" t="n">
        <v>44.35</v>
      </c>
      <c r="R46" s="30" t="inlineStr">
        <is>
          <t>Volume Spike &amp; Near 52W High Breakout</t>
        </is>
      </c>
      <c r="S46" s="30" t="inlineStr">
        <is>
          <t>Nifty IT</t>
        </is>
      </c>
      <c r="T46" s="31" t="n">
        <v>-19.99</v>
      </c>
      <c r="U46" s="31" t="n">
        <v>148.85</v>
      </c>
      <c r="V46" s="31" t="n">
        <v>211.03</v>
      </c>
      <c r="W46" s="31" t="n">
        <v>34.33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Higher One Time, Lower Annuity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Above 40</t>
        </is>
      </c>
      <c r="AY46" s="30">
        <f>IF(AX46="Above 40",20,IF(AX46="20 to 40",10,IF(AX46="0 to 20",-5,0)))</f>
        <v/>
      </c>
      <c r="AZ46" s="30" t="inlineStr">
        <is>
          <t>Above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Blue sky scenario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Yes</t>
        </is>
      </c>
      <c r="BS46" s="30">
        <f>IF(BR46="NO",5,0)</f>
        <v/>
      </c>
      <c r="BT46" s="30" t="inlineStr">
        <is>
          <t>Above 2</t>
        </is>
      </c>
      <c r="BU46" s="30">
        <f>IF(BT46="Above 2",0,IF(BT46="Between 1.5 to 2",5,IF(BT46="Less than 1.5",10,0)))</f>
        <v/>
      </c>
      <c r="BV46" s="30" t="inlineStr">
        <is>
          <t>Above 70%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  <c r="CF46" s="30" t="inlineStr">
        <is>
          <t>23</t>
        </is>
      </c>
      <c r="CG46" s="30">
        <f>IF(CF46&gt;20,10,IF(CF46&gt;=10,5,2))</f>
        <v/>
      </c>
    </row>
    <row r="47">
      <c r="A47" s="30">
        <f>IF(B47=0,"",RANK(B47,$B$2:$B$95,0))</f>
        <v/>
      </c>
      <c r="B47" s="31">
        <f>SUM(N47,Y47,AA47,AC47,AE47,AG47,AI47,AK47,AM47,AO47,AQ47,AS47,AU47,AW47,AY47,BA47,BC47,BE47,BG47,BI47,BK47,BM47,BO47,BQ47,BS47,BU47,BW47,BY47,CA47,CC47,CE47,CG47)</f>
        <v/>
      </c>
      <c r="C47" s="30" t="inlineStr">
        <is>
          <t>BHAGERIA</t>
        </is>
      </c>
      <c r="D47" s="30" t="inlineStr">
        <is>
          <t>Bhageria Industries Ltd</t>
        </is>
      </c>
      <c r="E47" s="30" t="inlineStr">
        <is>
          <t>chemicals</t>
        </is>
      </c>
      <c r="F47" s="30" t="inlineStr">
        <is>
          <t>Dyes &amp; Pigments</t>
        </is>
      </c>
      <c r="G47" s="30" t="inlineStr">
        <is>
          <t>smallcap</t>
        </is>
      </c>
      <c r="H47" s="31" t="n">
        <v>1322.86</v>
      </c>
      <c r="I47" s="31" t="n">
        <v>303.1</v>
      </c>
      <c r="J47" s="31" t="n">
        <v>-5</v>
      </c>
      <c r="K47" s="31" t="n">
        <v>0</v>
      </c>
      <c r="L47" s="30" t="n">
        <v>66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74.59</v>
      </c>
      <c r="P47" s="31" t="n">
        <v>36.9</v>
      </c>
      <c r="Q47" s="31" t="n">
        <v>228.78</v>
      </c>
      <c r="R47" s="30" t="inlineStr">
        <is>
          <t>Near 52W High Breakout</t>
        </is>
      </c>
      <c r="S47" s="30" t="inlineStr">
        <is>
          <t>Nifty IT</t>
        </is>
      </c>
      <c r="T47" s="31" t="n">
        <v>-19.99</v>
      </c>
      <c r="U47" s="31" t="n">
        <v>50.13</v>
      </c>
      <c r="V47" s="31" t="n">
        <v>87.65000000000001</v>
      </c>
      <c r="W47" s="31" t="n">
        <v>21.01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No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Higher One Time, Lower Annuity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20 to 40</t>
        </is>
      </c>
      <c r="AY47" s="30">
        <f>IF(AX47="Above 40",20,IF(AX47="20 to 40",10,IF(AX47="0 to 20",-5,0)))</f>
        <v/>
      </c>
      <c r="AZ47" s="30" t="inlineStr">
        <is>
          <t>Between 50 to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Blue sky scenario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No</t>
        </is>
      </c>
      <c r="BS47" s="30">
        <f>IF(BR47="NO",5,0)</f>
        <v/>
      </c>
      <c r="BT47" s="30" t="inlineStr">
        <is>
          <t>Above 2</t>
        </is>
      </c>
      <c r="BU47" s="30">
        <f>IF(BT47="Above 2",0,IF(BT47="Between 1.5 to 2",5,IF(BT47="Less than 1.5",10,0)))</f>
        <v/>
      </c>
      <c r="BV47" s="30" t="inlineStr">
        <is>
          <t>Above 70%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  <c r="CF47" s="30" t="inlineStr">
        <is>
          <t>22</t>
        </is>
      </c>
      <c r="CG47" s="30">
        <f>IF(CF47&gt;20,10,IF(CF47&gt;=10,5,2))</f>
        <v/>
      </c>
    </row>
    <row r="48">
      <c r="A48" s="30">
        <f>IF(B48=0,"",RANK(B48,$B$2:$B$95,0))</f>
        <v/>
      </c>
      <c r="B48" s="31">
        <f>SUM(N48,Y48,AA48,AC48,AE48,AG48,AI48,AK48,AM48,AO48,AQ48,AS48,AU48,AW48,AY48,BA48,BC48,BE48,BG48,BI48,BK48,BM48,BO48,BQ48,BS48,BU48,BW48,BY48,CA48,CC48,CE48,CG48)</f>
        <v/>
      </c>
      <c r="C48" s="30" t="inlineStr">
        <is>
          <t>SAKAR</t>
        </is>
      </c>
      <c r="D48" s="30" t="inlineStr">
        <is>
          <t>Sakar Healthcare Ltd</t>
        </is>
      </c>
      <c r="E48" s="30" t="inlineStr">
        <is>
          <t>healthcare</t>
        </is>
      </c>
      <c r="F48" s="30" t="inlineStr">
        <is>
          <t>Hospitals</t>
        </is>
      </c>
      <c r="G48" s="30" t="inlineStr">
        <is>
          <t>smallcap</t>
        </is>
      </c>
      <c r="H48" s="31" t="n">
        <v>2491.99</v>
      </c>
      <c r="I48" s="31" t="n">
        <v>1120</v>
      </c>
      <c r="J48" s="31" t="n">
        <v>-2.81</v>
      </c>
      <c r="K48" s="31" t="n">
        <v>0</v>
      </c>
      <c r="L48" s="30" t="n">
        <v>87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75.08</v>
      </c>
      <c r="P48" s="31" t="n">
        <v>52.51</v>
      </c>
      <c r="Q48" s="31" t="n">
        <v>811.54</v>
      </c>
      <c r="R48" s="30" t="inlineStr">
        <is>
          <t>Near 52W High Breakout</t>
        </is>
      </c>
      <c r="S48" s="30" t="inlineStr">
        <is>
          <t>Nifty Pharma</t>
        </is>
      </c>
      <c r="T48" s="31" t="n">
        <v>18.86</v>
      </c>
      <c r="U48" s="31" t="n">
        <v>234.22</v>
      </c>
      <c r="V48" s="31" t="n">
        <v>181.18</v>
      </c>
      <c r="W48" s="31" t="n">
        <v>35.84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Yes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Annuity, Lower One Time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Above 40</t>
        </is>
      </c>
      <c r="AY48" s="30">
        <f>IF(AX48="Above 40",20,IF(AX48="20 to 40",10,IF(AX48="0 to 20",-5,0)))</f>
        <v/>
      </c>
      <c r="AZ48" s="30" t="inlineStr">
        <is>
          <t>Above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Blue sky scenario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Yes</t>
        </is>
      </c>
      <c r="BS48" s="30">
        <f>IF(BR48="NO",5,0)</f>
        <v/>
      </c>
      <c r="BT48" s="30" t="inlineStr">
        <is>
          <t>Above 2</t>
        </is>
      </c>
      <c r="BU48" s="30">
        <f>IF(BT48="Above 2",0,IF(BT48="Between 1.5 to 2",5,IF(BT48="Less than 1.5",10,0)))</f>
        <v/>
      </c>
      <c r="BV48" s="30" t="inlineStr">
        <is>
          <t>Above 70%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Less than 0.7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  <c r="CF48" s="30" t="inlineStr">
        <is>
          <t>25</t>
        </is>
      </c>
      <c r="CG48" s="30">
        <f>IF(CF48&gt;20,10,IF(CF48&gt;=10,5,2))</f>
        <v/>
      </c>
    </row>
    <row r="49">
      <c r="A49" s="30">
        <f>IF(B49=0,"",RANK(B49,$B$2:$B$95,0))</f>
        <v/>
      </c>
      <c r="B49" s="31">
        <f>SUM(N49,Y49,AA49,AC49,AE49,AG49,AI49,AK49,AM49,AO49,AQ49,AS49,AU49,AW49,AY49,BA49,BC49,BE49,BG49,BI49,BK49,BM49,BO49,BQ49,BS49,BU49,BW49,BY49,CA49,CC49,CE49,CG49)</f>
        <v/>
      </c>
      <c r="C49" s="30" t="inlineStr">
        <is>
          <t>HFCL</t>
        </is>
      </c>
      <c r="D49" s="30" t="inlineStr">
        <is>
          <t>HFCL Ltd</t>
        </is>
      </c>
      <c r="E49" s="30" t="inlineStr">
        <is>
          <t>Technology</t>
        </is>
      </c>
      <c r="F49" s="30" t="inlineStr">
        <is>
          <t>Telecom Services</t>
        </is>
      </c>
      <c r="G49" s="30" t="inlineStr">
        <is>
          <t>largecap</t>
        </is>
      </c>
      <c r="H49" s="31" t="n">
        <v>35906.4</v>
      </c>
      <c r="I49" s="31" t="n">
        <v>234.59</v>
      </c>
      <c r="J49" s="31" t="n">
        <v>-4.42</v>
      </c>
      <c r="K49" s="31" t="n">
        <v>0</v>
      </c>
      <c r="L49" s="30" t="n">
        <v>91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70.78</v>
      </c>
      <c r="P49" s="31" t="n">
        <v>58.66</v>
      </c>
      <c r="Q49" s="31" t="n">
        <v>187.17</v>
      </c>
      <c r="R49" s="30" t="inlineStr">
        <is>
          <t>Earnings / Momentum Support</t>
        </is>
      </c>
      <c r="S49" s="30" t="inlineStr">
        <is>
          <t>Nifty 50</t>
        </is>
      </c>
      <c r="T49" s="31" t="n">
        <v>-6.52</v>
      </c>
      <c r="U49" s="31" t="n">
        <v>219.53</v>
      </c>
      <c r="V49" s="31" t="n">
        <v>241.8</v>
      </c>
      <c r="W49" s="31" t="n">
        <v>41.92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Oligopoly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Yes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No</t>
        </is>
      </c>
      <c r="AQ49" s="30">
        <f>IF(AP49="Yes",10,0)</f>
        <v/>
      </c>
      <c r="AR49" s="30" t="inlineStr">
        <is>
          <t>Higher Annuity, Lower One Time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Above 40</t>
        </is>
      </c>
      <c r="AY49" s="30">
        <f>IF(AX49="Above 40",20,IF(AX49="20 to 40",10,IF(AX49="0 to 20",-5,0)))</f>
        <v/>
      </c>
      <c r="AZ49" s="30" t="inlineStr">
        <is>
          <t>Between 50 to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Close to 52 week high or retracement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Yes</t>
        </is>
      </c>
      <c r="BS49" s="30">
        <f>IF(BR49="NO",5,0)</f>
        <v/>
      </c>
      <c r="BT49" s="30" t="inlineStr">
        <is>
          <t>Above 2</t>
        </is>
      </c>
      <c r="BU49" s="30">
        <f>IF(BT49="Above 2",0,IF(BT49="Between 1.5 to 2",5,IF(BT49="Less than 1.5",10,0)))</f>
        <v/>
      </c>
      <c r="BV49" s="30" t="inlineStr">
        <is>
          <t>Above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Less than 0.7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  <c r="CF49" s="30" t="inlineStr">
        <is>
          <t>23</t>
        </is>
      </c>
      <c r="CG49" s="30">
        <f>IF(CF49&gt;20,10,IF(CF49&gt;=10,5,2))</f>
        <v/>
      </c>
    </row>
    <row r="50">
      <c r="A50" s="30">
        <f>IF(B50=0,"",RANK(B50,$B$2:$B$95,0))</f>
        <v/>
      </c>
      <c r="B50" s="31">
        <f>SUM(N50,Y50,AA50,AC50,AE50,AG50,AI50,AK50,AM50,AO50,AQ50,AS50,AU50,AW50,AY50,BA50,BC50,BE50,BG50,BI50,BK50,BM50,BO50,BQ50,BS50,BU50,BW50,BY50,CA50,CC50,CE50,CG50)</f>
        <v/>
      </c>
      <c r="C50" s="30" t="inlineStr">
        <is>
          <t>SHILPAMED</t>
        </is>
      </c>
      <c r="D50" s="30" t="inlineStr">
        <is>
          <t>Shilpa Medicare Ltd</t>
        </is>
      </c>
      <c r="E50" s="30" t="inlineStr">
        <is>
          <t>healthcare</t>
        </is>
      </c>
      <c r="F50" s="30" t="inlineStr">
        <is>
          <t>Pharma - API &amp; CRAMS</t>
        </is>
      </c>
      <c r="G50" s="30" t="inlineStr">
        <is>
          <t>midcap</t>
        </is>
      </c>
      <c r="H50" s="31" t="n">
        <v>18443.37</v>
      </c>
      <c r="I50" s="31" t="n">
        <v>943</v>
      </c>
      <c r="J50" s="31" t="n">
        <v>-1.83</v>
      </c>
      <c r="K50" s="31" t="n">
        <v>0</v>
      </c>
      <c r="L50" s="30" t="n">
        <v>89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86.64</v>
      </c>
      <c r="P50" s="31" t="n">
        <v>79.22</v>
      </c>
      <c r="Q50" s="31" t="n">
        <v>788.1799999999999</v>
      </c>
      <c r="R50" s="30" t="inlineStr">
        <is>
          <t>Near 52W High Breakout</t>
        </is>
      </c>
      <c r="S50" s="30" t="inlineStr">
        <is>
          <t>Nifty Pharma</t>
        </is>
      </c>
      <c r="T50" s="31" t="n">
        <v>18.86</v>
      </c>
      <c r="U50" s="31" t="n">
        <v>127.56</v>
      </c>
      <c r="V50" s="31" t="n">
        <v>91.44</v>
      </c>
      <c r="W50" s="31" t="n">
        <v>38.68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Yes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Yes</t>
        </is>
      </c>
      <c r="AQ50" s="30">
        <f>IF(AP50="Yes",10,0)</f>
        <v/>
      </c>
      <c r="AR50" s="30" t="inlineStr">
        <is>
          <t>Higher Annuity, Lower One Time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Above 40</t>
        </is>
      </c>
      <c r="AY50" s="30">
        <f>IF(AX50="Above 40",20,IF(AX50="20 to 40",10,IF(AX50="0 to 20",-5,0)))</f>
        <v/>
      </c>
      <c r="AZ50" s="30" t="inlineStr">
        <is>
          <t>Above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Positive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Blue sky scenario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Yes</t>
        </is>
      </c>
      <c r="BS50" s="30">
        <f>IF(BR50="NO",5,0)</f>
        <v/>
      </c>
      <c r="BT50" s="30" t="inlineStr">
        <is>
          <t>Above 2</t>
        </is>
      </c>
      <c r="BU50" s="30">
        <f>IF(BT50="Above 2",0,IF(BT50="Between 1.5 to 2",5,IF(BT50="Less than 1.5",10,0)))</f>
        <v/>
      </c>
      <c r="BV50" s="30" t="inlineStr">
        <is>
          <t>Above 70%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Less than 0.7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  <c r="CF50" s="30" t="inlineStr">
        <is>
          <t>21</t>
        </is>
      </c>
      <c r="CG50" s="30">
        <f>IF(CF50&gt;20,10,IF(CF50&gt;=10,5,2))</f>
        <v/>
      </c>
    </row>
    <row r="51">
      <c r="A51" s="30">
        <f>IF(B51=0,"",RANK(B51,$B$2:$B$95,0))</f>
        <v/>
      </c>
      <c r="B51" s="31">
        <f>SUM(N51,Y51,AA51,AC51,AE51,AG51,AI51,AK51,AM51,AO51,AQ51,AS51,AU51,AW51,AY51,BA51,BC51,BE51,BG51,BI51,BK51,BM51,BO51,BQ51,BS51,BU51,BW51,BY51,CA51,CC51,CE51,CG51)</f>
        <v/>
      </c>
      <c r="C51" s="30" t="inlineStr">
        <is>
          <t>COFORGE</t>
        </is>
      </c>
      <c r="D51" s="30" t="inlineStr">
        <is>
          <t>Coforge Ltd</t>
        </is>
      </c>
      <c r="E51" s="30" t="inlineStr">
        <is>
          <t>Technology</t>
        </is>
      </c>
      <c r="F51" s="30" t="inlineStr">
        <is>
          <t>IT - Software</t>
        </is>
      </c>
      <c r="G51" s="30" t="inlineStr">
        <is>
          <t>largecap</t>
        </is>
      </c>
      <c r="H51" s="31" t="n">
        <v>81202.31</v>
      </c>
      <c r="I51" s="31" t="n">
        <v>1833.1</v>
      </c>
      <c r="J51" s="31" t="n">
        <v>-0.64</v>
      </c>
      <c r="K51" s="31" t="n">
        <v>0</v>
      </c>
      <c r="L51" s="30" t="n">
        <v>38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61.64</v>
      </c>
      <c r="P51" s="31" t="n">
        <v>20.51</v>
      </c>
      <c r="Q51" s="31" t="n">
        <v>1624.59</v>
      </c>
      <c r="R51" s="30" t="inlineStr">
        <is>
          <t>Earnings / Momentum Support</t>
        </is>
      </c>
      <c r="S51" s="30" t="inlineStr">
        <is>
          <t>Nifty 50</t>
        </is>
      </c>
      <c r="T51" s="31" t="n">
        <v>-6.52</v>
      </c>
      <c r="U51" s="31" t="n">
        <v>4.88</v>
      </c>
      <c r="V51" s="31" t="n">
        <v>12.19</v>
      </c>
      <c r="W51" s="31" t="n">
        <v>11.81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No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No</t>
        </is>
      </c>
      <c r="AQ51" s="30">
        <f>IF(AP51="Yes",10,0)</f>
        <v/>
      </c>
      <c r="AR51" s="30" t="inlineStr">
        <is>
          <t>Higher Annuity, Lower One Time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20 to 40</t>
        </is>
      </c>
      <c r="AY51" s="30">
        <f>IF(AX51="Above 40",20,IF(AX51="20 to 40",10,IF(AX51="0 to 20",-5,0)))</f>
        <v/>
      </c>
      <c r="AZ51" s="30" t="inlineStr">
        <is>
          <t>Between 50 to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Close to 52 week high or retracement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No</t>
        </is>
      </c>
      <c r="BS51" s="30">
        <f>IF(BR51="NO",5,0)</f>
        <v/>
      </c>
      <c r="BT51" s="30" t="inlineStr">
        <is>
          <t>Less than 1.5</t>
        </is>
      </c>
      <c r="BU51" s="30">
        <f>IF(BT51="Above 2",0,IF(BT51="Between 1.5 to 2",5,IF(BT51="Less than 1.5",10,0)))</f>
        <v/>
      </c>
      <c r="BV51" s="30" t="inlineStr">
        <is>
          <t>Above 70%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Less than 0.7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  <c r="CF51" s="30" t="inlineStr">
        <is>
          <t>20</t>
        </is>
      </c>
      <c r="CG51" s="30">
        <f>IF(CF51&gt;20,10,IF(CF51&gt;=10,5,2))</f>
        <v/>
      </c>
    </row>
    <row r="52">
      <c r="A52" s="30">
        <f>IF(B52=0,"",RANK(B52,$B$2:$B$95,0))</f>
        <v/>
      </c>
      <c r="B52" s="31">
        <f>SUM(N52,Y52,AA52,AC52,AE52,AG52,AI52,AK52,AM52,AO52,AQ52,AS52,AU52,AW52,AY52,BA52,BC52,BE52,BG52,BI52,BK52,BM52,BO52,BQ52,BS52,BU52,BW52,BY52,CA52,CC52,CE52,CG52)</f>
        <v/>
      </c>
      <c r="C52" s="30" t="inlineStr">
        <is>
          <t>BODALCHEM</t>
        </is>
      </c>
      <c r="D52" s="30" t="inlineStr">
        <is>
          <t>Bodal Chemicals Ltd</t>
        </is>
      </c>
      <c r="E52" s="30" t="inlineStr">
        <is>
          <t>chemicals</t>
        </is>
      </c>
      <c r="F52" s="30" t="inlineStr">
        <is>
          <t>Dyes &amp; Pigments</t>
        </is>
      </c>
      <c r="G52" s="30" t="inlineStr">
        <is>
          <t>smallcap</t>
        </is>
      </c>
      <c r="H52" s="31" t="n">
        <v>2092.06</v>
      </c>
      <c r="I52" s="31" t="n">
        <v>166.11</v>
      </c>
      <c r="J52" s="31" t="n">
        <v>-5</v>
      </c>
      <c r="K52" s="31" t="n">
        <v>0</v>
      </c>
      <c r="L52" s="30" t="n">
        <v>96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88.23</v>
      </c>
      <c r="P52" s="31" t="n">
        <v>37.83</v>
      </c>
      <c r="Q52" s="31" t="n">
        <v>126.54</v>
      </c>
      <c r="R52" s="30" t="inlineStr">
        <is>
          <t>Near 52W High Breakout</t>
        </is>
      </c>
      <c r="S52" s="30" t="inlineStr">
        <is>
          <t>Nifty 50</t>
        </is>
      </c>
      <c r="T52" s="31" t="n">
        <v>-6.52</v>
      </c>
      <c r="U52" s="31" t="n">
        <v>153.53</v>
      </c>
      <c r="V52" s="31" t="n">
        <v>171.19</v>
      </c>
      <c r="W52" s="31" t="n">
        <v>61.29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No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Yes</t>
        </is>
      </c>
      <c r="AQ52" s="30">
        <f>IF(AP52="Yes",10,0)</f>
        <v/>
      </c>
      <c r="AR52" s="30" t="inlineStr">
        <is>
          <t>Higher One Time, Lower Annuity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20 to 40</t>
        </is>
      </c>
      <c r="AY52" s="30">
        <f>IF(AX52="Above 40",20,IF(AX52="20 to 40",10,IF(AX52="0 to 20",-5,0)))</f>
        <v/>
      </c>
      <c r="AZ52" s="30" t="inlineStr">
        <is>
          <t>Above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Blue sky scenario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No</t>
        </is>
      </c>
      <c r="BS52" s="30">
        <f>IF(BR52="NO",5,0)</f>
        <v/>
      </c>
      <c r="BT52" s="30" t="inlineStr">
        <is>
          <t>Above 2</t>
        </is>
      </c>
      <c r="BU52" s="30">
        <f>IF(BT52="Above 2",0,IF(BT52="Between 1.5 to 2",5,IF(BT52="Less than 1.5",10,0)))</f>
        <v/>
      </c>
      <c r="BV52" s="30" t="inlineStr">
        <is>
          <t>Above 70%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Between 0.7 to 1.2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  <c r="CF52" s="30" t="inlineStr">
        <is>
          <t>28</t>
        </is>
      </c>
      <c r="CG52" s="30">
        <f>IF(CF52&gt;20,10,IF(CF52&gt;=10,5,2))</f>
        <v/>
      </c>
    </row>
    <row r="53">
      <c r="A53" s="30">
        <f>IF(B53=0,"",RANK(B53,$B$2:$B$95,0))</f>
        <v/>
      </c>
      <c r="B53" s="31">
        <f>SUM(N53,Y53,AA53,AC53,AE53,AG53,AI53,AK53,AM53,AO53,AQ53,AS53,AU53,AW53,AY53,BA53,BC53,BE53,BG53,BI53,BK53,BM53,BO53,BQ53,BS53,BU53,BW53,BY53,CA53,CC53,CE53,CG53)</f>
        <v/>
      </c>
      <c r="C53" s="30" t="inlineStr">
        <is>
          <t>KENNAMET</t>
        </is>
      </c>
      <c r="D53" s="30" t="inlineStr">
        <is>
          <t>Kennametal India Ltd</t>
        </is>
      </c>
      <c r="E53" s="30" t="inlineStr">
        <is>
          <t>industrials</t>
        </is>
      </c>
      <c r="F53" s="30" t="inlineStr">
        <is>
          <t>Castings, Forgings &amp; Fastners</t>
        </is>
      </c>
      <c r="G53" s="30" t="inlineStr">
        <is>
          <t>midcap</t>
        </is>
      </c>
      <c r="H53" s="31" t="n">
        <v>11032.42</v>
      </c>
      <c r="I53" s="31" t="n">
        <v>5019.7</v>
      </c>
      <c r="J53" s="31" t="n">
        <v>5.75</v>
      </c>
      <c r="K53" s="31" t="n">
        <v>0</v>
      </c>
      <c r="L53" s="30" t="n">
        <v>88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87.02</v>
      </c>
      <c r="P53" s="31" t="n">
        <v>49.02</v>
      </c>
      <c r="Q53" s="31" t="n">
        <v>3962.74</v>
      </c>
      <c r="R53" s="30" t="inlineStr">
        <is>
          <t>Near 52W High Breakout</t>
        </is>
      </c>
      <c r="S53" s="30" t="inlineStr">
        <is>
          <t>Nifty 50</t>
        </is>
      </c>
      <c r="T53" s="31" t="n">
        <v>-6.52</v>
      </c>
      <c r="U53" s="31" t="n">
        <v>133.85</v>
      </c>
      <c r="V53" s="31" t="n">
        <v>150.15</v>
      </c>
      <c r="W53" s="31" t="n">
        <v>37.97</v>
      </c>
      <c r="X53" s="30" t="inlineStr">
        <is>
          <t>Cyclical in an Upturn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Above 40</t>
        </is>
      </c>
      <c r="AY53" s="30">
        <f>IF(AX53="Above 40",20,IF(AX53="20 to 40",10,IF(AX53="0 to 20",-5,0)))</f>
        <v/>
      </c>
      <c r="AZ53" s="30" t="inlineStr">
        <is>
          <t>Above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Blue sky scenario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Yes</t>
        </is>
      </c>
      <c r="BS53" s="30">
        <f>IF(BR53="NO",5,0)</f>
        <v/>
      </c>
      <c r="BT53" s="30" t="inlineStr">
        <is>
          <t>Above 2</t>
        </is>
      </c>
      <c r="BU53" s="30">
        <f>IF(BT53="Above 2",0,IF(BT53="Between 1.5 to 2",5,IF(BT53="Less than 1.5",10,0)))</f>
        <v/>
      </c>
      <c r="BV53" s="30" t="inlineStr">
        <is>
          <t>Above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Less than 0.7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  <c r="CF53" s="30" t="inlineStr">
        <is>
          <t>25</t>
        </is>
      </c>
      <c r="CG53" s="30">
        <f>IF(CF53&gt;20,10,IF(CF53&gt;=10,5,2))</f>
        <v/>
      </c>
    </row>
    <row r="54">
      <c r="A54" s="30">
        <f>IF(B54=0,"",RANK(B54,$B$2:$B$95,0))</f>
        <v/>
      </c>
      <c r="B54" s="31">
        <f>SUM(N54,Y54,AA54,AC54,AE54,AG54,AI54,AK54,AM54,AO54,AQ54,AS54,AU54,AW54,AY54,BA54,BC54,BE54,BG54,BI54,BK54,BM54,BO54,BQ54,BS54,BU54,BW54,BY54,CA54,CC54,CE54,CG54)</f>
        <v/>
      </c>
      <c r="C54" s="33" t="inlineStr">
        <is>
          <t>PRECWIRE</t>
        </is>
      </c>
      <c r="D54" s="33" t="inlineStr">
        <is>
          <t>Precision Wires India Ltd</t>
        </is>
      </c>
      <c r="E54" s="30" t="inlineStr">
        <is>
          <t>Industrials</t>
        </is>
      </c>
      <c r="F54" s="30" t="inlineStr">
        <is>
          <t>Copper Wires</t>
        </is>
      </c>
      <c r="G54" s="30" t="inlineStr">
        <is>
          <t>midcap</t>
        </is>
      </c>
      <c r="H54" s="31" t="n">
        <v>8681.549999999999</v>
      </c>
      <c r="I54" s="31" t="n">
        <v>474.9</v>
      </c>
      <c r="J54" s="31" t="n">
        <v>0.12</v>
      </c>
      <c r="K54" s="31" t="n">
        <v>0</v>
      </c>
      <c r="L54" s="30" t="n">
        <v>74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62.06</v>
      </c>
      <c r="P54" s="31" t="n">
        <v>41.21</v>
      </c>
      <c r="Q54" s="31" t="n">
        <v>374.43</v>
      </c>
      <c r="R54" s="30" t="inlineStr">
        <is>
          <t>Earnings / Momentum Support</t>
        </is>
      </c>
      <c r="S54" s="30" t="inlineStr">
        <is>
          <t>Nifty 50</t>
        </is>
      </c>
      <c r="T54" s="31" t="n">
        <v>-6.52</v>
      </c>
      <c r="U54" s="31" t="n">
        <v>155.94</v>
      </c>
      <c r="V54" s="31" t="n">
        <v>173.77</v>
      </c>
      <c r="W54" s="31" t="n">
        <v>25.14</v>
      </c>
      <c r="X54" s="30" t="inlineStr">
        <is>
          <t>Cyclical in an Upturn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No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No</t>
        </is>
      </c>
      <c r="AQ54" s="30">
        <f>IF(AP54="Yes",10,0)</f>
        <v/>
      </c>
      <c r="AR54" s="30" t="inlineStr">
        <is>
          <t>Higher One Time, Lower Annuity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Above 40</t>
        </is>
      </c>
      <c r="AY54" s="30">
        <f>IF(AX54="Above 40",20,IF(AX54="20 to 40",10,IF(AX54="0 to 20",-5,0)))</f>
        <v/>
      </c>
      <c r="AZ54" s="30" t="inlineStr">
        <is>
          <t>Between 50 to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Positive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Close to 52 week high or retracement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Yes</t>
        </is>
      </c>
      <c r="BS54" s="30">
        <f>IF(BR54="NO",5,0)</f>
        <v/>
      </c>
      <c r="BT54" s="30" t="inlineStr">
        <is>
          <t>Less than 1.5</t>
        </is>
      </c>
      <c r="BU54" s="30">
        <f>IF(BT54="Above 2",0,IF(BT54="Between 1.5 to 2",5,IF(BT54="Less than 1.5",10,0)))</f>
        <v/>
      </c>
      <c r="BV54" s="30" t="inlineStr">
        <is>
          <t>Above 70%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  <c r="CF54" s="30" t="inlineStr">
        <is>
          <t>23</t>
        </is>
      </c>
      <c r="CG54" s="30">
        <f>IF(CF54&gt;20,10,IF(CF54&gt;=10,5,2))</f>
        <v/>
      </c>
    </row>
    <row r="55">
      <c r="A55" s="30">
        <f>IF(B55=0,"",RANK(B55,$B$2:$B$95,0))</f>
        <v/>
      </c>
      <c r="B55" s="31">
        <f>SUM(N55,Y55,AA55,AC55,AE55,AG55,AI55,AK55,AM55,AO55,AQ55,AS55,AU55,AW55,AY55,BA55,BC55,BE55,BG55,BI55,BK55,BM55,BO55,BQ55,BS55,BU55,BW55,BY55,CA55,CC55,CE55,CG55)</f>
        <v/>
      </c>
      <c r="C55" s="30" t="inlineStr">
        <is>
          <t>GANDHAR</t>
        </is>
      </c>
      <c r="D55" s="30" t="inlineStr">
        <is>
          <t>Gandhar Oil Refinery (India) Ltd</t>
        </is>
      </c>
      <c r="E55" s="30" t="inlineStr">
        <is>
          <t>energy</t>
        </is>
      </c>
      <c r="F55" s="30" t="inlineStr">
        <is>
          <t>Refineries</t>
        </is>
      </c>
      <c r="G55" s="30" t="inlineStr">
        <is>
          <t>smallcap</t>
        </is>
      </c>
      <c r="H55" s="31" t="n">
        <v>2652.54</v>
      </c>
      <c r="I55" s="31" t="n">
        <v>271</v>
      </c>
      <c r="J55" s="31" t="n">
        <v>1.94</v>
      </c>
      <c r="K55" s="31" t="n">
        <v>0</v>
      </c>
      <c r="L55" s="30" t="n">
        <v>88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70.59</v>
      </c>
      <c r="P55" s="31" t="n">
        <v>73.79000000000001</v>
      </c>
      <c r="Q55" s="31" t="n">
        <v>214.53</v>
      </c>
      <c r="R55" s="30" t="inlineStr">
        <is>
          <t>Near 52W High Breakout</t>
        </is>
      </c>
      <c r="S55" s="30" t="inlineStr">
        <is>
          <t>Nifty Energy</t>
        </is>
      </c>
      <c r="T55" s="31" t="n">
        <v>8.43</v>
      </c>
      <c r="U55" s="31" t="n">
        <v>64.86</v>
      </c>
      <c r="V55" s="31" t="n">
        <v>52.04</v>
      </c>
      <c r="W55" s="31" t="n">
        <v>36.98</v>
      </c>
      <c r="X55" s="30" t="inlineStr">
        <is>
          <t>Cyclical in an Upturn</t>
        </is>
      </c>
      <c r="Y55" s="30">
        <f>IF(X55="Growing Industry",10,IF(X55="Cyclical in an Upturn",5,0))</f>
        <v/>
      </c>
      <c r="Z55" s="30" t="inlineStr">
        <is>
          <t>Oligopoly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Yes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Cyclical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Volatile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Higher One Time, Lower Annuity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Above 40</t>
        </is>
      </c>
      <c r="AY55" s="30">
        <f>IF(AX55="Above 40",20,IF(AX55="20 to 40",10,IF(AX55="0 to 20",-5,0)))</f>
        <v/>
      </c>
      <c r="AZ55" s="30" t="inlineStr">
        <is>
          <t>Between 50 to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Blue sky scenario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No</t>
        </is>
      </c>
      <c r="BS55" s="30">
        <f>IF(BR55="NO",5,0)</f>
        <v/>
      </c>
      <c r="BT55" s="30" t="inlineStr">
        <is>
          <t>Less than 1.5</t>
        </is>
      </c>
      <c r="BU55" s="30">
        <f>IF(BT55="Above 2",0,IF(BT55="Between 1.5 to 2",5,IF(BT55="Less than 1.5",10,0)))</f>
        <v/>
      </c>
      <c r="BV55" s="30" t="inlineStr">
        <is>
          <t>Above 70%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  <c r="CF55" s="30" t="inlineStr">
        <is>
          <t>22</t>
        </is>
      </c>
      <c r="CG55" s="30">
        <f>IF(CF55&gt;20,10,IF(CF55&gt;=10,5,2))</f>
        <v/>
      </c>
    </row>
    <row r="56">
      <c r="A56" s="30">
        <f>IF(B56=0,"",RANK(B56,$B$2:$B$95,0))</f>
        <v/>
      </c>
      <c r="B56" s="31">
        <f>SUM(N56,Y56,AA56,AC56,AE56,AG56,AI56,AK56,AM56,AO56,AQ56,AS56,AU56,AW56,AY56,BA56,BC56,BE56,BG56,BI56,BK56,BM56,BO56,BQ56,BS56,BU56,BW56,BY56,CA56,CC56,CE56,CG56)</f>
        <v/>
      </c>
      <c r="C56" s="30" t="inlineStr">
        <is>
          <t>AVALON</t>
        </is>
      </c>
      <c r="D56" s="30" t="inlineStr">
        <is>
          <t>Avalon Technologies Ltd</t>
        </is>
      </c>
      <c r="E56" s="30" t="inlineStr">
        <is>
          <t>consumer discretionary</t>
        </is>
      </c>
      <c r="F56" s="30" t="inlineStr">
        <is>
          <t>Consumer Electronics - EMS</t>
        </is>
      </c>
      <c r="G56" s="30" t="inlineStr">
        <is>
          <t>midcap</t>
        </is>
      </c>
      <c r="H56" s="31" t="n">
        <v>14919.06</v>
      </c>
      <c r="I56" s="31" t="n">
        <v>2233</v>
      </c>
      <c r="J56" s="31" t="n">
        <v>-2.64</v>
      </c>
      <c r="K56" s="31" t="n">
        <v>0</v>
      </c>
      <c r="L56" s="30" t="n">
        <v>78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81.17</v>
      </c>
      <c r="P56" s="31" t="n">
        <v>59.92</v>
      </c>
      <c r="Q56" s="31" t="n">
        <v>1689.24</v>
      </c>
      <c r="R56" s="30" t="inlineStr">
        <is>
          <t>Near 52W High Breakout</t>
        </is>
      </c>
      <c r="S56" s="30" t="inlineStr">
        <is>
          <t>Nifty 50</t>
        </is>
      </c>
      <c r="T56" s="31" t="n">
        <v>-6.52</v>
      </c>
      <c r="U56" s="31" t="n">
        <v>129.8</v>
      </c>
      <c r="V56" s="31" t="n">
        <v>145.82</v>
      </c>
      <c r="W56" s="31" t="n">
        <v>29.34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No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Yes</t>
        </is>
      </c>
      <c r="AQ56" s="30">
        <f>IF(AP56="Yes",10,0)</f>
        <v/>
      </c>
      <c r="AR56" s="30" t="inlineStr">
        <is>
          <t>Higher One Time, Lower Annuity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Above 40</t>
        </is>
      </c>
      <c r="AY56" s="30">
        <f>IF(AX56="Above 40",20,IF(AX56="20 to 40",10,IF(AX56="0 to 20",-5,0)))</f>
        <v/>
      </c>
      <c r="AZ56" s="30" t="inlineStr">
        <is>
          <t>Above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Blue sky scenario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Yes</t>
        </is>
      </c>
      <c r="BS56" s="30">
        <f>IF(BR56="NO",5,0)</f>
        <v/>
      </c>
      <c r="BT56" s="30" t="inlineStr">
        <is>
          <t>Above 2</t>
        </is>
      </c>
      <c r="BU56" s="30">
        <f>IF(BT56="Above 2",0,IF(BT56="Between 1.5 to 2",5,IF(BT56="Less than 1.5",10,0)))</f>
        <v/>
      </c>
      <c r="BV56" s="30" t="inlineStr">
        <is>
          <t>Above 70%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  <c r="CF56" s="30" t="inlineStr">
        <is>
          <t>22</t>
        </is>
      </c>
      <c r="CG56" s="30">
        <f>IF(CF56&gt;20,10,IF(CF56&gt;=10,5,2))</f>
        <v/>
      </c>
    </row>
    <row r="57">
      <c r="A57" s="30">
        <f>IF(B57=0,"",RANK(B57,$B$2:$B$95,0))</f>
        <v/>
      </c>
      <c r="B57" s="31">
        <f>SUM(N57,Y57,AA57,AC57,AE57,AG57,AI57,AK57,AM57,AO57,AQ57,AS57,AU57,AW57,AY57,BA57,BC57,BE57,BG57,BI57,BK57,BM57,BO57,BQ57,BS57,BU57,BW57,BY57,CA57,CC57,CE57,CG57)</f>
        <v/>
      </c>
      <c r="C57" s="30" t="inlineStr">
        <is>
          <t>BHEL</t>
        </is>
      </c>
      <c r="D57" s="30" t="inlineStr">
        <is>
          <t>Bharat Heavy Electricals Ltd</t>
        </is>
      </c>
      <c r="E57" s="30" t="inlineStr">
        <is>
          <t>Industrials</t>
        </is>
      </c>
      <c r="F57" s="30" t="inlineStr">
        <is>
          <t>Capital Goods - Engineering Heavy</t>
        </is>
      </c>
      <c r="G57" s="30" t="inlineStr">
        <is>
          <t>largecap</t>
        </is>
      </c>
      <c r="H57" s="31" t="n">
        <v>149554.62</v>
      </c>
      <c r="I57" s="31" t="n">
        <v>429.5</v>
      </c>
      <c r="J57" s="31" t="n">
        <v>-0.97</v>
      </c>
      <c r="K57" s="31" t="n">
        <v>0</v>
      </c>
      <c r="L57" s="30" t="n">
        <v>57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65.52</v>
      </c>
      <c r="P57" s="31" t="n">
        <v>37.08</v>
      </c>
      <c r="Q57" s="31" t="n">
        <v>349.08</v>
      </c>
      <c r="R57" s="30" t="inlineStr">
        <is>
          <t>Near 52W High Breakout</t>
        </is>
      </c>
      <c r="S57" s="30" t="inlineStr">
        <is>
          <t>Nifty 50</t>
        </is>
      </c>
      <c r="T57" s="31" t="n">
        <v>-6.52</v>
      </c>
      <c r="U57" s="31" t="n">
        <v>88.39</v>
      </c>
      <c r="V57" s="31" t="n">
        <v>101.52</v>
      </c>
      <c r="W57" s="31" t="n">
        <v>17.87</v>
      </c>
      <c r="X57" s="30" t="inlineStr">
        <is>
          <t>Cyclical in an Upturn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No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Yes</t>
        </is>
      </c>
      <c r="AQ57" s="30">
        <f>IF(AP57="Yes",10,0)</f>
        <v/>
      </c>
      <c r="AR57" s="30" t="inlineStr">
        <is>
          <t>Higher One Time, Lower Annuity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20 to 40</t>
        </is>
      </c>
      <c r="AY57" s="30">
        <f>IF(AX57="Above 40",20,IF(AX57="20 to 40",10,IF(AX57="0 to 20",-5,0)))</f>
        <v/>
      </c>
      <c r="AZ57" s="30" t="inlineStr">
        <is>
          <t>Between 50 to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Blue sky scenario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Yes</t>
        </is>
      </c>
      <c r="BS57" s="30">
        <f>IF(BR57="NO",5,0)</f>
        <v/>
      </c>
      <c r="BT57" s="30" t="inlineStr">
        <is>
          <t>Between 1.5 to 2</t>
        </is>
      </c>
      <c r="BU57" s="30">
        <f>IF(BT57="Above 2",0,IF(BT57="Between 1.5 to 2",5,IF(BT57="Less than 1.5",10,0)))</f>
        <v/>
      </c>
      <c r="BV57" s="30" t="inlineStr">
        <is>
          <t>Above 70%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  <c r="CF57" s="30" t="inlineStr">
        <is>
          <t>21</t>
        </is>
      </c>
      <c r="CG57" s="30">
        <f>IF(CF57&gt;20,10,IF(CF57&gt;=10,5,2))</f>
        <v/>
      </c>
    </row>
    <row r="58">
      <c r="A58" s="30">
        <f>IF(B58=0,"",RANK(B58,$B$2:$B$95,0))</f>
        <v/>
      </c>
      <c r="B58" s="31">
        <f>SUM(N58,Y58,AA58,AC58,AE58,AG58,AI58,AK58,AM58,AO58,AQ58,AS58,AU58,AW58,AY58,BA58,BC58,BE58,BG58,BI58,BK58,BM58,BO58,BQ58,BS58,BU58,BW58,BY58,CA58,CC58,CE58,CG58)</f>
        <v/>
      </c>
      <c r="C58" s="30" t="inlineStr">
        <is>
          <t>RGL</t>
        </is>
      </c>
      <c r="D58" s="30" t="inlineStr">
        <is>
          <t>Renaissance Global Ltd</t>
        </is>
      </c>
      <c r="E58" s="30" t="inlineStr">
        <is>
          <t>consumer discretionary</t>
        </is>
      </c>
      <c r="F58" s="30" t="inlineStr">
        <is>
          <t>Lab Grown Diamonds</t>
        </is>
      </c>
      <c r="G58" s="30" t="inlineStr">
        <is>
          <t>smallcap</t>
        </is>
      </c>
      <c r="H58" s="31" t="n">
        <v>1684.61</v>
      </c>
      <c r="I58" s="31" t="n">
        <v>156.9</v>
      </c>
      <c r="J58" s="31" t="n">
        <v>6.6</v>
      </c>
      <c r="K58" s="31" t="n">
        <v>0</v>
      </c>
      <c r="L58" s="30" t="n">
        <v>57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74.77</v>
      </c>
      <c r="P58" s="31" t="n">
        <v>24.46</v>
      </c>
      <c r="Q58" s="31" t="n">
        <v>117.86</v>
      </c>
      <c r="R58" s="30" t="inlineStr">
        <is>
          <t>Near 52W High Breakout</t>
        </is>
      </c>
      <c r="S58" s="30" t="inlineStr">
        <is>
          <t>Nifty 50</t>
        </is>
      </c>
      <c r="T58" s="31" t="n">
        <v>-6.52</v>
      </c>
      <c r="U58" s="31" t="n">
        <v>31.99</v>
      </c>
      <c r="V58" s="31" t="n">
        <v>41.19</v>
      </c>
      <c r="W58" s="31" t="n">
        <v>17.97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No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One Time, Lower Annuity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20 to 40</t>
        </is>
      </c>
      <c r="AY58" s="30">
        <f>IF(AX58="Above 40",20,IF(AX58="20 to 40",10,IF(AX58="0 to 20",-5,0)))</f>
        <v/>
      </c>
      <c r="AZ58" s="30" t="inlineStr">
        <is>
          <t>Between 50 to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Close to 52 week high or retracement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No</t>
        </is>
      </c>
      <c r="BS58" s="30">
        <f>IF(BR58="NO",5,0)</f>
        <v/>
      </c>
      <c r="BT58" s="30" t="inlineStr">
        <is>
          <t>Above 2</t>
        </is>
      </c>
      <c r="BU58" s="30">
        <f>IF(BT58="Above 2",0,IF(BT58="Between 1.5 to 2",5,IF(BT58="Less than 1.5",10,0)))</f>
        <v/>
      </c>
      <c r="BV58" s="30" t="inlineStr">
        <is>
          <t>Above 70%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  <c r="CF58" s="30" t="inlineStr">
        <is>
          <t>20</t>
        </is>
      </c>
      <c r="CG58" s="30">
        <f>IF(CF58&gt;20,10,IF(CF58&gt;=10,5,2))</f>
        <v/>
      </c>
    </row>
    <row r="59">
      <c r="A59" s="30">
        <f>IF(B59=0,"",RANK(B59,$B$2:$B$95,0))</f>
        <v/>
      </c>
      <c r="B59" s="31">
        <f>SUM(N59,Y59,AA59,AC59,AE59,AG59,AI59,AK59,AM59,AO59,AQ59,AS59,AU59,AW59,AY59,BA59,BC59,BE59,BG59,BI59,BK59,BM59,BO59,BQ59,BS59,BU59,BW59,BY59,CA59,CC59,CE59,CG59)</f>
        <v/>
      </c>
      <c r="C59" s="30" t="inlineStr">
        <is>
          <t>TVSSRICHAK</t>
        </is>
      </c>
      <c r="D59" s="30" t="inlineStr">
        <is>
          <t>TVS Srichakra Ltd</t>
        </is>
      </c>
      <c r="E59" s="30" t="inlineStr">
        <is>
          <t>auto</t>
        </is>
      </c>
      <c r="F59" s="30" t="inlineStr">
        <is>
          <t>Tyres &amp; Tubes</t>
        </is>
      </c>
      <c r="G59" s="30" t="inlineStr">
        <is>
          <t>smallcap</t>
        </is>
      </c>
      <c r="H59" s="31" t="n">
        <v>4008.47</v>
      </c>
      <c r="I59" s="31" t="n">
        <v>5235</v>
      </c>
      <c r="J59" s="31" t="n">
        <v>1.28</v>
      </c>
      <c r="K59" s="31" t="n">
        <v>0</v>
      </c>
      <c r="L59" s="30" t="n">
        <v>67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73.45</v>
      </c>
      <c r="P59" s="31" t="n">
        <v>32.46</v>
      </c>
      <c r="Q59" s="31" t="n">
        <v>4120.17</v>
      </c>
      <c r="R59" s="30" t="inlineStr">
        <is>
          <t>Near 52W High Breakout</t>
        </is>
      </c>
      <c r="S59" s="30" t="inlineStr">
        <is>
          <t>Nifty Auto</t>
        </is>
      </c>
      <c r="T59" s="31" t="n">
        <v>15.81</v>
      </c>
      <c r="U59" s="31" t="n">
        <v>76.56</v>
      </c>
      <c r="V59" s="31" t="n">
        <v>52.46</v>
      </c>
      <c r="W59" s="31" t="n">
        <v>21.25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No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Yes</t>
        </is>
      </c>
      <c r="AQ59" s="30">
        <f>IF(AP59="Yes",10,0)</f>
        <v/>
      </c>
      <c r="AR59" s="30" t="inlineStr">
        <is>
          <t>Higher One Time, Lower Annuity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20 to 40</t>
        </is>
      </c>
      <c r="AY59" s="30">
        <f>IF(AX59="Above 40",20,IF(AX59="20 to 40",10,IF(AX59="0 to 20",-5,0)))</f>
        <v/>
      </c>
      <c r="AZ59" s="30" t="inlineStr">
        <is>
          <t>Between 50 to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Blue sky scenario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Yes</t>
        </is>
      </c>
      <c r="BS59" s="30">
        <f>IF(BR59="NO",5,0)</f>
        <v/>
      </c>
      <c r="BT59" s="30" t="inlineStr">
        <is>
          <t>Above 2</t>
        </is>
      </c>
      <c r="BU59" s="30">
        <f>IF(BT59="Above 2",0,IF(BT59="Between 1.5 to 2",5,IF(BT59="Less than 1.5",10,0)))</f>
        <v/>
      </c>
      <c r="BV59" s="30" t="inlineStr">
        <is>
          <t>Above 70%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  <c r="CF59" s="30" t="inlineStr">
        <is>
          <t>20</t>
        </is>
      </c>
      <c r="CG59" s="30">
        <f>IF(CF59&gt;20,10,IF(CF59&gt;=10,5,2))</f>
        <v/>
      </c>
    </row>
    <row r="60">
      <c r="A60" s="30">
        <f>IF(B60=0,"",RANK(B60,$B$2:$B$95,0))</f>
        <v/>
      </c>
      <c r="B60" s="31">
        <f>SUM(N60,Y60,AA60,AC60,AE60,AG60,AI60,AK60,AM60,AO60,AQ60,AS60,AU60,AW60,AY60,BA60,BC60,BE60,BG60,BI60,BK60,BM60,BO60,BQ60,BS60,BU60,BW60,BY60,CA60,CC60,CE60,CG60)</f>
        <v/>
      </c>
      <c r="C60" s="33" t="inlineStr">
        <is>
          <t>SAPL</t>
        </is>
      </c>
      <c r="D60" s="33" t="inlineStr">
        <is>
          <t>Sar Auto Products Ltd</t>
        </is>
      </c>
      <c r="E60" s="30" t="inlineStr">
        <is>
          <t>Consumer Cyclical</t>
        </is>
      </c>
      <c r="F60" s="30" t="inlineStr">
        <is>
          <t>Auto Ancillaries - Gears</t>
        </is>
      </c>
      <c r="G60" s="30" t="inlineStr">
        <is>
          <t>smallcap</t>
        </is>
      </c>
      <c r="H60" s="31" t="n">
        <v>2471.16</v>
      </c>
      <c r="I60" s="31" t="n">
        <v>5186.35</v>
      </c>
      <c r="J60" s="31" t="n">
        <v>5</v>
      </c>
      <c r="K60" s="31" t="n">
        <v>0</v>
      </c>
      <c r="L60" s="30" t="n">
        <v>96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83.51000000000001</v>
      </c>
      <c r="P60" s="31" t="n">
        <v>40.99</v>
      </c>
      <c r="Q60" s="31" t="n">
        <v>3980.27</v>
      </c>
      <c r="R60" s="30" t="inlineStr">
        <is>
          <t>Near 52W High Breakout</t>
        </is>
      </c>
      <c r="S60" s="30" t="inlineStr">
        <is>
          <t>Nifty Auto</t>
        </is>
      </c>
      <c r="T60" s="31" t="n">
        <v>15.81</v>
      </c>
      <c r="U60" s="31" t="n">
        <v>205.08</v>
      </c>
      <c r="V60" s="31" t="n">
        <v>163.44</v>
      </c>
      <c r="W60" s="31" t="n">
        <v>57.51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No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B2C</t>
        </is>
      </c>
      <c r="AO60" s="30">
        <f>IF(AN60="B2C",10,IF(AN60="B2B",5,0))</f>
        <v/>
      </c>
      <c r="AP60" s="30" t="inlineStr">
        <is>
          <t>Yes</t>
        </is>
      </c>
      <c r="AQ60" s="30">
        <f>IF(AP60="Yes",10,0)</f>
        <v/>
      </c>
      <c r="AR60" s="30" t="inlineStr">
        <is>
          <t>Higher One Time, Lower Annuity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Above 40</t>
        </is>
      </c>
      <c r="AY60" s="30">
        <f>IF(AX60="Above 40",20,IF(AX60="20 to 40",10,IF(AX60="0 to 20",-5,0)))</f>
        <v/>
      </c>
      <c r="AZ60" s="30" t="inlineStr">
        <is>
          <t>Above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Blue sky scenario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Yes</t>
        </is>
      </c>
      <c r="BS60" s="30">
        <f>IF(BR60="NO",5,0)</f>
        <v/>
      </c>
      <c r="BT60" s="30" t="inlineStr">
        <is>
          <t>Above 2</t>
        </is>
      </c>
      <c r="BU60" s="30">
        <f>IF(BT60="Above 2",0,IF(BT60="Between 1.5 to 2",5,IF(BT60="Less than 1.5",10,0)))</f>
        <v/>
      </c>
      <c r="BV60" s="30" t="inlineStr">
        <is>
          <t>Above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More than 1.2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  <c r="CF60" s="30" t="inlineStr">
        <is>
          <t>19</t>
        </is>
      </c>
      <c r="CG60" s="30">
        <f>IF(CF60&gt;20,10,IF(CF60&gt;=10,5,2))</f>
        <v/>
      </c>
    </row>
    <row r="61">
      <c r="A61" s="30">
        <f>IF(B61=0,"",RANK(B61,$B$2:$B$95,0))</f>
        <v/>
      </c>
      <c r="B61" s="31">
        <f>SUM(N61,Y61,AA61,AC61,AE61,AG61,AI61,AK61,AM61,AO61,AQ61,AS61,AU61,AW61,AY61,BA61,BC61,BE61,BG61,BI61,BK61,BM61,BO61,BQ61,BS61,BU61,BW61,BY61,CA61,CC61,CE61,CG61)</f>
        <v/>
      </c>
      <c r="C61" s="30" t="inlineStr">
        <is>
          <t>LAURUSLABS</t>
        </is>
      </c>
      <c r="D61" s="30" t="inlineStr">
        <is>
          <t>Laurus Labs Ltd</t>
        </is>
      </c>
      <c r="E61" s="30" t="inlineStr">
        <is>
          <t>healthcare</t>
        </is>
      </c>
      <c r="F61" s="30" t="inlineStr">
        <is>
          <t>Pharma - API &amp; CRAMS</t>
        </is>
      </c>
      <c r="G61" s="30" t="inlineStr">
        <is>
          <t>largecap</t>
        </is>
      </c>
      <c r="H61" s="31" t="n">
        <v>105090.73</v>
      </c>
      <c r="I61" s="31" t="n">
        <v>1945</v>
      </c>
      <c r="J61" s="31" t="n">
        <v>0.41</v>
      </c>
      <c r="K61" s="31" t="n">
        <v>0</v>
      </c>
      <c r="L61" s="30" t="n">
        <v>75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76.75</v>
      </c>
      <c r="P61" s="31" t="n">
        <v>71.16</v>
      </c>
      <c r="Q61" s="31" t="n">
        <v>1658.18</v>
      </c>
      <c r="R61" s="30" t="inlineStr">
        <is>
          <t>Near 52W High Breakout</t>
        </is>
      </c>
      <c r="S61" s="30" t="inlineStr">
        <is>
          <t>Nifty Pharma</t>
        </is>
      </c>
      <c r="T61" s="31" t="n">
        <v>18.86</v>
      </c>
      <c r="U61" s="31" t="n">
        <v>117.46</v>
      </c>
      <c r="V61" s="31" t="n">
        <v>82.95</v>
      </c>
      <c r="W61" s="31" t="n">
        <v>26.06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Yes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Higher Annuity, Lower One Time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Above 40</t>
        </is>
      </c>
      <c r="AY61" s="30">
        <f>IF(AX61="Above 40",20,IF(AX61="20 to 40",10,IF(AX61="0 to 20",-5,0)))</f>
        <v/>
      </c>
      <c r="AZ61" s="30" t="inlineStr">
        <is>
          <t>Above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Positive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Blue sky scenario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Yes</t>
        </is>
      </c>
      <c r="BS61" s="30">
        <f>IF(BR61="NO",5,0)</f>
        <v/>
      </c>
      <c r="BT61" s="30" t="inlineStr">
        <is>
          <t>Above 2</t>
        </is>
      </c>
      <c r="BU61" s="30">
        <f>IF(BT61="Above 2",0,IF(BT61="Between 1.5 to 2",5,IF(BT61="Less than 1.5",10,0)))</f>
        <v/>
      </c>
      <c r="BV61" s="30" t="inlineStr">
        <is>
          <t>Above 70%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Less than 0.7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  <c r="CF61" s="30" t="inlineStr">
        <is>
          <t>23</t>
        </is>
      </c>
      <c r="CG61" s="30">
        <f>IF(CF61&gt;20,10,IF(CF61&gt;=10,5,2))</f>
        <v/>
      </c>
    </row>
    <row r="62">
      <c r="A62" s="30">
        <f>IF(B62=0,"",RANK(B62,$B$2:$B$95,0))</f>
        <v/>
      </c>
      <c r="B62" s="31">
        <f>SUM(N62,Y62,AA62,AC62,AE62,AG62,AI62,AK62,AM62,AO62,AQ62,AS62,AU62,AW62,AY62,BA62,BC62,BE62,BG62,BI62,BK62,BM62,BO62,BQ62,BS62,BU62,BW62,BY62,CA62,CC62,CE62,CG62)</f>
        <v/>
      </c>
      <c r="C62" s="33" t="inlineStr">
        <is>
          <t>NEULANDLAB</t>
        </is>
      </c>
      <c r="D62" s="33" t="inlineStr">
        <is>
          <t>Neuland Laboratories Ltd</t>
        </is>
      </c>
      <c r="E62" s="30" t="inlineStr">
        <is>
          <t>healthcare</t>
        </is>
      </c>
      <c r="F62" s="30" t="inlineStr">
        <is>
          <t>Pharma - API &amp; CRAMS</t>
        </is>
      </c>
      <c r="G62" s="30" t="inlineStr">
        <is>
          <t>largecap</t>
        </is>
      </c>
      <c r="H62" s="31" t="n">
        <v>30535.14</v>
      </c>
      <c r="I62" s="31" t="n">
        <v>23800</v>
      </c>
      <c r="J62" s="31" t="n">
        <v>2.61</v>
      </c>
      <c r="K62" s="31" t="n">
        <v>0</v>
      </c>
      <c r="L62" s="30" t="n">
        <v>61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75.5</v>
      </c>
      <c r="P62" s="31" t="n">
        <v>58.51</v>
      </c>
      <c r="Q62" s="31" t="n">
        <v>19510.23</v>
      </c>
      <c r="R62" s="30" t="inlineStr">
        <is>
          <t>Near 52W High Breakout</t>
        </is>
      </c>
      <c r="S62" s="30" t="inlineStr">
        <is>
          <t>Nifty Pharma</t>
        </is>
      </c>
      <c r="T62" s="31" t="n">
        <v>18.86</v>
      </c>
      <c r="U62" s="31" t="n">
        <v>48.57</v>
      </c>
      <c r="V62" s="31" t="n">
        <v>24.99</v>
      </c>
      <c r="W62" s="31" t="n">
        <v>18.92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Yes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Yes</t>
        </is>
      </c>
      <c r="AQ62" s="30">
        <f>IF(AP62="Yes",10,0)</f>
        <v/>
      </c>
      <c r="AR62" s="30" t="inlineStr">
        <is>
          <t>Higher Annuity, Lower One Time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Above 40</t>
        </is>
      </c>
      <c r="AY62" s="30">
        <f>IF(AX62="Above 40",20,IF(AX62="20 to 40",10,IF(AX62="0 to 20",-5,0)))</f>
        <v/>
      </c>
      <c r="AZ62" s="30" t="inlineStr">
        <is>
          <t>Above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Blue sky scenario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Yes</t>
        </is>
      </c>
      <c r="BS62" s="30">
        <f>IF(BR62="NO",5,0)</f>
        <v/>
      </c>
      <c r="BT62" s="30" t="inlineStr">
        <is>
          <t>Above 2</t>
        </is>
      </c>
      <c r="BU62" s="30">
        <f>IF(BT62="Above 2",0,IF(BT62="Between 1.5 to 2",5,IF(BT62="Less than 1.5",10,0)))</f>
        <v/>
      </c>
      <c r="BV62" s="30" t="inlineStr">
        <is>
          <t>Above 70%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  <c r="CF62" s="30" t="inlineStr">
        <is>
          <t>20</t>
        </is>
      </c>
      <c r="CG62" s="30">
        <f>IF(CF62&gt;20,10,IF(CF62&gt;=10,5,2))</f>
        <v/>
      </c>
    </row>
    <row r="63">
      <c r="A63" s="30">
        <f>IF(B63=0,"",RANK(B63,$B$2:$B$95,0))</f>
        <v/>
      </c>
      <c r="B63" s="31">
        <f>SUM(N63,Y63,AA63,AC63,AE63,AG63,AI63,AK63,AM63,AO63,AQ63,AS63,AU63,AW63,AY63,BA63,BC63,BE63,BG63,BI63,BK63,BM63,BO63,BQ63,BS63,BU63,BW63,BY63,CA63,CC63,CE63,CG63)</f>
        <v/>
      </c>
      <c r="C63" s="30" t="inlineStr">
        <is>
          <t>MMP</t>
        </is>
      </c>
      <c r="D63" s="30" t="inlineStr">
        <is>
          <t>MMP Industries Ltd</t>
        </is>
      </c>
      <c r="E63" s="30" t="inlineStr">
        <is>
          <t>metals &amp; mining</t>
        </is>
      </c>
      <c r="F63" s="30" t="inlineStr">
        <is>
          <t>Aluminium Products</t>
        </is>
      </c>
      <c r="G63" s="30" t="inlineStr">
        <is>
          <t>smallcap</t>
        </is>
      </c>
      <c r="H63" s="31" t="n">
        <v>1137.15</v>
      </c>
      <c r="I63" s="31" t="n">
        <v>447.65</v>
      </c>
      <c r="J63" s="31" t="n">
        <v>-2.74</v>
      </c>
      <c r="K63" s="31" t="n">
        <v>0</v>
      </c>
      <c r="L63" s="30" t="n">
        <v>80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83.54000000000001</v>
      </c>
      <c r="P63" s="31" t="n">
        <v>48.9</v>
      </c>
      <c r="Q63" s="31" t="n">
        <v>336.41</v>
      </c>
      <c r="R63" s="30" t="inlineStr">
        <is>
          <t>Near 52W High Breakout</t>
        </is>
      </c>
      <c r="S63" s="30" t="inlineStr">
        <is>
          <t>Nifty Metal</t>
        </is>
      </c>
      <c r="T63" s="31" t="n">
        <v>41.17</v>
      </c>
      <c r="U63" s="31" t="n">
        <v>66.38</v>
      </c>
      <c r="V63" s="31" t="n">
        <v>17.86</v>
      </c>
      <c r="W63" s="31" t="n">
        <v>30.37</v>
      </c>
      <c r="X63" s="30" t="inlineStr">
        <is>
          <t>Cyclical in an Upturn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No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Cyclical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Volatile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Yes</t>
        </is>
      </c>
      <c r="AQ63" s="30">
        <f>IF(AP63="Yes",10,0)</f>
        <v/>
      </c>
      <c r="AR63" s="30" t="inlineStr">
        <is>
          <t>Higher One Time, Lower Annuity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Above 40</t>
        </is>
      </c>
      <c r="AY63" s="30">
        <f>IF(AX63="Above 40",20,IF(AX63="20 to 40",10,IF(AX63="0 to 20",-5,0)))</f>
        <v/>
      </c>
      <c r="AZ63" s="30" t="inlineStr">
        <is>
          <t>Above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Blue sky scenario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No</t>
        </is>
      </c>
      <c r="BS63" s="30">
        <f>IF(BR63="NO",5,0)</f>
        <v/>
      </c>
      <c r="BT63" s="30" t="inlineStr">
        <is>
          <t>Less than 1.5</t>
        </is>
      </c>
      <c r="BU63" s="30">
        <f>IF(BT63="Above 2",0,IF(BT63="Between 1.5 to 2",5,IF(BT63="Less than 1.5",10,0)))</f>
        <v/>
      </c>
      <c r="BV63" s="30" t="inlineStr">
        <is>
          <t>Above 70%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  <c r="CF63" s="30" t="inlineStr">
        <is>
          <t>25</t>
        </is>
      </c>
      <c r="CG63" s="30">
        <f>IF(CF63&gt;20,10,IF(CF63&gt;=10,5,2))</f>
        <v/>
      </c>
    </row>
    <row r="64">
      <c r="A64" s="30">
        <f>IF(B64=0,"",RANK(B64,$B$2:$B$95,0))</f>
        <v/>
      </c>
      <c r="B64" s="31">
        <f>SUM(N64,Y64,AA64,AC64,AE64,AG64,AI64,AK64,AM64,AO64,AQ64,AS64,AU64,AW64,AY64,BA64,BC64,BE64,BG64,BI64,BK64,BM64,BO64,BQ64,BS64,BU64,BW64,BY64,CA64,CC64,CE64,CG64)</f>
        <v/>
      </c>
      <c r="C64" s="30" t="inlineStr">
        <is>
          <t>STLTECH</t>
        </is>
      </c>
      <c r="D64" s="30" t="inlineStr">
        <is>
          <t>Sterlite Technologies Ltd</t>
        </is>
      </c>
      <c r="E64" s="30" t="inlineStr">
        <is>
          <t>industrials</t>
        </is>
      </c>
      <c r="F64" s="30" t="inlineStr">
        <is>
          <t>Cables - Telecom</t>
        </is>
      </c>
      <c r="G64" s="30" t="inlineStr">
        <is>
          <t>largecap</t>
        </is>
      </c>
      <c r="H64" s="31" t="n">
        <v>44314.57</v>
      </c>
      <c r="I64" s="31" t="n">
        <v>862.3</v>
      </c>
      <c r="J64" s="31" t="n">
        <v>-0.42</v>
      </c>
      <c r="K64" s="31" t="n">
        <v>0</v>
      </c>
      <c r="L64" s="30" t="n">
        <v>99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81.63</v>
      </c>
      <c r="P64" s="31" t="n">
        <v>74.48999999999999</v>
      </c>
      <c r="Q64" s="31" t="n">
        <v>623.87</v>
      </c>
      <c r="R64" s="30" t="inlineStr">
        <is>
          <t>Near 52W High Breakout</t>
        </is>
      </c>
      <c r="S64" s="30" t="inlineStr">
        <is>
          <t>Nifty Infra</t>
        </is>
      </c>
      <c r="T64" s="31" t="n">
        <v>0.74</v>
      </c>
      <c r="U64" s="31" t="n">
        <v>628.75</v>
      </c>
      <c r="V64" s="31" t="n">
        <v>623.41</v>
      </c>
      <c r="W64" s="31" t="n">
        <v>123.8</v>
      </c>
      <c r="X64" s="30" t="inlineStr">
        <is>
          <t>Cyclical in an Upturn</t>
        </is>
      </c>
      <c r="Y64" s="30">
        <f>IF(X64="Growing Industry",10,IF(X64="Cyclical in an Upturn",5,0))</f>
        <v/>
      </c>
      <c r="Z64" s="30" t="inlineStr">
        <is>
          <t>Oligopoly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Yes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Yes</t>
        </is>
      </c>
      <c r="AQ64" s="30">
        <f>IF(AP64="Yes",10,0)</f>
        <v/>
      </c>
      <c r="AR64" s="30" t="inlineStr">
        <is>
          <t>Higher One Time, Lower Annuity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Above 40</t>
        </is>
      </c>
      <c r="AY64" s="30">
        <f>IF(AX64="Above 40",20,IF(AX64="20 to 40",10,IF(AX64="0 to 20",-5,0)))</f>
        <v/>
      </c>
      <c r="AZ64" s="30" t="inlineStr">
        <is>
          <t>Above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Blue sky scenario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Yes</t>
        </is>
      </c>
      <c r="BS64" s="30">
        <f>IF(BR64="NO",5,0)</f>
        <v/>
      </c>
      <c r="BT64" s="30" t="inlineStr">
        <is>
          <t>Above 2</t>
        </is>
      </c>
      <c r="BU64" s="30">
        <f>IF(BT64="Above 2",0,IF(BT64="Between 1.5 to 2",5,IF(BT64="Less than 1.5",10,0)))</f>
        <v/>
      </c>
      <c r="BV64" s="30" t="inlineStr">
        <is>
          <t>Above 70%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Between 0.7 to 1.2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  <c r="CF64" s="30" t="inlineStr">
        <is>
          <t>23</t>
        </is>
      </c>
      <c r="CG64" s="30">
        <f>IF(CF64&gt;20,10,IF(CF64&gt;=10,5,2))</f>
        <v/>
      </c>
    </row>
    <row r="65">
      <c r="A65" s="30">
        <f>IF(B65=0,"",RANK(B65,$B$2:$B$95,0))</f>
        <v/>
      </c>
      <c r="B65" s="31">
        <f>SUM(N65,Y65,AA65,AC65,AE65,AG65,AI65,AK65,AM65,AO65,AQ65,AS65,AU65,AW65,AY65,BA65,BC65,BE65,BG65,BI65,BK65,BM65,BO65,BQ65,BS65,BU65,BW65,BY65,CA65,CC65,CE65,CG65)</f>
        <v/>
      </c>
      <c r="C65" s="30" t="inlineStr">
        <is>
          <t>MACPOWER</t>
        </is>
      </c>
      <c r="D65" s="30" t="inlineStr">
        <is>
          <t>Macpower CNC Machines Ltd</t>
        </is>
      </c>
      <c r="E65" s="30" t="inlineStr">
        <is>
          <t>industrials</t>
        </is>
      </c>
      <c r="F65" s="30" t="inlineStr">
        <is>
          <t>CNC - Machines</t>
        </is>
      </c>
      <c r="G65" s="30" t="inlineStr">
        <is>
          <t>smallcap</t>
        </is>
      </c>
      <c r="H65" s="31" t="n">
        <v>1867.88</v>
      </c>
      <c r="I65" s="31" t="n">
        <v>1867.1</v>
      </c>
      <c r="J65" s="31" t="n">
        <v>0.18</v>
      </c>
      <c r="K65" s="31" t="n">
        <v>0</v>
      </c>
      <c r="L65" s="30" t="n">
        <v>88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71.39</v>
      </c>
      <c r="P65" s="31" t="n">
        <v>44.45</v>
      </c>
      <c r="Q65" s="31" t="n">
        <v>1480.99</v>
      </c>
      <c r="R65" s="30" t="inlineStr">
        <is>
          <t>Earnings / Momentum Support</t>
        </is>
      </c>
      <c r="S65" s="30" t="inlineStr">
        <is>
          <t>Nifty 50</t>
        </is>
      </c>
      <c r="T65" s="31" t="n">
        <v>-6.52</v>
      </c>
      <c r="U65" s="31" t="n">
        <v>106.43</v>
      </c>
      <c r="V65" s="31" t="n">
        <v>120.82</v>
      </c>
      <c r="W65" s="31" t="n">
        <v>37.41</v>
      </c>
      <c r="X65" s="30" t="inlineStr">
        <is>
          <t>Cyclical in an Upturn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No</t>
        </is>
      </c>
      <c r="AQ65" s="30">
        <f>IF(AP65="Yes",10,0)</f>
        <v/>
      </c>
      <c r="AR65" s="30" t="inlineStr">
        <is>
          <t>Higher One Time, Lower Annuity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Above 40</t>
        </is>
      </c>
      <c r="AY65" s="30">
        <f>IF(AX65="Above 40",20,IF(AX65="20 to 40",10,IF(AX65="0 to 20",-5,0)))</f>
        <v/>
      </c>
      <c r="AZ65" s="30" t="inlineStr">
        <is>
          <t>Between 50 to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Positive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Close to 52 week high or retracement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Yes</t>
        </is>
      </c>
      <c r="BS65" s="30">
        <f>IF(BR65="NO",5,0)</f>
        <v/>
      </c>
      <c r="BT65" s="30" t="inlineStr">
        <is>
          <t>Above 2</t>
        </is>
      </c>
      <c r="BU65" s="30">
        <f>IF(BT65="Above 2",0,IF(BT65="Between 1.5 to 2",5,IF(BT65="Less than 1.5",10,0)))</f>
        <v/>
      </c>
      <c r="BV65" s="30" t="inlineStr">
        <is>
          <t>Above 70%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  <c r="CF65" s="30" t="inlineStr">
        <is>
          <t>21</t>
        </is>
      </c>
      <c r="CG65" s="30">
        <f>IF(CF65&gt;20,10,IF(CF65&gt;=10,5,2))</f>
        <v/>
      </c>
    </row>
    <row r="66">
      <c r="A66" s="30">
        <f>IF(B66=0,"",RANK(B66,$B$2:$B$95,0))</f>
        <v/>
      </c>
      <c r="B66" s="31">
        <f>SUM(N66,Y66,AA66,AC66,AE66,AG66,AI66,AK66,AM66,AO66,AQ66,AS66,AU66,AW66,AY66,BA66,BC66,BE66,BG66,BI66,BK66,BM66,BO66,BQ66,BS66,BU66,BW66,BY66,CA66,CC66,CE66,CG66)</f>
        <v/>
      </c>
      <c r="C66" s="30" t="inlineStr">
        <is>
          <t>NRAIL</t>
        </is>
      </c>
      <c r="D66" s="30" t="inlineStr">
        <is>
          <t>N R Agarwal Industries Ltd</t>
        </is>
      </c>
      <c r="E66" s="30" t="inlineStr">
        <is>
          <t>building materials</t>
        </is>
      </c>
      <c r="F66" s="30" t="inlineStr">
        <is>
          <t>Paper</t>
        </is>
      </c>
      <c r="G66" s="30" t="inlineStr">
        <is>
          <t>smallcap</t>
        </is>
      </c>
      <c r="H66" s="31" t="n">
        <v>1005.83</v>
      </c>
      <c r="I66" s="31" t="n">
        <v>591</v>
      </c>
      <c r="J66" s="31" t="n">
        <v>-3.3</v>
      </c>
      <c r="K66" s="31" t="n">
        <v>0</v>
      </c>
      <c r="L66" s="30" t="n">
        <v>58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66.43000000000001</v>
      </c>
      <c r="P66" s="31" t="n">
        <v>32.21</v>
      </c>
      <c r="Q66" s="31" t="n">
        <v>431.88</v>
      </c>
      <c r="R66" s="30" t="inlineStr">
        <is>
          <t>Volume Spike &amp; Near 52W High Breakout</t>
        </is>
      </c>
      <c r="S66" s="30" t="inlineStr">
        <is>
          <t>Nifty Infra</t>
        </is>
      </c>
      <c r="T66" s="31" t="n">
        <v>0.74</v>
      </c>
      <c r="U66" s="31" t="n">
        <v>73.59</v>
      </c>
      <c r="V66" s="31" t="n">
        <v>72.31999999999999</v>
      </c>
      <c r="W66" s="31" t="n">
        <v>18.22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Yes</t>
        </is>
      </c>
      <c r="AQ66" s="30">
        <f>IF(AP66="Yes",10,0)</f>
        <v/>
      </c>
      <c r="AR66" s="30" t="inlineStr">
        <is>
          <t>Higher One Time, Lower Annuity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20 to 40</t>
        </is>
      </c>
      <c r="AY66" s="30">
        <f>IF(AX66="Above 40",20,IF(AX66="20 to 40",10,IF(AX66="0 to 20",-5,0)))</f>
        <v/>
      </c>
      <c r="AZ66" s="30" t="inlineStr">
        <is>
          <t>Between 50 to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Positive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Blue sky scenario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No</t>
        </is>
      </c>
      <c r="BS66" s="30">
        <f>IF(BR66="NO",5,0)</f>
        <v/>
      </c>
      <c r="BT66" s="30" t="inlineStr">
        <is>
          <t>Above 2</t>
        </is>
      </c>
      <c r="BU66" s="30">
        <f>IF(BT66="Above 2",0,IF(BT66="Between 1.5 to 2",5,IF(BT66="Less than 1.5",10,0)))</f>
        <v/>
      </c>
      <c r="BV66" s="30" t="inlineStr">
        <is>
          <t>Above 70%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Between 0.7 to 1.2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  <c r="CF66" s="30" t="inlineStr">
        <is>
          <t>21</t>
        </is>
      </c>
      <c r="CG66" s="30">
        <f>IF(CF66&gt;20,10,IF(CF66&gt;=10,5,2))</f>
        <v/>
      </c>
    </row>
    <row r="67">
      <c r="A67" s="30">
        <f>IF(B67=0,"",RANK(B67,$B$2:$B$95,0))</f>
        <v/>
      </c>
      <c r="B67" s="31">
        <f>SUM(N67,Y67,AA67,AC67,AE67,AG67,AI67,AK67,AM67,AO67,AQ67,AS67,AU67,AW67,AY67,BA67,BC67,BE67,BG67,BI67,BK67,BM67,BO67,BQ67,BS67,BU67,BW67,BY67,CA67,CC67,CE67,CG67)</f>
        <v/>
      </c>
      <c r="C67" s="30" t="inlineStr">
        <is>
          <t>PGIL</t>
        </is>
      </c>
      <c r="D67" s="30" t="inlineStr">
        <is>
          <t>Pearl Global Industries Ltd</t>
        </is>
      </c>
      <c r="E67" s="30" t="inlineStr">
        <is>
          <t>consumer discretionary</t>
        </is>
      </c>
      <c r="F67" s="30" t="inlineStr">
        <is>
          <t>Textiles - Readymade Apparel</t>
        </is>
      </c>
      <c r="G67" s="30" t="inlineStr">
        <is>
          <t>midcap</t>
        </is>
      </c>
      <c r="H67" s="31" t="n">
        <v>11011.83</v>
      </c>
      <c r="I67" s="31" t="n">
        <v>2384</v>
      </c>
      <c r="J67" s="31" t="n">
        <v>4.66</v>
      </c>
      <c r="K67" s="31" t="n">
        <v>0</v>
      </c>
      <c r="L67" s="30" t="n">
        <v>70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67.77</v>
      </c>
      <c r="P67" s="31" t="n">
        <v>58.32</v>
      </c>
      <c r="Q67" s="31" t="n">
        <v>1925.21</v>
      </c>
      <c r="R67" s="30" t="inlineStr">
        <is>
          <t>Near 52W High Breakout</t>
        </is>
      </c>
      <c r="S67" s="30" t="inlineStr">
        <is>
          <t>Nifty 50</t>
        </is>
      </c>
      <c r="T67" s="31" t="n">
        <v>-6.52</v>
      </c>
      <c r="U67" s="31" t="n">
        <v>79.40000000000001</v>
      </c>
      <c r="V67" s="31" t="n">
        <v>91.91</v>
      </c>
      <c r="W67" s="31" t="n">
        <v>23.01</v>
      </c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No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Yes</t>
        </is>
      </c>
      <c r="AQ67" s="30">
        <f>IF(AP67="Yes",10,0)</f>
        <v/>
      </c>
      <c r="AR67" s="30" t="inlineStr">
        <is>
          <t>Higher One Time, Lower Annuity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Above 40</t>
        </is>
      </c>
      <c r="AY67" s="30">
        <f>IF(AX67="Above 40",20,IF(AX67="20 to 40",10,IF(AX67="0 to 20",-5,0)))</f>
        <v/>
      </c>
      <c r="AZ67" s="30" t="inlineStr">
        <is>
          <t>Between 50 to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Negative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Blue sky scenario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No</t>
        </is>
      </c>
      <c r="BS67" s="30">
        <f>IF(BR67="NO",5,0)</f>
        <v/>
      </c>
      <c r="BT67" s="30" t="inlineStr">
        <is>
          <t>Less than 1.5</t>
        </is>
      </c>
      <c r="BU67" s="30">
        <f>IF(BT67="Above 2",0,IF(BT67="Between 1.5 to 2",5,IF(BT67="Less than 1.5",10,0)))</f>
        <v/>
      </c>
      <c r="BV67" s="30" t="inlineStr">
        <is>
          <t>Above 70%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  <c r="CF67" s="30" t="inlineStr">
        <is>
          <t>20</t>
        </is>
      </c>
      <c r="CG67" s="30">
        <f>IF(CF67&gt;20,10,IF(CF67&gt;=10,5,2))</f>
        <v/>
      </c>
    </row>
    <row r="68">
      <c r="A68" s="30">
        <f>IF(B68=0,"",RANK(B68,$B$2:$B$95,0))</f>
        <v/>
      </c>
      <c r="B68" s="31">
        <f>SUM(N68,Y68,AA68,AC68,AE68,AG68,AI68,AK68,AM68,AO68,AQ68,AS68,AU68,AW68,AY68,BA68,BC68,BE68,BG68,BI68,BK68,BM68,BO68,BQ68,BS68,BU68,BW68,BY68,CA68,CC68,CE68,CG68)</f>
        <v/>
      </c>
      <c r="C68" s="33" t="inlineStr">
        <is>
          <t>JOJO</t>
        </is>
      </c>
      <c r="D68" s="33" t="inlineStr">
        <is>
          <t>JOJO Ltd</t>
        </is>
      </c>
      <c r="E68" s="30" t="inlineStr">
        <is>
          <t>Communication Services</t>
        </is>
      </c>
      <c r="F68" s="30" t="inlineStr">
        <is>
          <t>Pharma - Others</t>
        </is>
      </c>
      <c r="G68" s="30" t="inlineStr">
        <is>
          <t>smallcap</t>
        </is>
      </c>
      <c r="H68" s="31" t="n">
        <v>1558.53</v>
      </c>
      <c r="I68" s="31" t="n">
        <v>226</v>
      </c>
      <c r="J68" s="31" t="n">
        <v>1.69</v>
      </c>
      <c r="K68" s="31" t="n">
        <v>0</v>
      </c>
      <c r="L68" s="30" t="n">
        <v>91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83.76000000000001</v>
      </c>
      <c r="P68" s="31" t="n">
        <v>39.85</v>
      </c>
      <c r="Q68" s="31" t="n">
        <v>164.62</v>
      </c>
      <c r="R68" s="30" t="inlineStr">
        <is>
          <t>Near 52W High Breakout</t>
        </is>
      </c>
      <c r="S68" s="30" t="inlineStr">
        <is>
          <t>Nifty 50</t>
        </is>
      </c>
      <c r="T68" s="31" t="n">
        <v>-6.52</v>
      </c>
      <c r="U68" s="31" t="n">
        <v>123.64</v>
      </c>
      <c r="V68" s="31" t="n">
        <v>139.22</v>
      </c>
      <c r="W68" s="31" t="n">
        <v>42.73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Yes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Yes</t>
        </is>
      </c>
      <c r="AQ68" s="30">
        <f>IF(AP68="Yes",10,0)</f>
        <v/>
      </c>
      <c r="AR68" s="30" t="inlineStr">
        <is>
          <t>Higher One Time, Lower Annuity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20 to 40</t>
        </is>
      </c>
      <c r="AY68" s="30">
        <f>IF(AX68="Above 40",20,IF(AX68="20 to 40",10,IF(AX68="0 to 20",-5,0)))</f>
        <v/>
      </c>
      <c r="AZ68" s="30" t="inlineStr">
        <is>
          <t>Above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Positive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Blue sky scenario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Yes</t>
        </is>
      </c>
      <c r="BS68" s="30">
        <f>IF(BR68="NO",5,0)</f>
        <v/>
      </c>
      <c r="BT68" s="30" t="inlineStr">
        <is>
          <t>Above 2</t>
        </is>
      </c>
      <c r="BU68" s="30">
        <f>IF(BT68="Above 2",0,IF(BT68="Between 1.5 to 2",5,IF(BT68="Less than 1.5",10,0)))</f>
        <v/>
      </c>
      <c r="BV68" s="30" t="inlineStr">
        <is>
          <t>Above 70%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Less than 0.7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  <c r="CF68" s="30" t="inlineStr">
        <is>
          <t>19</t>
        </is>
      </c>
      <c r="CG68" s="30">
        <f>IF(CF68&gt;20,10,IF(CF68&gt;=10,5,2))</f>
        <v/>
      </c>
    </row>
    <row r="69">
      <c r="A69" s="30">
        <f>IF(B69=0,"",RANK(B69,$B$2:$B$95,0))</f>
        <v/>
      </c>
      <c r="B69" s="31">
        <f>SUM(N69,Y69,AA69,AC69,AE69,AG69,AI69,AK69,AM69,AO69,AQ69,AS69,AU69,AW69,AY69,BA69,BC69,BE69,BG69,BI69,BK69,BM69,BO69,BQ69,BS69,BU69,BW69,BY69,CA69,CC69,CE69,CG69)</f>
        <v/>
      </c>
      <c r="C69" s="30" t="inlineStr">
        <is>
          <t>AEROFLEX</t>
        </is>
      </c>
      <c r="D69" s="30" t="inlineStr">
        <is>
          <t>Aeroflex Industries Ltd</t>
        </is>
      </c>
      <c r="E69" s="30" t="inlineStr">
        <is>
          <t>metals &amp; mining</t>
        </is>
      </c>
      <c r="F69" s="30" t="inlineStr">
        <is>
          <t>Stainless Steel</t>
        </is>
      </c>
      <c r="G69" s="30" t="inlineStr">
        <is>
          <t>midcap</t>
        </is>
      </c>
      <c r="H69" s="31" t="n">
        <v>7503.15</v>
      </c>
      <c r="I69" s="31" t="n">
        <v>567</v>
      </c>
      <c r="J69" s="31" t="n">
        <v>1.04</v>
      </c>
      <c r="K69" s="31" t="n">
        <v>0</v>
      </c>
      <c r="L69" s="30" t="n">
        <v>94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73.54000000000001</v>
      </c>
      <c r="P69" s="31" t="n">
        <v>61.21</v>
      </c>
      <c r="Q69" s="31" t="n">
        <v>412.59</v>
      </c>
      <c r="R69" s="30" t="inlineStr">
        <is>
          <t>Near 52W High Breakout</t>
        </is>
      </c>
      <c r="S69" s="30" t="inlineStr">
        <is>
          <t>Nifty Metal</t>
        </is>
      </c>
      <c r="T69" s="31" t="n">
        <v>41.17</v>
      </c>
      <c r="U69" s="31" t="n">
        <v>174.64</v>
      </c>
      <c r="V69" s="31" t="n">
        <v>94.55</v>
      </c>
      <c r="W69" s="31" t="n">
        <v>51.48</v>
      </c>
      <c r="X69" s="30" t="inlineStr">
        <is>
          <t>Cyclical in an Upturn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Cyclical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Volatile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Yes</t>
        </is>
      </c>
      <c r="AQ69" s="30">
        <f>IF(AP69="Yes",10,0)</f>
        <v/>
      </c>
      <c r="AR69" s="30" t="inlineStr">
        <is>
          <t>Higher One Time, Lower Annuity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Above 40</t>
        </is>
      </c>
      <c r="AY69" s="30">
        <f>IF(AX69="Above 40",20,IF(AX69="20 to 40",10,IF(AX69="0 to 20",-5,0)))</f>
        <v/>
      </c>
      <c r="AZ69" s="30" t="inlineStr">
        <is>
          <t>Between 50 to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Positive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Blue sky scenario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Yes</t>
        </is>
      </c>
      <c r="BS69" s="30">
        <f>IF(BR69="NO",5,0)</f>
        <v/>
      </c>
      <c r="BT69" s="30" t="inlineStr">
        <is>
          <t>Above 2</t>
        </is>
      </c>
      <c r="BU69" s="30">
        <f>IF(BT69="Above 2",0,IF(BT69="Between 1.5 to 2",5,IF(BT69="Less than 1.5",10,0)))</f>
        <v/>
      </c>
      <c r="BV69" s="30" t="inlineStr">
        <is>
          <t>Above 70%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  <c r="CF69" s="30" t="inlineStr">
        <is>
          <t>19</t>
        </is>
      </c>
      <c r="CG69" s="30">
        <f>IF(CF69&gt;20,10,IF(CF69&gt;=10,5,2))</f>
        <v/>
      </c>
    </row>
    <row r="70">
      <c r="A70" s="30">
        <f>IF(B70=0,"",RANK(B70,$B$2:$B$95,0))</f>
        <v/>
      </c>
      <c r="B70" s="31">
        <f>SUM(N70,Y70,AA70,AC70,AE70,AG70,AI70,AK70,AM70,AO70,AQ70,AS70,AU70,AW70,AY70,BA70,BC70,BE70,BG70,BI70,BK70,BM70,BO70,BQ70,BS70,BU70,BW70,BY70,CA70,CC70,CE70,CG70)</f>
        <v/>
      </c>
      <c r="C70" s="30" t="inlineStr">
        <is>
          <t>ENTERO</t>
        </is>
      </c>
      <c r="D70" s="30" t="inlineStr">
        <is>
          <t>Entero Healthcare Solutions Ltd</t>
        </is>
      </c>
      <c r="E70" s="30" t="inlineStr">
        <is>
          <t>healthcare</t>
        </is>
      </c>
      <c r="F70" s="30" t="inlineStr">
        <is>
          <t>Pharmacy Distribution</t>
        </is>
      </c>
      <c r="G70" s="30" t="inlineStr">
        <is>
          <t>midcap</t>
        </is>
      </c>
      <c r="H70" s="31" t="n">
        <v>8051.77</v>
      </c>
      <c r="I70" s="31" t="n">
        <v>1850</v>
      </c>
      <c r="J70" s="31" t="n">
        <v>1.19</v>
      </c>
      <c r="K70" s="31" t="n">
        <v>0</v>
      </c>
      <c r="L70" s="30" t="n">
        <v>71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75.47</v>
      </c>
      <c r="P70" s="31" t="n">
        <v>37.77</v>
      </c>
      <c r="Q70" s="31" t="n">
        <v>1437.84</v>
      </c>
      <c r="R70" s="30" t="inlineStr">
        <is>
          <t>Near 52W High Breakout</t>
        </is>
      </c>
      <c r="S70" s="30" t="inlineStr">
        <is>
          <t>Nifty Pharma</t>
        </is>
      </c>
      <c r="T70" s="31" t="n">
        <v>18.86</v>
      </c>
      <c r="U70" s="31" t="n">
        <v>55.34</v>
      </c>
      <c r="V70" s="31" t="n">
        <v>30.68</v>
      </c>
      <c r="W70" s="31" t="n">
        <v>23.13</v>
      </c>
      <c r="X70" s="30" t="inlineStr">
        <is>
          <t>Growing Industry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Yes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Yes</t>
        </is>
      </c>
      <c r="AQ70" s="30">
        <f>IF(AP70="Yes",10,0)</f>
        <v/>
      </c>
      <c r="AR70" s="30" t="inlineStr">
        <is>
          <t>Higher Annuity, Lower One Time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20 to 40</t>
        </is>
      </c>
      <c r="AY70" s="30">
        <f>IF(AX70="Above 40",20,IF(AX70="20 to 40",10,IF(AX70="0 to 20",-5,0)))</f>
        <v/>
      </c>
      <c r="AZ70" s="30" t="inlineStr">
        <is>
          <t>Above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Blue sky scenario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Yes</t>
        </is>
      </c>
      <c r="BS70" s="30">
        <f>IF(BR70="NO",5,0)</f>
        <v/>
      </c>
      <c r="BT70" s="30" t="inlineStr">
        <is>
          <t>Between 1.5 to 2</t>
        </is>
      </c>
      <c r="BU70" s="30">
        <f>IF(BT70="Above 2",0,IF(BT70="Between 1.5 to 2",5,IF(BT70="Less than 1.5",10,0)))</f>
        <v/>
      </c>
      <c r="BV70" s="30" t="inlineStr">
        <is>
          <t>Above 70%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Less than 0.7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  <c r="CF70" s="30" t="inlineStr">
        <is>
          <t>25</t>
        </is>
      </c>
      <c r="CG70" s="30">
        <f>IF(CF70&gt;20,10,IF(CF70&gt;=10,5,2))</f>
        <v/>
      </c>
    </row>
    <row r="71">
      <c r="A71" s="30">
        <f>IF(B71=0,"",RANK(B71,$B$2:$B$95,0))</f>
        <v/>
      </c>
      <c r="B71" s="31">
        <f>SUM(N71,Y71,AA71,AC71,AE71,AG71,AI71,AK71,AM71,AO71,AQ71,AS71,AU71,AW71,AY71,BA71,BC71,BE71,BG71,BI71,BK71,BM71,BO71,BQ71,BS71,BU71,BW71,BY71,CA71,CC71,CE71,CG71)</f>
        <v/>
      </c>
      <c r="C71" s="33" t="inlineStr">
        <is>
          <t>STAR</t>
        </is>
      </c>
      <c r="D71" s="33" t="inlineStr">
        <is>
          <t>Strides Pharma Science Ltd</t>
        </is>
      </c>
      <c r="E71" s="30" t="inlineStr">
        <is>
          <t>healthcare</t>
        </is>
      </c>
      <c r="F71" s="30" t="inlineStr">
        <is>
          <t>Pharma - Formulators</t>
        </is>
      </c>
      <c r="G71" s="30" t="inlineStr">
        <is>
          <t>midcap</t>
        </is>
      </c>
      <c r="H71" s="31" t="n">
        <v>11162.12</v>
      </c>
      <c r="I71" s="31" t="n">
        <v>1211</v>
      </c>
      <c r="J71" s="31" t="n">
        <v>1.28</v>
      </c>
      <c r="K71" s="31" t="n">
        <v>0</v>
      </c>
      <c r="L71" s="30" t="n">
        <v>31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67.23999999999999</v>
      </c>
      <c r="P71" s="31" t="n">
        <v>10.51</v>
      </c>
      <c r="Q71" s="31" t="n">
        <v>943.9</v>
      </c>
      <c r="R71" s="30" t="inlineStr">
        <is>
          <t>Volume Spike &amp; Near 52W High Breakout</t>
        </is>
      </c>
      <c r="S71" s="30" t="inlineStr">
        <is>
          <t>Nifty Pharma</t>
        </is>
      </c>
      <c r="T71" s="31" t="n">
        <v>18.86</v>
      </c>
      <c r="U71" s="31" t="n">
        <v>34.4</v>
      </c>
      <c r="V71" s="31" t="n">
        <v>13.07</v>
      </c>
      <c r="W71" s="31" t="n">
        <v>9.529999999999999</v>
      </c>
      <c r="X71" s="30" t="inlineStr">
        <is>
          <t>Growing Industry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Yes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Yes</t>
        </is>
      </c>
      <c r="AQ71" s="30">
        <f>IF(AP71="Yes",10,0)</f>
        <v/>
      </c>
      <c r="AR71" s="30" t="inlineStr">
        <is>
          <t>Higher Annuity, Lower One Time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0 to 20</t>
        </is>
      </c>
      <c r="AY71" s="30">
        <f>IF(AX71="Above 40",20,IF(AX71="20 to 40",10,IF(AX71="0 to 20",-5,0)))</f>
        <v/>
      </c>
      <c r="AZ71" s="30" t="inlineStr">
        <is>
          <t>Between 50 to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Close to 52 week high or retracement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No</t>
        </is>
      </c>
      <c r="BS71" s="30">
        <f>IF(BR71="NO",5,0)</f>
        <v/>
      </c>
      <c r="BT71" s="30" t="inlineStr">
        <is>
          <t>Less than 1.5</t>
        </is>
      </c>
      <c r="BU71" s="30">
        <f>IF(BT71="Above 2",0,IF(BT71="Between 1.5 to 2",5,IF(BT71="Less than 1.5",10,0)))</f>
        <v/>
      </c>
      <c r="BV71" s="30" t="inlineStr">
        <is>
          <t>Above 70%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Less than 0.7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  <c r="CF71" s="30" t="inlineStr">
        <is>
          <t>19</t>
        </is>
      </c>
      <c r="CG71" s="30">
        <f>IF(CF71&gt;20,10,IF(CF71&gt;=10,5,2))</f>
        <v/>
      </c>
    </row>
    <row r="72">
      <c r="A72" s="30">
        <f>IF(B72=0,"",RANK(B72,$B$2:$B$95,0))</f>
        <v/>
      </c>
      <c r="B72" s="31">
        <f>SUM(N72,Y72,AA72,AC72,AE72,AG72,AI72,AK72,AM72,AO72,AQ72,AS72,AU72,AW72,AY72,BA72,BC72,BE72,BG72,BI72,BK72,BM72,BO72,BQ72,BS72,BU72,BW72,BY72,CA72,CC72,CE72,CG72)</f>
        <v/>
      </c>
      <c r="C72" s="30" t="inlineStr">
        <is>
          <t>ANTELOPUS</t>
        </is>
      </c>
      <c r="D72" s="30" t="inlineStr">
        <is>
          <t>Antelopus Selan Energy Ltd</t>
        </is>
      </c>
      <c r="E72" s="30" t="inlineStr">
        <is>
          <t>energy</t>
        </is>
      </c>
      <c r="F72" s="30" t="inlineStr">
        <is>
          <t>Oil Drilling &amp; Exploration</t>
        </is>
      </c>
      <c r="G72" s="30" t="inlineStr">
        <is>
          <t>smallcap</t>
        </is>
      </c>
      <c r="H72" s="31" t="n">
        <v>3945.22</v>
      </c>
      <c r="I72" s="31" t="n">
        <v>1122</v>
      </c>
      <c r="J72" s="31" t="n">
        <v>-4.05</v>
      </c>
      <c r="K72" s="31" t="n">
        <v>0</v>
      </c>
      <c r="L72" s="30" t="n">
        <v>84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73.78</v>
      </c>
      <c r="P72" s="31" t="n">
        <v>45.48</v>
      </c>
      <c r="Q72" s="31" t="n">
        <v>781.4</v>
      </c>
      <c r="R72" s="30" t="inlineStr">
        <is>
          <t>Volume Spike &amp; Near 52W High Breakout</t>
        </is>
      </c>
      <c r="S72" s="30" t="inlineStr">
        <is>
          <t>Nifty Energy</t>
        </is>
      </c>
      <c r="T72" s="31" t="n">
        <v>8.43</v>
      </c>
      <c r="U72" s="31" t="n">
        <v>80.3</v>
      </c>
      <c r="V72" s="31" t="n">
        <v>66.28</v>
      </c>
      <c r="W72" s="31" t="n">
        <v>33.25</v>
      </c>
      <c r="X72" s="30" t="inlineStr">
        <is>
          <t>Cyclical in an Upturn</t>
        </is>
      </c>
      <c r="Y72" s="30">
        <f>IF(X72="Growing Industry",10,IF(X72="Cyclical in an Upturn",5,0))</f>
        <v/>
      </c>
      <c r="Z72" s="30" t="inlineStr">
        <is>
          <t>Oligopoly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Yes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Cyclical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Volatile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Yes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Above 40</t>
        </is>
      </c>
      <c r="AY72" s="30">
        <f>IF(AX72="Above 40",20,IF(AX72="20 to 40",10,IF(AX72="0 to 20",-5,0)))</f>
        <v/>
      </c>
      <c r="AZ72" s="30" t="inlineStr">
        <is>
          <t>Between 50 to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Blue sky scenario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No</t>
        </is>
      </c>
      <c r="BS72" s="30">
        <f>IF(BR72="NO",5,0)</f>
        <v/>
      </c>
      <c r="BT72" s="30" t="inlineStr">
        <is>
          <t>Above 2</t>
        </is>
      </c>
      <c r="BU72" s="30">
        <f>IF(BT72="Above 2",0,IF(BT72="Between 1.5 to 2",5,IF(BT72="Less than 1.5",10,0)))</f>
        <v/>
      </c>
      <c r="BV72" s="30" t="inlineStr">
        <is>
          <t>Above 70%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Less than 0.7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  <c r="CF72" s="30" t="inlineStr">
        <is>
          <t>31</t>
        </is>
      </c>
      <c r="CG72" s="30">
        <f>IF(CF72&gt;20,10,IF(CF72&gt;=10,5,2))</f>
        <v/>
      </c>
    </row>
    <row r="73">
      <c r="A73" s="30">
        <f>IF(B73=0,"",RANK(B73,$B$2:$B$95,0))</f>
        <v/>
      </c>
      <c r="B73" s="31">
        <f>SUM(N73,Y73,AA73,AC73,AE73,AG73,AI73,AK73,AM73,AO73,AQ73,AS73,AU73,AW73,AY73,BA73,BC73,BE73,BG73,BI73,BK73,BM73,BO73,BQ73,BS73,BU73,BW73,BY73,CA73,CC73,CE73,CG73)</f>
        <v/>
      </c>
      <c r="C73" s="30" t="inlineStr">
        <is>
          <t>CHENNPETRO</t>
        </is>
      </c>
      <c r="D73" s="30" t="inlineStr">
        <is>
          <t>Chennai Petroleum Corporation Ltd</t>
        </is>
      </c>
      <c r="E73" s="30" t="inlineStr">
        <is>
          <t>energy</t>
        </is>
      </c>
      <c r="F73" s="30" t="inlineStr">
        <is>
          <t>Refineries</t>
        </is>
      </c>
      <c r="G73" s="30" t="inlineStr">
        <is>
          <t>largecap</t>
        </is>
      </c>
      <c r="H73" s="31" t="n">
        <v>24078.97</v>
      </c>
      <c r="I73" s="31" t="n">
        <v>1617</v>
      </c>
      <c r="J73" s="31" t="n">
        <v>0.79</v>
      </c>
      <c r="K73" s="31" t="n">
        <v>0</v>
      </c>
      <c r="L73" s="30" t="n">
        <v>86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79.43000000000001</v>
      </c>
      <c r="P73" s="31" t="n">
        <v>58.38</v>
      </c>
      <c r="Q73" s="31" t="n">
        <v>1228.7</v>
      </c>
      <c r="R73" s="30" t="inlineStr">
        <is>
          <t>Near 52W High Breakout</t>
        </is>
      </c>
      <c r="S73" s="30" t="inlineStr">
        <is>
          <t>Nifty Energy</t>
        </is>
      </c>
      <c r="T73" s="31" t="n">
        <v>8.43</v>
      </c>
      <c r="U73" s="31" t="n">
        <v>150.64</v>
      </c>
      <c r="V73" s="31" t="n">
        <v>131.15</v>
      </c>
      <c r="W73" s="31" t="n">
        <v>34.81</v>
      </c>
      <c r="X73" s="30" t="inlineStr">
        <is>
          <t>Cyclical in an Upturn</t>
        </is>
      </c>
      <c r="Y73" s="30">
        <f>IF(X73="Growing Industry",10,IF(X73="Cyclical in an Upturn",5,0))</f>
        <v/>
      </c>
      <c r="Z73" s="30" t="inlineStr">
        <is>
          <t>Oligopoly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Yes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Cyclical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Volatile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Yes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Above 40</t>
        </is>
      </c>
      <c r="AY73" s="30">
        <f>IF(AX73="Above 40",20,IF(AX73="20 to 40",10,IF(AX73="0 to 20",-5,0)))</f>
        <v/>
      </c>
      <c r="AZ73" s="30" t="inlineStr">
        <is>
          <t>Above 75</t>
        </is>
      </c>
      <c r="BA73" s="30">
        <f>IF(AZ73="Between 50 to 75",10,IF(AZ73="Above 75",0,0))</f>
        <v/>
      </c>
      <c r="BB73" s="30" t="inlineStr">
        <is>
          <t>Stage 2</t>
        </is>
      </c>
      <c r="BC73" s="30">
        <f>IF(BB73="Stage 2",20,IF(BB73="Stage 1",0,IF(BB73="Stage 3",5,IF(BB73="Stage 4",-5,0))))</f>
        <v/>
      </c>
      <c r="BD73" s="30" t="inlineStr">
        <is>
          <t>Positive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Blue sky scenario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No</t>
        </is>
      </c>
      <c r="BS73" s="30">
        <f>IF(BR73="NO",5,0)</f>
        <v/>
      </c>
      <c r="BT73" s="30" t="inlineStr">
        <is>
          <t>Less than 1.5</t>
        </is>
      </c>
      <c r="BU73" s="30">
        <f>IF(BT73="Above 2",0,IF(BT73="Between 1.5 to 2",5,IF(BT73="Less than 1.5",10,0)))</f>
        <v/>
      </c>
      <c r="BV73" s="30" t="inlineStr">
        <is>
          <t>Above 70%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Less than 0.7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  <c r="CF73" s="30" t="inlineStr">
        <is>
          <t>26</t>
        </is>
      </c>
      <c r="CG73" s="30">
        <f>IF(CF73&gt;20,10,IF(CF73&gt;=10,5,2))</f>
        <v/>
      </c>
    </row>
    <row r="74">
      <c r="A74" s="30">
        <f>IF(B74=0,"",RANK(B74,$B$2:$B$95,0))</f>
        <v/>
      </c>
      <c r="B74" s="31">
        <f>SUM(N74,Y74,AA74,AC74,AE74,AG74,AI74,AK74,AM74,AO74,AQ74,AS74,AU74,AW74,AY74,BA74,BC74,BE74,BG74,BI74,BK74,BM74,BO74,BQ74,BS74,BU74,BW74,BY74,CA74,CC74,CE74,CG74)</f>
        <v/>
      </c>
      <c r="C74" s="30" t="inlineStr">
        <is>
          <t>CRAFTSMAN</t>
        </is>
      </c>
      <c r="D74" s="30" t="inlineStr">
        <is>
          <t>Craftsman Automation Ltd</t>
        </is>
      </c>
      <c r="E74" s="30" t="inlineStr">
        <is>
          <t>auto</t>
        </is>
      </c>
      <c r="F74" s="30" t="inlineStr">
        <is>
          <t>Auto &amp; Auto Ancl - CV</t>
        </is>
      </c>
      <c r="G74" s="30" t="inlineStr">
        <is>
          <t>largecap</t>
        </is>
      </c>
      <c r="H74" s="31" t="n">
        <v>31066.24</v>
      </c>
      <c r="I74" s="31" t="n">
        <v>11878</v>
      </c>
      <c r="J74" s="31" t="n">
        <v>0.61</v>
      </c>
      <c r="K74" s="31" t="n">
        <v>0</v>
      </c>
      <c r="L74" s="30" t="n">
        <v>76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76.77</v>
      </c>
      <c r="P74" s="31" t="n">
        <v>67.25</v>
      </c>
      <c r="Q74" s="31" t="n">
        <v>9807.299999999999</v>
      </c>
      <c r="R74" s="30" t="inlineStr">
        <is>
          <t>Near 52W High Breakout</t>
        </is>
      </c>
      <c r="S74" s="30" t="inlineStr">
        <is>
          <t>Nifty Auto</t>
        </is>
      </c>
      <c r="T74" s="31" t="n">
        <v>15.81</v>
      </c>
      <c r="U74" s="31" t="n">
        <v>89.05</v>
      </c>
      <c r="V74" s="31" t="n">
        <v>63.24</v>
      </c>
      <c r="W74" s="31" t="n">
        <v>26.59</v>
      </c>
      <c r="X74" s="30" t="inlineStr">
        <is>
          <t>Growing Industry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Yes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Above 40</t>
        </is>
      </c>
      <c r="AY74" s="30">
        <f>IF(AX74="Above 40",20,IF(AX74="20 to 40",10,IF(AX74="0 to 20",-5,0)))</f>
        <v/>
      </c>
      <c r="AZ74" s="30" t="inlineStr">
        <is>
          <t>Above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Positive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Blue sky scenario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Yes</t>
        </is>
      </c>
      <c r="BS74" s="30">
        <f>IF(BR74="NO",5,0)</f>
        <v/>
      </c>
      <c r="BT74" s="30" t="inlineStr">
        <is>
          <t>Above 2</t>
        </is>
      </c>
      <c r="BU74" s="30">
        <f>IF(BT74="Above 2",0,IF(BT74="Between 1.5 to 2",5,IF(BT74="Less than 1.5",10,0)))</f>
        <v/>
      </c>
      <c r="BV74" s="30" t="inlineStr">
        <is>
          <t>Above 70%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Between 0.7 to 1.2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  <c r="CF74" s="30" t="inlineStr">
        <is>
          <t>23</t>
        </is>
      </c>
      <c r="CG74" s="30">
        <f>IF(CF74&gt;20,10,IF(CF74&gt;=10,5,2))</f>
        <v/>
      </c>
    </row>
    <row r="75">
      <c r="A75" s="30">
        <f>IF(B75=0,"",RANK(B75,$B$2:$B$95,0))</f>
        <v/>
      </c>
      <c r="B75" s="31">
        <f>SUM(N75,Y75,AA75,AC75,AE75,AG75,AI75,AK75,AM75,AO75,AQ75,AS75,AU75,AW75,AY75,BA75,BC75,BE75,BG75,BI75,BK75,BM75,BO75,BQ75,BS75,BU75,BW75,BY75,CA75,CC75,CE75,CG75)</f>
        <v/>
      </c>
      <c r="C75" s="33" t="inlineStr">
        <is>
          <t>SUNRAKSHAK</t>
        </is>
      </c>
      <c r="D75" s="33" t="inlineStr">
        <is>
          <t>Sunrakshakk Industries India Ltd</t>
        </is>
      </c>
      <c r="E75" s="30" t="inlineStr">
        <is>
          <t>Consumer Cyclical</t>
        </is>
      </c>
      <c r="F75" s="30" t="inlineStr">
        <is>
          <t>Textiles - Processing/Texturising</t>
        </is>
      </c>
      <c r="G75" s="30" t="inlineStr">
        <is>
          <t>smallcap</t>
        </is>
      </c>
      <c r="H75" s="31" t="n">
        <v>1162.75</v>
      </c>
      <c r="I75" s="31" t="n">
        <v>375</v>
      </c>
      <c r="J75" s="31" t="n">
        <v>0.87</v>
      </c>
      <c r="K75" s="31" t="n">
        <v>0</v>
      </c>
      <c r="L75" s="30" t="n">
        <v>49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65.95</v>
      </c>
      <c r="P75" s="31" t="n">
        <v>47.27</v>
      </c>
      <c r="Q75" s="31" t="n">
        <v>301.43</v>
      </c>
      <c r="R75" s="30" t="inlineStr">
        <is>
          <t>Near 52W High Breakout</t>
        </is>
      </c>
      <c r="S75" s="30" t="inlineStr">
        <is>
          <t>Nifty 50</t>
        </is>
      </c>
      <c r="T75" s="31" t="n">
        <v>-6.52</v>
      </c>
      <c r="U75" s="31" t="n">
        <v>69.77</v>
      </c>
      <c r="V75" s="31" t="n">
        <v>81.59999999999999</v>
      </c>
      <c r="W75" s="31" t="n">
        <v>15.24</v>
      </c>
      <c r="X75" s="30" t="inlineStr">
        <is>
          <t>Growing Industry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B2C</t>
        </is>
      </c>
      <c r="AO75" s="30">
        <f>IF(AN75="B2C",10,IF(AN75="B2B",5,0))</f>
        <v/>
      </c>
      <c r="AP75" s="30" t="inlineStr">
        <is>
          <t>Yes</t>
        </is>
      </c>
      <c r="AQ75" s="30">
        <f>IF(AP75="Yes",10,0)</f>
        <v/>
      </c>
      <c r="AR75" s="30" t="inlineStr">
        <is>
          <t>Higher One Time, Lower Annuity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Above 40</t>
        </is>
      </c>
      <c r="AY75" s="30">
        <f>IF(AX75="Above 40",20,IF(AX75="20 to 40",10,IF(AX75="0 to 20",-5,0)))</f>
        <v/>
      </c>
      <c r="AZ75" s="30" t="inlineStr">
        <is>
          <t>Between 50 to 75</t>
        </is>
      </c>
      <c r="BA75" s="30">
        <f>IF(AZ75="Between 50 to 75",10,IF(AZ75="Above 75",0,0))</f>
        <v/>
      </c>
      <c r="BB75" s="30" t="inlineStr">
        <is>
          <t>Stage 2</t>
        </is>
      </c>
      <c r="BC75" s="30">
        <f>IF(BB75="Stage 2",20,IF(BB75="Stage 1",0,IF(BB75="Stage 3",5,IF(BB75="Stage 4",-5,0))))</f>
        <v/>
      </c>
      <c r="BD75" s="30" t="inlineStr">
        <is>
          <t>Negative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Blue sky scenario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More than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No</t>
        </is>
      </c>
      <c r="BS75" s="30">
        <f>IF(BR75="NO",5,0)</f>
        <v/>
      </c>
      <c r="BT75" s="30" t="inlineStr">
        <is>
          <t>Above 2</t>
        </is>
      </c>
      <c r="BU75" s="30">
        <f>IF(BT75="Above 2",0,IF(BT75="Between 1.5 to 2",5,IF(BT75="Less than 1.5",10,0)))</f>
        <v/>
      </c>
      <c r="BV75" s="30" t="inlineStr">
        <is>
          <t>Above 70%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  <c r="CF75" s="30" t="inlineStr">
        <is>
          <t>20</t>
        </is>
      </c>
      <c r="CG75" s="30">
        <f>IF(CF75&gt;20,10,IF(CF75&gt;=10,5,2))</f>
        <v/>
      </c>
    </row>
    <row r="76">
      <c r="A76" s="30">
        <f>IF(B76=0,"",RANK(B76,$B$2:$B$95,0))</f>
        <v/>
      </c>
      <c r="B76" s="31">
        <f>SUM(N76,Y76,AA76,AC76,AE76,AG76,AI76,AK76,AM76,AO76,AQ76,AS76,AU76,AW76,AY76,BA76,BC76,BE76,BG76,BI76,BK76,BM76,BO76,BQ76,BS76,BU76,BW76,BY76,CA76,CC76,CE76,CG76)</f>
        <v/>
      </c>
      <c r="C76" s="30" t="inlineStr">
        <is>
          <t>MANINDS</t>
        </is>
      </c>
      <c r="D76" s="30" t="inlineStr">
        <is>
          <t>Man Industries (India) Ltd</t>
        </is>
      </c>
      <c r="E76" s="30" t="inlineStr">
        <is>
          <t>metals &amp; mining</t>
        </is>
      </c>
      <c r="F76" s="30" t="inlineStr">
        <is>
          <t>Steel - Tubes/Pipes</t>
        </is>
      </c>
      <c r="G76" s="30" t="inlineStr">
        <is>
          <t>midcap</t>
        </is>
      </c>
      <c r="H76" s="31" t="n">
        <v>6589.59</v>
      </c>
      <c r="I76" s="31" t="n">
        <v>878.5</v>
      </c>
      <c r="J76" s="31" t="n">
        <v>10.84</v>
      </c>
      <c r="K76" s="31" t="n">
        <v>0</v>
      </c>
      <c r="L76" s="30" t="n">
        <v>84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80.22</v>
      </c>
      <c r="P76" s="31" t="n">
        <v>35.76</v>
      </c>
      <c r="Q76" s="31" t="n">
        <v>665.11</v>
      </c>
      <c r="R76" s="30" t="inlineStr">
        <is>
          <t>Volume Spike &amp; Near 52W High Breakout</t>
        </is>
      </c>
      <c r="S76" s="30" t="inlineStr">
        <is>
          <t>Nifty Metal</t>
        </is>
      </c>
      <c r="T76" s="31" t="n">
        <v>41.17</v>
      </c>
      <c r="U76" s="31" t="n">
        <v>105.72</v>
      </c>
      <c r="V76" s="31" t="n">
        <v>45.73</v>
      </c>
      <c r="W76" s="31" t="n">
        <v>33.27</v>
      </c>
      <c r="X76" s="30" t="inlineStr">
        <is>
          <t>Cyclical in an Upturn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No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Cyclical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Volatile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Yes</t>
        </is>
      </c>
      <c r="AQ76" s="30">
        <f>IF(AP76="Yes",10,0)</f>
        <v/>
      </c>
      <c r="AR76" s="30" t="inlineStr">
        <is>
          <t>Higher One Time, Lower Annuity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20 to 40</t>
        </is>
      </c>
      <c r="AY76" s="30">
        <f>IF(AX76="Above 40",20,IF(AX76="20 to 40",10,IF(AX76="0 to 20",-5,0)))</f>
        <v/>
      </c>
      <c r="AZ76" s="30" t="inlineStr">
        <is>
          <t>Above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Positive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Blue sky scenario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No</t>
        </is>
      </c>
      <c r="BS76" s="30">
        <f>IF(BR76="NO",5,0)</f>
        <v/>
      </c>
      <c r="BT76" s="30" t="inlineStr">
        <is>
          <t>Less than 1.5</t>
        </is>
      </c>
      <c r="BU76" s="30">
        <f>IF(BT76="Above 2",0,IF(BT76="Between 1.5 to 2",5,IF(BT76="Less than 1.5",10,0)))</f>
        <v/>
      </c>
      <c r="BV76" s="30" t="inlineStr">
        <is>
          <t>Above 70%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  <c r="CF76" s="30" t="inlineStr">
        <is>
          <t>25</t>
        </is>
      </c>
      <c r="CG76" s="30">
        <f>IF(CF76&gt;20,10,IF(CF76&gt;=10,5,2))</f>
        <v/>
      </c>
    </row>
    <row r="77">
      <c r="A77" s="30">
        <f>IF(B77=0,"",RANK(B77,$B$2:$B$95,0))</f>
        <v/>
      </c>
      <c r="B77" s="31">
        <f>SUM(N77,Y77,AA77,AC77,AE77,AG77,AI77,AK77,AM77,AO77,AQ77,AS77,AU77,AW77,AY77,BA77,BC77,BE77,BG77,BI77,BK77,BM77,BO77,BQ77,BS77,BU77,BW77,BY77,CA77,CC77,CE77,CG77)</f>
        <v/>
      </c>
      <c r="C77" s="30" t="inlineStr">
        <is>
          <t>DOLPHIN</t>
        </is>
      </c>
      <c r="D77" s="30" t="inlineStr">
        <is>
          <t>Dolphin Offshore Enterprises (India) Ltd</t>
        </is>
      </c>
      <c r="E77" s="30" t="inlineStr">
        <is>
          <t>energy</t>
        </is>
      </c>
      <c r="F77" s="30" t="inlineStr">
        <is>
          <t>Oil Drilling &amp; Exploration</t>
        </is>
      </c>
      <c r="G77" s="30" t="inlineStr">
        <is>
          <t>smallcap</t>
        </is>
      </c>
      <c r="H77" s="31" t="n">
        <v>2604.3</v>
      </c>
      <c r="I77" s="31" t="n">
        <v>651</v>
      </c>
      <c r="J77" s="31" t="n">
        <v>-4.96</v>
      </c>
      <c r="K77" s="31" t="n">
        <v>0</v>
      </c>
      <c r="L77" s="30" t="n">
        <v>70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74.95</v>
      </c>
      <c r="P77" s="31" t="n">
        <v>36.77</v>
      </c>
      <c r="Q77" s="31" t="n">
        <v>491.36</v>
      </c>
      <c r="R77" s="30" t="inlineStr">
        <is>
          <t>Near 52W High Breakout</t>
        </is>
      </c>
      <c r="S77" s="30" t="inlineStr">
        <is>
          <t>Nifty Energy</t>
        </is>
      </c>
      <c r="T77" s="31" t="n">
        <v>8.43</v>
      </c>
      <c r="U77" s="31" t="n">
        <v>48.01</v>
      </c>
      <c r="V77" s="31" t="n">
        <v>36.5</v>
      </c>
      <c r="W77" s="31" t="n">
        <v>22.44</v>
      </c>
      <c r="X77" s="30" t="inlineStr">
        <is>
          <t>Cyclical in an Upturn</t>
        </is>
      </c>
      <c r="Y77" s="30">
        <f>IF(X77="Growing Industry",10,IF(X77="Cyclical in an Upturn",5,0))</f>
        <v/>
      </c>
      <c r="Z77" s="30" t="inlineStr">
        <is>
          <t>Oligopoly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Yes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Cyclical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Volatile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Yes</t>
        </is>
      </c>
      <c r="AQ77" s="30">
        <f>IF(AP77="Yes",10,0)</f>
        <v/>
      </c>
      <c r="AR77" s="30" t="inlineStr">
        <is>
          <t>Higher One Time, Lower Annuity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20 to 40</t>
        </is>
      </c>
      <c r="AY77" s="30">
        <f>IF(AX77="Above 40",20,IF(AX77="20 to 40",10,IF(AX77="0 to 20",-5,0)))</f>
        <v/>
      </c>
      <c r="AZ77" s="30" t="inlineStr">
        <is>
          <t>Between 50 to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Positive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Blue sky scenario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More than 20%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No</t>
        </is>
      </c>
      <c r="BS77" s="30">
        <f>IF(BR77="NO",5,0)</f>
        <v/>
      </c>
      <c r="BT77" s="30" t="inlineStr">
        <is>
          <t>Less than 1.5</t>
        </is>
      </c>
      <c r="BU77" s="30">
        <f>IF(BT77="Above 2",0,IF(BT77="Between 1.5 to 2",5,IF(BT77="Less than 1.5",10,0)))</f>
        <v/>
      </c>
      <c r="BV77" s="30" t="inlineStr">
        <is>
          <t>Above 70%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Less than 0.7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  <c r="CF77" s="30" t="inlineStr">
        <is>
          <t>21</t>
        </is>
      </c>
      <c r="CG77" s="30">
        <f>IF(CF77&gt;20,10,IF(CF77&gt;=10,5,2))</f>
        <v/>
      </c>
    </row>
    <row r="78">
      <c r="A78" s="30">
        <f>IF(B78=0,"",RANK(B78,$B$2:$B$95,0))</f>
        <v/>
      </c>
      <c r="B78" s="31">
        <f>SUM(N78,Y78,AA78,AC78,AE78,AG78,AI78,AK78,AM78,AO78,AQ78,AS78,AU78,AW78,AY78,BA78,BC78,BE78,BG78,BI78,BK78,BM78,BO78,BQ78,BS78,BU78,BW78,BY78,CA78,CC78,CE78,CG78)</f>
        <v/>
      </c>
      <c r="C78" s="32" t="inlineStr">
        <is>
          <t>SAMBHV</t>
        </is>
      </c>
      <c r="D78" s="32" t="inlineStr">
        <is>
          <t>Sambhv Steel Tubes Ltd</t>
        </is>
      </c>
      <c r="E78" s="30" t="inlineStr">
        <is>
          <t>metals &amp; mining</t>
        </is>
      </c>
      <c r="F78" s="30" t="inlineStr">
        <is>
          <t>Steel - Tubes/Pipes</t>
        </is>
      </c>
      <c r="G78" s="30" t="inlineStr">
        <is>
          <t>smallcap</t>
        </is>
      </c>
      <c r="H78" s="31" t="n">
        <v>3895.56</v>
      </c>
      <c r="I78" s="31" t="n">
        <v>132.2</v>
      </c>
      <c r="J78" s="31" t="n">
        <v>1.35</v>
      </c>
      <c r="K78" s="31" t="n">
        <v>0</v>
      </c>
      <c r="L78" s="30" t="n">
        <v>13</v>
      </c>
      <c r="M78" s="30" t="inlineStr">
        <is>
          <t>Underperforming</t>
        </is>
      </c>
      <c r="N78" s="31">
        <f>IF(M78="Underperforming",-5,IF(L78&gt;=95,15,IF(L78&gt;=90,10,IF(L78&gt;=80,5,0))))</f>
        <v/>
      </c>
      <c r="O78" s="31" t="n">
        <v>67.45</v>
      </c>
      <c r="P78" s="31" t="n">
        <v>34.36</v>
      </c>
      <c r="Q78" s="31" t="n">
        <v>102.07</v>
      </c>
      <c r="R78" s="30" t="inlineStr">
        <is>
          <t>Near 52W High Breakout</t>
        </is>
      </c>
      <c r="S78" s="30" t="inlineStr">
        <is>
          <t>Nifty Metal</t>
        </is>
      </c>
      <c r="T78" s="31" t="n">
        <v>41.17</v>
      </c>
      <c r="U78" s="31" t="n">
        <v>-0.1</v>
      </c>
      <c r="V78" s="31" t="n">
        <v>-29.23</v>
      </c>
      <c r="W78" s="31" t="n">
        <v>4.55</v>
      </c>
      <c r="X78" s="30" t="inlineStr">
        <is>
          <t>Cyclical in an Upturn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Cyclical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Volatile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Yes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20 to 40</t>
        </is>
      </c>
      <c r="AY78" s="30">
        <f>IF(AX78="Above 40",20,IF(AX78="20 to 40",10,IF(AX78="0 to 20",-5,0)))</f>
        <v/>
      </c>
      <c r="AZ78" s="30" t="inlineStr">
        <is>
          <t>Between 50 to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Blue sky scenario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More than 20%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No</t>
        </is>
      </c>
      <c r="BS78" s="30">
        <f>IF(BR78="NO",5,0)</f>
        <v/>
      </c>
      <c r="BT78" s="30" t="inlineStr">
        <is>
          <t>Less than 1.5</t>
        </is>
      </c>
      <c r="BU78" s="30">
        <f>IF(BT78="Above 2",0,IF(BT78="Between 1.5 to 2",5,IF(BT78="Less than 1.5",10,0)))</f>
        <v/>
      </c>
      <c r="BV78" s="30" t="inlineStr">
        <is>
          <t>Above 70%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Less than 0.7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  <c r="CF78" s="30" t="inlineStr">
        <is>
          <t>19</t>
        </is>
      </c>
      <c r="CG78" s="30">
        <f>IF(CF78&gt;20,10,IF(CF78&gt;=10,5,2))</f>
        <v/>
      </c>
    </row>
    <row r="79">
      <c r="A79" s="30">
        <f>IF(B79=0,"",RANK(B79,$B$2:$B$95,0))</f>
        <v/>
      </c>
      <c r="B79" s="31">
        <f>SUM(N79,Y79,AA79,AC79,AE79,AG79,AI79,AK79,AM79,AO79,AQ79,AS79,AU79,AW79,AY79,BA79,BC79,BE79,BG79,BI79,BK79,BM79,BO79,BQ79,BS79,BU79,BW79,BY79,CA79,CC79,CE79,CG79)</f>
        <v/>
      </c>
      <c r="C79" s="30" t="inlineStr">
        <is>
          <t>MARKSANS</t>
        </is>
      </c>
      <c r="D79" s="30" t="inlineStr">
        <is>
          <t>Marksans Pharma Ltd</t>
        </is>
      </c>
      <c r="E79" s="30" t="inlineStr">
        <is>
          <t>healthcare</t>
        </is>
      </c>
      <c r="F79" s="30" t="inlineStr">
        <is>
          <t>Pharma - Formulators</t>
        </is>
      </c>
      <c r="G79" s="30" t="inlineStr">
        <is>
          <t>midcap</t>
        </is>
      </c>
      <c r="H79" s="31" t="n">
        <v>14922.68</v>
      </c>
      <c r="I79" s="31" t="n">
        <v>329.3</v>
      </c>
      <c r="J79" s="31" t="n">
        <v>-0.26</v>
      </c>
      <c r="K79" s="31" t="n">
        <v>0</v>
      </c>
      <c r="L79" s="30" t="n">
        <v>70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73.97</v>
      </c>
      <c r="P79" s="31" t="n">
        <v>59.51</v>
      </c>
      <c r="Q79" s="31" t="n">
        <v>258.17</v>
      </c>
      <c r="R79" s="30" t="inlineStr">
        <is>
          <t>Near 52W High Breakout</t>
        </is>
      </c>
      <c r="S79" s="30" t="inlineStr">
        <is>
          <t>Nifty Pharma</t>
        </is>
      </c>
      <c r="T79" s="31" t="n">
        <v>18.86</v>
      </c>
      <c r="U79" s="31" t="n">
        <v>91.59</v>
      </c>
      <c r="V79" s="31" t="n">
        <v>61.18</v>
      </c>
      <c r="W79" s="31" t="n">
        <v>22.38</v>
      </c>
      <c r="X79" s="30" t="inlineStr">
        <is>
          <t>Growing Industry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Yes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Yes</t>
        </is>
      </c>
      <c r="AQ79" s="30">
        <f>IF(AP79="Yes",10,0)</f>
        <v/>
      </c>
      <c r="AR79" s="30" t="inlineStr">
        <is>
          <t>Higher Annuity, Lower One Time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Above 40</t>
        </is>
      </c>
      <c r="AY79" s="30">
        <f>IF(AX79="Above 40",20,IF(AX79="20 to 40",10,IF(AX79="0 to 20",-5,0)))</f>
        <v/>
      </c>
      <c r="AZ79" s="30" t="inlineStr">
        <is>
          <t>Between 50 to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Negative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Blue sky scenario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More than 20%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No</t>
        </is>
      </c>
      <c r="BS79" s="30">
        <f>IF(BR79="NO",5,0)</f>
        <v/>
      </c>
      <c r="BT79" s="30" t="inlineStr">
        <is>
          <t>Above 2</t>
        </is>
      </c>
      <c r="BU79" s="30">
        <f>IF(BT79="Above 2",0,IF(BT79="Between 1.5 to 2",5,IF(BT79="Less than 1.5",10,0)))</f>
        <v/>
      </c>
      <c r="BV79" s="30" t="inlineStr">
        <is>
          <t>Above 70%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Less than 0.7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  <c r="CF79" s="30" t="inlineStr">
        <is>
          <t>20</t>
        </is>
      </c>
      <c r="CG79" s="30">
        <f>IF(CF79&gt;20,10,IF(CF79&gt;=10,5,2))</f>
        <v/>
      </c>
    </row>
    <row r="80">
      <c r="A80" s="30">
        <f>IF(B80=0,"",RANK(B80,$B$2:$B$95,0))</f>
        <v/>
      </c>
      <c r="B80" s="31">
        <f>SUM(N80,Y80,AA80,AC80,AE80,AG80,AI80,AK80,AM80,AO80,AQ80,AS80,AU80,AW80,AY80,BA80,BC80,BE80,BG80,BI80,BK80,BM80,BO80,BQ80,BS80,BU80,BW80,BY80,CA80,CC80,CE80,CG80)</f>
        <v/>
      </c>
      <c r="C80" s="30" t="inlineStr">
        <is>
          <t>BIL</t>
        </is>
      </c>
      <c r="D80" s="30" t="inlineStr">
        <is>
          <t>Bhartiya International Ltd</t>
        </is>
      </c>
      <c r="E80" s="30" t="inlineStr">
        <is>
          <t>consumer discretionary</t>
        </is>
      </c>
      <c r="F80" s="30" t="inlineStr">
        <is>
          <t>Textiles</t>
        </is>
      </c>
      <c r="G80" s="30" t="inlineStr">
        <is>
          <t>smallcap</t>
        </is>
      </c>
      <c r="H80" s="31" t="n">
        <v>1445.37</v>
      </c>
      <c r="I80" s="31" t="n">
        <v>1077.8</v>
      </c>
      <c r="J80" s="31" t="n">
        <v>-2.74</v>
      </c>
      <c r="K80" s="31" t="n">
        <v>0</v>
      </c>
      <c r="L80" s="30" t="n">
        <v>58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75.44</v>
      </c>
      <c r="P80" s="31" t="n">
        <v>21.81</v>
      </c>
      <c r="Q80" s="31" t="n">
        <v>804.7</v>
      </c>
      <c r="R80" s="30" t="inlineStr">
        <is>
          <t>Volume Spike &amp; Near 52W High Breakout</t>
        </is>
      </c>
      <c r="S80" s="30" t="inlineStr">
        <is>
          <t>Nifty 50</t>
        </is>
      </c>
      <c r="T80" s="31" t="n">
        <v>-6.52</v>
      </c>
      <c r="U80" s="31" t="n">
        <v>24.83</v>
      </c>
      <c r="V80" s="31" t="n">
        <v>33.53</v>
      </c>
      <c r="W80" s="31" t="n">
        <v>18.11</v>
      </c>
      <c r="X80" s="30" t="inlineStr">
        <is>
          <t>Growing Industry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No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Structural (10 Years Consistency)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Stable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Yes</t>
        </is>
      </c>
      <c r="AQ80" s="30">
        <f>IF(AP80="Yes",10,0)</f>
        <v/>
      </c>
      <c r="AR80" s="30" t="inlineStr">
        <is>
          <t>Higher One Time, Lower Annuity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20 to 40</t>
        </is>
      </c>
      <c r="AY80" s="30">
        <f>IF(AX80="Above 40",20,IF(AX80="20 to 40",10,IF(AX80="0 to 20",-5,0)))</f>
        <v/>
      </c>
      <c r="AZ80" s="30" t="inlineStr">
        <is>
          <t>Above 75</t>
        </is>
      </c>
      <c r="BA80" s="30">
        <f>IF(AZ80="Between 50 to 75",10,IF(AZ80="Above 75",0,0))</f>
        <v/>
      </c>
      <c r="BB80" s="30" t="inlineStr">
        <is>
          <t>Stage 2</t>
        </is>
      </c>
      <c r="BC80" s="30">
        <f>IF(BB80="Stage 2",20,IF(BB80="Stage 1",0,IF(BB80="Stage 3",5,IF(BB80="Stage 4",-5,0))))</f>
        <v/>
      </c>
      <c r="BD80" s="30" t="inlineStr">
        <is>
          <t>Positive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Blue sky scenario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More than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Yes</t>
        </is>
      </c>
      <c r="BS80" s="30">
        <f>IF(BR80="NO",5,0)</f>
        <v/>
      </c>
      <c r="BT80" s="30" t="inlineStr">
        <is>
          <t>Above 2</t>
        </is>
      </c>
      <c r="BU80" s="30">
        <f>IF(BT80="Above 2",0,IF(BT80="Between 1.5 to 2",5,IF(BT80="Less than 1.5",10,0)))</f>
        <v/>
      </c>
      <c r="BV80" s="30" t="inlineStr">
        <is>
          <t>Above 70%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Between 0.7 to 1.2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  <c r="CF80" s="30" t="inlineStr">
        <is>
          <t>20</t>
        </is>
      </c>
      <c r="CG80" s="30">
        <f>IF(CF80&gt;20,10,IF(CF80&gt;=10,5,2))</f>
        <v/>
      </c>
    </row>
    <row r="81">
      <c r="A81" s="30">
        <f>IF(B81=0,"",RANK(B81,$B$2:$B$95,0))</f>
        <v/>
      </c>
      <c r="B81" s="31">
        <f>SUM(N81,Y81,AA81,AC81,AE81,AG81,AI81,AK81,AM81,AO81,AQ81,AS81,AU81,AW81,AY81,BA81,BC81,BE81,BG81,BI81,BK81,BM81,BO81,BQ81,BS81,BU81,BW81,BY81,CA81,CC81,CE81,CG81)</f>
        <v/>
      </c>
      <c r="C81" s="30" t="inlineStr">
        <is>
          <t>CUPID</t>
        </is>
      </c>
      <c r="D81" s="30" t="inlineStr">
        <is>
          <t>Cupid Ltd</t>
        </is>
      </c>
      <c r="E81" s="30" t="inlineStr">
        <is>
          <t>fmcg</t>
        </is>
      </c>
      <c r="F81" s="30" t="inlineStr">
        <is>
          <t>Contraceptives/Protectives</t>
        </is>
      </c>
      <c r="G81" s="30" t="inlineStr">
        <is>
          <t>largecap</t>
        </is>
      </c>
      <c r="H81" s="31" t="n">
        <v>37179.87</v>
      </c>
      <c r="I81" s="31" t="n">
        <v>276.5</v>
      </c>
      <c r="J81" s="31" t="n">
        <v>-1.14</v>
      </c>
      <c r="K81" s="31" t="n">
        <v>0</v>
      </c>
      <c r="L81" s="30" t="n">
        <v>99</v>
      </c>
      <c r="M81" s="30" t="inlineStr">
        <is>
          <t>Outperforming</t>
        </is>
      </c>
      <c r="N81" s="31">
        <f>IF(M81="Underperforming",-5,IF(L81&gt;=95,15,IF(L81&gt;=90,10,IF(L81&gt;=80,5,0))))</f>
        <v/>
      </c>
      <c r="O81" s="31" t="n">
        <v>83.22</v>
      </c>
      <c r="P81" s="31" t="n">
        <v>73.18000000000001</v>
      </c>
      <c r="Q81" s="31" t="n">
        <v>228.08</v>
      </c>
      <c r="R81" s="30" t="inlineStr">
        <is>
          <t>Earnings / Momentum Support</t>
        </is>
      </c>
      <c r="S81" s="30" t="inlineStr">
        <is>
          <t>Nifty FMCG</t>
        </is>
      </c>
      <c r="T81" s="31" t="n">
        <v>-17.21</v>
      </c>
      <c r="U81" s="31" t="n">
        <v>837.9</v>
      </c>
      <c r="V81" s="31" t="n">
        <v>1032.9</v>
      </c>
      <c r="W81" s="31" t="n">
        <v>92.19</v>
      </c>
      <c r="X81" s="30" t="inlineStr">
        <is>
          <t>Growing Industry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No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B2C</t>
        </is>
      </c>
      <c r="AO81" s="30">
        <f>IF(AN81="B2C",10,IF(AN81="B2B",5,0))</f>
        <v/>
      </c>
      <c r="AP81" s="30" t="inlineStr">
        <is>
          <t>No</t>
        </is>
      </c>
      <c r="AQ81" s="30">
        <f>IF(AP81="Yes",10,0)</f>
        <v/>
      </c>
      <c r="AR81" s="30" t="inlineStr">
        <is>
          <t>Higher Annuity, Lower One Time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Above 40</t>
        </is>
      </c>
      <c r="AY81" s="30">
        <f>IF(AX81="Above 40",20,IF(AX81="20 to 40",10,IF(AX81="0 to 20",-5,0)))</f>
        <v/>
      </c>
      <c r="AZ81" s="30" t="inlineStr">
        <is>
          <t>Above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Negative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Close to 52 week high or retracement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More than 20%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Yes</t>
        </is>
      </c>
      <c r="BS81" s="30">
        <f>IF(BR81="NO",5,0)</f>
        <v/>
      </c>
      <c r="BT81" s="30" t="inlineStr">
        <is>
          <t>Above 2</t>
        </is>
      </c>
      <c r="BU81" s="30">
        <f>IF(BT81="Above 2",0,IF(BT81="Between 1.5 to 2",5,IF(BT81="Less than 1.5",10,0)))</f>
        <v/>
      </c>
      <c r="BV81" s="30" t="inlineStr">
        <is>
          <t>Above 70%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Less than 0.7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  <c r="CF81" s="30" t="inlineStr">
        <is>
          <t>20</t>
        </is>
      </c>
      <c r="CG81" s="30">
        <f>IF(CF81&gt;20,10,IF(CF81&gt;=10,5,2))</f>
        <v/>
      </c>
    </row>
    <row r="82">
      <c r="A82" s="30">
        <f>IF(B82=0,"",RANK(B82,$B$2:$B$95,0))</f>
        <v/>
      </c>
      <c r="B82" s="31">
        <f>SUM(N82,Y82,AA82,AC82,AE82,AG82,AI82,AK82,AM82,AO82,AQ82,AS82,AU82,AW82,AY82,BA82,BC82,BE82,BG82,BI82,BK82,BM82,BO82,BQ82,BS82,BU82,BW82,BY82,CA82,CC82,CE82,CG82)</f>
        <v/>
      </c>
      <c r="C82" s="33" t="inlineStr">
        <is>
          <t>AEGISLOG</t>
        </is>
      </c>
      <c r="D82" s="33" t="inlineStr">
        <is>
          <t>Aegis Logistics Ltd</t>
        </is>
      </c>
      <c r="E82" s="30" t="inlineStr">
        <is>
          <t>Energy</t>
        </is>
      </c>
      <c r="F82" s="30" t="inlineStr">
        <is>
          <t>Logistics</t>
        </is>
      </c>
      <c r="G82" s="30" t="inlineStr">
        <is>
          <t>largecap</t>
        </is>
      </c>
      <c r="H82" s="31" t="n">
        <v>45910.8</v>
      </c>
      <c r="I82" s="31" t="n">
        <v>1308</v>
      </c>
      <c r="J82" s="31" t="n">
        <v>-2.64</v>
      </c>
      <c r="K82" s="31" t="n">
        <v>0</v>
      </c>
      <c r="L82" s="30" t="n">
        <v>84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63.43</v>
      </c>
      <c r="P82" s="31" t="n">
        <v>60.84</v>
      </c>
      <c r="Q82" s="31" t="n">
        <v>1024.2</v>
      </c>
      <c r="R82" s="30" t="inlineStr">
        <is>
          <t>Earnings / Momentum Support</t>
        </is>
      </c>
      <c r="S82" s="30" t="inlineStr">
        <is>
          <t>Nifty Energy</t>
        </is>
      </c>
      <c r="T82" s="31" t="n">
        <v>8.43</v>
      </c>
      <c r="U82" s="31" t="n">
        <v>78.56</v>
      </c>
      <c r="V82" s="31" t="n">
        <v>64.67</v>
      </c>
      <c r="W82" s="31" t="n">
        <v>33.44</v>
      </c>
      <c r="X82" s="30" t="inlineStr">
        <is>
          <t>Cyclical in an Upturn</t>
        </is>
      </c>
      <c r="Y82" s="30">
        <f>IF(X82="Growing Industry",10,IF(X82="Cyclical in an Upturn",5,0))</f>
        <v/>
      </c>
      <c r="Z82" s="30" t="inlineStr">
        <is>
          <t>Oligopoly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Yes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Cyclical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Volatile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No</t>
        </is>
      </c>
      <c r="AQ82" s="30">
        <f>IF(AP82="Yes",10,0)</f>
        <v/>
      </c>
      <c r="AR82" s="30" t="inlineStr">
        <is>
          <t>Higher One Time, Lower Annuity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Above 40</t>
        </is>
      </c>
      <c r="AY82" s="30">
        <f>IF(AX82="Above 40",20,IF(AX82="20 to 40",10,IF(AX82="0 to 20",-5,0)))</f>
        <v/>
      </c>
      <c r="AZ82" s="30" t="inlineStr">
        <is>
          <t>Between 50 to 75</t>
        </is>
      </c>
      <c r="BA82" s="30">
        <f>IF(AZ82="Between 50 to 75",10,IF(AZ82="Above 75",0,0))</f>
        <v/>
      </c>
      <c r="BB82" s="30" t="inlineStr">
        <is>
          <t>Stage 2</t>
        </is>
      </c>
      <c r="BC82" s="30">
        <f>IF(BB82="Stage 2",20,IF(BB82="Stage 1",0,IF(BB82="Stage 3",5,IF(BB82="Stage 4",-5,0))))</f>
        <v/>
      </c>
      <c r="BD82" s="30" t="inlineStr">
        <is>
          <t>Positive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Close to 52 week high or retracement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More than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No</t>
        </is>
      </c>
      <c r="BS82" s="30">
        <f>IF(BR82="NO",5,0)</f>
        <v/>
      </c>
      <c r="BT82" s="30" t="inlineStr">
        <is>
          <t>Above 2</t>
        </is>
      </c>
      <c r="BU82" s="30">
        <f>IF(BT82="Above 2",0,IF(BT82="Between 1.5 to 2",5,IF(BT82="Less than 1.5",10,0)))</f>
        <v/>
      </c>
      <c r="BV82" s="30" t="inlineStr">
        <is>
          <t>Above 70%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  <c r="CF82" s="30" t="inlineStr">
        <is>
          <t>23</t>
        </is>
      </c>
      <c r="CG82" s="30">
        <f>IF(CF82&gt;20,10,IF(CF82&gt;=10,5,2))</f>
        <v/>
      </c>
    </row>
    <row r="83">
      <c r="A83" s="30">
        <f>IF(B83=0,"",RANK(B83,$B$2:$B$95,0))</f>
        <v/>
      </c>
      <c r="B83" s="31">
        <f>SUM(N83,Y83,AA83,AC83,AE83,AG83,AI83,AK83,AM83,AO83,AQ83,AS83,AU83,AW83,AY83,BA83,BC83,BE83,BG83,BI83,BK83,BM83,BO83,BQ83,BS83,BU83,BW83,BY83,CA83,CC83,CE83,CG83)</f>
        <v/>
      </c>
      <c r="C83" s="30" t="inlineStr">
        <is>
          <t>DEEPINDS</t>
        </is>
      </c>
      <c r="D83" s="30" t="inlineStr">
        <is>
          <t>Deep Industries Ltd</t>
        </is>
      </c>
      <c r="E83" s="30" t="inlineStr">
        <is>
          <t>energy</t>
        </is>
      </c>
      <c r="F83" s="30" t="inlineStr">
        <is>
          <t>Oil Drilling &amp; Exploration</t>
        </is>
      </c>
      <c r="G83" s="30" t="inlineStr">
        <is>
          <t>midcap</t>
        </is>
      </c>
      <c r="H83" s="31" t="n">
        <v>5020.8</v>
      </c>
      <c r="I83" s="31" t="n">
        <v>784.5</v>
      </c>
      <c r="J83" s="31" t="n">
        <v>-1.03</v>
      </c>
      <c r="K83" s="31" t="n">
        <v>0</v>
      </c>
      <c r="L83" s="30" t="n">
        <v>77</v>
      </c>
      <c r="M83" s="30" t="inlineStr">
        <is>
          <t>Outperforming</t>
        </is>
      </c>
      <c r="N83" s="31">
        <f>IF(M83="Underperforming",-5,IF(L83&gt;=95,15,IF(L83&gt;=90,10,IF(L83&gt;=80,5,0))))</f>
        <v/>
      </c>
      <c r="O83" s="31" t="n">
        <v>79.76000000000001</v>
      </c>
      <c r="P83" s="31" t="n">
        <v>33.06</v>
      </c>
      <c r="Q83" s="31" t="n">
        <v>610.61</v>
      </c>
      <c r="R83" s="30" t="inlineStr">
        <is>
          <t>Near 52W High Breakout</t>
        </is>
      </c>
      <c r="S83" s="30" t="inlineStr">
        <is>
          <t>Nifty Energy</t>
        </is>
      </c>
      <c r="T83" s="31" t="n">
        <v>8.43</v>
      </c>
      <c r="U83" s="31" t="n">
        <v>75.25</v>
      </c>
      <c r="V83" s="31" t="n">
        <v>61.62</v>
      </c>
      <c r="W83" s="31" t="n">
        <v>27.86</v>
      </c>
      <c r="X83" s="30" t="inlineStr">
        <is>
          <t>Cyclical in an Upturn</t>
        </is>
      </c>
      <c r="Y83" s="30">
        <f>IF(X83="Growing Industry",10,IF(X83="Cyclical in an Upturn",5,0))</f>
        <v/>
      </c>
      <c r="Z83" s="30" t="inlineStr">
        <is>
          <t>Oligopoly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Yes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Cyclical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Volatile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Yes</t>
        </is>
      </c>
      <c r="AQ83" s="30">
        <f>IF(AP83="Yes",10,0)</f>
        <v/>
      </c>
      <c r="AR83" s="30" t="inlineStr">
        <is>
          <t>Higher One Time, Lower Annuity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20 to 40</t>
        </is>
      </c>
      <c r="AY83" s="30">
        <f>IF(AX83="Above 40",20,IF(AX83="20 to 40",10,IF(AX83="0 to 20",-5,0)))</f>
        <v/>
      </c>
      <c r="AZ83" s="30" t="inlineStr">
        <is>
          <t>Above 75</t>
        </is>
      </c>
      <c r="BA83" s="30">
        <f>IF(AZ83="Between 50 to 75",10,IF(AZ83="Above 75",0,0))</f>
        <v/>
      </c>
      <c r="BB83" s="30" t="inlineStr">
        <is>
          <t>Stage 2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Blue sky scenario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No</t>
        </is>
      </c>
      <c r="BS83" s="30">
        <f>IF(BR83="NO",5,0)</f>
        <v/>
      </c>
      <c r="BT83" s="30" t="inlineStr">
        <is>
          <t>Less than 1.5</t>
        </is>
      </c>
      <c r="BU83" s="30">
        <f>IF(BT83="Above 2",0,IF(BT83="Between 1.5 to 2",5,IF(BT83="Less than 1.5",10,0)))</f>
        <v/>
      </c>
      <c r="BV83" s="30" t="inlineStr">
        <is>
          <t>Above 70%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Less than 0.7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  <c r="CF83" s="30" t="inlineStr">
        <is>
          <t>21</t>
        </is>
      </c>
      <c r="CG83" s="30">
        <f>IF(CF83&gt;20,10,IF(CF83&gt;=10,5,2))</f>
        <v/>
      </c>
    </row>
    <row r="84">
      <c r="A84" s="30">
        <f>IF(B84=0,"",RANK(B84,$B$2:$B$95,0))</f>
        <v/>
      </c>
      <c r="B84" s="31">
        <f>SUM(N84,Y84,AA84,AC84,AE84,AG84,AI84,AK84,AM84,AO84,AQ84,AS84,AU84,AW84,AY84,BA84,BC84,BE84,BG84,BI84,BK84,BM84,BO84,BQ84,BS84,BU84,BW84,BY84,CA84,CC84,CE84,CG84)</f>
        <v/>
      </c>
      <c r="C84" s="32" t="inlineStr">
        <is>
          <t>MAHSEAMLES</t>
        </is>
      </c>
      <c r="D84" s="32" t="inlineStr">
        <is>
          <t>Maharashtra Seamless Ltd</t>
        </is>
      </c>
      <c r="E84" s="30" t="inlineStr">
        <is>
          <t>metals &amp; mining</t>
        </is>
      </c>
      <c r="F84" s="30" t="inlineStr">
        <is>
          <t>Steel - Tubes/Pipes</t>
        </is>
      </c>
      <c r="G84" s="30" t="inlineStr">
        <is>
          <t>midcap</t>
        </is>
      </c>
      <c r="H84" s="31" t="n">
        <v>9620.6</v>
      </c>
      <c r="I84" s="31" t="n">
        <v>718</v>
      </c>
      <c r="J84" s="31" t="n">
        <v>6.18</v>
      </c>
      <c r="K84" s="31" t="n">
        <v>0</v>
      </c>
      <c r="L84" s="30" t="n">
        <v>15</v>
      </c>
      <c r="M84" s="30" t="inlineStr">
        <is>
          <t>Underperforming</t>
        </is>
      </c>
      <c r="N84" s="31">
        <f>IF(M84="Underperforming",-5,IF(L84&gt;=95,15,IF(L84&gt;=90,10,IF(L84&gt;=80,5,0))))</f>
        <v/>
      </c>
      <c r="O84" s="31" t="n">
        <v>74.2</v>
      </c>
      <c r="P84" s="31" t="n">
        <v>20.28</v>
      </c>
      <c r="Q84" s="31" t="n">
        <v>605.78</v>
      </c>
      <c r="R84" s="30" t="inlineStr">
        <is>
          <t>Volume Spike &amp; Near 52W High Breakout</t>
        </is>
      </c>
      <c r="S84" s="30" t="inlineStr">
        <is>
          <t>Nifty Metal</t>
        </is>
      </c>
      <c r="T84" s="31" t="n">
        <v>41.17</v>
      </c>
      <c r="U84" s="31" t="n">
        <v>4.92</v>
      </c>
      <c r="V84" s="31" t="n">
        <v>-25.68</v>
      </c>
      <c r="W84" s="31" t="n">
        <v>4.94</v>
      </c>
      <c r="X84" s="30" t="inlineStr">
        <is>
          <t>Cyclical in an Upturn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No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Cyclical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Volatile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Yes</t>
        </is>
      </c>
      <c r="AQ84" s="30">
        <f>IF(AP84="Yes",10,0)</f>
        <v/>
      </c>
      <c r="AR84" s="30" t="inlineStr">
        <is>
          <t>Higher One Time, Lower Annuity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20 to 40</t>
        </is>
      </c>
      <c r="AY84" s="30">
        <f>IF(AX84="Above 40",20,IF(AX84="20 to 40",10,IF(AX84="0 to 20",-5,0)))</f>
        <v/>
      </c>
      <c r="AZ84" s="30" t="inlineStr">
        <is>
          <t>Between 50 to 75</t>
        </is>
      </c>
      <c r="BA84" s="30">
        <f>IF(AZ84="Between 50 to 75",10,IF(AZ84="Above 75",0,0))</f>
        <v/>
      </c>
      <c r="BB84" s="30" t="inlineStr">
        <is>
          <t>Stage 2</t>
        </is>
      </c>
      <c r="BC84" s="30">
        <f>IF(BB84="Stage 2",20,IF(BB84="Stage 1",0,IF(BB84="Stage 3",5,IF(BB84="Stage 4",-5,0))))</f>
        <v/>
      </c>
      <c r="BD84" s="30" t="inlineStr">
        <is>
          <t>Positive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Close to 52 week high or retracement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Between 12 to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No</t>
        </is>
      </c>
      <c r="BS84" s="30">
        <f>IF(BR84="NO",5,0)</f>
        <v/>
      </c>
      <c r="BT84" s="30" t="inlineStr">
        <is>
          <t>Less than 1.5</t>
        </is>
      </c>
      <c r="BU84" s="30">
        <f>IF(BT84="Above 2",0,IF(BT84="Between 1.5 to 2",5,IF(BT84="Less than 1.5",10,0)))</f>
        <v/>
      </c>
      <c r="BV84" s="30" t="inlineStr">
        <is>
          <t>Above 70%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Less than 0.7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  <c r="CF84" s="30" t="inlineStr">
        <is>
          <t>20</t>
        </is>
      </c>
      <c r="CG84" s="30">
        <f>IF(CF84&gt;20,10,IF(CF84&gt;=10,5,2))</f>
        <v/>
      </c>
    </row>
    <row r="85">
      <c r="A85" s="30">
        <f>IF(B85=0,"",RANK(B85,$B$2:$B$95,0))</f>
        <v/>
      </c>
      <c r="B85" s="31">
        <f>SUM(N85,Y85,AA85,AC85,AE85,AG85,AI85,AK85,AM85,AO85,AQ85,AS85,AU85,AW85,AY85,BA85,BC85,BE85,BG85,BI85,BK85,BM85,BO85,BQ85,BS85,BU85,BW85,BY85,CA85,CC85,CE85,CG85)</f>
        <v/>
      </c>
      <c r="C85" s="30" t="inlineStr">
        <is>
          <t>SHANTIGEAR</t>
        </is>
      </c>
      <c r="D85" s="30" t="inlineStr">
        <is>
          <t>Shanthi Gears Ltd</t>
        </is>
      </c>
      <c r="E85" s="30" t="inlineStr">
        <is>
          <t>industrials</t>
        </is>
      </c>
      <c r="F85" s="30" t="inlineStr">
        <is>
          <t>Auto Ancillaries - Gears</t>
        </is>
      </c>
      <c r="G85" s="30" t="inlineStr">
        <is>
          <t>midcap</t>
        </is>
      </c>
      <c r="H85" s="31" t="n">
        <v>5623.27</v>
      </c>
      <c r="I85" s="31" t="n">
        <v>733</v>
      </c>
      <c r="J85" s="31" t="n">
        <v>3.57</v>
      </c>
      <c r="K85" s="31" t="n">
        <v>0</v>
      </c>
      <c r="L85" s="30" t="n">
        <v>59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84.56999999999999</v>
      </c>
      <c r="P85" s="31" t="n">
        <v>26.38</v>
      </c>
      <c r="Q85" s="31" t="n">
        <v>583.14</v>
      </c>
      <c r="R85" s="30" t="inlineStr">
        <is>
          <t>Near 52W High Breakout</t>
        </is>
      </c>
      <c r="S85" s="30" t="inlineStr">
        <is>
          <t>Nifty Infra</t>
        </is>
      </c>
      <c r="T85" s="31" t="n">
        <v>0.74</v>
      </c>
      <c r="U85" s="31" t="n">
        <v>26.74</v>
      </c>
      <c r="V85" s="31" t="n">
        <v>25.81</v>
      </c>
      <c r="W85" s="31" t="n">
        <v>18.4</v>
      </c>
      <c r="X85" s="30" t="inlineStr">
        <is>
          <t>Cyclical in an Upturn</t>
        </is>
      </c>
      <c r="Y85" s="30">
        <f>IF(X85="Growing Industry",10,IF(X85="Cyclical in an Upturn",5,0))</f>
        <v/>
      </c>
      <c r="Z85" s="30" t="inlineStr">
        <is>
          <t>Too Many Players with High ROCE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No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Structural (10 Years Consistency)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Stable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Yes</t>
        </is>
      </c>
      <c r="AQ85" s="30">
        <f>IF(AP85="Yes",10,0)</f>
        <v/>
      </c>
      <c r="AR85" s="30" t="inlineStr">
        <is>
          <t>Higher One Time, Lower Annuity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20 to 40</t>
        </is>
      </c>
      <c r="AY85" s="30">
        <f>IF(AX85="Above 40",20,IF(AX85="20 to 40",10,IF(AX85="0 to 20",-5,0)))</f>
        <v/>
      </c>
      <c r="AZ85" s="30" t="inlineStr">
        <is>
          <t>Above 75</t>
        </is>
      </c>
      <c r="BA85" s="30">
        <f>IF(AZ85="Between 50 to 75",10,IF(AZ85="Above 75",0,0))</f>
        <v/>
      </c>
      <c r="BB85" s="30" t="inlineStr">
        <is>
          <t>Stage 2</t>
        </is>
      </c>
      <c r="BC85" s="30">
        <f>IF(BB85="Stage 2",20,IF(BB85="Stage 1",0,IF(BB85="Stage 3",5,IF(BB85="Stage 4",-5,0))))</f>
        <v/>
      </c>
      <c r="BD85" s="30" t="inlineStr">
        <is>
          <t>Positive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Blue sky scenario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Less than 12%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Yes</t>
        </is>
      </c>
      <c r="BS85" s="30">
        <f>IF(BR85="NO",5,0)</f>
        <v/>
      </c>
      <c r="BT85" s="30" t="inlineStr">
        <is>
          <t>Above 2</t>
        </is>
      </c>
      <c r="BU85" s="30">
        <f>IF(BT85="Above 2",0,IF(BT85="Between 1.5 to 2",5,IF(BT85="Less than 1.5",10,0)))</f>
        <v/>
      </c>
      <c r="BV85" s="30" t="inlineStr">
        <is>
          <t>Above 70%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Less than 0.7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  <c r="CF85" s="30" t="inlineStr">
        <is>
          <t>20</t>
        </is>
      </c>
      <c r="CG85" s="30">
        <f>IF(CF85&gt;20,10,IF(CF85&gt;=10,5,2))</f>
        <v/>
      </c>
    </row>
    <row r="86">
      <c r="A86" s="30">
        <f>IF(B86=0,"",RANK(B86,$B$2:$B$95,0))</f>
        <v/>
      </c>
      <c r="B86" s="31">
        <f>SUM(N86,Y86,AA86,AC86,AE86,AG86,AI86,AK86,AM86,AO86,AQ86,AS86,AU86,AW86,AY86,BA86,BC86,BE86,BG86,BI86,BK86,BM86,BO86,BQ86,BS86,BU86,BW86,BY86,CA86,CC86,CE86,CG86)</f>
        <v/>
      </c>
      <c r="C86" s="30" t="inlineStr">
        <is>
          <t>SBC</t>
        </is>
      </c>
      <c r="D86" s="30" t="inlineStr">
        <is>
          <t>SBC Exports Ltd</t>
        </is>
      </c>
      <c r="E86" s="30" t="inlineStr">
        <is>
          <t>textiles</t>
        </is>
      </c>
      <c r="F86" s="30" t="inlineStr">
        <is>
          <t>Textiles - Readymade Apparel</t>
        </is>
      </c>
      <c r="G86" s="30" t="inlineStr">
        <is>
          <t>smallcap</t>
        </is>
      </c>
      <c r="H86" s="31" t="n">
        <v>2290</v>
      </c>
      <c r="I86" s="31" t="n">
        <v>48.09</v>
      </c>
      <c r="J86" s="31" t="n">
        <v>-1.21</v>
      </c>
      <c r="K86" s="31" t="n">
        <v>0</v>
      </c>
      <c r="L86" s="30" t="n">
        <v>71</v>
      </c>
      <c r="M86" s="30" t="inlineStr">
        <is>
          <t>Outperforming</t>
        </is>
      </c>
      <c r="N86" s="31">
        <f>IF(M86="Underperforming",-5,IF(L86&gt;=95,15,IF(L86&gt;=90,10,IF(L86&gt;=80,5,0))))</f>
        <v/>
      </c>
      <c r="O86" s="31" t="n">
        <v>75.01000000000001</v>
      </c>
      <c r="P86" s="31" t="n">
        <v>33.61</v>
      </c>
      <c r="Q86" s="31" t="n">
        <v>39.24</v>
      </c>
      <c r="R86" s="30" t="inlineStr">
        <is>
          <t>Near 52W High Breakout</t>
        </is>
      </c>
      <c r="S86" s="30" t="inlineStr">
        <is>
          <t>Nifty 50</t>
        </is>
      </c>
      <c r="T86" s="31" t="n">
        <v>-6.52</v>
      </c>
      <c r="U86" s="31" t="n">
        <v>120.01</v>
      </c>
      <c r="V86" s="31" t="n">
        <v>135.34</v>
      </c>
      <c r="W86" s="31" t="n">
        <v>23.43</v>
      </c>
      <c r="X86" s="30" t="inlineStr">
        <is>
          <t>Growing Industry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No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Structural (10 Years Consistency)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Stable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Yes</t>
        </is>
      </c>
      <c r="AQ86" s="30">
        <f>IF(AP86="Yes",10,0)</f>
        <v/>
      </c>
      <c r="AR86" s="30" t="inlineStr">
        <is>
          <t>Higher One Time, Lower Annuity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20 to 40</t>
        </is>
      </c>
      <c r="AY86" s="30">
        <f>IF(AX86="Above 40",20,IF(AX86="20 to 40",10,IF(AX86="0 to 20",-5,0)))</f>
        <v/>
      </c>
      <c r="AZ86" s="30" t="inlineStr">
        <is>
          <t>Above 75</t>
        </is>
      </c>
      <c r="BA86" s="30">
        <f>IF(AZ86="Between 50 to 75",10,IF(AZ86="Above 75",0,0))</f>
        <v/>
      </c>
      <c r="BB86" s="30" t="inlineStr">
        <is>
          <t>Stage 2</t>
        </is>
      </c>
      <c r="BC86" s="30">
        <f>IF(BB86="Stage 2",20,IF(BB86="Stage 1",0,IF(BB86="Stage 3",5,IF(BB86="Stage 4",-5,0))))</f>
        <v/>
      </c>
      <c r="BD86" s="30" t="inlineStr">
        <is>
          <t>Positive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Blue sky scenario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More than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Yes</t>
        </is>
      </c>
      <c r="BS86" s="30">
        <f>IF(BR86="NO",5,0)</f>
        <v/>
      </c>
      <c r="BT86" s="30" t="inlineStr">
        <is>
          <t>Above 2</t>
        </is>
      </c>
      <c r="BU86" s="30">
        <f>IF(BT86="Above 2",0,IF(BT86="Between 1.5 to 2",5,IF(BT86="Less than 1.5",10,0)))</f>
        <v/>
      </c>
      <c r="BV86" s="30" t="inlineStr">
        <is>
          <t>Above 70%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More than 1.2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  <c r="CF86" s="30" t="inlineStr">
        <is>
          <t>22</t>
        </is>
      </c>
      <c r="CG86" s="30">
        <f>IF(CF86&gt;20,10,IF(CF86&gt;=10,5,2))</f>
        <v/>
      </c>
    </row>
    <row r="87">
      <c r="A87" s="30">
        <f>IF(B87=0,"",RANK(B87,$B$2:$B$95,0))</f>
        <v/>
      </c>
      <c r="B87" s="31">
        <f>SUM(N87,Y87,AA87,AC87,AE87,AG87,AI87,AK87,AM87,AO87,AQ87,AS87,AU87,AW87,AY87,BA87,BC87,BE87,BG87,BI87,BK87,BM87,BO87,BQ87,BS87,BU87,BW87,BY87,CA87,CC87,CE87,CG87)</f>
        <v/>
      </c>
      <c r="C87" s="30" t="inlineStr">
        <is>
          <t>GMMPFAUDLR</t>
        </is>
      </c>
      <c r="D87" s="30" t="inlineStr">
        <is>
          <t>GMM Pfaudler Ltd</t>
        </is>
      </c>
      <c r="E87" s="30" t="inlineStr">
        <is>
          <t>industrials</t>
        </is>
      </c>
      <c r="F87" s="30" t="inlineStr">
        <is>
          <t>Glass - Others</t>
        </is>
      </c>
      <c r="G87" s="30" t="inlineStr">
        <is>
          <t>midcap</t>
        </is>
      </c>
      <c r="H87" s="31" t="n">
        <v>5947.84</v>
      </c>
      <c r="I87" s="31" t="n">
        <v>1323</v>
      </c>
      <c r="J87" s="31" t="n">
        <v>1.35</v>
      </c>
      <c r="K87" s="31" t="n">
        <v>0</v>
      </c>
      <c r="L87" s="30" t="n">
        <v>69</v>
      </c>
      <c r="M87" s="30" t="inlineStr">
        <is>
          <t>Outperforming</t>
        </is>
      </c>
      <c r="N87" s="31">
        <f>IF(M87="Underperforming",-5,IF(L87&gt;=95,15,IF(L87&gt;=90,10,IF(L87&gt;=80,5,0))))</f>
        <v/>
      </c>
      <c r="O87" s="31" t="n">
        <v>77.34</v>
      </c>
      <c r="P87" s="31" t="n">
        <v>31.49</v>
      </c>
      <c r="Q87" s="31" t="n">
        <v>1063.58</v>
      </c>
      <c r="R87" s="30" t="inlineStr">
        <is>
          <t>Volume Spike &amp; Near 52W High Breakout</t>
        </is>
      </c>
      <c r="S87" s="30" t="inlineStr">
        <is>
          <t>Nifty 50</t>
        </is>
      </c>
      <c r="T87" s="31" t="n">
        <v>-6.52</v>
      </c>
      <c r="U87" s="31" t="n">
        <v>15.54</v>
      </c>
      <c r="V87" s="31" t="n">
        <v>23.59</v>
      </c>
      <c r="W87" s="31" t="n">
        <v>21.97</v>
      </c>
      <c r="X87" s="30" t="inlineStr">
        <is>
          <t>Cyclical in an Upturn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No</t>
        </is>
      </c>
      <c r="AC87" s="30">
        <f>IF(AB87="No",5,0)</f>
        <v/>
      </c>
      <c r="AD87" s="30" t="inlineStr">
        <is>
          <t>Tailwind</t>
        </is>
      </c>
      <c r="AE87" s="30">
        <f>IF(AD87="Tailwind",10,0)</f>
        <v/>
      </c>
      <c r="AF87" s="30" t="inlineStr">
        <is>
          <t>Structural (10 Years Consistency)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Yes</t>
        </is>
      </c>
      <c r="AQ87" s="30">
        <f>IF(AP87="Yes",10,0)</f>
        <v/>
      </c>
      <c r="AR87" s="30" t="inlineStr">
        <is>
          <t>Higher One Time, Lower Annuity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20 to 40</t>
        </is>
      </c>
      <c r="AY87" s="30">
        <f>IF(AX87="Above 40",20,IF(AX87="20 to 40",10,IF(AX87="0 to 20",-5,0)))</f>
        <v/>
      </c>
      <c r="AZ87" s="30" t="inlineStr">
        <is>
          <t>Above 75</t>
        </is>
      </c>
      <c r="BA87" s="30">
        <f>IF(AZ87="Between 50 to 75",10,IF(AZ87="Above 75",0,0))</f>
        <v/>
      </c>
      <c r="BB87" s="30" t="inlineStr">
        <is>
          <t>Stage 2</t>
        </is>
      </c>
      <c r="BC87" s="30">
        <f>IF(BB87="Stage 2",20,IF(BB87="Stage 1",0,IF(BB87="Stage 3",5,IF(BB87="Stage 4",-5,0))))</f>
        <v/>
      </c>
      <c r="BD87" s="30" t="inlineStr">
        <is>
          <t>Positive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Close to 52 week high or retracement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More than 20%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Yes</t>
        </is>
      </c>
      <c r="BS87" s="30">
        <f>IF(BR87="NO",5,0)</f>
        <v/>
      </c>
      <c r="BT87" s="30" t="inlineStr">
        <is>
          <t>Above 2</t>
        </is>
      </c>
      <c r="BU87" s="30">
        <f>IF(BT87="Above 2",0,IF(BT87="Between 1.5 to 2",5,IF(BT87="Less than 1.5",10,0)))</f>
        <v/>
      </c>
      <c r="BV87" s="30" t="inlineStr">
        <is>
          <t>Above 70%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Between 0.7 to 1.2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  <c r="CF87" s="30" t="inlineStr">
        <is>
          <t>22</t>
        </is>
      </c>
      <c r="CG87" s="30">
        <f>IF(CF87&gt;20,10,IF(CF87&gt;=10,5,2))</f>
        <v/>
      </c>
    </row>
    <row r="88">
      <c r="A88" s="30">
        <f>IF(B88=0,"",RANK(B88,$B$2:$B$95,0))</f>
        <v/>
      </c>
      <c r="B88" s="31">
        <f>SUM(N88,Y88,AA88,AC88,AE88,AG88,AI88,AK88,AM88,AO88,AQ88,AS88,AU88,AW88,AY88,BA88,BC88,BE88,BG88,BI88,BK88,BM88,BO88,BQ88,BS88,BU88,BW88,BY88,CA88,CC88,CE88,CG88)</f>
        <v/>
      </c>
      <c r="C88" s="33" t="inlineStr">
        <is>
          <t>NAVINFLUOR</t>
        </is>
      </c>
      <c r="D88" s="33" t="inlineStr">
        <is>
          <t>Navin Fluorine International Ltd</t>
        </is>
      </c>
      <c r="E88" s="30" t="inlineStr">
        <is>
          <t>chemicals</t>
        </is>
      </c>
      <c r="F88" s="30" t="inlineStr">
        <is>
          <t>Chemicals - Flourine</t>
        </is>
      </c>
      <c r="G88" s="30" t="inlineStr">
        <is>
          <t>largecap</t>
        </is>
      </c>
      <c r="H88" s="31" t="n">
        <v>44736.08</v>
      </c>
      <c r="I88" s="31" t="n">
        <v>8718</v>
      </c>
      <c r="J88" s="31" t="n">
        <v>-0.66</v>
      </c>
      <c r="K88" s="31" t="n">
        <v>0</v>
      </c>
      <c r="L88" s="30" t="n">
        <v>54</v>
      </c>
      <c r="M88" s="30" t="inlineStr">
        <is>
          <t>Outperforming</t>
        </is>
      </c>
      <c r="N88" s="31">
        <f>IF(M88="Underperforming",-5,IF(L88&gt;=95,15,IF(L88&gt;=90,10,IF(L88&gt;=80,5,0))))</f>
        <v/>
      </c>
      <c r="O88" s="31" t="n">
        <v>79.41</v>
      </c>
      <c r="P88" s="31" t="n">
        <v>60.77</v>
      </c>
      <c r="Q88" s="31" t="n">
        <v>7290.27</v>
      </c>
      <c r="R88" s="30" t="inlineStr">
        <is>
          <t>Near 52W High Breakout</t>
        </is>
      </c>
      <c r="S88" s="30" t="inlineStr">
        <is>
          <t>Nifty 50</t>
        </is>
      </c>
      <c r="T88" s="31" t="n">
        <v>-6.52</v>
      </c>
      <c r="U88" s="31" t="n">
        <v>82.01000000000001</v>
      </c>
      <c r="V88" s="31" t="n">
        <v>94.7</v>
      </c>
      <c r="W88" s="31" t="n">
        <v>17.1</v>
      </c>
      <c r="X88" s="30" t="inlineStr">
        <is>
          <t>Growing Industry</t>
        </is>
      </c>
      <c r="Y88" s="30">
        <f>IF(X88="Growing Industry",10,IF(X88="Cyclical in an Upturn",5,0))</f>
        <v/>
      </c>
      <c r="Z88" s="30" t="inlineStr">
        <is>
          <t>Oligopoly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No</t>
        </is>
      </c>
      <c r="AC88" s="30">
        <f>IF(AB88="No",5,0)</f>
        <v/>
      </c>
      <c r="AD88" s="30" t="inlineStr">
        <is>
          <t>Tailwind</t>
        </is>
      </c>
      <c r="AE88" s="30">
        <f>IF(AD88="Tailwind",10,0)</f>
        <v/>
      </c>
      <c r="AF88" s="30" t="inlineStr">
        <is>
          <t>Shallow Cyclical (2 to 3 Years Growth)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Stable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B2B</t>
        </is>
      </c>
      <c r="AO88" s="30">
        <f>IF(AN88="B2C",10,IF(AN88="B2B",5,0))</f>
        <v/>
      </c>
      <c r="AP88" s="30" t="inlineStr">
        <is>
          <t>Yes</t>
        </is>
      </c>
      <c r="AQ88" s="30">
        <f>IF(AP88="Yes",10,0)</f>
        <v/>
      </c>
      <c r="AR88" s="30" t="inlineStr">
        <is>
          <t>Higher One Time, Lower Annuity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20 to 40</t>
        </is>
      </c>
      <c r="AY88" s="30">
        <f>IF(AX88="Above 40",20,IF(AX88="20 to 40",10,IF(AX88="0 to 20",-5,0)))</f>
        <v/>
      </c>
      <c r="AZ88" s="30" t="inlineStr">
        <is>
          <t>Between 50 to 75</t>
        </is>
      </c>
      <c r="BA88" s="30">
        <f>IF(AZ88="Between 50 to 75",10,IF(AZ88="Above 75",0,0))</f>
        <v/>
      </c>
      <c r="BB88" s="30" t="inlineStr">
        <is>
          <t>Stage 3</t>
        </is>
      </c>
      <c r="BC88" s="30">
        <f>IF(BB88="Stage 2",20,IF(BB88="Stage 1",0,IF(BB88="Stage 3",5,IF(BB88="Stage 4",-5,0))))</f>
        <v/>
      </c>
      <c r="BD88" s="30" t="inlineStr">
        <is>
          <t>Positive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Close to 52 week high or retracement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More than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Yes</t>
        </is>
      </c>
      <c r="BS88" s="30">
        <f>IF(BR88="NO",5,0)</f>
        <v/>
      </c>
      <c r="BT88" s="30" t="inlineStr">
        <is>
          <t>Above 2</t>
        </is>
      </c>
      <c r="BU88" s="30">
        <f>IF(BT88="Above 2",0,IF(BT88="Between 1.5 to 2",5,IF(BT88="Less than 1.5",10,0)))</f>
        <v/>
      </c>
      <c r="BV88" s="30" t="inlineStr">
        <is>
          <t>Between 50% to 70%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Less than 0.7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  <c r="CF88" s="30" t="inlineStr">
        <is>
          <t>19</t>
        </is>
      </c>
      <c r="CG88" s="30">
        <f>IF(CF88&gt;20,10,IF(CF88&gt;=10,5,2))</f>
        <v/>
      </c>
    </row>
    <row r="89">
      <c r="A89" s="30">
        <f>IF(B89=0,"",RANK(B89,$B$2:$B$95,0))</f>
        <v/>
      </c>
      <c r="B89" s="31">
        <f>SUM(N89,Y89,AA89,AC89,AE89,AG89,AI89,AK89,AM89,AO89,AQ89,AS89,AU89,AW89,AY89,BA89,BC89,BE89,BG89,BI89,BK89,BM89,BO89,BQ89,BS89,BU89,BW89,BY89,CA89,CC89,CE89,CG89)</f>
        <v/>
      </c>
      <c r="C89" s="30" t="inlineStr">
        <is>
          <t>TNPETRO</t>
        </is>
      </c>
      <c r="D89" s="30" t="inlineStr">
        <is>
          <t>Tamil Nadu Petro Products Ltd</t>
        </is>
      </c>
      <c r="E89" s="30" t="inlineStr">
        <is>
          <t>energy</t>
        </is>
      </c>
      <c r="F89" s="30" t="inlineStr">
        <is>
          <t>Petrochem - Others</t>
        </is>
      </c>
      <c r="G89" s="30" t="inlineStr">
        <is>
          <t>smallcap</t>
        </is>
      </c>
      <c r="H89" s="31" t="n">
        <v>1200.76</v>
      </c>
      <c r="I89" s="31" t="n">
        <v>133.46</v>
      </c>
      <c r="J89" s="31" t="n">
        <v>-3.01</v>
      </c>
      <c r="K89" s="31" t="n">
        <v>0</v>
      </c>
      <c r="L89" s="30" t="n">
        <v>59</v>
      </c>
      <c r="M89" s="30" t="inlineStr">
        <is>
          <t>Outperforming</t>
        </is>
      </c>
      <c r="N89" s="31">
        <f>IF(M89="Underperforming",-5,IF(L89&gt;=95,15,IF(L89&gt;=90,10,IF(L89&gt;=80,5,0))))</f>
        <v/>
      </c>
      <c r="O89" s="31" t="n">
        <v>78.26000000000001</v>
      </c>
      <c r="P89" s="31" t="n">
        <v>37</v>
      </c>
      <c r="Q89" s="31" t="n">
        <v>101.82</v>
      </c>
      <c r="R89" s="30" t="inlineStr">
        <is>
          <t>Near 52W High Breakout</t>
        </is>
      </c>
      <c r="S89" s="30" t="inlineStr">
        <is>
          <t>Nifty Energy</t>
        </is>
      </c>
      <c r="T89" s="31" t="n">
        <v>8.43</v>
      </c>
      <c r="U89" s="31" t="n">
        <v>31.45</v>
      </c>
      <c r="V89" s="31" t="n">
        <v>21.23</v>
      </c>
      <c r="W89" s="31" t="n">
        <v>18.36</v>
      </c>
      <c r="X89" s="30" t="inlineStr">
        <is>
          <t>Cyclical in an Upturn</t>
        </is>
      </c>
      <c r="Y89" s="30">
        <f>IF(X89="Growing Industry",10,IF(X89="Cyclical in an Upturn",5,0))</f>
        <v/>
      </c>
      <c r="Z89" s="30" t="inlineStr">
        <is>
          <t>Oligopoly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Yes</t>
        </is>
      </c>
      <c r="AC89" s="30">
        <f>IF(AB89="No",5,0)</f>
        <v/>
      </c>
      <c r="AD89" s="30" t="inlineStr">
        <is>
          <t>Tailwind</t>
        </is>
      </c>
      <c r="AE89" s="30">
        <f>IF(AD89="Tailwind",10,0)</f>
        <v/>
      </c>
      <c r="AF89" s="30" t="inlineStr">
        <is>
          <t>Cyclical</t>
        </is>
      </c>
      <c r="AG89" s="30">
        <f>IF(AF89="Structural (10 Years Consistency)",10,IF(AF89="Shallow Cyclical (2 to 3 years growth)",5,0))</f>
        <v/>
      </c>
      <c r="AH89" s="30" t="inlineStr">
        <is>
          <t>No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Volatile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B2B</t>
        </is>
      </c>
      <c r="AO89" s="30">
        <f>IF(AN89="B2C",10,IF(AN89="B2B",5,0))</f>
        <v/>
      </c>
      <c r="AP89" s="30" t="inlineStr">
        <is>
          <t>Yes</t>
        </is>
      </c>
      <c r="AQ89" s="30">
        <f>IF(AP89="Yes",10,0)</f>
        <v/>
      </c>
      <c r="AR89" s="30" t="inlineStr">
        <is>
          <t>Higher One Time, Lower Annuity</t>
        </is>
      </c>
      <c r="AS89" s="30">
        <f>IF(AR89="Fully Annuity",10,IF(AR89="Higher Annuity, Lower One Time",5,IF(AR89="Higher One Time, Lower Annuity",3,0)))</f>
        <v/>
      </c>
      <c r="AT89" s="30" t="inlineStr">
        <is>
          <t>Good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20 to 40</t>
        </is>
      </c>
      <c r="AY89" s="30">
        <f>IF(AX89="Above 40",20,IF(AX89="20 to 40",10,IF(AX89="0 to 20",-5,0)))</f>
        <v/>
      </c>
      <c r="AZ89" s="30" t="inlineStr">
        <is>
          <t>Above 75</t>
        </is>
      </c>
      <c r="BA89" s="30">
        <f>IF(AZ89="Between 50 to 75",10,IF(AZ89="Above 75",0,0))</f>
        <v/>
      </c>
      <c r="BB89" s="30" t="inlineStr">
        <is>
          <t>Stage 2</t>
        </is>
      </c>
      <c r="BC89" s="30">
        <f>IF(BB89="Stage 2",20,IF(BB89="Stage 1",0,IF(BB89="Stage 3",5,IF(BB89="Stage 4",-5,0))))</f>
        <v/>
      </c>
      <c r="BD89" s="30" t="inlineStr">
        <is>
          <t>Positive Trend</t>
        </is>
      </c>
      <c r="BE89" s="30">
        <f>IF(BD89="Positive Trend",20,IF(BD89="Negative Trend",-10,0))</f>
        <v/>
      </c>
      <c r="BF89" s="30" t="inlineStr">
        <is>
          <t>Uptrend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Blue sky scenario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Yes</t>
        </is>
      </c>
      <c r="BM89" s="30">
        <f>IF(BL89="Yes",10,0)</f>
        <v/>
      </c>
      <c r="BN89" s="30" t="inlineStr">
        <is>
          <t>More than 20%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No</t>
        </is>
      </c>
      <c r="BS89" s="30">
        <f>IF(BR89="NO",5,0)</f>
        <v/>
      </c>
      <c r="BT89" s="30" t="inlineStr">
        <is>
          <t>Above 2</t>
        </is>
      </c>
      <c r="BU89" s="30">
        <f>IF(BT89="Above 2",0,IF(BT89="Between 1.5 to 2",5,IF(BT89="Less than 1.5",10,0)))</f>
        <v/>
      </c>
      <c r="BV89" s="30" t="inlineStr">
        <is>
          <t>Above 70%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Less than 0.7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Less than 15%</t>
        </is>
      </c>
      <c r="CC89" s="30">
        <f>IF(CB89="More than 15%",-10,IF(CB89="Less than 15%",10,0))</f>
        <v/>
      </c>
      <c r="CD89" s="30" t="inlineStr">
        <is>
          <t>No</t>
        </is>
      </c>
      <c r="CE89" s="30">
        <f>IF(CD89="Yes, more than 10%",-10,IF(CD89="No",10,0))</f>
        <v/>
      </c>
      <c r="CF89" s="30" t="inlineStr">
        <is>
          <t>23</t>
        </is>
      </c>
      <c r="CG89" s="30">
        <f>IF(CF89&gt;20,10,IF(CF89&gt;=10,5,2))</f>
        <v/>
      </c>
    </row>
    <row r="90">
      <c r="A90" s="30">
        <f>IF(B90=0,"",RANK(B90,$B$2:$B$95,0))</f>
        <v/>
      </c>
      <c r="B90" s="31">
        <f>SUM(N90,Y90,AA90,AC90,AE90,AG90,AI90,AK90,AM90,AO90,AQ90,AS90,AU90,AW90,AY90,BA90,BC90,BE90,BG90,BI90,BK90,BM90,BO90,BQ90,BS90,BU90,BW90,BY90,CA90,CC90,CE90,CG90)</f>
        <v/>
      </c>
      <c r="C90" s="32" t="inlineStr">
        <is>
          <t>PRABHA</t>
        </is>
      </c>
      <c r="D90" s="32" t="inlineStr">
        <is>
          <t>Prabha Energy Ltd</t>
        </is>
      </c>
      <c r="E90" s="30" t="inlineStr">
        <is>
          <t>energy</t>
        </is>
      </c>
      <c r="F90" s="30" t="inlineStr">
        <is>
          <t>Oil Exploration/Allied Services</t>
        </is>
      </c>
      <c r="G90" s="30" t="inlineStr">
        <is>
          <t>smallcap</t>
        </is>
      </c>
      <c r="H90" s="31" t="n">
        <v>3395.12</v>
      </c>
      <c r="I90" s="31" t="n">
        <v>247.99</v>
      </c>
      <c r="J90" s="31" t="n">
        <v>0.57</v>
      </c>
      <c r="K90" s="31" t="n">
        <v>0</v>
      </c>
      <c r="L90" s="30" t="n">
        <v>43</v>
      </c>
      <c r="M90" s="30" t="inlineStr">
        <is>
          <t>Underperforming</t>
        </is>
      </c>
      <c r="N90" s="31">
        <f>IF(M90="Underperforming",-5,IF(L90&gt;=95,15,IF(L90&gt;=90,10,IF(L90&gt;=80,5,0))))</f>
        <v/>
      </c>
      <c r="O90" s="31" t="n">
        <v>73.98999999999999</v>
      </c>
      <c r="P90" s="31" t="n">
        <v>24.78</v>
      </c>
      <c r="Q90" s="31" t="n">
        <v>180.91</v>
      </c>
      <c r="R90" s="30" t="inlineStr">
        <is>
          <t>Near 52W High Breakout</t>
        </is>
      </c>
      <c r="S90" s="30" t="inlineStr">
        <is>
          <t>Nifty Energy</t>
        </is>
      </c>
      <c r="T90" s="31" t="n">
        <v>8.43</v>
      </c>
      <c r="U90" s="31" t="n">
        <v>-5.61</v>
      </c>
      <c r="V90" s="31" t="n">
        <v>-12.95</v>
      </c>
      <c r="W90" s="31" t="n">
        <v>13.06</v>
      </c>
      <c r="X90" s="30" t="inlineStr">
        <is>
          <t>Cyclical in an Upturn</t>
        </is>
      </c>
      <c r="Y90" s="30">
        <f>IF(X90="Growing Industry",10,IF(X90="Cyclical in an Upturn",5,0))</f>
        <v/>
      </c>
      <c r="Z90" s="30" t="inlineStr">
        <is>
          <t>Oligopoly</t>
        </is>
      </c>
      <c r="AA90" s="30">
        <f>IF(Z90="Monopoly",10,IF(Z90="Oligopoly",5,IF(Z90="Duopoly that cooperate",10,IF(Z90="Duopoly that compete",5,IF(Z90="Too many players with High ROCE",5,0)))))</f>
        <v/>
      </c>
      <c r="AB90" s="30" t="inlineStr">
        <is>
          <t>Yes</t>
        </is>
      </c>
      <c r="AC90" s="30">
        <f>IF(AB90="No",5,0)</f>
        <v/>
      </c>
      <c r="AD90" s="30" t="inlineStr">
        <is>
          <t>Tailwind</t>
        </is>
      </c>
      <c r="AE90" s="30">
        <f>IF(AD90="Tailwind",10,0)</f>
        <v/>
      </c>
      <c r="AF90" s="30" t="inlineStr">
        <is>
          <t>Cyclical</t>
        </is>
      </c>
      <c r="AG90" s="30">
        <f>IF(AF90="Structural (10 Years Consistency)",10,IF(AF90="Shallow Cyclical (2 to 3 years growth)",5,0))</f>
        <v/>
      </c>
      <c r="AH90" s="30" t="inlineStr">
        <is>
          <t>No</t>
        </is>
      </c>
      <c r="AI90" s="30">
        <f>IF(AH90="Yes due to Product Mix change or Operating Leverage",10,IF(AH90="Yes, these are peak margins",-5,IF(AH90="No",5,0)))</f>
        <v/>
      </c>
      <c r="AJ90" s="30" t="inlineStr">
        <is>
          <t>Volatile</t>
        </is>
      </c>
      <c r="AK90" s="30">
        <f>IF(AJ90="Stable",10,0)</f>
        <v/>
      </c>
      <c r="AL90" s="30" t="inlineStr">
        <is>
          <t>Yes</t>
        </is>
      </c>
      <c r="AM90" s="30">
        <f>IF(AL90="Yes",10,0)</f>
        <v/>
      </c>
      <c r="AN90" s="30" t="inlineStr">
        <is>
          <t>B2B</t>
        </is>
      </c>
      <c r="AO90" s="30">
        <f>IF(AN90="B2C",10,IF(AN90="B2B",5,0))</f>
        <v/>
      </c>
      <c r="AP90" s="30" t="inlineStr">
        <is>
          <t>Yes</t>
        </is>
      </c>
      <c r="AQ90" s="30">
        <f>IF(AP90="Yes",10,0)</f>
        <v/>
      </c>
      <c r="AR90" s="30" t="inlineStr">
        <is>
          <t>Higher One Time, Lower Annuity</t>
        </is>
      </c>
      <c r="AS90" s="30">
        <f>IF(AR90="Fully Annuity",10,IF(AR90="Higher Annuity, Lower One Time",5,IF(AR90="Higher One Time, Lower Annuity",3,0)))</f>
        <v/>
      </c>
      <c r="AT90" s="30" t="inlineStr">
        <is>
          <t>Good</t>
        </is>
      </c>
      <c r="AU90" s="30">
        <f>IF(AT90="Good",10,0)</f>
        <v/>
      </c>
      <c r="AV90" s="30" t="inlineStr">
        <is>
          <t>Yes for more than 2 years</t>
        </is>
      </c>
      <c r="AW90" s="30">
        <f>IF(AV90="Yes for more than 2 years",10,IF(AV90="Yes only for next 1 to 2 years",5,0))</f>
        <v/>
      </c>
      <c r="AX90" s="30" t="inlineStr">
        <is>
          <t>20 to 40</t>
        </is>
      </c>
      <c r="AY90" s="30">
        <f>IF(AX90="Above 40",20,IF(AX90="20 to 40",10,IF(AX90="0 to 20",-5,0)))</f>
        <v/>
      </c>
      <c r="AZ90" s="30" t="inlineStr">
        <is>
          <t>Between 50 to 75</t>
        </is>
      </c>
      <c r="BA90" s="30">
        <f>IF(AZ90="Between 50 to 75",10,IF(AZ90="Above 75",0,0))</f>
        <v/>
      </c>
      <c r="BB90" s="30" t="inlineStr">
        <is>
          <t>Stage 2</t>
        </is>
      </c>
      <c r="BC90" s="30">
        <f>IF(BB90="Stage 2",20,IF(BB90="Stage 1",0,IF(BB90="Stage 3",5,IF(BB90="Stage 4",-5,0))))</f>
        <v/>
      </c>
      <c r="BD90" s="30" t="inlineStr">
        <is>
          <t>Positive Trend</t>
        </is>
      </c>
      <c r="BE90" s="30">
        <f>IF(BD90="Positive Trend",20,IF(BD90="Negative Trend",-10,0))</f>
        <v/>
      </c>
      <c r="BF90" s="30" t="inlineStr">
        <is>
          <t>Uptrend</t>
        </is>
      </c>
      <c r="BG90" s="30">
        <f>IF(BF90="Uptrend",10,IF(BF90="Sideways",5,0))</f>
        <v/>
      </c>
      <c r="BH90" s="30" t="inlineStr">
        <is>
          <t>Uptrend</t>
        </is>
      </c>
      <c r="BI90" s="30">
        <f>IF(BH90="Uptrend",10,IF(BH90="Sideways",5,0))</f>
        <v/>
      </c>
      <c r="BJ90" s="30" t="inlineStr">
        <is>
          <t>Close to 52 week high or retracement</t>
        </is>
      </c>
      <c r="BK90" s="30">
        <f>IF(BJ90="Overhead supply in last 2 years in last 2 years",-5,IF(BJ90="Close to 52 week high or retracement",5,IF(BJ90="Blue sky scenario",10,IF(BJ90="Long term Downtrend",-10,0))))</f>
        <v/>
      </c>
      <c r="BL90" s="30" t="inlineStr">
        <is>
          <t>Yes</t>
        </is>
      </c>
      <c r="BM90" s="30">
        <f>IF(BL90="Yes",10,0)</f>
        <v/>
      </c>
      <c r="BN90" s="30" t="inlineStr">
        <is>
          <t>More than 20%</t>
        </is>
      </c>
      <c r="BO90" s="30">
        <f>IF(BN90="More than 20%",10,IF(BN90="Between 12 to 20%",5,IF(BN90="Less than 12%",0,0)))</f>
        <v/>
      </c>
      <c r="BP90" s="30" t="inlineStr">
        <is>
          <t>No</t>
        </is>
      </c>
      <c r="BQ90" s="30">
        <f>IF(BP90="No",10,0)</f>
        <v/>
      </c>
      <c r="BR90" s="30" t="inlineStr">
        <is>
          <t>Yes</t>
        </is>
      </c>
      <c r="BS90" s="30">
        <f>IF(BR90="NO",5,0)</f>
        <v/>
      </c>
      <c r="BT90" s="30" t="inlineStr">
        <is>
          <t>Above 2</t>
        </is>
      </c>
      <c r="BU90" s="30">
        <f>IF(BT90="Above 2",0,IF(BT90="Between 1.5 to 2",5,IF(BT90="Less than 1.5",10,0)))</f>
        <v/>
      </c>
      <c r="BV90" s="30" t="inlineStr">
        <is>
          <t>Above 70%</t>
        </is>
      </c>
      <c r="BW90" s="30">
        <f>IF(BV90="Above 70%",10,IF(BV90="Between 50% to 70%",5,IF(BV90="Less than 50%",0,IF(BV90="Negative",-10,IF(BV90="Less than 50% and Borrowings are increasing",-5,0)))))</f>
        <v/>
      </c>
      <c r="BX90" s="30" t="inlineStr">
        <is>
          <t>Less than 0.7</t>
        </is>
      </c>
      <c r="BY90" s="30">
        <f>IF(BX90="More than 1.2",-10,IF(BX90="Between 0.7 to 1.2",0,IF(BX90="Less than 0.7",10,0)))</f>
        <v/>
      </c>
      <c r="BZ90" s="30" t="inlineStr">
        <is>
          <t>No</t>
        </is>
      </c>
      <c r="CA90" s="30">
        <f>IF(BZ90="Yes",-10,0)</f>
        <v/>
      </c>
      <c r="CB90" s="30" t="inlineStr">
        <is>
          <t>Less than 15%</t>
        </is>
      </c>
      <c r="CC90" s="30">
        <f>IF(CB90="More than 15%",-10,IF(CB90="Less than 15%",10,0))</f>
        <v/>
      </c>
      <c r="CD90" s="30" t="inlineStr">
        <is>
          <t>No</t>
        </is>
      </c>
      <c r="CE90" s="30">
        <f>IF(CD90="Yes, more than 10%",-10,IF(CD90="No",10,0))</f>
        <v/>
      </c>
      <c r="CF90" s="30" t="inlineStr">
        <is>
          <t>27</t>
        </is>
      </c>
      <c r="CG90" s="30">
        <f>IF(CF90&gt;20,10,IF(CF90&gt;=10,5,2))</f>
        <v/>
      </c>
    </row>
    <row r="91">
      <c r="A91" s="30">
        <f>IF(B91=0,"",RANK(B91,$B$2:$B$95,0))</f>
        <v/>
      </c>
      <c r="B91" s="31">
        <f>SUM(N91,Y91,AA91,AC91,AE91,AG91,AI91,AK91,AM91,AO91,AQ91,AS91,AU91,AW91,AY91,BA91,BC91,BE91,BG91,BI91,BK91,BM91,BO91,BQ91,BS91,BU91,BW91,BY91,CA91,CC91,CE91,CG91)</f>
        <v/>
      </c>
      <c r="C91" s="32" t="inlineStr">
        <is>
          <t>JTLIND</t>
        </is>
      </c>
      <c r="D91" s="32" t="inlineStr">
        <is>
          <t>JTL Industries Ltd</t>
        </is>
      </c>
      <c r="E91" s="30" t="inlineStr">
        <is>
          <t>metals &amp; mining</t>
        </is>
      </c>
      <c r="F91" s="30" t="inlineStr">
        <is>
          <t>Steel - Tubes/Pipes</t>
        </is>
      </c>
      <c r="G91" s="30" t="inlineStr">
        <is>
          <t>smallcap</t>
        </is>
      </c>
      <c r="H91" s="31" t="n">
        <v>3430.73</v>
      </c>
      <c r="I91" s="31" t="n">
        <v>89.8</v>
      </c>
      <c r="J91" s="31" t="n">
        <v>2.28</v>
      </c>
      <c r="K91" s="31" t="n">
        <v>0</v>
      </c>
      <c r="L91" s="30" t="n">
        <v>17</v>
      </c>
      <c r="M91" s="30" t="inlineStr">
        <is>
          <t>Underperforming</t>
        </is>
      </c>
      <c r="N91" s="31">
        <f>IF(M91="Underperforming",-5,IF(L91&gt;=95,15,IF(L91&gt;=90,10,IF(L91&gt;=80,5,0))))</f>
        <v/>
      </c>
      <c r="O91" s="31" t="n">
        <v>63.04</v>
      </c>
      <c r="P91" s="31" t="n">
        <v>14.47</v>
      </c>
      <c r="Q91" s="31" t="n">
        <v>67.19</v>
      </c>
      <c r="R91" s="30" t="inlineStr">
        <is>
          <t>Near 52W High Breakout</t>
        </is>
      </c>
      <c r="S91" s="30" t="inlineStr">
        <is>
          <t>Nifty Metal</t>
        </is>
      </c>
      <c r="T91" s="31" t="n">
        <v>41.17</v>
      </c>
      <c r="U91" s="31" t="n">
        <v>16.59</v>
      </c>
      <c r="V91" s="31" t="n">
        <v>-17.41</v>
      </c>
      <c r="W91" s="31" t="n">
        <v>5.52</v>
      </c>
      <c r="X91" s="30" t="inlineStr">
        <is>
          <t>Cyclical in an Upturn</t>
        </is>
      </c>
      <c r="Y91" s="30">
        <f>IF(X91="Growing Industry",10,IF(X91="Cyclical in an Upturn",5,0))</f>
        <v/>
      </c>
      <c r="Z91" s="30" t="inlineStr">
        <is>
          <t>Too Many Players with High ROCE</t>
        </is>
      </c>
      <c r="AA91" s="30">
        <f>IF(Z91="Monopoly",10,IF(Z91="Oligopoly",5,IF(Z91="Duopoly that cooperate",10,IF(Z91="Duopoly that compete",5,IF(Z91="Too many players with High ROCE",5,0)))))</f>
        <v/>
      </c>
      <c r="AB91" s="30" t="inlineStr">
        <is>
          <t>No</t>
        </is>
      </c>
      <c r="AC91" s="30">
        <f>IF(AB91="No",5,0)</f>
        <v/>
      </c>
      <c r="AD91" s="30" t="inlineStr">
        <is>
          <t>Tailwind</t>
        </is>
      </c>
      <c r="AE91" s="30">
        <f>IF(AD91="Tailwind",10,0)</f>
        <v/>
      </c>
      <c r="AF91" s="30" t="inlineStr">
        <is>
          <t>Cyclical</t>
        </is>
      </c>
      <c r="AG91" s="30">
        <f>IF(AF91="Structural (10 Years Consistency)",10,IF(AF91="Shallow Cyclical (2 to 3 years growth)",5,0))</f>
        <v/>
      </c>
      <c r="AH91" s="30" t="inlineStr">
        <is>
          <t>No</t>
        </is>
      </c>
      <c r="AI91" s="30">
        <f>IF(AH91="Yes due to Product Mix change or Operating Leverage",10,IF(AH91="Yes, these are peak margins",-5,IF(AH91="No",5,0)))</f>
        <v/>
      </c>
      <c r="AJ91" s="30" t="inlineStr">
        <is>
          <t>Volatile</t>
        </is>
      </c>
      <c r="AK91" s="30">
        <f>IF(AJ91="Stable",10,0)</f>
        <v/>
      </c>
      <c r="AL91" s="30" t="inlineStr">
        <is>
          <t>Yes</t>
        </is>
      </c>
      <c r="AM91" s="30">
        <f>IF(AL91="Yes",10,0)</f>
        <v/>
      </c>
      <c r="AN91" s="30" t="inlineStr">
        <is>
          <t>B2B</t>
        </is>
      </c>
      <c r="AO91" s="30">
        <f>IF(AN91="B2C",10,IF(AN91="B2B",5,0))</f>
        <v/>
      </c>
      <c r="AP91" s="30" t="inlineStr">
        <is>
          <t>Yes</t>
        </is>
      </c>
      <c r="AQ91" s="30">
        <f>IF(AP91="Yes",10,0)</f>
        <v/>
      </c>
      <c r="AR91" s="30" t="inlineStr">
        <is>
          <t>Higher One Time, Lower Annuity</t>
        </is>
      </c>
      <c r="AS91" s="30">
        <f>IF(AR91="Fully Annuity",10,IF(AR91="Higher Annuity, Lower One Time",5,IF(AR91="Higher One Time, Lower Annuity",3,0)))</f>
        <v/>
      </c>
      <c r="AT91" s="30" t="inlineStr">
        <is>
          <t>Good</t>
        </is>
      </c>
      <c r="AU91" s="30">
        <f>IF(AT91="Good",10,0)</f>
        <v/>
      </c>
      <c r="AV91" s="30" t="inlineStr">
        <is>
          <t>Yes for more than 2 years</t>
        </is>
      </c>
      <c r="AW91" s="30">
        <f>IF(AV91="Yes for more than 2 years",10,IF(AV91="Yes only for next 1 to 2 years",5,0))</f>
        <v/>
      </c>
      <c r="AX91" s="30" t="inlineStr">
        <is>
          <t>0 to 20</t>
        </is>
      </c>
      <c r="AY91" s="30">
        <f>IF(AX91="Above 40",20,IF(AX91="20 to 40",10,IF(AX91="0 to 20",-5,0)))</f>
        <v/>
      </c>
      <c r="AZ91" s="30" t="inlineStr">
        <is>
          <t>Between 50 to 75</t>
        </is>
      </c>
      <c r="BA91" s="30">
        <f>IF(AZ91="Between 50 to 75",10,IF(AZ91="Above 75",0,0))</f>
        <v/>
      </c>
      <c r="BB91" s="30" t="inlineStr">
        <is>
          <t>Stage 2</t>
        </is>
      </c>
      <c r="BC91" s="30">
        <f>IF(BB91="Stage 2",20,IF(BB91="Stage 1",0,IF(BB91="Stage 3",5,IF(BB91="Stage 4",-5,0))))</f>
        <v/>
      </c>
      <c r="BD91" s="30" t="inlineStr">
        <is>
          <t>Positive Trend</t>
        </is>
      </c>
      <c r="BE91" s="30">
        <f>IF(BD91="Positive Trend",20,IF(BD91="Negative Trend",-10,0))</f>
        <v/>
      </c>
      <c r="BF91" s="30" t="inlineStr">
        <is>
          <t>Uptrend</t>
        </is>
      </c>
      <c r="BG91" s="30">
        <f>IF(BF91="Uptrend",10,IF(BF91="Sideways",5,0))</f>
        <v/>
      </c>
      <c r="BH91" s="30" t="inlineStr">
        <is>
          <t>Uptrend</t>
        </is>
      </c>
      <c r="BI91" s="30">
        <f>IF(BH91="Uptrend",10,IF(BH91="Sideways",5,0))</f>
        <v/>
      </c>
      <c r="BJ91" s="30" t="inlineStr">
        <is>
          <t>Close to 52 week high or retracement</t>
        </is>
      </c>
      <c r="BK91" s="30">
        <f>IF(BJ91="Overhead supply in last 2 years in last 2 years",-5,IF(BJ91="Close to 52 week high or retracement",5,IF(BJ91="Blue sky scenario",10,IF(BJ91="Long term Downtrend",-10,0))))</f>
        <v/>
      </c>
      <c r="BL91" s="30" t="inlineStr">
        <is>
          <t>Yes</t>
        </is>
      </c>
      <c r="BM91" s="30">
        <f>IF(BL91="Yes",10,0)</f>
        <v/>
      </c>
      <c r="BN91" s="30" t="inlineStr">
        <is>
          <t>More than 20%</t>
        </is>
      </c>
      <c r="BO91" s="30">
        <f>IF(BN91="More than 20%",10,IF(BN91="Between 12 to 20%",5,IF(BN91="Less than 12%",0,0)))</f>
        <v/>
      </c>
      <c r="BP91" s="30" t="inlineStr">
        <is>
          <t>No</t>
        </is>
      </c>
      <c r="BQ91" s="30">
        <f>IF(BP91="No",10,0)</f>
        <v/>
      </c>
      <c r="BR91" s="30" t="inlineStr">
        <is>
          <t>No</t>
        </is>
      </c>
      <c r="BS91" s="30">
        <f>IF(BR91="NO",5,0)</f>
        <v/>
      </c>
      <c r="BT91" s="30" t="inlineStr">
        <is>
          <t>Above 2</t>
        </is>
      </c>
      <c r="BU91" s="30">
        <f>IF(BT91="Above 2",0,IF(BT91="Between 1.5 to 2",5,IF(BT91="Less than 1.5",10,0)))</f>
        <v/>
      </c>
      <c r="BV91" s="30" t="inlineStr">
        <is>
          <t>Above 70%</t>
        </is>
      </c>
      <c r="BW91" s="30">
        <f>IF(BV91="Above 70%",10,IF(BV91="Between 50% to 70%",5,IF(BV91="Less than 50%",0,IF(BV91="Negative",-10,IF(BV91="Less than 50% and Borrowings are increasing",-5,0)))))</f>
        <v/>
      </c>
      <c r="BX91" s="30" t="inlineStr">
        <is>
          <t>Less than 0.7</t>
        </is>
      </c>
      <c r="BY91" s="30">
        <f>IF(BX91="More than 1.2",-10,IF(BX91="Between 0.7 to 1.2",0,IF(BX91="Less than 0.7",10,0)))</f>
        <v/>
      </c>
      <c r="BZ91" s="30" t="inlineStr">
        <is>
          <t>No</t>
        </is>
      </c>
      <c r="CA91" s="30">
        <f>IF(BZ91="Yes",-10,0)</f>
        <v/>
      </c>
      <c r="CB91" s="30" t="inlineStr">
        <is>
          <t>Less than 15%</t>
        </is>
      </c>
      <c r="CC91" s="30">
        <f>IF(CB91="More than 15%",-10,IF(CB91="Less than 15%",10,0))</f>
        <v/>
      </c>
      <c r="CD91" s="30" t="inlineStr">
        <is>
          <t>No</t>
        </is>
      </c>
      <c r="CE91" s="30">
        <f>IF(CD91="Yes, more than 10%",-10,IF(CD91="No",10,0))</f>
        <v/>
      </c>
      <c r="CF91" s="30" t="inlineStr">
        <is>
          <t>21</t>
        </is>
      </c>
      <c r="CG91" s="30">
        <f>IF(CF91&gt;20,10,IF(CF91&gt;=10,5,2))</f>
        <v/>
      </c>
    </row>
    <row r="92">
      <c r="A92" s="30">
        <f>IF(B92=0,"",RANK(B92,$B$2:$B$95,0))</f>
        <v/>
      </c>
      <c r="B92" s="31">
        <f>SUM(N92,Y92,AA92,AC92,AE92,AG92,AI92,AK92,AM92,AO92,AQ92,AS92,AU92,AW92,AY92,BA92,BC92,BE92,BG92,BI92,BK92,BM92,BO92,BQ92,BS92,BU92,BW92,BY92,CA92,CC92,CE92,CG92)</f>
        <v/>
      </c>
      <c r="C92" s="32" t="inlineStr">
        <is>
          <t>JGCHEM</t>
        </is>
      </c>
      <c r="D92" s="32" t="inlineStr">
        <is>
          <t>JGChemicals Ltd</t>
        </is>
      </c>
      <c r="E92" s="30" t="inlineStr">
        <is>
          <t>Basic Materials</t>
        </is>
      </c>
      <c r="F92" s="30" t="inlineStr">
        <is>
          <t>Chemicals - Inorganic</t>
        </is>
      </c>
      <c r="G92" s="30" t="inlineStr">
        <is>
          <t>smallcap</t>
        </is>
      </c>
      <c r="H92" s="31" t="n">
        <v>2327.65</v>
      </c>
      <c r="I92" s="31" t="n">
        <v>594</v>
      </c>
      <c r="J92" s="31" t="n">
        <v>-4.12</v>
      </c>
      <c r="K92" s="31" t="n">
        <v>0</v>
      </c>
      <c r="L92" s="30" t="n">
        <v>57</v>
      </c>
      <c r="M92" s="30" t="inlineStr">
        <is>
          <t>Underperforming</t>
        </is>
      </c>
      <c r="N92" s="31">
        <f>IF(M92="Underperforming",-5,IF(L92&gt;=95,15,IF(L92&gt;=90,10,IF(L92&gt;=80,5,0))))</f>
        <v/>
      </c>
      <c r="O92" s="31" t="n">
        <v>67.91</v>
      </c>
      <c r="P92" s="31" t="n">
        <v>42.39</v>
      </c>
      <c r="Q92" s="31" t="n">
        <v>494.34</v>
      </c>
      <c r="R92" s="30" t="inlineStr">
        <is>
          <t>Earnings / Momentum Support</t>
        </is>
      </c>
      <c r="S92" s="30" t="inlineStr">
        <is>
          <t>Nifty Metal</t>
        </is>
      </c>
      <c r="T92" s="31" t="n">
        <v>41.17</v>
      </c>
      <c r="U92" s="31" t="n">
        <v>25.55</v>
      </c>
      <c r="V92" s="31" t="n">
        <v>-11.06</v>
      </c>
      <c r="W92" s="31" t="n">
        <v>18.03</v>
      </c>
      <c r="X92" s="30" t="inlineStr">
        <is>
          <t>Cyclical in an Upturn</t>
        </is>
      </c>
      <c r="Y92" s="30">
        <f>IF(X92="Growing Industry",10,IF(X92="Cyclical in an Upturn",5,0))</f>
        <v/>
      </c>
      <c r="Z92" s="30" t="inlineStr">
        <is>
          <t>Too Many Players with High ROCE</t>
        </is>
      </c>
      <c r="AA92" s="30">
        <f>IF(Z92="Monopoly",10,IF(Z92="Oligopoly",5,IF(Z92="Duopoly that cooperate",10,IF(Z92="Duopoly that compete",5,IF(Z92="Too many players with High ROCE",5,0)))))</f>
        <v/>
      </c>
      <c r="AB92" s="30" t="inlineStr">
        <is>
          <t>No</t>
        </is>
      </c>
      <c r="AC92" s="30">
        <f>IF(AB92="No",5,0)</f>
        <v/>
      </c>
      <c r="AD92" s="30" t="inlineStr">
        <is>
          <t>Tailwind</t>
        </is>
      </c>
      <c r="AE92" s="30">
        <f>IF(AD92="Tailwind",10,0)</f>
        <v/>
      </c>
      <c r="AF92" s="30" t="inlineStr">
        <is>
          <t>Cyclical</t>
        </is>
      </c>
      <c r="AG92" s="30">
        <f>IF(AF92="Structural (10 Years Consistency)",10,IF(AF92="Shallow Cyclical (2 to 3 years growth)",5,0))</f>
        <v/>
      </c>
      <c r="AH92" s="30" t="inlineStr">
        <is>
          <t>No</t>
        </is>
      </c>
      <c r="AI92" s="30">
        <f>IF(AH92="Yes due to Product Mix change or Operating Leverage",10,IF(AH92="Yes, these are peak margins",-5,IF(AH92="No",5,0)))</f>
        <v/>
      </c>
      <c r="AJ92" s="30" t="inlineStr">
        <is>
          <t>Volatile</t>
        </is>
      </c>
      <c r="AK92" s="30">
        <f>IF(AJ92="Stable",10,0)</f>
        <v/>
      </c>
      <c r="AL92" s="30" t="inlineStr">
        <is>
          <t>Yes</t>
        </is>
      </c>
      <c r="AM92" s="30">
        <f>IF(AL92="Yes",10,0)</f>
        <v/>
      </c>
      <c r="AN92" s="30" t="inlineStr">
        <is>
          <t>B2B</t>
        </is>
      </c>
      <c r="AO92" s="30">
        <f>IF(AN92="B2C",10,IF(AN92="B2B",5,0))</f>
        <v/>
      </c>
      <c r="AP92" s="30" t="inlineStr">
        <is>
          <t>No</t>
        </is>
      </c>
      <c r="AQ92" s="30">
        <f>IF(AP92="Yes",10,0)</f>
        <v/>
      </c>
      <c r="AR92" s="30" t="inlineStr">
        <is>
          <t>Higher One Time, Lower Annuity</t>
        </is>
      </c>
      <c r="AS92" s="30">
        <f>IF(AR92="Fully Annuity",10,IF(AR92="Higher Annuity, Lower One Time",5,IF(AR92="Higher One Time, Lower Annuity",3,0)))</f>
        <v/>
      </c>
      <c r="AT92" s="30" t="inlineStr">
        <is>
          <t>Good</t>
        </is>
      </c>
      <c r="AU92" s="30">
        <f>IF(AT92="Good",10,0)</f>
        <v/>
      </c>
      <c r="AV92" s="30" t="inlineStr">
        <is>
          <t>Yes for more than 2 years</t>
        </is>
      </c>
      <c r="AW92" s="30">
        <f>IF(AV92="Yes for more than 2 years",10,IF(AV92="Yes only for next 1 to 2 years",5,0))</f>
        <v/>
      </c>
      <c r="AX92" s="30" t="inlineStr">
        <is>
          <t>Above 40</t>
        </is>
      </c>
      <c r="AY92" s="30">
        <f>IF(AX92="Above 40",20,IF(AX92="20 to 40",10,IF(AX92="0 to 20",-5,0)))</f>
        <v/>
      </c>
      <c r="AZ92" s="30" t="inlineStr">
        <is>
          <t>Between 50 to 75</t>
        </is>
      </c>
      <c r="BA92" s="30">
        <f>IF(AZ92="Between 50 to 75",10,IF(AZ92="Above 75",0,0))</f>
        <v/>
      </c>
      <c r="BB92" s="30" t="inlineStr">
        <is>
          <t>Stage 2</t>
        </is>
      </c>
      <c r="BC92" s="30">
        <f>IF(BB92="Stage 2",20,IF(BB92="Stage 1",0,IF(BB92="Stage 3",5,IF(BB92="Stage 4",-5,0))))</f>
        <v/>
      </c>
      <c r="BD92" s="30" t="inlineStr">
        <is>
          <t>Negative Trend</t>
        </is>
      </c>
      <c r="BE92" s="30">
        <f>IF(BD92="Positive Trend",20,IF(BD92="Negative Trend",-10,0))</f>
        <v/>
      </c>
      <c r="BF92" s="30" t="inlineStr">
        <is>
          <t>Uptrend</t>
        </is>
      </c>
      <c r="BG92" s="30">
        <f>IF(BF92="Uptrend",10,IF(BF92="Sideways",5,0))</f>
        <v/>
      </c>
      <c r="BH92" s="30" t="inlineStr">
        <is>
          <t>Uptrend</t>
        </is>
      </c>
      <c r="BI92" s="30">
        <f>IF(BH92="Uptrend",10,IF(BH92="Sideways",5,0))</f>
        <v/>
      </c>
      <c r="BJ92" s="30" t="inlineStr">
        <is>
          <t>Close to 52 week high or retracement</t>
        </is>
      </c>
      <c r="BK92" s="30">
        <f>IF(BJ92="Overhead supply in last 2 years in last 2 years",-5,IF(BJ92="Close to 52 week high or retracement",5,IF(BJ92="Blue sky scenario",10,IF(BJ92="Long term Downtrend",-10,0))))</f>
        <v/>
      </c>
      <c r="BL92" s="30" t="inlineStr">
        <is>
          <t>Yes</t>
        </is>
      </c>
      <c r="BM92" s="30">
        <f>IF(BL92="Yes",10,0)</f>
        <v/>
      </c>
      <c r="BN92" s="30" t="inlineStr">
        <is>
          <t>More than 20%</t>
        </is>
      </c>
      <c r="BO92" s="30">
        <f>IF(BN92="More than 20%",10,IF(BN92="Between 12 to 20%",5,IF(BN92="Less than 12%",0,0)))</f>
        <v/>
      </c>
      <c r="BP92" s="30" t="inlineStr">
        <is>
          <t>No</t>
        </is>
      </c>
      <c r="BQ92" s="30">
        <f>IF(BP92="No",10,0)</f>
        <v/>
      </c>
      <c r="BR92" s="30" t="inlineStr">
        <is>
          <t>No</t>
        </is>
      </c>
      <c r="BS92" s="30">
        <f>IF(BR92="NO",5,0)</f>
        <v/>
      </c>
      <c r="BT92" s="30" t="inlineStr">
        <is>
          <t>Less than 1.5</t>
        </is>
      </c>
      <c r="BU92" s="30">
        <f>IF(BT92="Above 2",0,IF(BT92="Between 1.5 to 2",5,IF(BT92="Less than 1.5",10,0)))</f>
        <v/>
      </c>
      <c r="BV92" s="30" t="inlineStr">
        <is>
          <t>Above 70%</t>
        </is>
      </c>
      <c r="BW92" s="30">
        <f>IF(BV92="Above 70%",10,IF(BV92="Between 50% to 70%",5,IF(BV92="Less than 50%",0,IF(BV92="Negative",-10,IF(BV92="Less than 50% and Borrowings are increasing",-5,0)))))</f>
        <v/>
      </c>
      <c r="BX92" s="30" t="inlineStr">
        <is>
          <t>Less than 0.7</t>
        </is>
      </c>
      <c r="BY92" s="30">
        <f>IF(BX92="More than 1.2",-10,IF(BX92="Between 0.7 to 1.2",0,IF(BX92="Less than 0.7",10,0)))</f>
        <v/>
      </c>
      <c r="BZ92" s="30" t="inlineStr">
        <is>
          <t>No</t>
        </is>
      </c>
      <c r="CA92" s="30">
        <f>IF(BZ92="Yes",-10,0)</f>
        <v/>
      </c>
      <c r="CB92" s="30" t="inlineStr">
        <is>
          <t>Less than 15%</t>
        </is>
      </c>
      <c r="CC92" s="30">
        <f>IF(CB92="More than 15%",-10,IF(CB92="Less than 15%",10,0))</f>
        <v/>
      </c>
      <c r="CD92" s="30" t="inlineStr">
        <is>
          <t>No</t>
        </is>
      </c>
      <c r="CE92" s="30">
        <f>IF(CD92="Yes, more than 10%",-10,IF(CD92="No",10,0))</f>
        <v/>
      </c>
      <c r="CF92" s="30" t="inlineStr">
        <is>
          <t>19</t>
        </is>
      </c>
      <c r="CG92" s="30">
        <f>IF(CF92&gt;20,10,IF(CF92&gt;=10,5,2))</f>
        <v/>
      </c>
    </row>
    <row r="93">
      <c r="A93" s="30">
        <f>IF(B93=0,"",RANK(B93,$B$2:$B$95,0))</f>
        <v/>
      </c>
      <c r="B93" s="31">
        <f>SUM(N93,Y93,AA93,AC93,AE93,AG93,AI93,AK93,AM93,AO93,AQ93,AS93,AU93,AW93,AY93,BA93,BC93,BE93,BG93,BI93,BK93,BM93,BO93,BQ93,BS93,BU93,BW93,BY93,CA93,CC93,CE93,CG93)</f>
        <v/>
      </c>
      <c r="C93" s="30" t="inlineStr">
        <is>
          <t>GIPCL</t>
        </is>
      </c>
      <c r="D93" s="30" t="inlineStr">
        <is>
          <t>Gujarat Industries Power Co Ltd</t>
        </is>
      </c>
      <c r="E93" s="30" t="inlineStr">
        <is>
          <t>power &amp; utilities</t>
        </is>
      </c>
      <c r="F93" s="30" t="inlineStr">
        <is>
          <t>Power - Generation/Distribution</t>
        </is>
      </c>
      <c r="G93" s="30" t="inlineStr">
        <is>
          <t>smallcap</t>
        </is>
      </c>
      <c r="H93" s="31" t="n">
        <v>3126.05</v>
      </c>
      <c r="I93" s="31" t="n">
        <v>201.4</v>
      </c>
      <c r="J93" s="31" t="n">
        <v>0.18</v>
      </c>
      <c r="K93" s="31" t="n">
        <v>0</v>
      </c>
      <c r="L93" s="30" t="n">
        <v>26</v>
      </c>
      <c r="M93" s="30" t="inlineStr">
        <is>
          <t>Outperforming</t>
        </is>
      </c>
      <c r="N93" s="31">
        <f>IF(M93="Underperforming",-5,IF(L93&gt;=95,15,IF(L93&gt;=90,10,IF(L93&gt;=80,5,0))))</f>
        <v/>
      </c>
      <c r="O93" s="31" t="n">
        <v>68.84999999999999</v>
      </c>
      <c r="P93" s="31" t="n">
        <v>21.28</v>
      </c>
      <c r="Q93" s="31" t="n">
        <v>167.51</v>
      </c>
      <c r="R93" s="30" t="inlineStr">
        <is>
          <t>Near 52W High Breakout</t>
        </is>
      </c>
      <c r="S93" s="30" t="inlineStr">
        <is>
          <t>Nifty IT</t>
        </is>
      </c>
      <c r="T93" s="31" t="n">
        <v>-19.99</v>
      </c>
      <c r="U93" s="31" t="n">
        <v>7.78</v>
      </c>
      <c r="V93" s="31" t="n">
        <v>34.71</v>
      </c>
      <c r="W93" s="31" t="n">
        <v>8.199999999999999</v>
      </c>
      <c r="X93" s="30" t="inlineStr">
        <is>
          <t>Growing Industry</t>
        </is>
      </c>
      <c r="Y93" s="30">
        <f>IF(X93="Growing Industry",10,IF(X93="Cyclical in an Upturn",5,0))</f>
        <v/>
      </c>
      <c r="Z93" s="30" t="inlineStr">
        <is>
          <t>Oligopoly</t>
        </is>
      </c>
      <c r="AA93" s="30">
        <f>IF(Z93="Monopoly",10,IF(Z93="Oligopoly",5,IF(Z93="Duopoly that cooperate",10,IF(Z93="Duopoly that compete",5,IF(Z93="Too many players with High ROCE",5,0)))))</f>
        <v/>
      </c>
      <c r="AB93" s="30" t="inlineStr">
        <is>
          <t>No</t>
        </is>
      </c>
      <c r="AC93" s="30">
        <f>IF(AB93="No",5,0)</f>
        <v/>
      </c>
      <c r="AD93" s="30" t="inlineStr">
        <is>
          <t>Tailwind</t>
        </is>
      </c>
      <c r="AE93" s="30">
        <f>IF(AD93="Tailwind",10,0)</f>
        <v/>
      </c>
      <c r="AF93" s="30" t="inlineStr">
        <is>
          <t>Shallow Cyclical (2 to 3 Years Growth)</t>
        </is>
      </c>
      <c r="AG93" s="30">
        <f>IF(AF93="Structural (10 Years Consistency)",10,IF(AF93="Shallow Cyclical (2 to 3 years growth)",5,0))</f>
        <v/>
      </c>
      <c r="AH93" s="30" t="inlineStr">
        <is>
          <t>Yes due to Product Mix change or Operating Leverage</t>
        </is>
      </c>
      <c r="AI93" s="30">
        <f>IF(AH93="Yes due to Product Mix change or Operating Leverage",10,IF(AH93="Yes, these are peak margins",-5,IF(AH93="No",5,0)))</f>
        <v/>
      </c>
      <c r="AJ93" s="30" t="inlineStr">
        <is>
          <t>Volatile</t>
        </is>
      </c>
      <c r="AK93" s="30">
        <f>IF(AJ93="Stable",10,0)</f>
        <v/>
      </c>
      <c r="AL93" s="30" t="inlineStr">
        <is>
          <t>Yes</t>
        </is>
      </c>
      <c r="AM93" s="30">
        <f>IF(AL93="Yes",10,0)</f>
        <v/>
      </c>
      <c r="AN93" s="30" t="inlineStr">
        <is>
          <t>B2B</t>
        </is>
      </c>
      <c r="AO93" s="30">
        <f>IF(AN93="B2C",10,IF(AN93="B2B",5,0))</f>
        <v/>
      </c>
      <c r="AP93" s="30" t="inlineStr">
        <is>
          <t>Yes</t>
        </is>
      </c>
      <c r="AQ93" s="30">
        <f>IF(AP93="Yes",10,0)</f>
        <v/>
      </c>
      <c r="AR93" s="30" t="inlineStr">
        <is>
          <t>Higher One Time, Lower Annuity</t>
        </is>
      </c>
      <c r="AS93" s="30">
        <f>IF(AR93="Fully Annuity",10,IF(AR93="Higher Annuity, Lower One Time",5,IF(AR93="Higher One Time, Lower Annuity",3,0)))</f>
        <v/>
      </c>
      <c r="AT93" s="30" t="inlineStr">
        <is>
          <t>Allocated capital in Non-core Areas</t>
        </is>
      </c>
      <c r="AU93" s="30">
        <f>IF(AT93="Good",10,0)</f>
        <v/>
      </c>
      <c r="AV93" s="30" t="inlineStr">
        <is>
          <t>Yes for more than 2 years</t>
        </is>
      </c>
      <c r="AW93" s="30">
        <f>IF(AV93="Yes for more than 2 years",10,IF(AV93="Yes only for next 1 to 2 years",5,0))</f>
        <v/>
      </c>
      <c r="AX93" s="30" t="inlineStr">
        <is>
          <t>Above 40</t>
        </is>
      </c>
      <c r="AY93" s="30">
        <f>IF(AX93="Above 40",20,IF(AX93="20 to 40",10,IF(AX93="0 to 20",-5,0)))</f>
        <v/>
      </c>
      <c r="AZ93" s="30" t="inlineStr">
        <is>
          <t>Between 50 to 75</t>
        </is>
      </c>
      <c r="BA93" s="30">
        <f>IF(AZ93="Between 50 to 75",10,IF(AZ93="Above 75",0,0))</f>
        <v/>
      </c>
      <c r="BB93" s="30" t="inlineStr">
        <is>
          <t>Stage 3</t>
        </is>
      </c>
      <c r="BC93" s="30">
        <f>IF(BB93="Stage 2",20,IF(BB93="Stage 1",0,IF(BB93="Stage 3",5,IF(BB93="Stage 4",-5,0))))</f>
        <v/>
      </c>
      <c r="BD93" s="30" t="inlineStr">
        <is>
          <t>Negative Trend</t>
        </is>
      </c>
      <c r="BE93" s="30">
        <f>IF(BD93="Positive Trend",20,IF(BD93="Negative Trend",-10,0))</f>
        <v/>
      </c>
      <c r="BF93" s="30" t="inlineStr">
        <is>
          <t>Sideways</t>
        </is>
      </c>
      <c r="BG93" s="30">
        <f>IF(BF93="Uptrend",10,IF(BF93="Sideways",5,0))</f>
        <v/>
      </c>
      <c r="BH93" s="30" t="inlineStr">
        <is>
          <t>Uptrend</t>
        </is>
      </c>
      <c r="BI93" s="30">
        <f>IF(BH93="Uptrend",10,IF(BH93="Sideways",5,0))</f>
        <v/>
      </c>
      <c r="BJ93" s="30" t="inlineStr">
        <is>
          <t>Overhead supply in last 2 years in last 2 years</t>
        </is>
      </c>
      <c r="BK93" s="30">
        <f>IF(BJ93="Overhead supply in last 2 years in last 2 years",-5,IF(BJ93="Close to 52 week high or retracement",5,IF(BJ93="Blue sky scenario",10,IF(BJ93="Long term Downtrend",-10,0))))</f>
        <v/>
      </c>
      <c r="BL93" s="30" t="inlineStr">
        <is>
          <t>Yes</t>
        </is>
      </c>
      <c r="BM93" s="30">
        <f>IF(BL93="Yes",10,0)</f>
        <v/>
      </c>
      <c r="BN93" s="30" t="inlineStr">
        <is>
          <t>More than 20%</t>
        </is>
      </c>
      <c r="BO93" s="30">
        <f>IF(BN93="More than 20%",10,IF(BN93="Between 12 to 20%",5,IF(BN93="Less than 12%",0,0)))</f>
        <v/>
      </c>
      <c r="BP93" s="30" t="inlineStr">
        <is>
          <t>No</t>
        </is>
      </c>
      <c r="BQ93" s="30">
        <f>IF(BP93="No",10,0)</f>
        <v/>
      </c>
      <c r="BR93" s="30" t="inlineStr">
        <is>
          <t>No</t>
        </is>
      </c>
      <c r="BS93" s="30">
        <f>IF(BR93="NO",5,0)</f>
        <v/>
      </c>
      <c r="BT93" s="30" t="inlineStr">
        <is>
          <t>Less than 1.5</t>
        </is>
      </c>
      <c r="BU93" s="30">
        <f>IF(BT93="Above 2",0,IF(BT93="Between 1.5 to 2",5,IF(BT93="Less than 1.5",10,0)))</f>
        <v/>
      </c>
      <c r="BV93" s="30" t="inlineStr">
        <is>
          <t>Above 70%</t>
        </is>
      </c>
      <c r="BW93" s="30">
        <f>IF(BV93="Above 70%",10,IF(BV93="Between 50% to 70%",5,IF(BV93="Less than 50%",0,IF(BV93="Negative",-10,IF(BV93="Less than 50% and Borrowings are increasing",-5,0)))))</f>
        <v/>
      </c>
      <c r="BX93" s="30" t="inlineStr">
        <is>
          <t>Less than 0.7</t>
        </is>
      </c>
      <c r="BY93" s="30">
        <f>IF(BX93="More than 1.2",-10,IF(BX93="Between 0.7 to 1.2",0,IF(BX93="Less than 0.7",10,0)))</f>
        <v/>
      </c>
      <c r="BZ93" s="30" t="inlineStr">
        <is>
          <t>No</t>
        </is>
      </c>
      <c r="CA93" s="30">
        <f>IF(BZ93="Yes",-10,0)</f>
        <v/>
      </c>
      <c r="CB93" s="30" t="inlineStr">
        <is>
          <t>More than 15%</t>
        </is>
      </c>
      <c r="CC93" s="30">
        <f>IF(CB93="More than 15%",-10,IF(CB93="Less than 15%",10,0))</f>
        <v/>
      </c>
      <c r="CD93" s="30" t="inlineStr">
        <is>
          <t>Yes Upto 10%</t>
        </is>
      </c>
      <c r="CE93" s="30">
        <f>IF(CD93="Yes, more than 10%",-10,IF(CD93="No",10,0))</f>
        <v/>
      </c>
      <c r="CF93" s="30" t="inlineStr">
        <is>
          <t>20</t>
        </is>
      </c>
      <c r="CG93" s="30">
        <f>IF(CF93&gt;20,10,IF(CF93&gt;=10,5,2))</f>
        <v/>
      </c>
    </row>
    <row r="94">
      <c r="A94" s="30">
        <f>IF(B94=0,"",RANK(B94,$B$2:$B$95,0))</f>
        <v/>
      </c>
      <c r="B94" s="31">
        <f>SUM(N94,Y94,AA94,AC94,AE94,AG94,AI94,AK94,AM94,AO94,AQ94,AS94,AU94,AW94,AY94,BA94,BC94,BE94,BG94,BI94,BK94,BM94,BO94,BQ94,BS94,BU94,BW94,BY94,CA94,CC94,CE94,CG94)</f>
        <v/>
      </c>
      <c r="C94" s="30" t="inlineStr">
        <is>
          <t>MONOLITH</t>
        </is>
      </c>
      <c r="D94" s="30" t="inlineStr">
        <is>
          <t>Monolithisch India Ltd</t>
        </is>
      </c>
      <c r="E94" s="30" t="inlineStr">
        <is>
          <t>unknown</t>
        </is>
      </c>
      <c r="F94" s="30" t="inlineStr">
        <is>
          <t>Refractories</t>
        </is>
      </c>
      <c r="G94" s="30" t="inlineStr">
        <is>
          <t>smallcap</t>
        </is>
      </c>
      <c r="H94" s="31" t="n">
        <v>3125.64</v>
      </c>
      <c r="I94" s="31" t="n">
        <v>1438</v>
      </c>
      <c r="J94" s="31" t="n">
        <v>3.83</v>
      </c>
      <c r="K94" s="31" t="n">
        <v>0</v>
      </c>
      <c r="L94" s="30" t="inlineStr"/>
      <c r="M94" s="30" t="inlineStr"/>
      <c r="N94" s="31">
        <f>IF(M94="Underperforming",-5,IF(L94&gt;=95,15,IF(L94&gt;=90,10,IF(L94&gt;=80,5,0))))</f>
        <v/>
      </c>
      <c r="O94" s="31" t="inlineStr"/>
      <c r="P94" s="31" t="inlineStr"/>
      <c r="Q94" s="31" t="inlineStr"/>
      <c r="R94" s="30" t="inlineStr"/>
      <c r="S94" s="30" t="inlineStr"/>
      <c r="T94" s="31" t="inlineStr"/>
      <c r="U94" s="31" t="inlineStr"/>
      <c r="V94" s="31" t="inlineStr"/>
      <c r="W94" s="31" t="inlineStr"/>
      <c r="X94" s="30" t="n"/>
      <c r="Y94" s="30">
        <f>IF(X94="Growing Industry",10,IF(X94="Cyclical in an Upturn",5,0))</f>
        <v/>
      </c>
      <c r="Z94" s="30" t="n"/>
      <c r="AA94" s="30">
        <f>IF(Z94="Monopoly",10,IF(Z94="Oligopoly",5,IF(Z94="Duopoly that cooperate",10,IF(Z94="Duopoly that compete",5,IF(Z94="Too many players with High ROCE",5,0)))))</f>
        <v/>
      </c>
      <c r="AB94" s="30" t="n"/>
      <c r="AC94" s="30">
        <f>IF(AB94="No",5,0)</f>
        <v/>
      </c>
      <c r="AD94" s="30" t="n"/>
      <c r="AE94" s="30">
        <f>IF(AD94="Tailwind",10,0)</f>
        <v/>
      </c>
      <c r="AF94" s="30" t="n"/>
      <c r="AG94" s="30">
        <f>IF(AF94="Structural (10 Years Consistency)",10,IF(AF94="Shallow Cyclical (2 to 3 years growth)",5,0))</f>
        <v/>
      </c>
      <c r="AH94" s="30" t="n"/>
      <c r="AI94" s="30">
        <f>IF(AH94="Yes due to Product Mix change or Operating Leverage",10,IF(AH94="Yes, these are peak margins",-5,IF(AH94="No",5,0)))</f>
        <v/>
      </c>
      <c r="AJ94" s="30" t="n"/>
      <c r="AK94" s="30">
        <f>IF(AJ94="Stable",10,0)</f>
        <v/>
      </c>
      <c r="AL94" s="30" t="n"/>
      <c r="AM94" s="30">
        <f>IF(AL94="Yes",10,0)</f>
        <v/>
      </c>
      <c r="AN94" s="30" t="n"/>
      <c r="AO94" s="30">
        <f>IF(AN94="B2C",10,IF(AN94="B2B",5,0))</f>
        <v/>
      </c>
      <c r="AP94" s="30" t="n"/>
      <c r="AQ94" s="30">
        <f>IF(AP94="Yes",10,0)</f>
        <v/>
      </c>
      <c r="AR94" s="30" t="n"/>
      <c r="AS94" s="30">
        <f>IF(AR94="Fully Annuity",10,IF(AR94="Higher Annuity, Lower One Time",5,IF(AR94="Higher One Time, Lower Annuity",3,0)))</f>
        <v/>
      </c>
      <c r="AT94" s="30" t="n"/>
      <c r="AU94" s="30">
        <f>IF(AT94="Good",10,0)</f>
        <v/>
      </c>
      <c r="AV94" s="30" t="n"/>
      <c r="AW94" s="30">
        <f>IF(AV94="Yes for more than 2 years",10,IF(AV94="Yes only for next 1 to 2 years",5,0))</f>
        <v/>
      </c>
      <c r="AX94" s="30" t="n"/>
      <c r="AY94" s="30">
        <f>IF(AX94="Above 40",20,IF(AX94="20 to 40",10,IF(AX94="0 to 20",-5,0)))</f>
        <v/>
      </c>
      <c r="AZ94" s="30" t="n"/>
      <c r="BA94" s="30">
        <f>IF(AZ94="Between 50 to 75",10,IF(AZ94="Above 75",0,0))</f>
        <v/>
      </c>
      <c r="BB94" s="30" t="n"/>
      <c r="BC94" s="30">
        <f>IF(BB94="Stage 2",20,IF(BB94="Stage 1",0,IF(BB94="Stage 3",5,IF(BB94="Stage 4",-5,0))))</f>
        <v/>
      </c>
      <c r="BD94" s="30" t="n"/>
      <c r="BE94" s="30">
        <f>IF(BD94="Positive Trend",20,IF(BD94="Negative Trend",-10,0))</f>
        <v/>
      </c>
      <c r="BF94" s="30" t="n"/>
      <c r="BG94" s="30">
        <f>IF(BF94="Uptrend",10,IF(BF94="Sideways",5,0))</f>
        <v/>
      </c>
      <c r="BH94" s="30" t="n"/>
      <c r="BI94" s="30">
        <f>IF(BH94="Uptrend",10,IF(BH94="Sideways",5,0))</f>
        <v/>
      </c>
      <c r="BJ94" s="30" t="n"/>
      <c r="BK94" s="30">
        <f>IF(BJ94="Overhead supply in last 2 years in last 2 years",-5,IF(BJ94="Close to 52 week high or retracement",5,IF(BJ94="Blue sky scenario",10,IF(BJ94="Long term Downtrend",-10,0))))</f>
        <v/>
      </c>
      <c r="BL94" s="30" t="n"/>
      <c r="BM94" s="30">
        <f>IF(BL94="Yes",10,0)</f>
        <v/>
      </c>
      <c r="BN94" s="30" t="n"/>
      <c r="BO94" s="30">
        <f>IF(BN94="More than 20%",10,IF(BN94="Between 12 to 20%",5,IF(BN94="Less than 12%",0,0)))</f>
        <v/>
      </c>
      <c r="BP94" s="30" t="n"/>
      <c r="BQ94" s="30">
        <f>IF(BP94="No",10,0)</f>
        <v/>
      </c>
      <c r="BR94" s="30" t="n"/>
      <c r="BS94" s="30">
        <f>IF(BR94="NO",5,0)</f>
        <v/>
      </c>
      <c r="BT94" s="30" t="n"/>
      <c r="BU94" s="30">
        <f>IF(BT94="Above 2",0,IF(BT94="Between 1.5 to 2",5,IF(BT94="Less than 1.5",10,0)))</f>
        <v/>
      </c>
      <c r="BV94" s="30" t="n"/>
      <c r="BW94" s="30">
        <f>IF(BV94="Above 70%",10,IF(BV94="Between 50% to 70%",5,IF(BV94="Less than 50%",0,IF(BV94="Negative",-10,IF(BV94="Less than 50% and Borrowings are increasing",-5,0)))))</f>
        <v/>
      </c>
      <c r="BX94" s="30" t="n"/>
      <c r="BY94" s="30">
        <f>IF(BX94="More than 1.2",-10,IF(BX94="Between 0.7 to 1.2",0,IF(BX94="Less than 0.7",10,0)))</f>
        <v/>
      </c>
      <c r="BZ94" s="30" t="n"/>
      <c r="CA94" s="30">
        <f>IF(BZ94="Yes",-10,0)</f>
        <v/>
      </c>
      <c r="CB94" s="30" t="n"/>
      <c r="CC94" s="30">
        <f>IF(CB94="More than 15%",-10,IF(CB94="Less than 15%",10,0))</f>
        <v/>
      </c>
      <c r="CD94" s="30" t="n"/>
      <c r="CE94" s="30">
        <f>IF(CD94="Yes, more than 10%",-10,IF(CD94="No",10,0))</f>
        <v/>
      </c>
      <c r="CF94" s="30" t="n"/>
      <c r="CG94" s="30">
        <f>IF(CF94&gt;20,10,IF(CF94&gt;=10,5,2))</f>
        <v/>
      </c>
    </row>
    <row r="95">
      <c r="A95" s="30">
        <f>IF(B95=0,"",RANK(B95,$B$2:$B$95,0))</f>
        <v/>
      </c>
      <c r="B95" s="31">
        <f>SUM(N95,Y95,AA95,AC95,AE95,AG95,AI95,AK95,AM95,AO95,AQ95,AS95,AU95,AW95,AY95,BA95,BC95,BE95,BG95,BI95,BK95,BM95,BO95,BQ95,BS95,BU95,BW95,BY95,CA95,CC95,CE95,CG95)</f>
        <v/>
      </c>
      <c r="C95" s="30" t="inlineStr">
        <is>
          <t>FLYSBS</t>
        </is>
      </c>
      <c r="D95" s="30" t="inlineStr">
        <is>
          <t>FlySBS Aviation Ltd</t>
        </is>
      </c>
      <c r="E95" s="30" t="inlineStr">
        <is>
          <t>unknown</t>
        </is>
      </c>
      <c r="F95" s="30" t="inlineStr">
        <is>
          <t>Transport - Airlines</t>
        </is>
      </c>
      <c r="G95" s="30" t="inlineStr">
        <is>
          <t>smallcap</t>
        </is>
      </c>
      <c r="H95" s="31" t="n">
        <v>1200.88</v>
      </c>
      <c r="I95" s="31" t="n">
        <v>694</v>
      </c>
      <c r="J95" s="31" t="n">
        <v>1.87</v>
      </c>
      <c r="K95" s="31" t="n">
        <v>0</v>
      </c>
      <c r="L95" s="30" t="inlineStr"/>
      <c r="M95" s="30" t="inlineStr"/>
      <c r="N95" s="31">
        <f>IF(M95="Underperforming",-5,IF(L95&gt;=95,15,IF(L95&gt;=90,10,IF(L95&gt;=80,5,0))))</f>
        <v/>
      </c>
      <c r="O95" s="31" t="inlineStr"/>
      <c r="P95" s="31" t="inlineStr"/>
      <c r="Q95" s="31" t="inlineStr"/>
      <c r="R95" s="30" t="inlineStr"/>
      <c r="S95" s="30" t="inlineStr"/>
      <c r="T95" s="31" t="inlineStr"/>
      <c r="U95" s="31" t="inlineStr"/>
      <c r="V95" s="31" t="inlineStr"/>
      <c r="W95" s="31" t="inlineStr"/>
      <c r="X95" s="30" t="n"/>
      <c r="Y95" s="30">
        <f>IF(X95="Growing Industry",10,IF(X95="Cyclical in an Upturn",5,0))</f>
        <v/>
      </c>
      <c r="Z95" s="30" t="n"/>
      <c r="AA95" s="30">
        <f>IF(Z95="Monopoly",10,IF(Z95="Oligopoly",5,IF(Z95="Duopoly that cooperate",10,IF(Z95="Duopoly that compete",5,IF(Z95="Too many players with High ROCE",5,0)))))</f>
        <v/>
      </c>
      <c r="AB95" s="30" t="n"/>
      <c r="AC95" s="30">
        <f>IF(AB95="No",5,0)</f>
        <v/>
      </c>
      <c r="AD95" s="30" t="n"/>
      <c r="AE95" s="30">
        <f>IF(AD95="Tailwind",10,0)</f>
        <v/>
      </c>
      <c r="AF95" s="30" t="n"/>
      <c r="AG95" s="30">
        <f>IF(AF95="Structural (10 Years Consistency)",10,IF(AF95="Shallow Cyclical (2 to 3 years growth)",5,0))</f>
        <v/>
      </c>
      <c r="AH95" s="30" t="n"/>
      <c r="AI95" s="30">
        <f>IF(AH95="Yes due to Product Mix change or Operating Leverage",10,IF(AH95="Yes, these are peak margins",-5,IF(AH95="No",5,0)))</f>
        <v/>
      </c>
      <c r="AJ95" s="30" t="n"/>
      <c r="AK95" s="30">
        <f>IF(AJ95="Stable",10,0)</f>
        <v/>
      </c>
      <c r="AL95" s="30" t="n"/>
      <c r="AM95" s="30">
        <f>IF(AL95="Yes",10,0)</f>
        <v/>
      </c>
      <c r="AN95" s="30" t="n"/>
      <c r="AO95" s="30">
        <f>IF(AN95="B2C",10,IF(AN95="B2B",5,0))</f>
        <v/>
      </c>
      <c r="AP95" s="30" t="n"/>
      <c r="AQ95" s="30">
        <f>IF(AP95="Yes",10,0)</f>
        <v/>
      </c>
      <c r="AR95" s="30" t="n"/>
      <c r="AS95" s="30">
        <f>IF(AR95="Fully Annuity",10,IF(AR95="Higher Annuity, Lower One Time",5,IF(AR95="Higher One Time, Lower Annuity",3,0)))</f>
        <v/>
      </c>
      <c r="AT95" s="30" t="n"/>
      <c r="AU95" s="30">
        <f>IF(AT95="Good",10,0)</f>
        <v/>
      </c>
      <c r="AV95" s="30" t="n"/>
      <c r="AW95" s="30">
        <f>IF(AV95="Yes for more than 2 years",10,IF(AV95="Yes only for next 1 to 2 years",5,0))</f>
        <v/>
      </c>
      <c r="AX95" s="30" t="n"/>
      <c r="AY95" s="30">
        <f>IF(AX95="Above 40",20,IF(AX95="20 to 40",10,IF(AX95="0 to 20",-5,0)))</f>
        <v/>
      </c>
      <c r="AZ95" s="30" t="n"/>
      <c r="BA95" s="30">
        <f>IF(AZ95="Between 50 to 75",10,IF(AZ95="Above 75",0,0))</f>
        <v/>
      </c>
      <c r="BB95" s="30" t="n"/>
      <c r="BC95" s="30">
        <f>IF(BB95="Stage 2",20,IF(BB95="Stage 1",0,IF(BB95="Stage 3",5,IF(BB95="Stage 4",-5,0))))</f>
        <v/>
      </c>
      <c r="BD95" s="30" t="n"/>
      <c r="BE95" s="30">
        <f>IF(BD95="Positive Trend",20,IF(BD95="Negative Trend",-10,0))</f>
        <v/>
      </c>
      <c r="BF95" s="30" t="n"/>
      <c r="BG95" s="30">
        <f>IF(BF95="Uptrend",10,IF(BF95="Sideways",5,0))</f>
        <v/>
      </c>
      <c r="BH95" s="30" t="n"/>
      <c r="BI95" s="30">
        <f>IF(BH95="Uptrend",10,IF(BH95="Sideways",5,0))</f>
        <v/>
      </c>
      <c r="BJ95" s="30" t="n"/>
      <c r="BK95" s="30">
        <f>IF(BJ95="Overhead supply in last 2 years in last 2 years",-5,IF(BJ95="Close to 52 week high or retracement",5,IF(BJ95="Blue sky scenario",10,IF(BJ95="Long term Downtrend",-10,0))))</f>
        <v/>
      </c>
      <c r="BL95" s="30" t="n"/>
      <c r="BM95" s="30">
        <f>IF(BL95="Yes",10,0)</f>
        <v/>
      </c>
      <c r="BN95" s="30" t="n"/>
      <c r="BO95" s="30">
        <f>IF(BN95="More than 20%",10,IF(BN95="Between 12 to 20%",5,IF(BN95="Less than 12%",0,0)))</f>
        <v/>
      </c>
      <c r="BP95" s="30" t="n"/>
      <c r="BQ95" s="30">
        <f>IF(BP95="No",10,0)</f>
        <v/>
      </c>
      <c r="BR95" s="30" t="n"/>
      <c r="BS95" s="30">
        <f>IF(BR95="NO",5,0)</f>
        <v/>
      </c>
      <c r="BT95" s="30" t="n"/>
      <c r="BU95" s="30">
        <f>IF(BT95="Above 2",0,IF(BT95="Between 1.5 to 2",5,IF(BT95="Less than 1.5",10,0)))</f>
        <v/>
      </c>
      <c r="BV95" s="30" t="n"/>
      <c r="BW95" s="30">
        <f>IF(BV95="Above 70%",10,IF(BV95="Between 50% to 70%",5,IF(BV95="Less than 50%",0,IF(BV95="Negative",-10,IF(BV95="Less than 50% and Borrowings are increasing",-5,0)))))</f>
        <v/>
      </c>
      <c r="BX95" s="30" t="n"/>
      <c r="BY95" s="30">
        <f>IF(BX95="More than 1.2",-10,IF(BX95="Between 0.7 to 1.2",0,IF(BX95="Less than 0.7",10,0)))</f>
        <v/>
      </c>
      <c r="BZ95" s="30" t="n"/>
      <c r="CA95" s="30">
        <f>IF(BZ95="Yes",-10,0)</f>
        <v/>
      </c>
      <c r="CB95" s="30" t="n"/>
      <c r="CC95" s="30">
        <f>IF(CB95="More than 15%",-10,IF(CB95="Less than 15%",10,0))</f>
        <v/>
      </c>
      <c r="CD95" s="30" t="n"/>
      <c r="CE95" s="30">
        <f>IF(CD95="Yes, more than 10%",-10,IF(CD95="No",10,0))</f>
        <v/>
      </c>
      <c r="CF95" s="30" t="n"/>
      <c r="CG95" s="30">
        <f>IF(CF95&gt;20,10,IF(CF95&gt;=10,5,2))</f>
        <v/>
      </c>
    </row>
    <row r="99">
      <c r="A99" s="24" t="inlineStr">
        <is>
          <t>❌ REMOVED SCAN MATCH STOCKS (THIS WEEK)</t>
        </is>
      </c>
    </row>
    <row r="100">
      <c r="A100" s="34" t="inlineStr">
        <is>
          <t>Symbol</t>
        </is>
      </c>
      <c r="B100" s="34" t="inlineStr">
        <is>
          <t>Company Name</t>
        </is>
      </c>
      <c r="C100" s="34" t="inlineStr">
        <is>
          <t>Sector</t>
        </is>
      </c>
      <c r="D100" s="34" t="inlineStr">
        <is>
          <t>Date of Removal</t>
        </is>
      </c>
    </row>
    <row r="101">
      <c r="A101" s="35" t="inlineStr">
        <is>
          <t>ACMESOLAR</t>
        </is>
      </c>
      <c r="B101" s="36" t="inlineStr">
        <is>
          <t>ACMESOLAR</t>
        </is>
      </c>
      <c r="C101" s="36" t="inlineStr">
        <is>
          <t>unknown</t>
        </is>
      </c>
      <c r="D101" s="37" t="inlineStr">
        <is>
          <t>2026-09-08</t>
        </is>
      </c>
    </row>
    <row r="102">
      <c r="A102" s="35" t="inlineStr">
        <is>
          <t>ADOR</t>
        </is>
      </c>
      <c r="B102" s="36" t="inlineStr">
        <is>
          <t>ADOR</t>
        </is>
      </c>
      <c r="C102" s="36" t="inlineStr">
        <is>
          <t>unknown</t>
        </is>
      </c>
      <c r="D102" s="37" t="inlineStr">
        <is>
          <t>2026-09-08</t>
        </is>
      </c>
    </row>
    <row r="103">
      <c r="A103" s="35" t="inlineStr">
        <is>
          <t>AEROENTER</t>
        </is>
      </c>
      <c r="B103" s="36" t="inlineStr">
        <is>
          <t>AEROENTER</t>
        </is>
      </c>
      <c r="C103" s="36" t="inlineStr">
        <is>
          <t>unknown</t>
        </is>
      </c>
      <c r="D103" s="37" t="inlineStr">
        <is>
          <t>2026-09-10</t>
        </is>
      </c>
    </row>
    <row r="104">
      <c r="A104" s="35" t="inlineStr">
        <is>
          <t>BALAMINES</t>
        </is>
      </c>
      <c r="B104" s="36" t="inlineStr">
        <is>
          <t>BALAMINES</t>
        </is>
      </c>
      <c r="C104" s="36" t="inlineStr">
        <is>
          <t>unknown</t>
        </is>
      </c>
      <c r="D104" s="37" t="inlineStr">
        <is>
          <t>2026-09-08</t>
        </is>
      </c>
    </row>
    <row r="105">
      <c r="A105" s="35" t="inlineStr">
        <is>
          <t>CENTENKA</t>
        </is>
      </c>
      <c r="B105" s="36" t="inlineStr">
        <is>
          <t>CENTENKA</t>
        </is>
      </c>
      <c r="C105" s="36" t="inlineStr">
        <is>
          <t>unknown</t>
        </is>
      </c>
      <c r="D105" s="37" t="inlineStr">
        <is>
          <t>2026-09-10</t>
        </is>
      </c>
    </row>
    <row r="106">
      <c r="A106" s="35" t="inlineStr">
        <is>
          <t>DYCL</t>
        </is>
      </c>
      <c r="B106" s="36" t="inlineStr">
        <is>
          <t>DYCL</t>
        </is>
      </c>
      <c r="C106" s="36" t="inlineStr">
        <is>
          <t>unknown</t>
        </is>
      </c>
      <c r="D106" s="37" t="inlineStr">
        <is>
          <t>2026-09-09</t>
        </is>
      </c>
    </row>
    <row r="107">
      <c r="A107" s="35" t="inlineStr">
        <is>
          <t>ENGINERSIN</t>
        </is>
      </c>
      <c r="B107" s="36" t="inlineStr">
        <is>
          <t>Engineers India Limited</t>
        </is>
      </c>
      <c r="C107" s="36" t="inlineStr">
        <is>
          <t>Industrials</t>
        </is>
      </c>
      <c r="D107" s="37" t="inlineStr">
        <is>
          <t>2026-09-09</t>
        </is>
      </c>
    </row>
    <row r="108">
      <c r="A108" s="35" t="inlineStr">
        <is>
          <t>FOSECOIND</t>
        </is>
      </c>
      <c r="B108" s="36" t="inlineStr">
        <is>
          <t>Foseco India Limited</t>
        </is>
      </c>
      <c r="C108" s="36" t="inlineStr">
        <is>
          <t>Basic Materials</t>
        </is>
      </c>
      <c r="D108" s="37" t="inlineStr">
        <is>
          <t>2026-09-10</t>
        </is>
      </c>
    </row>
    <row r="109">
      <c r="A109" s="35" t="inlineStr">
        <is>
          <t>GHCLTEXTIL</t>
        </is>
      </c>
      <c r="B109" s="36" t="inlineStr">
        <is>
          <t>GHCL Textiles Limited</t>
        </is>
      </c>
      <c r="C109" s="36" t="inlineStr">
        <is>
          <t>Consumer Cyclical</t>
        </is>
      </c>
      <c r="D109" s="37" t="inlineStr">
        <is>
          <t>2026-09-10</t>
        </is>
      </c>
    </row>
    <row r="110">
      <c r="A110" s="35" t="inlineStr">
        <is>
          <t>GNRL</t>
        </is>
      </c>
      <c r="B110" s="36" t="inlineStr">
        <is>
          <t>GNRL</t>
        </is>
      </c>
      <c r="C110" s="36" t="inlineStr">
        <is>
          <t>unknown</t>
        </is>
      </c>
      <c r="D110" s="37" t="inlineStr">
        <is>
          <t>2026-09-08</t>
        </is>
      </c>
    </row>
    <row r="111">
      <c r="A111" s="35" t="inlineStr">
        <is>
          <t>GRAPHITE</t>
        </is>
      </c>
      <c r="B111" s="36" t="inlineStr">
        <is>
          <t>Graphite India Limited</t>
        </is>
      </c>
      <c r="C111" s="36" t="inlineStr">
        <is>
          <t>Industrials</t>
        </is>
      </c>
      <c r="D111" s="37" t="inlineStr">
        <is>
          <t>2026-09-10</t>
        </is>
      </c>
    </row>
    <row r="112">
      <c r="A112" s="35" t="inlineStr">
        <is>
          <t>IFCI</t>
        </is>
      </c>
      <c r="B112" s="36" t="inlineStr">
        <is>
          <t>IFCI</t>
        </is>
      </c>
      <c r="C112" s="36" t="inlineStr">
        <is>
          <t>unknown</t>
        </is>
      </c>
      <c r="D112" s="37" t="inlineStr">
        <is>
          <t>2026-09-08</t>
        </is>
      </c>
    </row>
    <row r="113">
      <c r="A113" s="35" t="inlineStr">
        <is>
          <t>IGPL</t>
        </is>
      </c>
      <c r="B113" s="36" t="inlineStr">
        <is>
          <t>I G Petrochemicals Limited</t>
        </is>
      </c>
      <c r="C113" s="36" t="inlineStr">
        <is>
          <t>Basic Materials</t>
        </is>
      </c>
      <c r="D113" s="37" t="inlineStr">
        <is>
          <t>2026-09-10</t>
        </is>
      </c>
    </row>
    <row r="114">
      <c r="A114" s="35" t="inlineStr">
        <is>
          <t>IIFL</t>
        </is>
      </c>
      <c r="B114" s="36" t="inlineStr">
        <is>
          <t>IIFL</t>
        </is>
      </c>
      <c r="C114" s="36" t="inlineStr">
        <is>
          <t>unknown</t>
        </is>
      </c>
      <c r="D114" s="37" t="inlineStr">
        <is>
          <t>2026-09-08</t>
        </is>
      </c>
    </row>
    <row r="115">
      <c r="A115" s="35" t="inlineStr">
        <is>
          <t>INDORAMA</t>
        </is>
      </c>
      <c r="B115" s="36" t="inlineStr">
        <is>
          <t>Indo Rama Synthetics (India) Limited</t>
        </is>
      </c>
      <c r="C115" s="36" t="inlineStr">
        <is>
          <t>Consumer Cyclical</t>
        </is>
      </c>
      <c r="D115" s="37" t="inlineStr">
        <is>
          <t>2026-09-10</t>
        </is>
      </c>
    </row>
    <row r="116">
      <c r="A116" s="35" t="inlineStr">
        <is>
          <t>INOVSYNTH</t>
        </is>
      </c>
      <c r="B116" s="36" t="inlineStr">
        <is>
          <t>INOVSYNTH</t>
        </is>
      </c>
      <c r="C116" s="36" t="inlineStr">
        <is>
          <t>unknown</t>
        </is>
      </c>
      <c r="D116" s="37" t="inlineStr">
        <is>
          <t>2026-09-09</t>
        </is>
      </c>
    </row>
    <row r="117">
      <c r="A117" s="35" t="inlineStr">
        <is>
          <t>KIRIINDUS</t>
        </is>
      </c>
      <c r="B117" s="36" t="inlineStr">
        <is>
          <t>KIRIINDUS</t>
        </is>
      </c>
      <c r="C117" s="36" t="inlineStr">
        <is>
          <t>unknown</t>
        </is>
      </c>
      <c r="D117" s="37" t="inlineStr">
        <is>
          <t>2026-09-10</t>
        </is>
      </c>
    </row>
    <row r="118">
      <c r="A118" s="35" t="inlineStr">
        <is>
          <t>KRN</t>
        </is>
      </c>
      <c r="B118" s="36" t="inlineStr">
        <is>
          <t>KRN Heat Exchanger and Refrigeration Limited</t>
        </is>
      </c>
      <c r="C118" s="36" t="inlineStr">
        <is>
          <t>Technology</t>
        </is>
      </c>
      <c r="D118" s="37" t="inlineStr">
        <is>
          <t>2026-09-10</t>
        </is>
      </c>
    </row>
    <row r="119">
      <c r="A119" s="35" t="inlineStr">
        <is>
          <t>MANALIPETC</t>
        </is>
      </c>
      <c r="B119" s="36" t="inlineStr">
        <is>
          <t>Manali Petrochemicals Limited</t>
        </is>
      </c>
      <c r="C119" s="36" t="inlineStr">
        <is>
          <t>Basic Materials</t>
        </is>
      </c>
      <c r="D119" s="37" t="inlineStr">
        <is>
          <t>2026-09-09</t>
        </is>
      </c>
    </row>
    <row r="120">
      <c r="A120" s="35" t="inlineStr">
        <is>
          <t>MTARTECH</t>
        </is>
      </c>
      <c r="B120" s="36" t="inlineStr">
        <is>
          <t>MTAR Technologies Limited</t>
        </is>
      </c>
      <c r="C120" s="36" t="inlineStr">
        <is>
          <t>Industrials</t>
        </is>
      </c>
      <c r="D120" s="37" t="inlineStr">
        <is>
          <t>2026-09-09</t>
        </is>
      </c>
    </row>
    <row r="121">
      <c r="A121" s="35" t="inlineStr">
        <is>
          <t>MVGJL</t>
        </is>
      </c>
      <c r="B121" s="36" t="inlineStr">
        <is>
          <t>Manoj Vaibhav Gems 'N' Jewellers Limited</t>
        </is>
      </c>
      <c r="C121" s="36" t="inlineStr">
        <is>
          <t>Consumer Cyclical</t>
        </is>
      </c>
      <c r="D121" s="37" t="inlineStr">
        <is>
          <t>2026-09-08</t>
        </is>
      </c>
    </row>
    <row r="122">
      <c r="A122" s="35" t="inlineStr">
        <is>
          <t>NOVARTIND</t>
        </is>
      </c>
      <c r="B122" s="36" t="inlineStr">
        <is>
          <t>Novartis India Limited</t>
        </is>
      </c>
      <c r="C122" s="36" t="inlineStr">
        <is>
          <t>Healthcare</t>
        </is>
      </c>
      <c r="D122" s="37" t="inlineStr">
        <is>
          <t>2026-09-10</t>
        </is>
      </c>
    </row>
    <row r="123">
      <c r="A123" s="35" t="inlineStr">
        <is>
          <t>OBSCP</t>
        </is>
      </c>
      <c r="B123" s="36" t="inlineStr">
        <is>
          <t>OBSCP</t>
        </is>
      </c>
      <c r="C123" s="36" t="inlineStr">
        <is>
          <t>unknown</t>
        </is>
      </c>
      <c r="D123" s="37" t="inlineStr">
        <is>
          <t>2026-09-10</t>
        </is>
      </c>
    </row>
    <row r="124">
      <c r="A124" s="35" t="inlineStr">
        <is>
          <t>OFSS</t>
        </is>
      </c>
      <c r="B124" s="36" t="inlineStr">
        <is>
          <t>OFSS</t>
        </is>
      </c>
      <c r="C124" s="36" t="inlineStr">
        <is>
          <t>unknown</t>
        </is>
      </c>
      <c r="D124" s="37" t="inlineStr">
        <is>
          <t>2026-09-10</t>
        </is>
      </c>
    </row>
    <row r="125">
      <c r="A125" s="35" t="inlineStr">
        <is>
          <t>OMAXE</t>
        </is>
      </c>
      <c r="B125" s="36" t="inlineStr">
        <is>
          <t>Omaxe Limited</t>
        </is>
      </c>
      <c r="C125" s="36" t="inlineStr">
        <is>
          <t>Real Estate</t>
        </is>
      </c>
      <c r="D125" s="37" t="inlineStr">
        <is>
          <t>2026-09-09</t>
        </is>
      </c>
    </row>
    <row r="126">
      <c r="A126" s="35" t="inlineStr">
        <is>
          <t>PARAS</t>
        </is>
      </c>
      <c r="B126" s="36" t="inlineStr">
        <is>
          <t>Paras Defence and Space Technologies Limited</t>
        </is>
      </c>
      <c r="C126" s="36" t="inlineStr">
        <is>
          <t>Industrials</t>
        </is>
      </c>
      <c r="D126" s="37" t="inlineStr">
        <is>
          <t>2026-09-09</t>
        </is>
      </c>
    </row>
    <row r="127">
      <c r="A127" s="35" t="inlineStr">
        <is>
          <t>PAYTM</t>
        </is>
      </c>
      <c r="B127" s="36" t="inlineStr">
        <is>
          <t>One97 Communications Limited</t>
        </is>
      </c>
      <c r="C127" s="36" t="inlineStr">
        <is>
          <t>Technology</t>
        </is>
      </c>
      <c r="D127" s="37" t="inlineStr">
        <is>
          <t>2026-09-10</t>
        </is>
      </c>
    </row>
    <row r="128">
      <c r="A128" s="35" t="inlineStr">
        <is>
          <t>PTCIL</t>
        </is>
      </c>
      <c r="B128" s="36" t="inlineStr">
        <is>
          <t>PTC Industries Limited</t>
        </is>
      </c>
      <c r="C128" s="36" t="inlineStr">
        <is>
          <t>Industrials</t>
        </is>
      </c>
      <c r="D128" s="37" t="inlineStr">
        <is>
          <t>2026-09-10</t>
        </is>
      </c>
    </row>
    <row r="129">
      <c r="A129" s="35" t="inlineStr">
        <is>
          <t>RAMRAT</t>
        </is>
      </c>
      <c r="B129" s="36" t="inlineStr">
        <is>
          <t>Ram Ratna Wires Limited</t>
        </is>
      </c>
      <c r="C129" s="36" t="inlineStr">
        <is>
          <t>Industrials</t>
        </is>
      </c>
      <c r="D129" s="37" t="inlineStr">
        <is>
          <t>2026-09-09</t>
        </is>
      </c>
    </row>
    <row r="130">
      <c r="A130" s="35" t="inlineStr">
        <is>
          <t>RPTECH</t>
        </is>
      </c>
      <c r="B130" s="36" t="inlineStr">
        <is>
          <t>RPTECH</t>
        </is>
      </c>
      <c r="C130" s="36" t="inlineStr">
        <is>
          <t>unknown</t>
        </is>
      </c>
      <c r="D130" s="37" t="inlineStr">
        <is>
          <t>2026-09-08</t>
        </is>
      </c>
    </row>
    <row r="131">
      <c r="A131" s="35" t="inlineStr">
        <is>
          <t>SANSERA</t>
        </is>
      </c>
      <c r="B131" s="36" t="inlineStr">
        <is>
          <t>Sansera Engineering Limited</t>
        </is>
      </c>
      <c r="C131" s="36" t="inlineStr">
        <is>
          <t>Consumer Cyclical</t>
        </is>
      </c>
      <c r="D131" s="37" t="inlineStr">
        <is>
          <t>2026-09-10</t>
        </is>
      </c>
    </row>
    <row r="132">
      <c r="A132" s="35" t="inlineStr">
        <is>
          <t>SHUKRAPHAR</t>
        </is>
      </c>
      <c r="B132" s="36" t="inlineStr">
        <is>
          <t>SHUKRAPHAR</t>
        </is>
      </c>
      <c r="C132" s="36" t="inlineStr">
        <is>
          <t>unknown</t>
        </is>
      </c>
      <c r="D132" s="37" t="inlineStr">
        <is>
          <t>2026-09-10</t>
        </is>
      </c>
    </row>
    <row r="133">
      <c r="A133" s="35" t="inlineStr">
        <is>
          <t>SKIPPER</t>
        </is>
      </c>
      <c r="B133" s="36" t="inlineStr">
        <is>
          <t>Skipper Limited</t>
        </is>
      </c>
      <c r="C133" s="36" t="inlineStr">
        <is>
          <t>Industrials</t>
        </is>
      </c>
      <c r="D133" s="37" t="inlineStr">
        <is>
          <t>2026-09-09</t>
        </is>
      </c>
    </row>
    <row r="134">
      <c r="A134" s="35" t="inlineStr">
        <is>
          <t>SOLARA</t>
        </is>
      </c>
      <c r="B134" s="36" t="inlineStr">
        <is>
          <t>Solara Active Pharma Sciences Limited</t>
        </is>
      </c>
      <c r="C134" s="36" t="inlineStr">
        <is>
          <t>Healthcare</t>
        </is>
      </c>
      <c r="D134" s="37" t="inlineStr">
        <is>
          <t>2026-09-09</t>
        </is>
      </c>
    </row>
    <row r="135">
      <c r="A135" s="35" t="inlineStr">
        <is>
          <t>SPORTKING</t>
        </is>
      </c>
      <c r="B135" s="36" t="inlineStr">
        <is>
          <t>SPORTKING</t>
        </is>
      </c>
      <c r="C135" s="36" t="inlineStr">
        <is>
          <t>unknown</t>
        </is>
      </c>
      <c r="D135" s="37" t="inlineStr">
        <is>
          <t>2026-09-08</t>
        </is>
      </c>
    </row>
    <row r="136">
      <c r="A136" s="35" t="inlineStr">
        <is>
          <t>SYNCOMF</t>
        </is>
      </c>
      <c r="B136" s="36" t="inlineStr">
        <is>
          <t>Syncom Formulations (India) Limited</t>
        </is>
      </c>
      <c r="C136" s="36" t="inlineStr">
        <is>
          <t>Healthcare</t>
        </is>
      </c>
      <c r="D136" s="37" t="inlineStr">
        <is>
          <t>2026-09-09</t>
        </is>
      </c>
    </row>
    <row r="137">
      <c r="A137" s="35" t="inlineStr">
        <is>
          <t>THELEELA</t>
        </is>
      </c>
      <c r="B137" s="36" t="inlineStr">
        <is>
          <t>Leela Palaces Hotels &amp; Resorts Limited</t>
        </is>
      </c>
      <c r="C137" s="36" t="inlineStr">
        <is>
          <t>Consumer Cyclical</t>
        </is>
      </c>
      <c r="D137" s="37" t="inlineStr">
        <is>
          <t>2026-09-10</t>
        </is>
      </c>
    </row>
    <row r="138">
      <c r="A138" s="35" t="inlineStr">
        <is>
          <t>UFLEX</t>
        </is>
      </c>
      <c r="B138" s="36" t="inlineStr">
        <is>
          <t>Uflex Limited</t>
        </is>
      </c>
      <c r="C138" s="36" t="inlineStr">
        <is>
          <t>Consumer Cyclical</t>
        </is>
      </c>
      <c r="D138" s="37" t="inlineStr">
        <is>
          <t>2026-09-09</t>
        </is>
      </c>
    </row>
    <row r="139">
      <c r="A139" s="35" t="inlineStr">
        <is>
          <t>UNIVCABLES</t>
        </is>
      </c>
      <c r="B139" s="36" t="inlineStr">
        <is>
          <t>UNIVCABLES</t>
        </is>
      </c>
      <c r="C139" s="36" t="inlineStr">
        <is>
          <t>unknown</t>
        </is>
      </c>
      <c r="D139" s="37" t="inlineStr">
        <is>
          <t>2026-09-09</t>
        </is>
      </c>
    </row>
    <row r="140">
      <c r="A140" s="35" t="inlineStr">
        <is>
          <t>WELCORP</t>
        </is>
      </c>
      <c r="B140" s="36" t="inlineStr">
        <is>
          <t>Welspun Corp Limited</t>
        </is>
      </c>
      <c r="C140" s="36" t="inlineStr">
        <is>
          <t>Basic Materials</t>
        </is>
      </c>
      <c r="D140" s="37" t="inlineStr">
        <is>
          <t>2026-09-08</t>
        </is>
      </c>
    </row>
  </sheetData>
  <autoFilter ref="A1:CG95"/>
  <conditionalFormatting sqref="B2:B9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5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5">
    <cfRule type="cellIs" priority="37" operator="equal" dxfId="3" stopIfTrue="1">
      <formula>"Underperforming"</formula>
    </cfRule>
  </conditionalFormatting>
  <conditionalFormatting sqref="N2:N95">
    <cfRule type="cellIs" priority="38" operator="equal" dxfId="3" stopIfTrue="1">
      <formula>-5</formula>
    </cfRule>
  </conditionalFormatting>
  <conditionalFormatting sqref="Q2:Q95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5" showDropDown="0" showInputMessage="0" showErrorMessage="0" allowBlank="1" type="list">
      <formula1>"Growing Industry,Stagnant Industry,Cyclical in an Upturn"</formula1>
    </dataValidation>
    <dataValidation sqref="Z2:Z95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5" showDropDown="0" showInputMessage="0" showErrorMessage="0" allowBlank="1" type="list">
      <formula1>"Yes,No"</formula1>
    </dataValidation>
    <dataValidation sqref="AD2:AD95" showDropDown="0" showInputMessage="0" showErrorMessage="0" allowBlank="1" type="list">
      <formula1>"Tailwind,Headwind"</formula1>
    </dataValidation>
    <dataValidation sqref="AF2:AF95" showDropDown="0" showInputMessage="0" showErrorMessage="0" allowBlank="1" type="list">
      <formula1>"Structural (10 Years Consistency),Shallow Cyclical (2 to 3 Years Growth),Cyclical"</formula1>
    </dataValidation>
    <dataValidation sqref="AH2:AH95" showDropDown="0" showInputMessage="0" showErrorMessage="0" allowBlank="1" type="list">
      <formula1>"Yes due to Product Mix change or Operating Leverage,Yes, these are peak margins,No"</formula1>
    </dataValidation>
    <dataValidation sqref="AJ2:AJ95" showDropDown="0" showInputMessage="0" showErrorMessage="0" allowBlank="1" type="list">
      <formula1>"Stable,Volatile"</formula1>
    </dataValidation>
    <dataValidation sqref="AL2:AL95" showDropDown="0" showInputMessage="0" showErrorMessage="0" allowBlank="1" type="list">
      <formula1>"Yes,No"</formula1>
    </dataValidation>
    <dataValidation sqref="AN2:AN95" showDropDown="0" showInputMessage="0" showErrorMessage="0" allowBlank="1" type="list">
      <formula1>"B2C,B2B,B2G"</formula1>
    </dataValidation>
    <dataValidation sqref="AP2:AP95" showDropDown="0" showInputMessage="0" showErrorMessage="0" allowBlank="1" type="list">
      <formula1>"Yes,No"</formula1>
    </dataValidation>
    <dataValidation sqref="AR2:AR95" showDropDown="0" showInputMessage="0" showErrorMessage="0" allowBlank="1" type="list">
      <formula1>"Fully Annuity,Higher Annuity, Lower One time,Higher One Time, Lower Annuity,Fully One Time"</formula1>
    </dataValidation>
    <dataValidation sqref="AT2:AT95" showDropDown="0" showInputMessage="0" showErrorMessage="0" allowBlank="1" type="list">
      <formula1>"Good,Allocated capital in Non-core Areas"</formula1>
    </dataValidation>
    <dataValidation sqref="AV2:AV95" showDropDown="0" showInputMessage="0" showErrorMessage="0" allowBlank="1" type="list">
      <formula1>"Yes for more than 2 years,Yes only for next 1 to 2 years,No"</formula1>
    </dataValidation>
    <dataValidation sqref="AX2:AX95" showDropDown="0" showInputMessage="0" showErrorMessage="0" allowBlank="1" type="list">
      <formula1>"Above 40,20 to 40,0 to 20"</formula1>
    </dataValidation>
    <dataValidation sqref="AZ2:AZ95" showDropDown="0" showInputMessage="0" showErrorMessage="0" allowBlank="1" type="list">
      <formula1>"Between 50 to 75,Above 75,Below 45"</formula1>
    </dataValidation>
    <dataValidation sqref="BB2:BB95" showDropDown="0" showInputMessage="0" showErrorMessage="0" allowBlank="1" type="list">
      <formula1>"Stage 1,Stage 2,Stage 3,Stage 4"</formula1>
    </dataValidation>
    <dataValidation sqref="BD2:BD95" showDropDown="0" showInputMessage="0" showErrorMessage="0" allowBlank="1" type="list">
      <formula1>"Positive Trend,Negative Trend"</formula1>
    </dataValidation>
    <dataValidation sqref="BF2:BF95" showDropDown="0" showInputMessage="0" showErrorMessage="0" allowBlank="1" type="list">
      <formula1>"Uptrend,Sideways,Downtrend"</formula1>
    </dataValidation>
    <dataValidation sqref="BH2:BH95" showDropDown="0" showInputMessage="0" showErrorMessage="0" allowBlank="1" type="list">
      <formula1>"Uptrend,Sideways,Downtrend"</formula1>
    </dataValidation>
    <dataValidation sqref="BJ2:BJ9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5" showDropDown="0" showInputMessage="0" showErrorMessage="0" allowBlank="1" type="list">
      <formula1>"Yes,No"</formula1>
    </dataValidation>
    <dataValidation sqref="BN2:BN95" showDropDown="0" showInputMessage="0" showErrorMessage="0" allowBlank="1" type="list">
      <formula1>"More than 20%,Between 12 to 20%,Less than 12%"</formula1>
    </dataValidation>
    <dataValidation sqref="BP2:BP95" showDropDown="0" showInputMessage="0" showErrorMessage="0" allowBlank="1" type="list">
      <formula1>"Yes,No"</formula1>
    </dataValidation>
    <dataValidation sqref="BR2:BR95" showDropDown="0" showInputMessage="0" showErrorMessage="0" allowBlank="1" type="list">
      <formula1>"Yes,No"</formula1>
    </dataValidation>
    <dataValidation sqref="BT2:BT95" showDropDown="0" showInputMessage="0" showErrorMessage="0" allowBlank="1" type="list">
      <formula1>"Above 2,Between 1.5 to 2,Less than 1.5"</formula1>
    </dataValidation>
    <dataValidation sqref="BV2:BV95" showDropDown="0" showInputMessage="0" showErrorMessage="0" allowBlank="1" type="list">
      <formula1>"Above 70%,Between 50% to 70%,Less than 50%,Less than 50% and Borrowings are increasing,Negative"</formula1>
    </dataValidation>
    <dataValidation sqref="BX2:BX95" showDropDown="0" showInputMessage="0" showErrorMessage="0" allowBlank="1" type="list">
      <formula1>"More than 1.2,Between 0.7 to 1.2,Less than 0.7"</formula1>
    </dataValidation>
    <dataValidation sqref="BZ2:BZ95" showDropDown="0" showInputMessage="0" showErrorMessage="0" allowBlank="1" type="list">
      <formula1>"Yes,No"</formula1>
    </dataValidation>
    <dataValidation sqref="CB2:CB95" showDropDown="0" showInputMessage="0" showErrorMessage="0" allowBlank="1" type="list">
      <formula1>"More than 15%,Less than 15%"</formula1>
    </dataValidation>
    <dataValidation sqref="CD2:CD95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2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  <c r="CB1" s="29" t="inlineStr">
        <is>
          <t>Scan Matches</t>
        </is>
      </c>
      <c r="CC1" s="29" t="inlineStr">
        <is>
          <t>Scan Matches Score</t>
        </is>
      </c>
    </row>
    <row r="2">
      <c r="A2" s="30">
        <f>IF(B2=0,"",RANK(B2,$B$2:$B$7,0))</f>
        <v/>
      </c>
      <c r="B2" s="31">
        <f>SUM(N2,Y2,AA2,AC2,AE2,AG2,AI2,AK2,AM2,AO2,AQ2,AS2,AU2,AW2,AY2,BA2,BC2,BE2,BG2,BI2,BK2,BM2,BO2,BQ2,BS2,BU2,BW2,BY2,CA2,CC2)</f>
        <v/>
      </c>
      <c r="C2" s="30" t="inlineStr">
        <is>
          <t>CGCL</t>
        </is>
      </c>
      <c r="D2" s="30" t="inlineStr">
        <is>
          <t>Capri Global Capital Ltd</t>
        </is>
      </c>
      <c r="E2" s="30" t="inlineStr">
        <is>
          <t>financials</t>
        </is>
      </c>
      <c r="F2" s="30" t="inlineStr">
        <is>
          <t>Finance &amp; Investments - Gold Loan</t>
        </is>
      </c>
      <c r="G2" s="30" t="inlineStr">
        <is>
          <t>largecap</t>
        </is>
      </c>
      <c r="H2" s="31" t="n">
        <v>26358.21</v>
      </c>
      <c r="I2" s="31" t="n">
        <v>273.95</v>
      </c>
      <c r="J2" s="31" t="n">
        <v>0.57</v>
      </c>
      <c r="K2" s="31" t="n">
        <v>0</v>
      </c>
      <c r="L2" s="30" t="n">
        <v>48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69.97</v>
      </c>
      <c r="P2" s="31" t="n">
        <v>40.5</v>
      </c>
      <c r="Q2" s="31" t="n">
        <v>220.06</v>
      </c>
      <c r="R2" s="30" t="inlineStr">
        <is>
          <t>Near 52W High Breakout</t>
        </is>
      </c>
      <c r="S2" s="30" t="inlineStr">
        <is>
          <t>Nifty Bank</t>
        </is>
      </c>
      <c r="T2" s="31" t="n">
        <v>3.03</v>
      </c>
      <c r="U2" s="31" t="n">
        <v>46.45</v>
      </c>
      <c r="V2" s="31" t="n">
        <v>42.14</v>
      </c>
      <c r="W2" s="31" t="n">
        <v>15.06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between 2.5x to 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Above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Blue sky scenario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  <c r="CB2" s="30" t="inlineStr">
        <is>
          <t>30</t>
        </is>
      </c>
      <c r="CC2" s="30">
        <f>IF(CB2&gt;20,10,IF(CB2&gt;=10,5,2))</f>
        <v/>
      </c>
    </row>
    <row r="3">
      <c r="A3" s="30">
        <f>IF(B3=0,"",RANK(B3,$B$2:$B$7,0))</f>
        <v/>
      </c>
      <c r="B3" s="31">
        <f>SUM(N3,Y3,AA3,AC3,AE3,AG3,AI3,AK3,AM3,AO3,AQ3,AS3,AU3,AW3,AY3,BA3,BC3,BE3,BG3,BI3,BK3,BM3,BO3,BQ3,BS3,BU3,BW3,BY3,CA3,CC3)</f>
        <v/>
      </c>
      <c r="C3" s="30" t="inlineStr">
        <is>
          <t>PAISALO</t>
        </is>
      </c>
      <c r="D3" s="30" t="inlineStr">
        <is>
          <t>Paisalo Digital Ltd</t>
        </is>
      </c>
      <c r="E3" s="30" t="inlineStr">
        <is>
          <t>financials</t>
        </is>
      </c>
      <c r="F3" s="30" t="inlineStr">
        <is>
          <t>Finance - Capital Markets - Brokers</t>
        </is>
      </c>
      <c r="G3" s="30" t="inlineStr">
        <is>
          <t>midcap</t>
        </is>
      </c>
      <c r="H3" s="31" t="n">
        <v>7526.29</v>
      </c>
      <c r="I3" s="31" t="n">
        <v>82.75</v>
      </c>
      <c r="J3" s="31" t="n">
        <v>3.54</v>
      </c>
      <c r="K3" s="31" t="n">
        <v>0</v>
      </c>
      <c r="L3" s="30" t="n">
        <v>80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79.67</v>
      </c>
      <c r="P3" s="31" t="n">
        <v>67.28</v>
      </c>
      <c r="Q3" s="31" t="n">
        <v>66.01000000000001</v>
      </c>
      <c r="R3" s="30" t="inlineStr">
        <is>
          <t>Near 52W High Breakout</t>
        </is>
      </c>
      <c r="S3" s="30" t="inlineStr">
        <is>
          <t>Nifty Bank</t>
        </is>
      </c>
      <c r="T3" s="31" t="n">
        <v>3.03</v>
      </c>
      <c r="U3" s="31" t="n">
        <v>118.88</v>
      </c>
      <c r="V3" s="31" t="n">
        <v>112.44</v>
      </c>
      <c r="W3" s="31" t="n">
        <v>30.63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between 2.5x to 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Above 40</t>
        </is>
      </c>
      <c r="BM3" s="30">
        <f>IF(BL3="Above 40",20,IF(BL3="20 to 40",10,IF(BL3="0 to 20",-5,0)))</f>
        <v/>
      </c>
      <c r="BN3" s="30" t="inlineStr">
        <is>
          <t>Above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Blue sky scenario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  <c r="CB3" s="30" t="inlineStr">
        <is>
          <t>22</t>
        </is>
      </c>
      <c r="CC3" s="30">
        <f>IF(CB3&gt;20,10,IF(CB3&gt;=10,5,2))</f>
        <v/>
      </c>
    </row>
    <row r="4">
      <c r="A4" s="30">
        <f>IF(B4=0,"",RANK(B4,$B$2:$B$7,0))</f>
        <v/>
      </c>
      <c r="B4" s="31">
        <f>SUM(N4,Y4,AA4,AC4,AE4,AG4,AI4,AK4,AM4,AO4,AQ4,AS4,AU4,AW4,AY4,BA4,BC4,BE4,BG4,BI4,BK4,BM4,BO4,BQ4,BS4,BU4,BW4,BY4,CA4,CC4)</f>
        <v/>
      </c>
      <c r="C4" s="33" t="inlineStr">
        <is>
          <t>SHAREINDIA</t>
        </is>
      </c>
      <c r="D4" s="33" t="inlineStr">
        <is>
          <t>Share India Securities Ltd</t>
        </is>
      </c>
      <c r="E4" s="30" t="inlineStr">
        <is>
          <t>financials</t>
        </is>
      </c>
      <c r="F4" s="30" t="inlineStr">
        <is>
          <t>Finance - Capital Markets - Brokers</t>
        </is>
      </c>
      <c r="G4" s="30" t="inlineStr">
        <is>
          <t>smallcap</t>
        </is>
      </c>
      <c r="H4" s="31" t="n">
        <v>4276.29</v>
      </c>
      <c r="I4" s="31" t="n">
        <v>195.42</v>
      </c>
      <c r="J4" s="31" t="n">
        <v>3.15</v>
      </c>
      <c r="K4" s="31" t="n">
        <v>0</v>
      </c>
      <c r="L4" s="30" t="n">
        <v>56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66.23</v>
      </c>
      <c r="P4" s="31" t="n">
        <v>31.16</v>
      </c>
      <c r="Q4" s="31" t="n">
        <v>145.97</v>
      </c>
      <c r="R4" s="30" t="inlineStr">
        <is>
          <t>Volume Spike &amp; Near 52W High Breakout</t>
        </is>
      </c>
      <c r="S4" s="30" t="inlineStr">
        <is>
          <t>Nifty Bank</t>
        </is>
      </c>
      <c r="T4" s="31" t="n">
        <v>3.03</v>
      </c>
      <c r="U4" s="31" t="n">
        <v>36.1</v>
      </c>
      <c r="V4" s="31" t="n">
        <v>32.09</v>
      </c>
      <c r="W4" s="31" t="n">
        <v>17.79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Yes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less than 2.5x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20 to 40</t>
        </is>
      </c>
      <c r="BM4" s="30">
        <f>IF(BL4="Above 40",20,IF(BL4="20 to 40",10,IF(BL4="0 to 20",-5,0)))</f>
        <v/>
      </c>
      <c r="BN4" s="30" t="inlineStr">
        <is>
          <t>Between 50 to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Close to 52 week high or retracement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  <c r="CB4" s="30" t="inlineStr">
        <is>
          <t>21</t>
        </is>
      </c>
      <c r="CC4" s="30">
        <f>IF(CB4&gt;20,10,IF(CB4&gt;=10,5,2))</f>
        <v/>
      </c>
    </row>
    <row r="5">
      <c r="A5" s="30">
        <f>IF(B5=0,"",RANK(B5,$B$2:$B$7,0))</f>
        <v/>
      </c>
      <c r="B5" s="31">
        <f>SUM(N5,Y5,AA5,AC5,AE5,AG5,AI5,AK5,AM5,AO5,AQ5,AS5,AU5,AW5,AY5,BA5,BC5,BE5,BG5,BI5,BK5,BM5,BO5,BQ5,BS5,BU5,BW5,BY5,CA5,CC5)</f>
        <v/>
      </c>
      <c r="C5" s="30" t="inlineStr">
        <is>
          <t>TFCILTD</t>
        </is>
      </c>
      <c r="D5" s="30" t="inlineStr">
        <is>
          <t>Tourism Finance Corporation of India Ltd</t>
        </is>
      </c>
      <c r="E5" s="30" t="inlineStr">
        <is>
          <t>financials</t>
        </is>
      </c>
      <c r="F5" s="30" t="inlineStr">
        <is>
          <t>Finance - PSU Lending</t>
        </is>
      </c>
      <c r="G5" s="30" t="inlineStr">
        <is>
          <t>midcap</t>
        </is>
      </c>
      <c r="H5" s="31" t="n">
        <v>6640.95</v>
      </c>
      <c r="I5" s="31" t="n">
        <v>143.44</v>
      </c>
      <c r="J5" s="31" t="n">
        <v>1.24</v>
      </c>
      <c r="K5" s="31" t="n">
        <v>0</v>
      </c>
      <c r="L5" s="30" t="n">
        <v>88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85.91</v>
      </c>
      <c r="P5" s="31" t="n">
        <v>65.98</v>
      </c>
      <c r="Q5" s="31" t="n">
        <v>114.99</v>
      </c>
      <c r="R5" s="30" t="inlineStr">
        <is>
          <t>Near 52W High Breakout</t>
        </is>
      </c>
      <c r="S5" s="30" t="inlineStr">
        <is>
          <t>Nifty Bank</t>
        </is>
      </c>
      <c r="T5" s="31" t="n">
        <v>3.03</v>
      </c>
      <c r="U5" s="31" t="n">
        <v>97.53</v>
      </c>
      <c r="V5" s="31" t="n">
        <v>91.70999999999999</v>
      </c>
      <c r="W5" s="31" t="n">
        <v>38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above 5x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Above 40</t>
        </is>
      </c>
      <c r="BM5" s="30">
        <f>IF(BL5="Above 40",20,IF(BL5="20 to 40",10,IF(BL5="0 to 20",-5,0)))</f>
        <v/>
      </c>
      <c r="BN5" s="30" t="inlineStr">
        <is>
          <t>Above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Positive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Blue sky scenario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  <c r="CB5" s="30" t="inlineStr">
        <is>
          <t>20</t>
        </is>
      </c>
      <c r="CC5" s="30">
        <f>IF(CB5&gt;20,10,IF(CB5&gt;=10,5,2))</f>
        <v/>
      </c>
    </row>
    <row r="6">
      <c r="A6" s="30">
        <f>IF(B6=0,"",RANK(B6,$B$2:$B$7,0))</f>
        <v/>
      </c>
      <c r="B6" s="31">
        <f>SUM(N6,Y6,AA6,AC6,AE6,AG6,AI6,AK6,AM6,AO6,AQ6,AS6,AU6,AW6,AY6,BA6,BC6,BE6,BG6,BI6,BK6,BM6,BO6,BQ6,BS6,BU6,BW6,BY6,CA6,CC6)</f>
        <v/>
      </c>
      <c r="C6" s="30" t="inlineStr">
        <is>
          <t>ALEMBICLTD</t>
        </is>
      </c>
      <c r="D6" s="30" t="inlineStr">
        <is>
          <t>Alembic Ltd</t>
        </is>
      </c>
      <c r="E6" s="30" t="inlineStr">
        <is>
          <t>realty</t>
        </is>
      </c>
      <c r="F6" s="30" t="inlineStr">
        <is>
          <t>Finance - Holding Company</t>
        </is>
      </c>
      <c r="G6" s="30" t="inlineStr">
        <is>
          <t>smallcap</t>
        </is>
      </c>
      <c r="H6" s="31" t="n">
        <v>2721.89</v>
      </c>
      <c r="I6" s="31" t="n">
        <v>106</v>
      </c>
      <c r="J6" s="31" t="n">
        <v>-0.89</v>
      </c>
      <c r="K6" s="31" t="n">
        <v>0</v>
      </c>
      <c r="L6" s="30" t="n">
        <v>10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65.36</v>
      </c>
      <c r="P6" s="31" t="n">
        <v>17.05</v>
      </c>
      <c r="Q6" s="31" t="n">
        <v>89.94</v>
      </c>
      <c r="R6" s="30" t="inlineStr">
        <is>
          <t>Near 52W High Breakout</t>
        </is>
      </c>
      <c r="S6" s="30" t="inlineStr">
        <is>
          <t>Nifty Realty</t>
        </is>
      </c>
      <c r="T6" s="31" t="n">
        <v>-8.26</v>
      </c>
      <c r="U6" s="31" t="n">
        <v>-2.87</v>
      </c>
      <c r="V6" s="31" t="n">
        <v>5.88</v>
      </c>
      <c r="W6" s="31" t="n">
        <v>3.89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Yes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less than 2.5x and Growth less than 20%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0 to 20</t>
        </is>
      </c>
      <c r="BM6" s="30">
        <f>IF(BL6="Above 40",20,IF(BL6="20 to 40",10,IF(BL6="0 to 20",-5,0)))</f>
        <v/>
      </c>
      <c r="BN6" s="30" t="inlineStr">
        <is>
          <t>Between 50 to 75</t>
        </is>
      </c>
      <c r="BO6" s="30">
        <f>IF(BN6="Between 50 to 75",10,IF(BN6="Above 75",0,0))</f>
        <v/>
      </c>
      <c r="BP6" s="30" t="inlineStr">
        <is>
          <t>Stage 2</t>
        </is>
      </c>
      <c r="BQ6" s="30">
        <f>IF(BP6="Stage 2",20,IF(BP6="Stage 1",0,IF(BP6="Stage 3",5,IF(BP6="Stage 4",-5,0))))</f>
        <v/>
      </c>
      <c r="BR6" s="30" t="inlineStr">
        <is>
          <t>Positive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Close to 52 week high or retracement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  <c r="CB6" s="30" t="inlineStr">
        <is>
          <t>19</t>
        </is>
      </c>
      <c r="CC6" s="30">
        <f>IF(CB6&gt;20,10,IF(CB6&gt;=10,5,2))</f>
        <v/>
      </c>
    </row>
    <row r="7">
      <c r="A7" s="30">
        <f>IF(B7=0,"",RANK(B7,$B$2:$B$7,0))</f>
        <v/>
      </c>
      <c r="B7" s="31">
        <f>SUM(N7,Y7,AA7,AC7,AE7,AG7,AI7,AK7,AM7,AO7,AQ7,AS7,AU7,AW7,AY7,BA7,BC7,BE7,BG7,BI7,BK7,BM7,BO7,BQ7,BS7,BU7,BW7,BY7,CA7,CC7)</f>
        <v/>
      </c>
      <c r="C7" s="30" t="inlineStr">
        <is>
          <t>GCSL</t>
        </is>
      </c>
      <c r="D7" s="30" t="inlineStr">
        <is>
          <t>Gretex Corporate Services Ltd</t>
        </is>
      </c>
      <c r="E7" s="30" t="inlineStr">
        <is>
          <t>financials</t>
        </is>
      </c>
      <c r="F7" s="30" t="inlineStr">
        <is>
          <t>Finance &amp; Investments - Others</t>
        </is>
      </c>
      <c r="G7" s="30" t="inlineStr">
        <is>
          <t>smallcap</t>
        </is>
      </c>
      <c r="H7" s="31" t="n">
        <v>1477.46</v>
      </c>
      <c r="I7" s="31" t="n">
        <v>611.55</v>
      </c>
      <c r="J7" s="31" t="n">
        <v>1.54</v>
      </c>
      <c r="K7" s="31" t="n">
        <v>0</v>
      </c>
      <c r="L7" s="30" t="n">
        <v>75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75.55</v>
      </c>
      <c r="P7" s="31" t="n">
        <v>34.17</v>
      </c>
      <c r="Q7" s="31" t="n">
        <v>480.57</v>
      </c>
      <c r="R7" s="30" t="inlineStr">
        <is>
          <t>Near 52W High Breakout</t>
        </is>
      </c>
      <c r="S7" s="30" t="inlineStr">
        <is>
          <t>Nifty Bank</t>
        </is>
      </c>
      <c r="T7" s="31" t="n">
        <v>3.03</v>
      </c>
      <c r="U7" s="31" t="n">
        <v>119.56</v>
      </c>
      <c r="V7" s="31" t="n">
        <v>113.09</v>
      </c>
      <c r="W7" s="31" t="n">
        <v>26.5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Yes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above 5x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20 to 40</t>
        </is>
      </c>
      <c r="BM7" s="30">
        <f>IF(BL7="Above 40",20,IF(BL7="20 to 40",10,IF(BL7="0 to 20",-5,0)))</f>
        <v/>
      </c>
      <c r="BN7" s="30" t="inlineStr">
        <is>
          <t>Above 75</t>
        </is>
      </c>
      <c r="BO7" s="30">
        <f>IF(BN7="Between 50 to 75",10,IF(BN7="Above 75",0,0))</f>
        <v/>
      </c>
      <c r="BP7" s="30" t="inlineStr">
        <is>
          <t>Stage 2</t>
        </is>
      </c>
      <c r="BQ7" s="30">
        <f>IF(BP7="Stage 2",20,IF(BP7="Stage 1",0,IF(BP7="Stage 3",5,IF(BP7="Stage 4",-5,0))))</f>
        <v/>
      </c>
      <c r="BR7" s="30" t="inlineStr">
        <is>
          <t>Positive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Blue sky scenario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  <c r="CB7" s="30" t="inlineStr">
        <is>
          <t>20</t>
        </is>
      </c>
      <c r="CC7" s="30">
        <f>IF(CB7&gt;20,10,IF(CB7&gt;=10,5,2))</f>
        <v/>
      </c>
    </row>
    <row r="11">
      <c r="A11" s="24" t="inlineStr">
        <is>
          <t>❌ REMOVED SCAN MATCH STOCKS (THIS WEEK)</t>
        </is>
      </c>
    </row>
    <row r="12">
      <c r="A12" s="34" t="inlineStr">
        <is>
          <t>Symbol</t>
        </is>
      </c>
      <c r="B12" s="34" t="inlineStr">
        <is>
          <t>Company Name</t>
        </is>
      </c>
      <c r="C12" s="34" t="inlineStr">
        <is>
          <t>Sector</t>
        </is>
      </c>
      <c r="D12" s="34" t="inlineStr">
        <is>
          <t>Date of Removal</t>
        </is>
      </c>
    </row>
  </sheetData>
  <autoFilter ref="A1:CC7"/>
  <conditionalFormatting sqref="B2:B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7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7">
    <cfRule type="cellIs" priority="35" operator="equal" dxfId="3" stopIfTrue="1">
      <formula>"Underperforming"</formula>
    </cfRule>
  </conditionalFormatting>
  <conditionalFormatting sqref="N2:N7">
    <cfRule type="cellIs" priority="36" operator="equal" dxfId="3" stopIfTrue="1">
      <formula>-5</formula>
    </cfRule>
  </conditionalFormatting>
  <conditionalFormatting sqref="Q2:Q7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7" showDropDown="0" showInputMessage="0" showErrorMessage="0" allowBlank="1" type="list">
      <formula1>"Growing Industry,Stagnant Industry,Cyclical in an Upturn"</formula1>
    </dataValidation>
    <dataValidation sqref="Z2:Z7" showDropDown="0" showInputMessage="0" showErrorMessage="0" allowBlank="1" type="list">
      <formula1>"Fragmented with Low ROE,Fragmented with High ROE,Highly Cyclical"</formula1>
    </dataValidation>
    <dataValidation sqref="AB2:AB7" showDropDown="0" showInputMessage="0" showErrorMessage="0" allowBlank="1" type="list">
      <formula1>"Yes,No"</formula1>
    </dataValidation>
    <dataValidation sqref="AD2:AD7" showDropDown="0" showInputMessage="0" showErrorMessage="0" allowBlank="1" type="list">
      <formula1>"Tailwind,Headwind"</formula1>
    </dataValidation>
    <dataValidation sqref="AF2:AF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7" showDropDown="0" showInputMessage="0" showErrorMessage="0" allowBlank="1" type="list">
      <formula1>"Yes,No"</formula1>
    </dataValidation>
    <dataValidation sqref="AJ2:AJ7" showDropDown="0" showInputMessage="0" showErrorMessage="0" allowBlank="1" type="list">
      <formula1>"Yes,No,Not Applicable"</formula1>
    </dataValidation>
    <dataValidation sqref="AL2:AL7" showDropDown="0" showInputMessage="0" showErrorMessage="0" allowBlank="1" type="list">
      <formula1>"Yes,No"</formula1>
    </dataValidation>
    <dataValidation sqref="AN2:AN7" showDropDown="0" showInputMessage="0" showErrorMessage="0" allowBlank="1" type="list">
      <formula1>"Yes,No"</formula1>
    </dataValidation>
    <dataValidation sqref="AP2:AP7" showDropDown="0" showInputMessage="0" showErrorMessage="0" allowBlank="1" type="list">
      <formula1>"Yes,No"</formula1>
    </dataValidation>
    <dataValidation sqref="AR2:AR7" showDropDown="0" showInputMessage="0" showErrorMessage="0" allowBlank="1" type="list">
      <formula1>"Yes,No"</formula1>
    </dataValidation>
    <dataValidation sqref="AT2:AT7" showDropDown="0" showInputMessage="0" showErrorMessage="0" allowBlank="1" type="list">
      <formula1>"No,Yes"</formula1>
    </dataValidation>
    <dataValidation sqref="AV2:AV7" showDropDown="0" showInputMessage="0" showErrorMessage="0" allowBlank="1" type="list">
      <formula1>"No,Yes"</formula1>
    </dataValidation>
    <dataValidation sqref="AX2:AX7" showDropDown="0" showInputMessage="0" showErrorMessage="0" allowBlank="1" type="list">
      <formula1>"No,Yes CEO Resignation,Yes CEO Retirement"</formula1>
    </dataValidation>
    <dataValidation sqref="AZ2:AZ7" showDropDown="0" showInputMessage="0" showErrorMessage="0" allowBlank="1" type="list">
      <formula1>"No,Yes"</formula1>
    </dataValidation>
    <dataValidation sqref="BB2:BB7" showDropDown="0" showInputMessage="0" showErrorMessage="0" allowBlank="1" type="list">
      <formula1>"No,Yes"</formula1>
    </dataValidation>
    <dataValidation sqref="BD2:BD7" showDropDown="0" showInputMessage="0" showErrorMessage="0" allowBlank="1" type="list">
      <formula1>"Yes,No"</formula1>
    </dataValidation>
    <dataValidation sqref="BF2:BF7" showDropDown="0" showInputMessage="0" showErrorMessage="0" allowBlank="1" type="list">
      <formula1>"Yes,No"</formula1>
    </dataValidation>
    <dataValidation sqref="BH2:BH7" showDropDown="0" showInputMessage="0" showErrorMessage="0" allowBlank="1" type="list">
      <formula1>"Yes,No"</formula1>
    </dataValidation>
    <dataValidation sqref="BJ2:BJ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7" showDropDown="0" showInputMessage="0" showErrorMessage="0" allowBlank="1" type="list">
      <formula1>"Above 40,20 to 40,0 to 20"</formula1>
    </dataValidation>
    <dataValidation sqref="BN2:BN7" showDropDown="0" showInputMessage="0" showErrorMessage="0" allowBlank="1" type="list">
      <formula1>"Between 50 to 75,Above 75,Below 45"</formula1>
    </dataValidation>
    <dataValidation sqref="BP2:BP7" showDropDown="0" showInputMessage="0" showErrorMessage="0" allowBlank="1" type="list">
      <formula1>"Stage 1,Stage 2,Stage 3,Stage 4"</formula1>
    </dataValidation>
    <dataValidation sqref="BR2:BR7" showDropDown="0" showInputMessage="0" showErrorMessage="0" allowBlank="1" type="list">
      <formula1>"Positive Trend,Negative Trend"</formula1>
    </dataValidation>
    <dataValidation sqref="BT2:BT7" showDropDown="0" showInputMessage="0" showErrorMessage="0" allowBlank="1" type="list">
      <formula1>"Uptrend,Sideways,Downtrend"</formula1>
    </dataValidation>
    <dataValidation sqref="BV2:BV7" showDropDown="0" showInputMessage="0" showErrorMessage="0" allowBlank="1" type="list">
      <formula1>"Uptrend,Sideways,Downtrend"</formula1>
    </dataValidation>
    <dataValidation sqref="BX2:BX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29" t="inlineStr">
        <is>
          <t>Model</t>
        </is>
      </c>
      <c r="B1" s="29" t="inlineStr">
        <is>
          <t>Section</t>
        </is>
      </c>
      <c r="C1" s="29" t="inlineStr">
        <is>
          <t>Criterion</t>
        </is>
      </c>
      <c r="D1" s="29" t="inlineStr">
        <is>
          <t>Question</t>
        </is>
      </c>
      <c r="E1" s="29" t="inlineStr">
        <is>
          <t>Source Row</t>
        </is>
      </c>
      <c r="F1" s="29" t="inlineStr">
        <is>
          <t>Score Formula</t>
        </is>
      </c>
      <c r="G1" s="29" t="inlineStr">
        <is>
          <t>Dropdown Options</t>
        </is>
      </c>
    </row>
    <row r="2">
      <c r="A2" s="30" t="inlineStr">
        <is>
          <t>Non Financial</t>
        </is>
      </c>
      <c r="B2" s="30" t="inlineStr">
        <is>
          <t>SOIC Ranking Sheet</t>
        </is>
      </c>
      <c r="C2" s="30" t="inlineStr">
        <is>
          <t>Industry Growth</t>
        </is>
      </c>
      <c r="D2" s="30" t="inlineStr">
        <is>
          <t>Is it a growing industry or a stagnant one?</t>
        </is>
      </c>
      <c r="E2" s="30" t="n">
        <v>8</v>
      </c>
      <c r="F2" s="30" t="inlineStr">
        <is>
          <t>'=IF(D8="Growing Industry",10,if(D8="Cyclical in an Upturn",5,0))</t>
        </is>
      </c>
      <c r="G2" s="30" t="inlineStr">
        <is>
          <t>"Growing Industry,Stagnant Industry,Cyclical in an Upturn"</t>
        </is>
      </c>
    </row>
    <row r="3">
      <c r="A3" s="30" t="inlineStr">
        <is>
          <t>Non Financial</t>
        </is>
      </c>
      <c r="B3" s="30" t="inlineStr">
        <is>
          <t>SOIC Ranking Sheet</t>
        </is>
      </c>
      <c r="C3" s="30" t="inlineStr">
        <is>
          <t>Competitiveness</t>
        </is>
      </c>
      <c r="D3" s="30" t="inlineStr">
        <is>
          <t>If one company controls the industry/If top 7 players are less than 50%, means crowded</t>
        </is>
      </c>
      <c r="E3" s="30" t="n">
        <v>9</v>
      </c>
      <c r="F3" s="30" t="inlineStr">
        <is>
          <t>'=IF(D9="Monopoly",10,IF(D9="Oligopoly",5,if(D9="Duopoly that cooperate",10,if(D9="Duopoly that compete",5,if(D9="Too many players with High ROCE",5,0)))))</t>
        </is>
      </c>
      <c r="G3" s="30" t="inlineStr">
        <is>
          <t>"Monopoly,Oligopoly,Duopoly That Cooperate,Duopoly That Compete,Too Many Players with High ROCE,Too Many Players with Low ROCE"</t>
        </is>
      </c>
    </row>
    <row r="4">
      <c r="A4" s="30" t="inlineStr">
        <is>
          <t>Non Financial</t>
        </is>
      </c>
      <c r="B4" s="30" t="inlineStr">
        <is>
          <t>SOIC Ranking Sheet</t>
        </is>
      </c>
      <c r="C4" s="30" t="inlineStr">
        <is>
          <t>Regulation</t>
        </is>
      </c>
      <c r="D4" s="30" t="inlineStr">
        <is>
          <t>Is there regulatory interference by the government?</t>
        </is>
      </c>
      <c r="E4" s="30" t="n">
        <v>10</v>
      </c>
      <c r="F4" s="30" t="inlineStr">
        <is>
          <t>'=IF(D10="No",5,0)</t>
        </is>
      </c>
      <c r="G4" s="30" t="inlineStr">
        <is>
          <t>"Yes,No"</t>
        </is>
      </c>
    </row>
    <row r="5">
      <c r="A5" s="30" t="inlineStr">
        <is>
          <t>Non Financial</t>
        </is>
      </c>
      <c r="B5" s="30" t="inlineStr">
        <is>
          <t>SOIC Ranking Sheet</t>
        </is>
      </c>
      <c r="C5" s="30" t="inlineStr">
        <is>
          <t>Sector Headwinds/Tailwind</t>
        </is>
      </c>
      <c r="D5" s="30" t="inlineStr">
        <is>
          <t>Near term tailwinds or headwinds?</t>
        </is>
      </c>
      <c r="E5" s="30" t="n">
        <v>11</v>
      </c>
      <c r="F5" s="30" t="inlineStr">
        <is>
          <t>'=IF(D11="Tailwind",10,0)</t>
        </is>
      </c>
      <c r="G5" s="30" t="inlineStr">
        <is>
          <t>"Tailwind,Headwind"</t>
        </is>
      </c>
    </row>
    <row r="6">
      <c r="A6" s="30" t="inlineStr">
        <is>
          <t>Non Financial</t>
        </is>
      </c>
      <c r="B6" s="30" t="inlineStr">
        <is>
          <t>SOIC Ranking Sheet</t>
        </is>
      </c>
      <c r="C6" s="30" t="inlineStr">
        <is>
          <t>Industry Type</t>
        </is>
      </c>
      <c r="D6" s="30" t="inlineStr">
        <is>
          <t>Structural or cyclical industry?</t>
        </is>
      </c>
      <c r="E6" s="30" t="n">
        <v>12</v>
      </c>
      <c r="F6" s="30" t="inlineStr">
        <is>
          <t>'=IF(D12="Structural (10 Years Consistency)",10,IF(D12="Shallow Cyclical (2 to 3 years growth)",5,0))</t>
        </is>
      </c>
      <c r="G6" s="30" t="inlineStr">
        <is>
          <t>"Structural (10 Years Consistency),Shallow Cyclical (2 to 3 Years Growth),Cyclical"</t>
        </is>
      </c>
    </row>
    <row r="7">
      <c r="A7" s="30" t="inlineStr">
        <is>
          <t>Non Financial</t>
        </is>
      </c>
      <c r="B7" s="30" t="inlineStr">
        <is>
          <t>SOIC Ranking Sheet</t>
        </is>
      </c>
      <c r="C7" s="30" t="inlineStr">
        <is>
          <t>Margins</t>
        </is>
      </c>
      <c r="D7" s="30" t="inlineStr">
        <is>
          <t>Are the margins much higher than normal? Explanation: Due to product mix or cycle</t>
        </is>
      </c>
      <c r="E7" s="30" t="n">
        <v>17</v>
      </c>
      <c r="F7" s="30" t="inlineStr">
        <is>
          <t>'=IF(D17="Yes due to Product Mix change or Operating Leverage",10,if(D17="Yes, these are peak margins",-5,if(D17="No",5,0)))</t>
        </is>
      </c>
      <c r="G7" s="30" t="inlineStr">
        <is>
          <t>"Yes due to Product Mix change or Operating Leverage,Yes, these are peak margins,No"</t>
        </is>
      </c>
    </row>
    <row r="8">
      <c r="A8" s="30" t="inlineStr">
        <is>
          <t>Non Financial</t>
        </is>
      </c>
      <c r="B8" s="30" t="inlineStr">
        <is>
          <t>SOIC Ranking Sheet</t>
        </is>
      </c>
      <c r="C8" s="30" t="inlineStr">
        <is>
          <t>Margins Stability</t>
        </is>
      </c>
      <c r="D8" s="30" t="inlineStr">
        <is>
          <t>Are the margins stable or volatile?</t>
        </is>
      </c>
      <c r="E8" s="30" t="n">
        <v>18</v>
      </c>
      <c r="F8" s="30" t="inlineStr">
        <is>
          <t>'=IF(D18="Stable",10,0)</t>
        </is>
      </c>
      <c r="G8" s="30" t="inlineStr">
        <is>
          <t>"Stable,Volatile"</t>
        </is>
      </c>
    </row>
    <row r="9">
      <c r="A9" s="30" t="inlineStr">
        <is>
          <t>Non Financial</t>
        </is>
      </c>
      <c r="B9" s="30" t="inlineStr">
        <is>
          <t>SOIC Ranking Sheet</t>
        </is>
      </c>
      <c r="C9" s="30" t="inlineStr">
        <is>
          <t>Growth</t>
        </is>
      </c>
      <c r="D9" s="30" t="inlineStr">
        <is>
          <t>Is the company growing faster than industry?</t>
        </is>
      </c>
      <c r="E9" s="30" t="n">
        <v>19</v>
      </c>
      <c r="F9" s="30" t="inlineStr">
        <is>
          <t>'=IF(D19="Yes",10,0)</t>
        </is>
      </c>
      <c r="G9" s="30" t="inlineStr">
        <is>
          <t>"Yes,No"</t>
        </is>
      </c>
    </row>
    <row r="10">
      <c r="A10" s="30" t="inlineStr">
        <is>
          <t>Non Financial</t>
        </is>
      </c>
      <c r="B10" s="30" t="inlineStr">
        <is>
          <t>SOIC Ranking Sheet</t>
        </is>
      </c>
      <c r="C10" s="30" t="inlineStr">
        <is>
          <t>Business Type</t>
        </is>
      </c>
      <c r="D10" s="30" t="inlineStr">
        <is>
          <t>Is it a B2C business, or B2G, Or B2B?</t>
        </is>
      </c>
      <c r="E10" s="30" t="n">
        <v>20</v>
      </c>
      <c r="F10" s="30" t="inlineStr">
        <is>
          <t>'=IF(D20="B2C",10,IF(D20="B2B",5,0))</t>
        </is>
      </c>
      <c r="G10" s="30" t="inlineStr">
        <is>
          <t>"B2C,B2B,B2G"</t>
        </is>
      </c>
    </row>
    <row r="11">
      <c r="A11" s="30" t="inlineStr">
        <is>
          <t>Non Financial</t>
        </is>
      </c>
      <c r="B11" s="30" t="inlineStr">
        <is>
          <t>SOIC Ranking Sheet</t>
        </is>
      </c>
      <c r="C11" s="30" t="inlineStr">
        <is>
          <t>Near term triggers</t>
        </is>
      </c>
      <c r="D11" s="30" t="inlineStr">
        <is>
          <t>Are there any triggers for growth in near term (4 to 6 quarters)? (Capacity, Margins, Cycle, New product, Geography etc)</t>
        </is>
      </c>
      <c r="E11" s="30" t="n">
        <v>21</v>
      </c>
      <c r="F11" s="30" t="inlineStr">
        <is>
          <t>'=IF(D21="Yes",10,0)</t>
        </is>
      </c>
      <c r="G11" s="30" t="inlineStr">
        <is>
          <t>"Yes,No"</t>
        </is>
      </c>
    </row>
    <row r="12">
      <c r="A12" s="30" t="inlineStr">
        <is>
          <t>Non Financial</t>
        </is>
      </c>
      <c r="B12" s="30" t="inlineStr">
        <is>
          <t>SOIC Ranking Sheet</t>
        </is>
      </c>
      <c r="C12" s="30" t="inlineStr">
        <is>
          <t>Type of Revenue</t>
        </is>
      </c>
      <c r="D12" s="30" t="inlineStr">
        <is>
          <t>Are the revenues annuity in nature or One time? (Annuity companies have repeat demand)</t>
        </is>
      </c>
      <c r="E12" s="30" t="n">
        <v>22</v>
      </c>
      <c r="F12" s="30" t="inlineStr">
        <is>
          <t>'=IF(D22="Fully Annuity",10,IF(D22="Higher Annuity, Lower One Time",5,IF(D22="Higher One Time, Lower Annuity",3,0)))</t>
        </is>
      </c>
      <c r="G12" s="30" t="inlineStr">
        <is>
          <t>"Fully Annuity,Higher Annuity, Lower One time,Higher One Time, Lower Annuity,Fully One Time"</t>
        </is>
      </c>
    </row>
    <row r="13">
      <c r="A13" s="30" t="inlineStr">
        <is>
          <t>Non Financial</t>
        </is>
      </c>
      <c r="B13" s="30" t="inlineStr">
        <is>
          <t>SOIC Ranking Sheet</t>
        </is>
      </c>
      <c r="C13" s="30" t="inlineStr">
        <is>
          <t>Capital Allocation</t>
        </is>
      </c>
      <c r="D13" s="30" t="inlineStr">
        <is>
          <t>How is the capital allocation? (No diworsification)</t>
        </is>
      </c>
      <c r="E13" s="30" t="n">
        <v>23</v>
      </c>
      <c r="F13" s="30" t="inlineStr">
        <is>
          <t>'=IF(D23="Good",10,0)</t>
        </is>
      </c>
      <c r="G13" s="30" t="inlineStr">
        <is>
          <t>"Good,Allocated capital in Non-core Areas"</t>
        </is>
      </c>
    </row>
    <row r="14">
      <c r="A14" s="30" t="inlineStr">
        <is>
          <t>Non Financial</t>
        </is>
      </c>
      <c r="B14" s="30" t="inlineStr">
        <is>
          <t>SOIC Ranking Sheet</t>
        </is>
      </c>
      <c r="C14" s="30" t="inlineStr">
        <is>
          <t>Medium term Growth</t>
        </is>
      </c>
      <c r="D14" s="30" t="inlineStr">
        <is>
          <t>Is there opportunity to grow for next 3-5 years?</t>
        </is>
      </c>
      <c r="E14" s="30" t="n">
        <v>24</v>
      </c>
      <c r="F14" s="30" t="inlineStr">
        <is>
          <t>'=IF(D24="Yes for more than 2 years",10,if(D24="Yes only for next 1 to 2 years",5,0))</t>
        </is>
      </c>
      <c r="G14" s="30" t="inlineStr">
        <is>
          <t>"Yes for more than 2 years,Yes only for next 1 to 2 years,No"</t>
        </is>
      </c>
    </row>
    <row r="15">
      <c r="A15" s="30" t="inlineStr">
        <is>
          <t>Non Financial</t>
        </is>
      </c>
      <c r="B15" s="30" t="inlineStr">
        <is>
          <t>SOIC Ranking Sheet</t>
        </is>
      </c>
      <c r="C15" s="30" t="inlineStr">
        <is>
          <t>ADX</t>
        </is>
      </c>
      <c r="D15" s="30" t="inlineStr">
        <is>
          <t>ADX 14 above 20 on weekly charts?</t>
        </is>
      </c>
      <c r="E15" s="30" t="n">
        <v>29</v>
      </c>
      <c r="F15" s="30" t="inlineStr">
        <is>
          <t>'=IF(D29="Above 40",20,IF(D29="20 to 40",10,IF(D29="0 to 20",-5,0)))</t>
        </is>
      </c>
      <c r="G15" s="30" t="inlineStr">
        <is>
          <t>"Above 40,20 to 40,0 to 20"</t>
        </is>
      </c>
    </row>
    <row r="16">
      <c r="A16" s="30" t="inlineStr">
        <is>
          <t>Non Financial</t>
        </is>
      </c>
      <c r="B16" s="30" t="inlineStr">
        <is>
          <t>SOIC Ranking Sheet</t>
        </is>
      </c>
      <c r="C16" s="30" t="inlineStr">
        <is>
          <t>RSI</t>
        </is>
      </c>
      <c r="D16" s="30" t="inlineStr">
        <is>
          <t>Where is the RSI on weekly charts?  Above 75, can lead to some near term correction</t>
        </is>
      </c>
      <c r="E16" s="30" t="n">
        <v>30</v>
      </c>
      <c r="F16" s="30" t="inlineStr">
        <is>
          <t>'=IF(D30="Between 50 to 75",10,IF(D30="Above 75",0,0))</t>
        </is>
      </c>
      <c r="G16" s="30" t="inlineStr">
        <is>
          <t>"Between 50 to 75,Above 75,Below 45"</t>
        </is>
      </c>
    </row>
    <row r="17">
      <c r="A17" s="30" t="inlineStr">
        <is>
          <t>Non Financial</t>
        </is>
      </c>
      <c r="B17" s="30" t="inlineStr">
        <is>
          <t>SOIC Ranking Sheet</t>
        </is>
      </c>
      <c r="C17" s="30" t="inlineStr">
        <is>
          <t>Stage Analysis</t>
        </is>
      </c>
      <c r="D17" s="30" t="inlineStr">
        <is>
          <t>What stage is the stock in? Stage 1(accumulation), Stage 2(mark up), Stage 3(distribution), Stage 4 (Mark down)</t>
        </is>
      </c>
      <c r="E17" s="30" t="n">
        <v>31</v>
      </c>
      <c r="F17" s="30" t="inlineStr">
        <is>
          <t>'=IF(D31="Stage 2",20,IF(D31="Stage 1",0,IF(D31="Stage 3",5,IF(D31="Stage 4",-5,0))))</t>
        </is>
      </c>
      <c r="G17" s="30" t="inlineStr">
        <is>
          <t>"Stage 1,Stage 2,Stage 3,Stage 4"</t>
        </is>
      </c>
    </row>
    <row r="18">
      <c r="A18" s="30" t="inlineStr">
        <is>
          <t>Non Financial</t>
        </is>
      </c>
      <c r="B18" s="30" t="inlineStr">
        <is>
          <t>SOIC Ranking Sheet</t>
        </is>
      </c>
      <c r="C18" s="30" t="inlineStr">
        <is>
          <t>Price Volume Action</t>
        </is>
      </c>
      <c r="D18" s="30" t="inlineStr">
        <is>
          <t>What is the Price Volume Action indicating? High Volume with high gain days with a +ve trend</t>
        </is>
      </c>
      <c r="E18" s="30" t="n">
        <v>32</v>
      </c>
      <c r="F18" s="30" t="inlineStr">
        <is>
          <t>'=IF(D32="Positive Trend",20,IF(D32="Negative Trend",-10,0))</t>
        </is>
      </c>
      <c r="G18" s="30" t="inlineStr">
        <is>
          <t>"Positive Trend,Negative Trend"</t>
        </is>
      </c>
    </row>
    <row r="19">
      <c r="A19" s="30" t="inlineStr">
        <is>
          <t>Non Financial</t>
        </is>
      </c>
      <c r="B19" s="30" t="inlineStr">
        <is>
          <t>SOIC Ranking Sheet</t>
        </is>
      </c>
      <c r="C19" s="30" t="inlineStr">
        <is>
          <t>Secondary Trend</t>
        </is>
      </c>
      <c r="D19" s="30" t="inlineStr">
        <is>
          <t>What is the secondary trend? (Sideways, upwards, downwards)</t>
        </is>
      </c>
      <c r="E19" s="30" t="n">
        <v>33</v>
      </c>
      <c r="F19" s="30" t="inlineStr">
        <is>
          <t>'=IF(D33="Uptrend",10,IF(D33="Sideways",5,0))</t>
        </is>
      </c>
      <c r="G19" s="30" t="inlineStr">
        <is>
          <t>"Uptrend,Sideways,Downtrend"</t>
        </is>
      </c>
    </row>
    <row r="20">
      <c r="A20" s="30" t="inlineStr">
        <is>
          <t>Non Financial</t>
        </is>
      </c>
      <c r="B20" s="30" t="inlineStr">
        <is>
          <t>SOIC Ranking Sheet</t>
        </is>
      </c>
      <c r="C20" s="30" t="inlineStr">
        <is>
          <t>Primary Trend</t>
        </is>
      </c>
      <c r="D20" s="30" t="inlineStr">
        <is>
          <t>What is the primary trend?  (Sideways, upwards, downwards)</t>
        </is>
      </c>
      <c r="E20" s="30" t="n">
        <v>34</v>
      </c>
      <c r="F20" s="30" t="inlineStr">
        <is>
          <t>'=IF(D34="Uptrend",10,IF(D34="Sideways",5,0))</t>
        </is>
      </c>
      <c r="G20" s="30" t="inlineStr">
        <is>
          <t>"Uptrend,Sideways,Downtrend"</t>
        </is>
      </c>
    </row>
    <row r="21">
      <c r="A21" s="30" t="inlineStr">
        <is>
          <t>Non Financial</t>
        </is>
      </c>
      <c r="B21" s="30" t="inlineStr">
        <is>
          <t>SOIC Ranking Sheet</t>
        </is>
      </c>
      <c r="C21" s="30" t="inlineStr">
        <is>
          <t>Resistance</t>
        </is>
      </c>
      <c r="D21" s="30" t="inlineStr">
        <is>
          <t>Is there any zone of resistance in the recent past?</t>
        </is>
      </c>
      <c r="E21" s="30" t="n">
        <v>35</v>
      </c>
      <c r="F21" s="30" t="inlineStr">
        <is>
          <t>'=IF(D35="Overhead supply in last 2 years in last 2 years",-5,if(D35="Close to 52 week high or retracement",5,if(D35="Blue sky scenario",10,if(D35="Long term Downtrend",-10,0))))</t>
        </is>
      </c>
      <c r="G21" s="30" t="inlineStr">
        <is>
          <t>"Overhead supply in last 2 years in last 2 years,Close to 52 week high or retracement,Blue sky scenario,Long term Downtrend"</t>
        </is>
      </c>
    </row>
    <row r="22">
      <c r="A22" s="30" t="inlineStr">
        <is>
          <t>Non Financial</t>
        </is>
      </c>
      <c r="B22" s="30" t="inlineStr">
        <is>
          <t>SOIC Ranking Sheet</t>
        </is>
      </c>
      <c r="C22" s="30" t="inlineStr">
        <is>
          <t>V-stop</t>
        </is>
      </c>
      <c r="D22" s="30" t="inlineStr">
        <is>
          <t>Is the Vstop Positive on weekly/Monthly time frame?</t>
        </is>
      </c>
      <c r="E22" s="30" t="n">
        <v>36</v>
      </c>
      <c r="F22" s="30" t="inlineStr">
        <is>
          <t>'=IF(D36="Yes",10,0)</t>
        </is>
      </c>
      <c r="G22" s="30" t="inlineStr">
        <is>
          <t>"Yes,No"</t>
        </is>
      </c>
    </row>
    <row r="23">
      <c r="A23" s="30" t="inlineStr">
        <is>
          <t>Non Financial</t>
        </is>
      </c>
      <c r="B23" s="30" t="inlineStr">
        <is>
          <t>SOIC Ranking Sheet</t>
        </is>
      </c>
      <c r="C23" s="30" t="inlineStr">
        <is>
          <t>PAT Growth</t>
        </is>
      </c>
      <c r="D23" s="30" t="inlineStr">
        <is>
          <t>Is the company growing its Profit After Tax at a rate of more than 20% per annum? (Expected to keep doing so)</t>
        </is>
      </c>
      <c r="E23" s="30" t="n">
        <v>41</v>
      </c>
      <c r="F23" s="30" t="inlineStr">
        <is>
          <t>'=IF(D41="More than 20%",10,IF(D41="Between 12 to 20%",5,IF(D41="Less than 12%",0,0)))</t>
        </is>
      </c>
      <c r="G23" s="30" t="inlineStr">
        <is>
          <t>"More than 20%,Between 12 to 20%,Less than 12%"</t>
        </is>
      </c>
    </row>
    <row r="24">
      <c r="A24" s="30" t="inlineStr">
        <is>
          <t>Non Financial</t>
        </is>
      </c>
      <c r="B24" s="30" t="inlineStr">
        <is>
          <t>SOIC Ranking Sheet</t>
        </is>
      </c>
      <c r="C24" s="30" t="inlineStr">
        <is>
          <t>Stock History</t>
        </is>
      </c>
      <c r="D24" s="30" t="inlineStr">
        <is>
          <t>Has the stock ever fallen 60%+ from it peak irrespective of market correcting?</t>
        </is>
      </c>
      <c r="E24" s="30" t="n">
        <v>42</v>
      </c>
      <c r="F24" s="30" t="inlineStr">
        <is>
          <t>'=IF(D42="No",10,0)</t>
        </is>
      </c>
      <c r="G24" s="30" t="inlineStr">
        <is>
          <t>"Yes,No"</t>
        </is>
      </c>
    </row>
    <row r="25">
      <c r="A25" s="30" t="inlineStr">
        <is>
          <t>Non Financial</t>
        </is>
      </c>
      <c r="B25" s="30" t="inlineStr">
        <is>
          <t>SOIC Ranking Sheet</t>
        </is>
      </c>
      <c r="C25" s="30" t="inlineStr">
        <is>
          <t>PE Ratio</t>
        </is>
      </c>
      <c r="D25" s="30" t="inlineStr">
        <is>
          <t>Is the PE ratio above 50? (Rarely companies with more than 50 PE make money)</t>
        </is>
      </c>
      <c r="E25" s="30" t="n">
        <v>43</v>
      </c>
      <c r="F25" s="30" t="inlineStr">
        <is>
          <t>'=IF(D43="NO",5,0)</t>
        </is>
      </c>
      <c r="G25" s="30" t="inlineStr">
        <is>
          <t>"Yes,No"</t>
        </is>
      </c>
    </row>
    <row r="26">
      <c r="A26" s="30" t="inlineStr">
        <is>
          <t>Non Financial</t>
        </is>
      </c>
      <c r="B26" s="30" t="inlineStr">
        <is>
          <t>SOIC Ranking Sheet</t>
        </is>
      </c>
      <c r="C26" s="30" t="inlineStr">
        <is>
          <t>PEG Ratio</t>
        </is>
      </c>
      <c r="D26" s="30" t="inlineStr">
        <is>
          <t>Is the PEG ratio less than 1.5 times? (PE/Last 3 years of PAT growth)</t>
        </is>
      </c>
      <c r="E26" s="30" t="n">
        <v>44</v>
      </c>
      <c r="F26" s="30" t="inlineStr">
        <is>
          <t>'=IF(D44="Above 2",0,IF(D44="Between 1.5 to 2",5,IF(D44="Less than 1.5",10,0)))</t>
        </is>
      </c>
      <c r="G26" s="30" t="inlineStr">
        <is>
          <t>"Above 2,Between 1.5 to 2,Less than 1.5"</t>
        </is>
      </c>
    </row>
    <row r="27">
      <c r="A27" s="30" t="inlineStr">
        <is>
          <t>Non Financial</t>
        </is>
      </c>
      <c r="B27" s="30" t="inlineStr">
        <is>
          <t>SOIC Ranking Sheet</t>
        </is>
      </c>
      <c r="C27" s="30" t="inlineStr">
        <is>
          <t>CFO to EBITDA</t>
        </is>
      </c>
      <c r="D27" s="30" t="inlineStr">
        <is>
          <t>How is the CFO to EBITDA conversion in the company?</t>
        </is>
      </c>
      <c r="E27" s="30" t="n">
        <v>49</v>
      </c>
      <c r="F27" s="30" t="inlineStr">
        <is>
          <t>'=IF(D49="Above 70%",10,IF(D49="Between 50% to 70%",5,IF(D49="Less than 50%",0,IF(D49="Negative",-10,if(D49="Less than 50% and Borrowings are increasing",-5,0)))))</t>
        </is>
      </c>
      <c r="G27" s="30" t="inlineStr">
        <is>
          <t>"Above 70%,Between 50% to 70%,Less than 50%,Less than 50% and Borrowings are increasing,Negative"</t>
        </is>
      </c>
    </row>
    <row r="28">
      <c r="A28" s="30" t="inlineStr">
        <is>
          <t>Non Financial</t>
        </is>
      </c>
      <c r="B28" s="30" t="inlineStr">
        <is>
          <t>SOIC Ranking Sheet</t>
        </is>
      </c>
      <c r="C28" s="30" t="inlineStr">
        <is>
          <t>Debt to Equity</t>
        </is>
      </c>
      <c r="D28" s="30" t="inlineStr">
        <is>
          <t>What is the Debt to Equity ratio of the company?</t>
        </is>
      </c>
      <c r="E28" s="30" t="n">
        <v>50</v>
      </c>
      <c r="F28" s="30" t="inlineStr">
        <is>
          <t>'=IF(D50="More than 1.2",-10,IF(D50="Between 0.7 to 1.2",0,IF(D50="Less than 0.7",10,0)))</t>
        </is>
      </c>
      <c r="G28" s="30" t="inlineStr">
        <is>
          <t>"More than 1.2,Between 0.7 to 1.2,Less than 0.7"</t>
        </is>
      </c>
    </row>
    <row r="29">
      <c r="A29" s="30" t="inlineStr">
        <is>
          <t>Non Financial</t>
        </is>
      </c>
      <c r="B29" s="30" t="inlineStr">
        <is>
          <t>SOIC Ranking Sheet</t>
        </is>
      </c>
      <c r="C29" s="30" t="inlineStr">
        <is>
          <t>Auditor Resignation</t>
        </is>
      </c>
      <c r="D29" s="30" t="inlineStr">
        <is>
          <t>Is there any resignation of auditor in last 3 years?</t>
        </is>
      </c>
      <c r="E29" s="30" t="n">
        <v>51</v>
      </c>
      <c r="F29" s="30" t="inlineStr">
        <is>
          <t>'=IF(D51="Yes",-10,0)</t>
        </is>
      </c>
      <c r="G29" s="30" t="inlineStr">
        <is>
          <t>"Yes,No"</t>
        </is>
      </c>
    </row>
    <row r="30">
      <c r="A30" s="30" t="inlineStr">
        <is>
          <t>Non Financial</t>
        </is>
      </c>
      <c r="B30" s="30" t="inlineStr">
        <is>
          <t>SOIC Ranking Sheet</t>
        </is>
      </c>
      <c r="C30" s="30" t="inlineStr">
        <is>
          <t>Contingent Liability</t>
        </is>
      </c>
      <c r="D30" s="30" t="inlineStr">
        <is>
          <t>What is the contingent liability to Net Worth of the company?</t>
        </is>
      </c>
      <c r="E30" s="30" t="n">
        <v>52</v>
      </c>
      <c r="F30" s="30" t="inlineStr">
        <is>
          <t>'=IF(D52="More than 15%",-10,IF(D52="Less than 15%",10,0))</t>
        </is>
      </c>
      <c r="G30" s="30" t="inlineStr">
        <is>
          <t>"More than 15%,Less than 15%"</t>
        </is>
      </c>
    </row>
    <row r="31">
      <c r="A31" s="30" t="inlineStr">
        <is>
          <t>Non Financial</t>
        </is>
      </c>
      <c r="B31" s="30" t="inlineStr">
        <is>
          <t>SOIC Ranking Sheet</t>
        </is>
      </c>
      <c r="C31" s="30" t="inlineStr">
        <is>
          <t>Pledging</t>
        </is>
      </c>
      <c r="D31" s="30" t="inlineStr">
        <is>
          <t>Is promoter holding pledged?</t>
        </is>
      </c>
      <c r="E31" s="30" t="n">
        <v>53</v>
      </c>
      <c r="F31" s="30" t="inlineStr">
        <is>
          <t>'=IF(D53="Yes, more than 10%",-10,IF(D53="No",10,0))</t>
        </is>
      </c>
      <c r="G31" s="30" t="inlineStr">
        <is>
          <t>"Yes, More Than 10%,Yes Upto 10%,No"</t>
        </is>
      </c>
    </row>
    <row r="32">
      <c r="A32" s="30" t="inlineStr">
        <is>
          <t>Banks &amp; NBFC</t>
        </is>
      </c>
      <c r="B32" s="30" t="inlineStr">
        <is>
          <t>SOIC Ranking Sheet for Banks &amp; NBFC</t>
        </is>
      </c>
      <c r="C32" s="30" t="inlineStr">
        <is>
          <t>Industry Growth</t>
        </is>
      </c>
      <c r="D32" s="30" t="inlineStr">
        <is>
          <t>Is it a growing industry or a stagnant one?</t>
        </is>
      </c>
      <c r="E32" s="30" t="n">
        <v>8</v>
      </c>
      <c r="F32" s="30" t="inlineStr">
        <is>
          <t>'=IF(D8="Growing Industry",10,if(D8="Cyclical in an Upturn",5,0))</t>
        </is>
      </c>
      <c r="G32" s="30" t="inlineStr">
        <is>
          <t>"Growing Industry,Stagnant Industry,Cyclical in an Upturn"</t>
        </is>
      </c>
    </row>
    <row r="33">
      <c r="A33" s="30" t="inlineStr">
        <is>
          <t>Banks &amp; NBFC</t>
        </is>
      </c>
      <c r="B33" s="30" t="inlineStr">
        <is>
          <t>SOIC Ranking Sheet for Banks &amp; NBFC</t>
        </is>
      </c>
      <c r="C33" s="30" t="inlineStr">
        <is>
          <t>Competitiveness</t>
        </is>
      </c>
      <c r="D33" s="30" t="inlineStr">
        <is>
          <t>If one company controls the industry/If top 7 players are less than 50%, means crowded</t>
        </is>
      </c>
      <c r="E33" s="30" t="n">
        <v>9</v>
      </c>
      <c r="F33" s="30" t="inlineStr">
        <is>
          <t>'=IF(D9="Fragmented with Low ROE",-5,IF(D9="Fragmented with High ROE",10,if(D9= "highly cyclical",5,0)))</t>
        </is>
      </c>
      <c r="G33" s="30" t="inlineStr">
        <is>
          <t>"Fragmented with Low ROE,Fragmented with High ROE,Highly Cyclical"</t>
        </is>
      </c>
    </row>
    <row r="34">
      <c r="A34" s="30" t="inlineStr">
        <is>
          <t>Banks &amp; NBFC</t>
        </is>
      </c>
      <c r="B34" s="30" t="inlineStr">
        <is>
          <t>SOIC Ranking Sheet for Banks &amp; NBFC</t>
        </is>
      </c>
      <c r="C34" s="30" t="inlineStr">
        <is>
          <t>Regulation</t>
        </is>
      </c>
      <c r="D34" s="30" t="inlineStr">
        <is>
          <t>Is there regulatory interference by the government?</t>
        </is>
      </c>
      <c r="E34" s="30" t="n">
        <v>10</v>
      </c>
      <c r="F34" s="30" t="inlineStr">
        <is>
          <t>'=IF(D10="No",5,0)</t>
        </is>
      </c>
      <c r="G34" s="30" t="inlineStr">
        <is>
          <t>"Yes,No"</t>
        </is>
      </c>
    </row>
    <row r="35">
      <c r="A35" s="30" t="inlineStr">
        <is>
          <t>Banks &amp; NBFC</t>
        </is>
      </c>
      <c r="B35" s="30" t="inlineStr">
        <is>
          <t>SOIC Ranking Sheet for Banks &amp; NBFC</t>
        </is>
      </c>
      <c r="C35" s="30" t="inlineStr">
        <is>
          <t>Sector Headwinds/Tailwind</t>
        </is>
      </c>
      <c r="D35" s="30" t="inlineStr">
        <is>
          <t>Near term tailwinds or headwinds?</t>
        </is>
      </c>
      <c r="E35" s="30" t="n">
        <v>11</v>
      </c>
      <c r="F35" s="30" t="inlineStr">
        <is>
          <t>'=IF(D11="Tailwind",10,0)</t>
        </is>
      </c>
      <c r="G35" s="30" t="inlineStr">
        <is>
          <t>"Tailwind,Headwind"</t>
        </is>
      </c>
    </row>
    <row r="36">
      <c r="A36" s="30" t="inlineStr">
        <is>
          <t>Banks &amp; NBFC</t>
        </is>
      </c>
      <c r="B36" s="30" t="inlineStr">
        <is>
          <t>SOIC Ranking Sheet for Banks &amp; NBFC</t>
        </is>
      </c>
      <c r="C36" s="30" t="inlineStr">
        <is>
          <t>Industry Type</t>
        </is>
      </c>
      <c r="D36" s="30" t="inlineStr">
        <is>
          <t>Structural or cyclical industry?</t>
        </is>
      </c>
      <c r="E36" s="30" t="n">
        <v>12</v>
      </c>
      <c r="F36" s="30" t="inlineStr">
        <is>
          <t>'=IF(D12="Structural (10 Years Consistency)",15,IF(D12="Shallow Cyclical (2 to 3 years growth)",10,if(D12 = "Cyclical in an Uptick",5,if(D12 = "Cyclical in an Downtick",-10,0))))</t>
        </is>
      </c>
      <c r="G36" s="30" t="inlineStr">
        <is>
          <t>"Structural (10 Years Consistency),Shallow Cyclical (2 to 3 Years Growth),Cyclical in an Uptick,Cyclical in Downtick"</t>
        </is>
      </c>
    </row>
    <row r="37">
      <c r="A37" s="30" t="inlineStr">
        <is>
          <t>Banks &amp; NBFC</t>
        </is>
      </c>
      <c r="B37" s="30" t="inlineStr">
        <is>
          <t>SOIC Ranking Sheet for Banks &amp; NBFC</t>
        </is>
      </c>
      <c r="C37" s="30" t="inlineStr">
        <is>
          <t>NIM</t>
        </is>
      </c>
      <c r="D37" s="30" t="inlineStr">
        <is>
          <t>Are the net interest margins higher than 3.5%? Explanation: NIM is (Interest Income - Interest Expense) / Advances</t>
        </is>
      </c>
      <c r="E37" s="30" t="n">
        <v>17</v>
      </c>
      <c r="F37" s="30" t="inlineStr">
        <is>
          <t>'=IF(D17="Yes",10,0)</t>
        </is>
      </c>
      <c r="G37" s="30" t="inlineStr">
        <is>
          <t>"Yes,No"</t>
        </is>
      </c>
    </row>
    <row r="38">
      <c r="A38" s="30" t="inlineStr">
        <is>
          <t>Banks &amp; NBFC</t>
        </is>
      </c>
      <c r="B38" s="30" t="inlineStr">
        <is>
          <t>SOIC Ranking Sheet for Banks &amp; NBFC</t>
        </is>
      </c>
      <c r="C38" s="30" t="inlineStr">
        <is>
          <t>CASA Ratio</t>
        </is>
      </c>
      <c r="D38" s="30" t="inlineStr">
        <is>
          <t>Is the CASA ratio higher than 40%?</t>
        </is>
      </c>
      <c r="E38" s="30" t="n">
        <v>18</v>
      </c>
      <c r="F38" s="30" t="inlineStr">
        <is>
          <t>'=IF(D18="Yes",10,0)</t>
        </is>
      </c>
      <c r="G38" s="30" t="inlineStr">
        <is>
          <t>"Yes,No,Not Applicable"</t>
        </is>
      </c>
    </row>
    <row r="39">
      <c r="A39" s="30" t="inlineStr">
        <is>
          <t>Banks &amp; NBFC</t>
        </is>
      </c>
      <c r="B39" s="30" t="inlineStr">
        <is>
          <t>SOIC Ranking Sheet for Banks &amp; NBFC</t>
        </is>
      </c>
      <c r="C39" s="30" t="inlineStr">
        <is>
          <t>Profit cyclicality</t>
        </is>
      </c>
      <c r="D39" s="30" t="inlineStr">
        <is>
          <t>Are the profits volatile?</t>
        </is>
      </c>
      <c r="E39" s="30" t="n">
        <v>19</v>
      </c>
      <c r="F39" s="30" t="inlineStr">
        <is>
          <t>'=IF(D19="No",10,0)</t>
        </is>
      </c>
      <c r="G39" s="30" t="inlineStr">
        <is>
          <t>"Yes,No"</t>
        </is>
      </c>
    </row>
    <row r="40">
      <c r="A40" s="30" t="inlineStr">
        <is>
          <t>Banks &amp; NBFC</t>
        </is>
      </c>
      <c r="B40" s="30" t="inlineStr">
        <is>
          <t>SOIC Ranking Sheet for Banks &amp; NBFC</t>
        </is>
      </c>
      <c r="C40" s="30" t="inlineStr">
        <is>
          <t>CAR Ratio</t>
        </is>
      </c>
      <c r="D40" s="30" t="inlineStr">
        <is>
          <t>Is capital adequacy ratio higher than 15%?</t>
        </is>
      </c>
      <c r="E40" s="30" t="n">
        <v>20</v>
      </c>
      <c r="F40" s="30" t="inlineStr">
        <is>
          <t>'=IF(D20="Yes",10,0)</t>
        </is>
      </c>
      <c r="G40" s="30" t="inlineStr">
        <is>
          <t>"Yes,No"</t>
        </is>
      </c>
    </row>
    <row r="41">
      <c r="A41" s="30" t="inlineStr">
        <is>
          <t>Banks &amp; NBFC</t>
        </is>
      </c>
      <c r="B41" s="30" t="inlineStr">
        <is>
          <t>SOIC Ranking Sheet for Banks &amp; NBFC</t>
        </is>
      </c>
      <c r="C41" s="30" t="inlineStr">
        <is>
          <t>Near term triggers</t>
        </is>
      </c>
      <c r="D41" s="30" t="inlineStr">
        <is>
          <t xml:space="preserve">Are there any triggers for growth in near term (4 to 6 quarters)? </t>
        </is>
      </c>
      <c r="E41" s="30" t="n">
        <v>21</v>
      </c>
      <c r="F41" s="30" t="inlineStr">
        <is>
          <t>'=IF(D21="Yes",10,0)</t>
        </is>
      </c>
      <c r="G41" s="30" t="inlineStr">
        <is>
          <t>"Yes,No"</t>
        </is>
      </c>
    </row>
    <row r="42">
      <c r="A42" s="30" t="inlineStr">
        <is>
          <t>Banks &amp; NBFC</t>
        </is>
      </c>
      <c r="B42" s="30" t="inlineStr">
        <is>
          <t>SOIC Ranking Sheet for Banks &amp; NBFC</t>
        </is>
      </c>
      <c r="C42" s="30" t="inlineStr">
        <is>
          <t>High P/BV</t>
        </is>
      </c>
      <c r="D42" s="30" t="inlineStr">
        <is>
          <t>Is the P/BV of a company higher than 3 times? Higher P/BV will be beneficial as less equity dilution</t>
        </is>
      </c>
      <c r="E42" s="30" t="n">
        <v>22</v>
      </c>
      <c r="F42" s="30" t="inlineStr">
        <is>
          <t>'=IF(D22="Yes",5,0)</t>
        </is>
      </c>
      <c r="G42" s="30" t="inlineStr">
        <is>
          <t>"Yes,No"</t>
        </is>
      </c>
    </row>
    <row r="43">
      <c r="A43" s="30" t="inlineStr">
        <is>
          <t>Banks &amp; NBFC</t>
        </is>
      </c>
      <c r="B43" s="30" t="inlineStr">
        <is>
          <t>SOIC Ranking Sheet for Banks &amp; NBFC</t>
        </is>
      </c>
      <c r="C43" s="30" t="inlineStr">
        <is>
          <t>Asset Quality Divergence</t>
        </is>
      </c>
      <c r="D43" s="30" t="inlineStr">
        <is>
          <t>Is there any case of asset quality divergence in the past?</t>
        </is>
      </c>
      <c r="E43" s="30" t="n">
        <v>28</v>
      </c>
      <c r="F43" s="30" t="inlineStr">
        <is>
          <t>'=IF(D28="No",10,IF(D28="Yes",-10,0))</t>
        </is>
      </c>
      <c r="G43" s="30" t="inlineStr">
        <is>
          <t>"No,Yes"</t>
        </is>
      </c>
    </row>
    <row r="44">
      <c r="A44" s="30" t="inlineStr">
        <is>
          <t>Banks &amp; NBFC</t>
        </is>
      </c>
      <c r="B44" s="30" t="inlineStr">
        <is>
          <t>SOIC Ranking Sheet for Banks &amp; NBFC</t>
        </is>
      </c>
      <c r="C44" s="30" t="inlineStr">
        <is>
          <t>Reported loss</t>
        </is>
      </c>
      <c r="D44" s="30" t="inlineStr">
        <is>
          <t>Has the company reported loss in any Year during the last 10 years?</t>
        </is>
      </c>
      <c r="E44" s="30" t="n">
        <v>29</v>
      </c>
      <c r="F44" s="30" t="inlineStr">
        <is>
          <t>'=IF(D29="No",10,0)</t>
        </is>
      </c>
      <c r="G44" s="30" t="inlineStr">
        <is>
          <t>"No,Yes"</t>
        </is>
      </c>
    </row>
    <row r="45">
      <c r="A45" s="30" t="inlineStr">
        <is>
          <t>Banks &amp; NBFC</t>
        </is>
      </c>
      <c r="B45" s="30" t="inlineStr">
        <is>
          <t>SOIC Ranking Sheet for Banks &amp; NBFC</t>
        </is>
      </c>
      <c r="C45" s="30" t="inlineStr">
        <is>
          <t>CEO Resignation</t>
        </is>
      </c>
      <c r="D45" s="30" t="inlineStr">
        <is>
          <t>Is there any resignation or retirement of CEO in last 3 years?</t>
        </is>
      </c>
      <c r="E45" s="30" t="n">
        <v>30</v>
      </c>
      <c r="F45" s="30" t="inlineStr">
        <is>
          <t>'=IF(D30="No",10,if(D30= "Yes CEO Resignation",-5,0))</t>
        </is>
      </c>
      <c r="G45" s="30" t="inlineStr">
        <is>
          <t>"No,Yes CEO Resignation,Yes CEO Retirement"</t>
        </is>
      </c>
    </row>
    <row r="46">
      <c r="A46" s="30" t="inlineStr">
        <is>
          <t>Banks &amp; NBFC</t>
        </is>
      </c>
      <c r="B46" s="30" t="inlineStr">
        <is>
          <t>SOIC Ranking Sheet for Banks &amp; NBFC</t>
        </is>
      </c>
      <c r="C46" s="30" t="inlineStr">
        <is>
          <t>GNPA</t>
        </is>
      </c>
      <c r="D46" s="30" t="inlineStr">
        <is>
          <t>Is Gross Non Performing Assets (GNPA) much higher than sector average?</t>
        </is>
      </c>
      <c r="E46" s="30" t="n">
        <v>31</v>
      </c>
      <c r="F46" s="30" t="inlineStr">
        <is>
          <t>'=IF(D31="No",10,IF(D31="Yes",-5,0))</t>
        </is>
      </c>
      <c r="G46" s="30" t="inlineStr">
        <is>
          <t>"No,Yes"</t>
        </is>
      </c>
    </row>
    <row r="47">
      <c r="A47" s="30" t="inlineStr">
        <is>
          <t>Banks &amp; NBFC</t>
        </is>
      </c>
      <c r="B47" s="30" t="inlineStr">
        <is>
          <t>SOIC Ranking Sheet for Banks &amp; NBFC</t>
        </is>
      </c>
      <c r="C47" s="30" t="inlineStr">
        <is>
          <t>KMP Resignation</t>
        </is>
      </c>
      <c r="D47" s="30" t="inlineStr">
        <is>
          <t>Is there any resignation of any other KMP like CFO, Auditor, Risk Officerin last 3 years?</t>
        </is>
      </c>
      <c r="E47" s="30" t="n">
        <v>32</v>
      </c>
      <c r="F47" s="30" t="inlineStr">
        <is>
          <t>'=IF(D32="No",5,IF(D32="Yes",-5,0))</t>
        </is>
      </c>
      <c r="G47" s="30" t="inlineStr">
        <is>
          <t>"No,Yes"</t>
        </is>
      </c>
    </row>
    <row r="48">
      <c r="A48" s="30" t="inlineStr">
        <is>
          <t>Banks &amp; NBFC</t>
        </is>
      </c>
      <c r="B48" s="30" t="inlineStr">
        <is>
          <t>SOIC Ranking Sheet for Banks &amp; NBFC</t>
        </is>
      </c>
      <c r="C48" s="30" t="inlineStr">
        <is>
          <t>Return on Assets</t>
        </is>
      </c>
      <c r="D48" s="30" t="inlineStr">
        <is>
          <t>Is Return on Assets (RoA) &gt; 1.9%</t>
        </is>
      </c>
      <c r="E48" s="30" t="n">
        <v>37</v>
      </c>
      <c r="F48" s="30" t="inlineStr">
        <is>
          <t>'=IF(D37="Yes",10,0)</t>
        </is>
      </c>
      <c r="G48" s="30" t="inlineStr">
        <is>
          <t>"Yes,No"</t>
        </is>
      </c>
    </row>
    <row r="49">
      <c r="A49" s="30" t="inlineStr">
        <is>
          <t>Banks &amp; NBFC</t>
        </is>
      </c>
      <c r="B49" s="30" t="inlineStr">
        <is>
          <t>SOIC Ranking Sheet for Banks &amp; NBFC</t>
        </is>
      </c>
      <c r="C49" s="30" t="inlineStr">
        <is>
          <t>Return on Equity</t>
        </is>
      </c>
      <c r="D49" s="30" t="inlineStr">
        <is>
          <t>Is Return on Equity (RoE) &gt; 15%</t>
        </is>
      </c>
      <c r="E49" s="30" t="n">
        <v>38</v>
      </c>
      <c r="F49" s="30" t="inlineStr">
        <is>
          <t>'=IF(D38="Yes",10,0)</t>
        </is>
      </c>
      <c r="G49" s="30" t="inlineStr">
        <is>
          <t>"Yes,No"</t>
        </is>
      </c>
    </row>
    <row r="50">
      <c r="A50" s="30" t="inlineStr">
        <is>
          <t>Banks &amp; NBFC</t>
        </is>
      </c>
      <c r="B50" s="30" t="inlineStr">
        <is>
          <t>SOIC Ranking Sheet for Banks &amp; NBFC</t>
        </is>
      </c>
      <c r="C50" s="30" t="inlineStr">
        <is>
          <t>AUM Growth</t>
        </is>
      </c>
      <c r="D50" s="30" t="inlineStr">
        <is>
          <t>Is AUM Growth above 20% YoY</t>
        </is>
      </c>
      <c r="E50" s="30" t="n">
        <v>39</v>
      </c>
      <c r="F50" s="30" t="inlineStr">
        <is>
          <t>'=IF(D39="Yes",10,0)</t>
        </is>
      </c>
      <c r="G50" s="30" t="inlineStr">
        <is>
          <t>"Yes,No"</t>
        </is>
      </c>
    </row>
    <row r="51">
      <c r="A51" s="30" t="inlineStr">
        <is>
          <t>Banks &amp; NBFC</t>
        </is>
      </c>
      <c r="B51" s="30" t="inlineStr">
        <is>
          <t>SOIC Ranking Sheet for Banks &amp; NBFC</t>
        </is>
      </c>
      <c r="C51" s="30" t="inlineStr">
        <is>
          <t>Price to Book Value</t>
        </is>
      </c>
      <c r="D51" s="30" t="inlineStr">
        <is>
          <t>What is the P/BV of the bank and AUM growth?</t>
        </is>
      </c>
      <c r="E51" s="30" t="n">
        <v>40</v>
      </c>
      <c r="F51" s="30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0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0" t="inlineStr">
        <is>
          <t>Banks &amp; NBFC</t>
        </is>
      </c>
      <c r="B52" s="30" t="inlineStr">
        <is>
          <t>SOIC Ranking Sheet for Banks &amp; NBFC</t>
        </is>
      </c>
      <c r="C52" s="30" t="inlineStr">
        <is>
          <t>ADX</t>
        </is>
      </c>
      <c r="D52" s="30" t="inlineStr">
        <is>
          <t>ADX 14 above 20 on weekly charts?</t>
        </is>
      </c>
      <c r="E52" s="30" t="n">
        <v>45</v>
      </c>
      <c r="F52" s="30" t="inlineStr">
        <is>
          <t>'=IF(D45="Above 40",20,IF(D45="20 to 40",10,IF(D45="0 to 20",-5,0)))</t>
        </is>
      </c>
      <c r="G52" s="30" t="inlineStr">
        <is>
          <t>"Above 40,20 to 40,0 to 20"</t>
        </is>
      </c>
    </row>
    <row r="53">
      <c r="A53" s="30" t="inlineStr">
        <is>
          <t>Banks &amp; NBFC</t>
        </is>
      </c>
      <c r="B53" s="30" t="inlineStr">
        <is>
          <t>SOIC Ranking Sheet for Banks &amp; NBFC</t>
        </is>
      </c>
      <c r="C53" s="30" t="inlineStr">
        <is>
          <t>RSI</t>
        </is>
      </c>
      <c r="D53" s="30" t="inlineStr">
        <is>
          <t>Where is the RSI on weekly charts?  Above 75, can lead to some near term correction</t>
        </is>
      </c>
      <c r="E53" s="30" t="n">
        <v>46</v>
      </c>
      <c r="F53" s="30" t="inlineStr">
        <is>
          <t>'=IF(D46="Between 50 to 75",10,IF(D46="Above 75",0,0))</t>
        </is>
      </c>
      <c r="G53" s="30" t="inlineStr">
        <is>
          <t>"Between 50 to 75,Above 75,Below 45"</t>
        </is>
      </c>
    </row>
    <row r="54">
      <c r="A54" s="30" t="inlineStr">
        <is>
          <t>Banks &amp; NBFC</t>
        </is>
      </c>
      <c r="B54" s="30" t="inlineStr">
        <is>
          <t>SOIC Ranking Sheet for Banks &amp; NBFC</t>
        </is>
      </c>
      <c r="C54" s="30" t="inlineStr">
        <is>
          <t>Stage Analysis</t>
        </is>
      </c>
      <c r="D54" s="30" t="inlineStr">
        <is>
          <t>What stage is the stock in? Stage 1(accumulation), Stage 2(mark up), Stage 3(distribution), Stage 4 (Mark down)</t>
        </is>
      </c>
      <c r="E54" s="30" t="n">
        <v>47</v>
      </c>
      <c r="F54" s="30" t="inlineStr">
        <is>
          <t>'=IF(D47="Stage 2",20,IF(D47="Stage 1",0,IF(D47="Stage 3",5,IF(D47="Stage 4",-5,0))))</t>
        </is>
      </c>
      <c r="G54" s="30" t="inlineStr">
        <is>
          <t>"Stage 1,Stage 2,Stage 3,Stage 4"</t>
        </is>
      </c>
    </row>
    <row r="55">
      <c r="A55" s="30" t="inlineStr">
        <is>
          <t>Banks &amp; NBFC</t>
        </is>
      </c>
      <c r="B55" s="30" t="inlineStr">
        <is>
          <t>SOIC Ranking Sheet for Banks &amp; NBFC</t>
        </is>
      </c>
      <c r="C55" s="30" t="inlineStr">
        <is>
          <t>Price Volume Action</t>
        </is>
      </c>
      <c r="D55" s="30" t="inlineStr">
        <is>
          <t>What is the Price Volume Action indicating? High Volume with high gain days with a +ve trend</t>
        </is>
      </c>
      <c r="E55" s="30" t="n">
        <v>48</v>
      </c>
      <c r="F55" s="30" t="inlineStr">
        <is>
          <t>'=IF(D48="Positive Trend",20,IF(D48="Negative Trend",-10,0))</t>
        </is>
      </c>
      <c r="G55" s="30" t="inlineStr">
        <is>
          <t>"Positive Trend,Negative Trend"</t>
        </is>
      </c>
    </row>
    <row r="56">
      <c r="A56" s="30" t="inlineStr">
        <is>
          <t>Banks &amp; NBFC</t>
        </is>
      </c>
      <c r="B56" s="30" t="inlineStr">
        <is>
          <t>SOIC Ranking Sheet for Banks &amp; NBFC</t>
        </is>
      </c>
      <c r="C56" s="30" t="inlineStr">
        <is>
          <t>Secondary Trend</t>
        </is>
      </c>
      <c r="D56" s="30" t="inlineStr">
        <is>
          <t>What is the secondary trend? (Sideways, upwards, downwards)</t>
        </is>
      </c>
      <c r="E56" s="30" t="n">
        <v>49</v>
      </c>
      <c r="F56" s="30" t="inlineStr">
        <is>
          <t>'=IF(D49="Uptrend",10,IF(D49="Sideways",5,0))</t>
        </is>
      </c>
      <c r="G56" s="30" t="inlineStr">
        <is>
          <t>"Uptrend,Sideways,Downtrend"</t>
        </is>
      </c>
    </row>
    <row r="57">
      <c r="A57" s="30" t="inlineStr">
        <is>
          <t>Banks &amp; NBFC</t>
        </is>
      </c>
      <c r="B57" s="30" t="inlineStr">
        <is>
          <t>SOIC Ranking Sheet for Banks &amp; NBFC</t>
        </is>
      </c>
      <c r="C57" s="30" t="inlineStr">
        <is>
          <t>Primary Trend</t>
        </is>
      </c>
      <c r="D57" s="30" t="inlineStr">
        <is>
          <t>What is the primary trend?  (Sideways, upwards, downwards)</t>
        </is>
      </c>
      <c r="E57" s="30" t="n">
        <v>50</v>
      </c>
      <c r="F57" s="30" t="inlineStr">
        <is>
          <t>'=IF(D50="Uptrend",10,IF(D50="Sideways",5,0))</t>
        </is>
      </c>
      <c r="G57" s="30" t="inlineStr">
        <is>
          <t>"Uptrend,Sideways,Downtrend"</t>
        </is>
      </c>
    </row>
    <row r="58">
      <c r="A58" s="30" t="inlineStr">
        <is>
          <t>Banks &amp; NBFC</t>
        </is>
      </c>
      <c r="B58" s="30" t="inlineStr">
        <is>
          <t>SOIC Ranking Sheet for Banks &amp; NBFC</t>
        </is>
      </c>
      <c r="C58" s="30" t="inlineStr">
        <is>
          <t>Resistance</t>
        </is>
      </c>
      <c r="D58" s="30" t="inlineStr">
        <is>
          <t>Is there any zone of resistance in the recent past?</t>
        </is>
      </c>
      <c r="E58" s="30" t="n">
        <v>51</v>
      </c>
      <c r="F58" s="30" t="inlineStr">
        <is>
          <t>'=IF(D51="Overhead supply in last 2 years in last 2 years",-5,if(D51="Close to 52 week high or retracement",5,if(D51="Blue sky scenario",10,if(D51="Long term Downtrend",-10,0))))</t>
        </is>
      </c>
      <c r="G58" s="30" t="inlineStr">
        <is>
          <t>"Overhead supply in last 2 years in last 2 years,Close to 52 week high or retracement,Blue sky scenario,Long term Downtrend"</t>
        </is>
      </c>
    </row>
    <row r="59">
      <c r="A59" s="30" t="inlineStr">
        <is>
          <t>Banks &amp; NBFC</t>
        </is>
      </c>
      <c r="B59" s="30" t="inlineStr">
        <is>
          <t>SOIC Ranking Sheet for Banks &amp; NBFC</t>
        </is>
      </c>
      <c r="C59" s="30" t="inlineStr">
        <is>
          <t>V-stop</t>
        </is>
      </c>
      <c r="D59" s="30" t="inlineStr">
        <is>
          <t>Is the Vstop Positive on weekly/Monthly time frame?</t>
        </is>
      </c>
      <c r="E59" s="30" t="n">
        <v>52</v>
      </c>
      <c r="F59" s="30" t="inlineStr">
        <is>
          <t>'=IF(D52="Yes",10,0)</t>
        </is>
      </c>
      <c r="G59" s="30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2026-09-10T14:31:38Z</dcterms:created>
  <dcterms:modified xmlns:dcterms="http://purl.org/dc/terms/" xmlns:xsi="http://www.w3.org/2001/XMLSchema-instance" xsi:type="dcterms:W3CDTF">2026-09-10T14:32:47Z</dcterms:modified>
</cp:coreProperties>
</file>